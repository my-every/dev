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P101 KOC-JPF\"/>
    </mc:Choice>
  </mc:AlternateContent>
  <xr:revisionPtr revIDLastSave="0" documentId="13_ncr:1_{AA912ED3-357E-4A8A-A510-0276B615A5DD}" xr6:coauthVersionLast="47" xr6:coauthVersionMax="47" xr10:uidLastSave="{00000000-0000-0000-0000-000000000000}"/>
  <bookViews>
    <workbookView xWindow="28680" yWindow="-120" windowWidth="29040" windowHeight="15720" tabRatio="1000" activeTab="1" xr2:uid="{00000000-000D-0000-FFFF-FFFF00000000}"/>
  </bookViews>
  <sheets>
    <sheet name="Panel Errors" sheetId="3" r:id="rId1"/>
    <sheet name="JB70 DOOR_S" sheetId="21" r:id="rId2"/>
    <sheet name="HMI-S PWR_S" sheetId="26" r:id="rId3"/>
    <sheet name="JB70 R RAIL_S" sheetId="30" r:id="rId4"/>
    <sheet name="PLC_S" sheetId="27" r:id="rId5"/>
    <sheet name="A_S" sheetId="19" r:id="rId6"/>
    <sheet name="B_S" sheetId="20" r:id="rId7"/>
    <sheet name="JB72 DOOR_S" sheetId="22" r:id="rId8"/>
    <sheet name="FG&amp;E CTRL_S" sheetId="23" r:id="rId9"/>
    <sheet name="GEN_S" sheetId="25" r:id="rId10"/>
    <sheet name="VFD_S" sheetId="24" r:id="rId11"/>
    <sheet name="Bundle Tag Info" sheetId="32" r:id="rId12"/>
    <sheet name="Bundle Tags2" sheetId="33" r:id="rId13"/>
    <sheet name="ALL" sheetId="34" r:id="rId14"/>
  </sheets>
  <definedNames>
    <definedName name="_xlnm._FilterDatabase" localSheetId="5" hidden="1">A_S!$H$1:$H$223</definedName>
    <definedName name="_xlnm._FilterDatabase" localSheetId="6" hidden="1">B_S!$H$1:$H$95</definedName>
    <definedName name="_xlnm._FilterDatabase" localSheetId="8" hidden="1">'FG&amp;E CTRL_S'!$H$1:$H$147</definedName>
    <definedName name="_xlnm._FilterDatabase" localSheetId="9" hidden="1">GEN_S!$H$1:$H$103</definedName>
    <definedName name="_xlnm._FilterDatabase" localSheetId="1" hidden="1">'JB70 DOOR_S'!$H$1:$H$67</definedName>
    <definedName name="_xlnm._FilterDatabase" localSheetId="3" hidden="1">'JB70 R RAIL_S'!$H$1:$H$42</definedName>
    <definedName name="_xlnm._FilterDatabase" localSheetId="7" hidden="1">'JB72 DOOR_S'!$H$1:$H$29</definedName>
    <definedName name="_xlnm._FilterDatabase" localSheetId="4" hidden="1">PLC_S!$H$1:$H$34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4" l="1"/>
  <c r="AC31" i="34"/>
  <c r="AB31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AD30" i="34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A36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A35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A34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A3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A64" i="34"/>
  <c r="A3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A63" i="34"/>
  <c r="A47" i="34"/>
  <c r="A31" i="34"/>
  <c r="A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A62" i="34"/>
  <c r="A46" i="34"/>
  <c r="A30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A61" i="34"/>
  <c r="A45" i="34"/>
  <c r="A29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A72" i="34"/>
  <c r="A60" i="34"/>
  <c r="A44" i="34"/>
  <c r="A28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A71" i="34"/>
  <c r="A59" i="34"/>
  <c r="A43" i="34"/>
  <c r="A27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A70" i="34"/>
  <c r="A58" i="34"/>
  <c r="A42" i="34"/>
  <c r="A26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A69" i="34"/>
  <c r="A57" i="34"/>
  <c r="A52" i="34"/>
  <c r="A41" i="34"/>
  <c r="A25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A68" i="34"/>
  <c r="A56" i="34"/>
  <c r="A51" i="34"/>
  <c r="A40" i="34"/>
  <c r="A24" i="34"/>
  <c r="A20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A67" i="34"/>
  <c r="A55" i="34"/>
  <c r="A50" i="34"/>
  <c r="A39" i="34"/>
  <c r="A23" i="34"/>
  <c r="A19" i="34"/>
  <c r="A16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A66" i="34"/>
  <c r="A54" i="34"/>
  <c r="A49" i="34"/>
  <c r="A38" i="34"/>
  <c r="A22" i="34"/>
  <c r="A18" i="34"/>
  <c r="A15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A73" i="34"/>
  <c r="A65" i="34"/>
  <c r="A53" i="34"/>
  <c r="A48" i="34"/>
  <c r="A37" i="34"/>
  <c r="A21" i="34"/>
  <c r="A17" i="34"/>
  <c r="A14" i="34"/>
  <c r="A13" i="34"/>
  <c r="A2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tc={620B55F1-8AD5-42C2-BDEC-ECA13EFB0C7A}</author>
    <author>tc={E86CA35B-DE2B-4F6D-9B7A-285D56203D23}</author>
  </authors>
  <commentList>
    <comment ref="G14" authorId="0" shapeId="0" xr:uid="{620B55F1-8AD5-42C2-BDEC-ECA13EFB0C7A}">
      <text>
        <t>[Threaded comment]
Your version of Excel allows you to read this threaded comment; however, any edits to it will get removed if the file is opened in a newer version of Excel. Learn more: https://go.microsoft.com/fwlink/?linkid=870924
Comment:
    Mislabel; was originally in jb70 RR
Was: JB70
Changed to: JB70 R RAIL
MRCA: 1991668</t>
      </text>
    </comment>
    <comment ref="G16" authorId="1" shapeId="0" xr:uid="{E86CA35B-DE2B-4F6D-9B7A-285D56203D2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panel error
MRCA: 1991671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tc={3B7E1AE5-85C2-463B-96B6-3F2F84A258CD}</author>
    <author>tc={02412BA0-B179-4FD6-94C0-410D3789731E}</author>
  </authors>
  <commentList>
    <comment ref="G14" authorId="0" shapeId="0" xr:uid="{3B7E1AE5-85C2-463B-96B6-3F2F84A258CD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panel error
MRCA: 1991668</t>
      </text>
    </comment>
    <comment ref="G15" authorId="1" shapeId="0" xr:uid="{02412BA0-B179-4FD6-94C0-410D3789731E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panel error
MRCA: 1991671</t>
      </text>
    </comment>
  </commentList>
</comments>
</file>

<file path=xl/sharedStrings.xml><?xml version="1.0" encoding="utf-8"?>
<sst xmlns="http://schemas.openxmlformats.org/spreadsheetml/2006/main" count="4255" uniqueCount="1322">
  <si>
    <t>SolarTools ver. 24.0.84.24712 (Jul 31, 2025)</t>
  </si>
  <si>
    <t>Project #</t>
  </si>
  <si>
    <t>4P101</t>
  </si>
  <si>
    <t>Project Name</t>
  </si>
  <si>
    <t>DEPLETION COMPRESSION SYSTEM &amp; SRU</t>
  </si>
  <si>
    <t>Revision</t>
  </si>
  <si>
    <t>C</t>
  </si>
  <si>
    <t>Controls DE</t>
  </si>
  <si>
    <t>Phone:</t>
  </si>
  <si>
    <t>Controls ME</t>
  </si>
  <si>
    <t>Device ID</t>
  </si>
  <si>
    <t>Location</t>
  </si>
  <si>
    <t>CONTROL A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</si>
  <si>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</si>
  <si>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</si>
  <si>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</si>
  <si>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</si>
  <si>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</si>
  <si>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</si>
  <si>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</si>
  <si>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</si>
  <si>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</si>
  <si>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FU0388</t>
  </si>
  <si>
    <t>FU0389</t>
  </si>
  <si>
    <t>CONTROL B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</si>
  <si>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</si>
  <si>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</si>
  <si>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</si>
  <si>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</si>
  <si>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</si>
  <si>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</si>
  <si>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</si>
  <si>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</si>
  <si>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</si>
  <si>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</si>
  <si>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</si>
  <si>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</si>
  <si>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</si>
  <si>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FU0410</t>
  </si>
  <si>
    <t>FU5122</t>
  </si>
  <si>
    <t>SA0471</t>
  </si>
  <si>
    <t>SA0472</t>
  </si>
  <si>
    <t>SA0473</t>
  </si>
  <si>
    <t>SB0471</t>
  </si>
  <si>
    <t>SB0472</t>
  </si>
  <si>
    <t>SB0473</t>
  </si>
  <si>
    <t>SB0474</t>
  </si>
  <si>
    <t>SH0470</t>
  </si>
  <si>
    <t>SH0471</t>
  </si>
  <si>
    <t>SH0472</t>
  </si>
  <si>
    <t>HL0171</t>
  </si>
  <si>
    <t>CONTROL,JB72</t>
  </si>
  <si>
    <t>HL0172</t>
  </si>
  <si>
    <t>HL0173</t>
  </si>
  <si>
    <t>SA0170</t>
  </si>
  <si>
    <t>SB0170</t>
  </si>
  <si>
    <t>FG&amp;E CTRL</t>
  </si>
  <si>
    <t>FU0170</t>
  </si>
  <si>
    <t>FU0171</t>
  </si>
  <si>
    <t>FU0172</t>
  </si>
  <si>
    <t>FU0180</t>
  </si>
  <si>
    <t>FU0181</t>
  </si>
  <si>
    <t>FU0182</t>
  </si>
  <si>
    <t>FU0535</t>
  </si>
  <si>
    <t>FO CONV,VFD</t>
  </si>
  <si>
    <t>FU1123</t>
  </si>
  <si>
    <t>FU1124</t>
  </si>
  <si>
    <t>GEN CTRL</t>
  </si>
  <si>
    <t>FU0120</t>
  </si>
  <si>
    <t>FU0121</t>
  </si>
  <si>
    <t>FU0122</t>
  </si>
  <si>
    <t>FU0332</t>
  </si>
  <si>
    <t>FU0333</t>
  </si>
  <si>
    <t>FU0334</t>
  </si>
  <si>
    <t>HMI-S PWR</t>
  </si>
  <si>
    <t>AT1100</t>
  </si>
  <si>
    <t>FU1100</t>
  </si>
  <si>
    <t>PLC</t>
  </si>
  <si>
    <t>FU0010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</si>
  <si>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</si>
  <si>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</si>
  <si>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</si>
  <si>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</si>
  <si>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</si>
  <si>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</si>
  <si>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</si>
  <si>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</si>
  <si>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AT1100:POS</t>
  </si>
  <si>
    <t>WHT</t>
  </si>
  <si>
    <t>14</t>
  </si>
  <si>
    <t>FU1100:LD</t>
  </si>
  <si>
    <t>BA1100:POS</t>
  </si>
  <si>
    <t>FU1101LD</t>
  </si>
  <si>
    <t>16</t>
  </si>
  <si>
    <t>FU1101:LD</t>
  </si>
  <si>
    <t>Report date: 2/19/2026 4:51 PM</t>
  </si>
  <si>
    <t>XT0111:21</t>
  </si>
  <si>
    <t>FU1101:LI</t>
  </si>
  <si>
    <t>FU1100:LI</t>
  </si>
  <si>
    <t>XT0111:22</t>
  </si>
  <si>
    <t>AT1100:NEG</t>
  </si>
  <si>
    <t>BA1100:NEG</t>
  </si>
  <si>
    <t>XT0111:15</t>
  </si>
  <si>
    <t>20</t>
  </si>
  <si>
    <t>XT0081:6</t>
  </si>
  <si>
    <t>XT0111:16</t>
  </si>
  <si>
    <t>KA0241A1</t>
  </si>
  <si>
    <t>XT0081:7</t>
  </si>
  <si>
    <t>XT0111:17</t>
  </si>
  <si>
    <t>SH0472X2</t>
  </si>
  <si>
    <t>KA0240:21</t>
  </si>
  <si>
    <t>XT0111:19</t>
  </si>
  <si>
    <t>ESTOPB</t>
  </si>
  <si>
    <t>XT0089:3</t>
  </si>
  <si>
    <t>XT0111:20</t>
  </si>
  <si>
    <t>ESTOPA</t>
  </si>
  <si>
    <t>XT0089:4</t>
  </si>
  <si>
    <t>XT0002:6</t>
  </si>
  <si>
    <t>XT0003:6</t>
  </si>
  <si>
    <t>XT0111:23</t>
  </si>
  <si>
    <t>HA047202</t>
  </si>
  <si>
    <t>KA0875:11</t>
  </si>
  <si>
    <t>KA0232:11</t>
  </si>
  <si>
    <t>XT0111:24</t>
  </si>
  <si>
    <t>HA047201</t>
  </si>
  <si>
    <t>KA0875:A2</t>
  </si>
  <si>
    <t>XT0111:25</t>
  </si>
  <si>
    <t>KA0875:14</t>
  </si>
  <si>
    <t>XT0111:3</t>
  </si>
  <si>
    <t>SH047113</t>
  </si>
  <si>
    <t>AF0087:32</t>
  </si>
  <si>
    <t>XT0111:4</t>
  </si>
  <si>
    <t>SH047114</t>
  </si>
  <si>
    <t>AF0087:00</t>
  </si>
  <si>
    <t>XT0111:7</t>
  </si>
  <si>
    <t>SH047011</t>
  </si>
  <si>
    <t>AF0087:33</t>
  </si>
  <si>
    <t>XT0111:8</t>
  </si>
  <si>
    <t>SH047012</t>
  </si>
  <si>
    <t>AF0087:01</t>
  </si>
  <si>
    <t>XT0111:11</t>
  </si>
  <si>
    <t>SH0470X2</t>
  </si>
  <si>
    <t>AF0093:06</t>
  </si>
  <si>
    <t>XT0111:12</t>
  </si>
  <si>
    <t>SH0470X1</t>
  </si>
  <si>
    <t>AF0093:22</t>
  </si>
  <si>
    <t>AF0092:13</t>
  </si>
  <si>
    <t>XT0111:18</t>
  </si>
  <si>
    <t>SH0472X1</t>
  </si>
  <si>
    <t>AF0092:29</t>
  </si>
  <si>
    <t>AF0092:28</t>
  </si>
  <si>
    <t>XT0111:5</t>
  </si>
  <si>
    <t>SH0471X2</t>
  </si>
  <si>
    <t>AF0093:15</t>
  </si>
  <si>
    <t>XT0111:6</t>
  </si>
  <si>
    <t>SH0471X1</t>
  </si>
  <si>
    <t>AF0093:31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</si>
  <si>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</si>
  <si>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</si>
  <si>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</si>
  <si>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</si>
  <si>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</si>
  <si>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</si>
  <si>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</si>
  <si>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</si>
  <si>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</si>
  <si>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</si>
  <si>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</si>
  <si>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</si>
  <si>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</si>
  <si>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</si>
  <si>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</si>
  <si>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</si>
  <si>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</si>
  <si>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</si>
  <si>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</si>
  <si>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</si>
  <si>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</si>
  <si>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</si>
  <si>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</si>
  <si>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</si>
  <si>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</si>
  <si>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</si>
  <si>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</si>
  <si>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</si>
  <si>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</si>
  <si>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</si>
  <si>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</si>
  <si>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</si>
  <si>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XT0170:1</t>
  </si>
  <si>
    <t>AT0680:NEG</t>
  </si>
  <si>
    <t>XT0680:2</t>
  </si>
  <si>
    <t>AT0680:POS</t>
  </si>
  <si>
    <t>AT0680POS</t>
  </si>
  <si>
    <t>XT0680:1</t>
  </si>
  <si>
    <t>FU0010:LD</t>
  </si>
  <si>
    <t>UV0600:(+)</t>
  </si>
  <si>
    <t>FU0680:LD</t>
  </si>
  <si>
    <t>FU0010:LI</t>
  </si>
  <si>
    <t>XT0002:4</t>
  </si>
  <si>
    <t>UV0600:(-)</t>
  </si>
  <si>
    <t>XT0003:4</t>
  </si>
  <si>
    <t>12</t>
  </si>
  <si>
    <t>BA0001:V1(-)</t>
  </si>
  <si>
    <t>XT0051:5</t>
  </si>
  <si>
    <t>BA0001:V1(+)</t>
  </si>
  <si>
    <t>FU0021:LD</t>
  </si>
  <si>
    <t>BA0002:V1(-)</t>
  </si>
  <si>
    <t>XT0051:6</t>
  </si>
  <si>
    <t>BA0002:V1(+)</t>
  </si>
  <si>
    <t>FU0022:LD</t>
  </si>
  <si>
    <t>BA0009:V1(-)</t>
  </si>
  <si>
    <t>XT0051:7</t>
  </si>
  <si>
    <t>BA0009:V1(+)</t>
  </si>
  <si>
    <t>FU0029:LD</t>
  </si>
  <si>
    <t>FU0680:LI</t>
  </si>
  <si>
    <t>XT0051:4</t>
  </si>
  <si>
    <t>XT0051:8</t>
  </si>
  <si>
    <t>XT1124:1</t>
  </si>
  <si>
    <t>FU5122:LD</t>
  </si>
  <si>
    <t>XT1124:2</t>
  </si>
  <si>
    <t>XT0335:1</t>
  </si>
  <si>
    <t>XT0335:2</t>
  </si>
  <si>
    <t>XT0335:3</t>
  </si>
  <si>
    <t>XT0335:4</t>
  </si>
  <si>
    <t>XT0335:6</t>
  </si>
  <si>
    <t>XT0335:9</t>
  </si>
  <si>
    <t>XT0336:2</t>
  </si>
  <si>
    <t>XT0336:3</t>
  </si>
  <si>
    <t>XT0336:4</t>
  </si>
  <si>
    <t>XT0336:5</t>
  </si>
  <si>
    <t>XT0336:6</t>
  </si>
  <si>
    <t>XT0336:9</t>
  </si>
  <si>
    <t>VBUSA</t>
  </si>
  <si>
    <t>XT0351:2</t>
  </si>
  <si>
    <t>XT0351:11</t>
  </si>
  <si>
    <t>VGENB</t>
  </si>
  <si>
    <t>XT0351:13</t>
  </si>
  <si>
    <t>VGENC</t>
  </si>
  <si>
    <t>XT0351:3</t>
  </si>
  <si>
    <t>VBUSB</t>
  </si>
  <si>
    <t>XT0351:5</t>
  </si>
  <si>
    <t>VBUSC</t>
  </si>
  <si>
    <t>XT0351:9</t>
  </si>
  <si>
    <t>VGENA</t>
  </si>
  <si>
    <t>XT0352:4</t>
  </si>
  <si>
    <t>XT0352:5</t>
  </si>
  <si>
    <t>XT0352:6</t>
  </si>
  <si>
    <t>AF0121:01</t>
  </si>
  <si>
    <t>KA0121:A1</t>
  </si>
  <si>
    <t>AF0121:03</t>
  </si>
  <si>
    <t>KA0123A1</t>
  </si>
  <si>
    <t>KA0123:A1</t>
  </si>
  <si>
    <t>AF0121:05</t>
  </si>
  <si>
    <t>KA9607A1</t>
  </si>
  <si>
    <t>KA9607:A1</t>
  </si>
  <si>
    <t>AF0121:08</t>
  </si>
  <si>
    <t>KA0128:A1</t>
  </si>
  <si>
    <t>AF0121:14</t>
  </si>
  <si>
    <t>KA033611</t>
  </si>
  <si>
    <t>KA0336:11</t>
  </si>
  <si>
    <t>AF0121:17</t>
  </si>
  <si>
    <t>KA0121:A2</t>
  </si>
  <si>
    <t>AF0121:19</t>
  </si>
  <si>
    <t>KA0123A2</t>
  </si>
  <si>
    <t>KA0123:A2</t>
  </si>
  <si>
    <t>AF0121:21</t>
  </si>
  <si>
    <t>KA9607A2</t>
  </si>
  <si>
    <t>KA9607:A2</t>
  </si>
  <si>
    <t>AF0121:24</t>
  </si>
  <si>
    <t>KA0128:A2</t>
  </si>
  <si>
    <t>AF0121:30</t>
  </si>
  <si>
    <t>KA4100A2</t>
  </si>
  <si>
    <t>KA4100:A2</t>
  </si>
  <si>
    <t>AF0121:COM</t>
  </si>
  <si>
    <t>XT0120:2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</si>
  <si>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</si>
  <si>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</si>
  <si>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</si>
  <si>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</si>
  <si>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</si>
  <si>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</si>
  <si>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</si>
  <si>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KA031011</t>
  </si>
  <si>
    <t>KA0310:11</t>
  </si>
  <si>
    <t>AF0122:32</t>
  </si>
  <si>
    <t>KA0330:14</t>
  </si>
  <si>
    <t>AF0122:33</t>
  </si>
  <si>
    <t>KA0331:14</t>
  </si>
  <si>
    <t>AF0122:34</t>
  </si>
  <si>
    <t>KA031014</t>
  </si>
  <si>
    <t>KA0310:14</t>
  </si>
  <si>
    <t>AF0122:COM</t>
  </si>
  <si>
    <t>AU0120N</t>
  </si>
  <si>
    <t>AU0120:COM</t>
  </si>
  <si>
    <t>AF0122:V+</t>
  </si>
  <si>
    <t>AU0120P</t>
  </si>
  <si>
    <t>AU0120:V+</t>
  </si>
  <si>
    <t>AT0140:13 VGEN-A</t>
  </si>
  <si>
    <t>RED</t>
  </si>
  <si>
    <t>AT0140:14 VGEN-B</t>
  </si>
  <si>
    <t>AT0140:15 VGEN-C</t>
  </si>
  <si>
    <t>AT0140:17 VBUS-A</t>
  </si>
  <si>
    <t>AT0140:18 VBUS-B</t>
  </si>
  <si>
    <t>AT0140:19 VBUS-C</t>
  </si>
  <si>
    <t>AT0140:3 EX-D(-)</t>
  </si>
  <si>
    <t>AT0140:36 I1(+)</t>
  </si>
  <si>
    <t>MCTA</t>
  </si>
  <si>
    <t>BLU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</si>
  <si>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</si>
  <si>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</si>
  <si>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</si>
  <si>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</si>
  <si>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</si>
  <si>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</si>
  <si>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</si>
  <si>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</si>
  <si>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</si>
  <si>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</si>
  <si>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</si>
  <si>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</si>
  <si>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</si>
  <si>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</si>
  <si>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</si>
  <si>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</si>
  <si>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AT0140:BAT(-) 48</t>
  </si>
  <si>
    <t>AT0140:BAT(+) 47</t>
  </si>
  <si>
    <t>XT0339:1</t>
  </si>
  <si>
    <t>AT0140:FLT 29</t>
  </si>
  <si>
    <t>KA0310A2</t>
  </si>
  <si>
    <t>KA0310:A2</t>
  </si>
  <si>
    <t>AT0140:FLT 30</t>
  </si>
  <si>
    <t>FU0120:LD</t>
  </si>
  <si>
    <t>FU0120:LI</t>
  </si>
  <si>
    <t>FU0122:LD</t>
  </si>
  <si>
    <t>FU0122:LI</t>
  </si>
  <si>
    <t>FU0332:LD</t>
  </si>
  <si>
    <t>FU0333:LD</t>
  </si>
  <si>
    <t>XT0338:1</t>
  </si>
  <si>
    <t>FU0333:LI</t>
  </si>
  <si>
    <t>FU0334:LD</t>
  </si>
  <si>
    <t>FU0334:LI</t>
  </si>
  <si>
    <t>KA0121:11</t>
  </si>
  <si>
    <t>KA0121:14</t>
  </si>
  <si>
    <t>KA018511</t>
  </si>
  <si>
    <t>XT0338:3</t>
  </si>
  <si>
    <t>KA0123:11</t>
  </si>
  <si>
    <t>KA0313:A1</t>
  </si>
  <si>
    <t>KA0313:A2</t>
  </si>
  <si>
    <t>KA0128:11</t>
  </si>
  <si>
    <t>KA0335:21</t>
  </si>
  <si>
    <t>KA0128:21</t>
  </si>
  <si>
    <t>KA012821</t>
  </si>
  <si>
    <t>XT0337:1</t>
  </si>
  <si>
    <t>KA0128:24</t>
  </si>
  <si>
    <t>KA012824</t>
  </si>
  <si>
    <t>XT0337:2</t>
  </si>
  <si>
    <t>KA0310:24</t>
  </si>
  <si>
    <t>KA0333A1</t>
  </si>
  <si>
    <t>XT0338:2</t>
  </si>
  <si>
    <t>KA0335:22</t>
  </si>
  <si>
    <t>KA0310:A1</t>
  </si>
  <si>
    <t>KA0330:A1</t>
  </si>
  <si>
    <t>KA0330A1</t>
  </si>
  <si>
    <t>XT0338:5</t>
  </si>
  <si>
    <t>KA0331:A2</t>
  </si>
  <si>
    <t>KA0331:A1</t>
  </si>
  <si>
    <t>KA0331A1</t>
  </si>
  <si>
    <t>XT0338:6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</si>
  <si>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</si>
  <si>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</si>
  <si>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</si>
  <si>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</si>
  <si>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</si>
  <si>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</si>
  <si>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</si>
  <si>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KA0332A1</t>
  </si>
  <si>
    <t>XT0338:4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</si>
  <si>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</si>
  <si>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</si>
  <si>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</si>
  <si>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</si>
  <si>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</si>
  <si>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</si>
  <si>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</si>
  <si>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</si>
  <si>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</si>
  <si>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</si>
  <si>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</si>
  <si>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</si>
  <si>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</si>
  <si>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</si>
  <si>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XT0120:4</t>
  </si>
  <si>
    <t>KA0335:A2</t>
  </si>
  <si>
    <t>XT0120:3</t>
  </si>
  <si>
    <t>KA0336:14</t>
  </si>
  <si>
    <t>KA4100A1</t>
  </si>
  <si>
    <t>KA4100:A1</t>
  </si>
  <si>
    <t>KA0336:A1</t>
  </si>
  <si>
    <t>KA0131A1</t>
  </si>
  <si>
    <t>XT0120:5</t>
  </si>
  <si>
    <t>XT0120:1</t>
  </si>
  <si>
    <t>XT0089:6</t>
  </si>
  <si>
    <t>XT0089:8</t>
  </si>
  <si>
    <t>FU0182:LI</t>
  </si>
  <si>
    <t>FU0535:LI</t>
  </si>
  <si>
    <t>XT0180:1</t>
  </si>
  <si>
    <t>XT0536:1</t>
  </si>
  <si>
    <t>KA0185:11</t>
  </si>
  <si>
    <t>KA0185:14</t>
  </si>
  <si>
    <t>BA0005:V1(-)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</si>
  <si>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</si>
  <si>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</si>
  <si>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</si>
  <si>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</si>
  <si>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</si>
  <si>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</si>
  <si>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</si>
  <si>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XT1123:1</t>
  </si>
  <si>
    <t>FU1124:LI</t>
  </si>
  <si>
    <t>XT0170:2</t>
  </si>
  <si>
    <t>XT0170:3</t>
  </si>
  <si>
    <t>XT0170:4</t>
  </si>
  <si>
    <t>XT0535:1</t>
  </si>
  <si>
    <t>XT0535:3</t>
  </si>
  <si>
    <t>XT0535:4</t>
  </si>
  <si>
    <t>XT0535:5</t>
  </si>
  <si>
    <t>XT0536:3</t>
  </si>
  <si>
    <t>AF0181:00</t>
  </si>
  <si>
    <t>KA0180:A1</t>
  </si>
  <si>
    <t>AF0181:10</t>
  </si>
  <si>
    <t>KA0185:A1</t>
  </si>
  <si>
    <t>AF0181:16</t>
  </si>
  <si>
    <t>KA0180:A2</t>
  </si>
  <si>
    <t>AF0181:26</t>
  </si>
  <si>
    <t>XT0181:2</t>
  </si>
  <si>
    <t>AF0181:COM</t>
  </si>
  <si>
    <t>AF0181:V+</t>
  </si>
  <si>
    <t>FU0181:LD</t>
  </si>
  <si>
    <t>AF0182:05</t>
  </si>
  <si>
    <t>KA959914</t>
  </si>
  <si>
    <t>KA9599:14</t>
  </si>
  <si>
    <t>AF0182:37</t>
  </si>
  <si>
    <t>KA959911</t>
  </si>
  <si>
    <t>KA9599:11</t>
  </si>
  <si>
    <t>AF0182:COM</t>
  </si>
  <si>
    <t>AU0180N</t>
  </si>
  <si>
    <t>AU0180:COM</t>
  </si>
  <si>
    <t>AF0182:V+</t>
  </si>
  <si>
    <t>AU0180P</t>
  </si>
  <si>
    <t>AU0180:V+</t>
  </si>
  <si>
    <t>AT0170:1</t>
  </si>
  <si>
    <t>UV01705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</si>
  <si>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</si>
  <si>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</si>
  <si>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</si>
  <si>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</si>
  <si>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</si>
  <si>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</si>
  <si>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</si>
  <si>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</si>
  <si>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</si>
  <si>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</si>
  <si>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AT0170:24</t>
  </si>
  <si>
    <t>XT0170:5</t>
  </si>
  <si>
    <t>AT0170:25</t>
  </si>
  <si>
    <t>AT017025</t>
  </si>
  <si>
    <t>KA0172:A1</t>
  </si>
  <si>
    <t>AT0170:26</t>
  </si>
  <si>
    <t>KA0243A1</t>
  </si>
  <si>
    <t>XT0291:3</t>
  </si>
  <si>
    <t>AT0170:3</t>
  </si>
  <si>
    <t>UV01707</t>
  </si>
  <si>
    <t>UV0170:7(+)</t>
  </si>
  <si>
    <t>AT0170:30</t>
  </si>
  <si>
    <t>AT0170:31</t>
  </si>
  <si>
    <t>AT017031</t>
  </si>
  <si>
    <t>KA0174:A1</t>
  </si>
  <si>
    <t>AT0170:32</t>
  </si>
  <si>
    <t>KA0245A1</t>
  </si>
  <si>
    <t>XT0291:4</t>
  </si>
  <si>
    <t>AT0170:4</t>
  </si>
  <si>
    <t>UV01708</t>
  </si>
  <si>
    <t>UV0170:8(-)</t>
  </si>
  <si>
    <t>AT0175:11</t>
  </si>
  <si>
    <t>KA651012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</si>
  <si>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</si>
  <si>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</si>
  <si>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</si>
  <si>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</si>
  <si>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</si>
  <si>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</si>
  <si>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</si>
  <si>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AT017517</t>
  </si>
  <si>
    <t>XT0173:2</t>
  </si>
  <si>
    <t>AT0175:18</t>
  </si>
  <si>
    <t>HL0171X1</t>
  </si>
  <si>
    <t>XT0173:3</t>
  </si>
  <si>
    <t>AT0175:1P1</t>
  </si>
  <si>
    <t>UV01709</t>
  </si>
  <si>
    <t>UV0170:9(+)</t>
  </si>
  <si>
    <t>AT0175:2</t>
  </si>
  <si>
    <t>SB017013</t>
  </si>
  <si>
    <t>XT0173:12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</si>
  <si>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</si>
  <si>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</si>
  <si>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</si>
  <si>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</si>
  <si>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</si>
  <si>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</si>
  <si>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</si>
  <si>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</si>
  <si>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XT0173:8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</si>
  <si>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</si>
  <si>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</si>
  <si>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</si>
  <si>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</si>
  <si>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</si>
  <si>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</si>
  <si>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</si>
  <si>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</si>
  <si>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</si>
  <si>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AT0175:5P1</t>
  </si>
  <si>
    <t>KA6510A2</t>
  </si>
  <si>
    <t>KA6510:A2</t>
  </si>
  <si>
    <t>AT0176:11</t>
  </si>
  <si>
    <t>AT017611</t>
  </si>
  <si>
    <t>RR1764:-10K OHM</t>
  </si>
  <si>
    <t>AT0176:12</t>
  </si>
  <si>
    <t>AT017612</t>
  </si>
  <si>
    <t>AT0176:14</t>
  </si>
  <si>
    <t>AT017614</t>
  </si>
  <si>
    <t>RR1765:-10K OHM</t>
  </si>
  <si>
    <t>AT0176:15</t>
  </si>
  <si>
    <t>AT017615</t>
  </si>
  <si>
    <t>AT0176:17</t>
  </si>
  <si>
    <t>AT017617</t>
  </si>
  <si>
    <t>RR1766:-10K OHM</t>
  </si>
  <si>
    <t>AT0176:18</t>
  </si>
  <si>
    <t>AT017618</t>
  </si>
  <si>
    <t>AT0176:1P1</t>
  </si>
  <si>
    <t>UV017011</t>
  </si>
  <si>
    <t>UV0170:11(+)</t>
  </si>
  <si>
    <t>AT0176:20</t>
  </si>
  <si>
    <t>AT017620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</si>
  <si>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</si>
  <si>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</si>
  <si>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</si>
  <si>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</si>
  <si>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</si>
  <si>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</si>
  <si>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</si>
  <si>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</si>
  <si>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</si>
  <si>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</si>
  <si>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</si>
  <si>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</si>
  <si>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</si>
  <si>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</si>
  <si>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XT0290:7</t>
  </si>
  <si>
    <t>AT0178:21</t>
  </si>
  <si>
    <t>ZS61S</t>
  </si>
  <si>
    <t>XT0290:8</t>
  </si>
  <si>
    <t>AT0178:23</t>
  </si>
  <si>
    <t>AT017823</t>
  </si>
  <si>
    <t>XT0171:2</t>
  </si>
  <si>
    <t>AT0178:24</t>
  </si>
  <si>
    <t>AT017824</t>
  </si>
  <si>
    <t>XT0171:3</t>
  </si>
  <si>
    <t>FU0180:LD</t>
  </si>
  <si>
    <t>FU0170:LD</t>
  </si>
  <si>
    <t>XT0171:4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</si>
  <si>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</si>
  <si>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</si>
  <si>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</si>
  <si>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</si>
  <si>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</si>
  <si>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</si>
  <si>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</si>
  <si>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>FU0180:LI</t>
  </si>
  <si>
    <t>FU0182:LD</t>
  </si>
  <si>
    <t>FU0294:LI</t>
  </si>
  <si>
    <t>FU0295:LI</t>
  </si>
  <si>
    <t>FU0535:LD</t>
  </si>
  <si>
    <t>KA0145:21</t>
  </si>
  <si>
    <t>KA025522</t>
  </si>
  <si>
    <t>KA0249:11</t>
  </si>
  <si>
    <t>KA0255:22</t>
  </si>
  <si>
    <t>KA0145:22</t>
  </si>
  <si>
    <t>KA0176A1</t>
  </si>
  <si>
    <t>KA0249:12</t>
  </si>
  <si>
    <t>KA0145:A1</t>
  </si>
  <si>
    <t>KA0135A1</t>
  </si>
  <si>
    <t>XT0291:2</t>
  </si>
  <si>
    <t>KA0255:A2</t>
  </si>
  <si>
    <t>KA0172:A2</t>
  </si>
  <si>
    <t>KA0179:A2</t>
  </si>
  <si>
    <t>KA0178:A1</t>
  </si>
  <si>
    <t>KA0178A1</t>
  </si>
  <si>
    <t>XT0171:1</t>
  </si>
  <si>
    <t>KA0178:A2</t>
  </si>
  <si>
    <t>KA0185:A2</t>
  </si>
  <si>
    <t>KA0185A2</t>
  </si>
  <si>
    <t>XT0181:1</t>
  </si>
  <si>
    <t>KA0247:A1</t>
  </si>
  <si>
    <t>KA0254:A1</t>
  </si>
  <si>
    <t>KA0247:A2</t>
  </si>
  <si>
    <t>KA0254:A2</t>
  </si>
  <si>
    <t>KA0249:A1</t>
  </si>
  <si>
    <t>KA0255:A1</t>
  </si>
  <si>
    <t>XT0291:1</t>
  </si>
  <si>
    <t>RR1751: -10K OHM</t>
  </si>
  <si>
    <t>RR1756: -10K OHM</t>
  </si>
  <si>
    <t>RR1757: -10K OHM</t>
  </si>
  <si>
    <t>RR1758: -10K OHM</t>
  </si>
  <si>
    <t>RR1788: -10K OHM</t>
  </si>
  <si>
    <t>UV0170:13(+)</t>
  </si>
  <si>
    <t>LON0P</t>
  </si>
  <si>
    <t>XT0173:26</t>
  </si>
  <si>
    <t>UV0170:14(-)</t>
  </si>
  <si>
    <t>LON0N</t>
  </si>
  <si>
    <t>XT0173:27</t>
  </si>
  <si>
    <t>UV0170:2(-)</t>
  </si>
  <si>
    <t>UV0170:4(-)</t>
  </si>
  <si>
    <t>VD1756:--1N4005/1</t>
  </si>
  <si>
    <t>HL0171X2</t>
  </si>
  <si>
    <t>XT0173:1</t>
  </si>
  <si>
    <t>VD1756:+-1N4005/1</t>
  </si>
  <si>
    <t>VD1757:--1N4005/1</t>
  </si>
  <si>
    <t>HL0172X2</t>
  </si>
  <si>
    <t>XT0173:4</t>
  </si>
  <si>
    <t>VD1757:+-1N4005/1</t>
  </si>
  <si>
    <t>VD1758:--1N4005/1</t>
  </si>
  <si>
    <t>HL0173X2</t>
  </si>
  <si>
    <t>XT0173:7</t>
  </si>
  <si>
    <t>VD1758:+-1N4005/1</t>
  </si>
  <si>
    <t>VD1788:--1N4005/1</t>
  </si>
  <si>
    <t>VD1788:+-1N4005/1</t>
  </si>
  <si>
    <t>XT0171:5</t>
  </si>
  <si>
    <t>XT0173:24</t>
  </si>
  <si>
    <t>XT0173:25</t>
  </si>
  <si>
    <t>XT0171:6</t>
  </si>
  <si>
    <t>LON1S2</t>
  </si>
  <si>
    <t>XT0173:23</t>
  </si>
  <si>
    <t>XT0173:19</t>
  </si>
  <si>
    <t>XT0173:17</t>
  </si>
  <si>
    <t>XT0173:18</t>
  </si>
  <si>
    <t>XT0089:23</t>
  </si>
  <si>
    <t>XT0089:10</t>
  </si>
  <si>
    <t>XT0089:11</t>
  </si>
  <si>
    <t>KA0176:A2</t>
  </si>
  <si>
    <t>AT0175:4P1</t>
  </si>
  <si>
    <t>AT01754P1</t>
  </si>
  <si>
    <t>SA0170:B1-13</t>
  </si>
  <si>
    <t>KA6510:A1</t>
  </si>
  <si>
    <t>SA0170B114</t>
  </si>
  <si>
    <t>SA0170:B1-14</t>
  </si>
  <si>
    <t>HL0171:X2</t>
  </si>
  <si>
    <t>SA0170:B2-13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</si>
  <si>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</si>
  <si>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</si>
  <si>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</si>
  <si>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</si>
  <si>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</si>
  <si>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</si>
  <si>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</si>
  <si>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</si>
  <si>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</si>
  <si>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</si>
  <si>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</si>
  <si>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</si>
  <si>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</si>
  <si>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</si>
  <si>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</si>
  <si>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</si>
  <si>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</si>
  <si>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</si>
  <si>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</si>
  <si>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</si>
  <si>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SA0473:11</t>
  </si>
  <si>
    <t>SA047311</t>
  </si>
  <si>
    <t>AF0087:37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</si>
  <si>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</si>
  <si>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</si>
  <si>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</si>
  <si>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</si>
  <si>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</si>
  <si>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</si>
  <si>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</si>
  <si>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</si>
  <si>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</si>
  <si>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</si>
  <si>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</si>
  <si>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</si>
  <si>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</si>
  <si>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</si>
  <si>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</si>
  <si>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</si>
  <si>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</si>
  <si>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</si>
  <si>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</si>
  <si>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</si>
  <si>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</si>
  <si>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</si>
  <si>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</si>
  <si>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</si>
  <si>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</si>
  <si>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</si>
  <si>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</si>
  <si>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</si>
  <si>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</si>
  <si>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</si>
  <si>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</si>
  <si>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</si>
  <si>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</si>
  <si>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SA0472:B1-13</t>
  </si>
  <si>
    <t>SA0472B113</t>
  </si>
  <si>
    <t>AF0091:47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</si>
  <si>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</si>
  <si>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</si>
  <si>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</si>
  <si>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</si>
  <si>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</si>
  <si>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</si>
  <si>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</si>
  <si>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</si>
  <si>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</si>
  <si>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XT0051:1</t>
  </si>
  <si>
    <t>XT0051:2</t>
  </si>
  <si>
    <t>XT0051:3</t>
  </si>
  <si>
    <t>XT0060:1</t>
  </si>
  <si>
    <t>XT0060:2</t>
  </si>
  <si>
    <t>XT0060:3</t>
  </si>
  <si>
    <t>XT0060:4</t>
  </si>
  <si>
    <t>XT0062:1</t>
  </si>
  <si>
    <t>XT0062:2</t>
  </si>
  <si>
    <t>XT0401:1</t>
  </si>
  <si>
    <t>XT0401:2</t>
  </si>
  <si>
    <t>AF0061:COM</t>
  </si>
  <si>
    <t>AF0061:V+</t>
  </si>
  <si>
    <t>FU0062:LD</t>
  </si>
  <si>
    <t>AF0062:00</t>
  </si>
  <si>
    <t>KA0222:14</t>
  </si>
  <si>
    <t>AF0062:02</t>
  </si>
  <si>
    <t>KA0233:14</t>
  </si>
  <si>
    <t>AF0062:12</t>
  </si>
  <si>
    <t>KA0234:14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</si>
  <si>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</si>
  <si>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</si>
  <si>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</si>
  <si>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</si>
  <si>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</si>
  <si>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</si>
  <si>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</si>
  <si>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</si>
  <si>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</si>
  <si>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</si>
  <si>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</si>
  <si>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</si>
  <si>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</si>
  <si>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</si>
  <si>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</si>
  <si>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</si>
  <si>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</si>
  <si>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</si>
  <si>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</si>
  <si>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</si>
  <si>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</si>
  <si>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</si>
  <si>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</si>
  <si>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</si>
  <si>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</si>
  <si>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</si>
  <si>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</si>
  <si>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</si>
  <si>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</si>
  <si>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AF0076:02</t>
  </si>
  <si>
    <t>KA0221:A1</t>
  </si>
  <si>
    <t>AF0076:04</t>
  </si>
  <si>
    <t>KA0222:A1</t>
  </si>
  <si>
    <t>AF0076:10</t>
  </si>
  <si>
    <t>KT014615</t>
  </si>
  <si>
    <t>KT0146:15</t>
  </si>
  <si>
    <t>AF0076:13</t>
  </si>
  <si>
    <t>KT0146B1</t>
  </si>
  <si>
    <t>KT0146:B1</t>
  </si>
  <si>
    <t>AF0076:18</t>
  </si>
  <si>
    <t>KA0221:A2</t>
  </si>
  <si>
    <t>AF0076:20</t>
  </si>
  <si>
    <t>KA0222:A2</t>
  </si>
  <si>
    <t>AF0076:29</t>
  </si>
  <si>
    <t>KT0146A2</t>
  </si>
  <si>
    <t>KT0146:A2</t>
  </si>
  <si>
    <t>AF0076:COM</t>
  </si>
  <si>
    <t>AF0076:V+</t>
  </si>
  <si>
    <t>FU0076:LD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</si>
  <si>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</si>
  <si>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</si>
  <si>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</si>
  <si>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</si>
  <si>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</si>
  <si>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</si>
  <si>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</si>
  <si>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</si>
  <si>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AF0092:04</t>
  </si>
  <si>
    <t>KA2160A1</t>
  </si>
  <si>
    <t>KA2160:A1</t>
  </si>
  <si>
    <t>AF0092:07</t>
  </si>
  <si>
    <t>KA2161A1</t>
  </si>
  <si>
    <t>KA2161:A1</t>
  </si>
  <si>
    <t>AF0092:20</t>
  </si>
  <si>
    <t>KA2160A2</t>
  </si>
  <si>
    <t>KA2160:A2</t>
  </si>
  <si>
    <t>AF0092:23</t>
  </si>
  <si>
    <t>KA2161A2</t>
  </si>
  <si>
    <t>KA2161:A2</t>
  </si>
  <si>
    <t>AF0093:04</t>
  </si>
  <si>
    <t>KA017611</t>
  </si>
  <si>
    <t>KA0176:11</t>
  </si>
  <si>
    <t>AF0093:12</t>
  </si>
  <si>
    <t>PC0470:INP_A</t>
  </si>
  <si>
    <t>AF0093:28</t>
  </si>
  <si>
    <t>PC0470:-PWR</t>
  </si>
  <si>
    <t>AF0093:36</t>
  </si>
  <si>
    <t>KA0176:14</t>
  </si>
  <si>
    <t>AF0093:44</t>
  </si>
  <si>
    <t>PC0470:+PWR</t>
  </si>
  <si>
    <t>AF0095:02</t>
  </si>
  <si>
    <t>KA0221:14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</si>
  <si>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</si>
  <si>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</si>
  <si>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</si>
  <si>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</si>
  <si>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</si>
  <si>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</si>
  <si>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</si>
  <si>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</si>
  <si>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AF0440:53</t>
  </si>
  <si>
    <t>AF0420:56</t>
  </si>
  <si>
    <t>AF0440:55</t>
  </si>
  <si>
    <t>AF0440:54</t>
  </si>
  <si>
    <t>AF0450:53</t>
  </si>
  <si>
    <t>AF0440:56</t>
  </si>
  <si>
    <t>AF0450:55</t>
  </si>
  <si>
    <t>FU0061:LD</t>
  </si>
  <si>
    <t>FU0070:LD</t>
  </si>
  <si>
    <t>FU0021:LI</t>
  </si>
  <si>
    <t>FU0022:LI</t>
  </si>
  <si>
    <t>FU0029:LI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</si>
  <si>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</si>
  <si>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</si>
  <si>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</si>
  <si>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</si>
  <si>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</si>
  <si>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</si>
  <si>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</si>
  <si>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FU0113:LI</t>
  </si>
  <si>
    <t>FU5122:LI</t>
  </si>
  <si>
    <t>KA0221:11</t>
  </si>
  <si>
    <t>KA0235:24</t>
  </si>
  <si>
    <t>KA0222:11</t>
  </si>
  <si>
    <t>KA0237:24</t>
  </si>
  <si>
    <t>KA0233:A1</t>
  </si>
  <si>
    <t>KA0234:A1</t>
  </si>
  <si>
    <t>KA0233:A2</t>
  </si>
  <si>
    <t>KA0131A2</t>
  </si>
  <si>
    <t>KA0234:A2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</si>
  <si>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</si>
  <si>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</si>
  <si>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</si>
  <si>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</si>
  <si>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</si>
  <si>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</si>
  <si>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</si>
  <si>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</si>
  <si>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KT014315</t>
  </si>
  <si>
    <t>KT0143:15</t>
  </si>
  <si>
    <t>KT0142:A1</t>
  </si>
  <si>
    <t>KT0142:A2</t>
  </si>
  <si>
    <t>KT0142:15</t>
  </si>
  <si>
    <t>KT0145:15</t>
  </si>
  <si>
    <t>KT0144:A2</t>
  </si>
  <si>
    <t>KT0145:18</t>
  </si>
  <si>
    <t>KA0137A1</t>
  </si>
  <si>
    <t>KT0142:18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</si>
  <si>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</si>
  <si>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</si>
  <si>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</si>
  <si>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</si>
  <si>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</si>
  <si>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</si>
  <si>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</si>
  <si>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AF0076:08</t>
  </si>
  <si>
    <t>KA1020A1</t>
  </si>
  <si>
    <t>KA1020:A1</t>
  </si>
  <si>
    <t>AF0076:11</t>
  </si>
  <si>
    <t>UA1200J14</t>
  </si>
  <si>
    <t>UA1200:J1-4</t>
  </si>
  <si>
    <t>AF0076:12</t>
  </si>
  <si>
    <t>VD0231:+-1N4005/1</t>
  </si>
  <si>
    <t>AF0076:24</t>
  </si>
  <si>
    <t>KA1020A2</t>
  </si>
  <si>
    <t>KA1020:A2</t>
  </si>
  <si>
    <t>AF0091:07</t>
  </si>
  <si>
    <t>KA014114</t>
  </si>
  <si>
    <t>KA0141:14</t>
  </si>
  <si>
    <t>AF0091:09</t>
  </si>
  <si>
    <t>UJ0131OK2</t>
  </si>
  <si>
    <t>UJ0131:OK2</t>
  </si>
  <si>
    <t>AF0091:10</t>
  </si>
  <si>
    <t>UJ0031OK2</t>
  </si>
  <si>
    <t>UJ0031:OK2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</si>
  <si>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</si>
  <si>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</si>
  <si>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</si>
  <si>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</si>
  <si>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</si>
  <si>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</si>
  <si>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</si>
  <si>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AF0091:42</t>
  </si>
  <si>
    <t>UJ0031OK1</t>
  </si>
  <si>
    <t>UJ0031:OK1</t>
  </si>
  <si>
    <t>AF0092:02</t>
  </si>
  <si>
    <t>KA0133A1</t>
  </si>
  <si>
    <t>KA0133:A1</t>
  </si>
  <si>
    <t>AF0092:06</t>
  </si>
  <si>
    <t>KA013114</t>
  </si>
  <si>
    <t>KA0131:14</t>
  </si>
  <si>
    <t>AF0092:08</t>
  </si>
  <si>
    <t>KA3103A1</t>
  </si>
  <si>
    <t>KA3103:A1</t>
  </si>
  <si>
    <t>AF0092:12</t>
  </si>
  <si>
    <t>KA0875:A1</t>
  </si>
  <si>
    <t>AF0092:24</t>
  </si>
  <si>
    <t>KA3103A2</t>
  </si>
  <si>
    <t>KA3103:A2</t>
  </si>
  <si>
    <t>AF0092:45</t>
  </si>
  <si>
    <t>KA024022</t>
  </si>
  <si>
    <t>KA0240:22</t>
  </si>
  <si>
    <t>AF0092:COM</t>
  </si>
  <si>
    <t>XT0080:2</t>
  </si>
  <si>
    <t>AF0092:V+</t>
  </si>
  <si>
    <t>FU0091:LD</t>
  </si>
  <si>
    <t>AF0093:01</t>
  </si>
  <si>
    <t>KA3220A1</t>
  </si>
  <si>
    <t>KA3220:A1</t>
  </si>
  <si>
    <t>AF0093:17</t>
  </si>
  <si>
    <t>KA3220A2</t>
  </si>
  <si>
    <t>KA3220:A2</t>
  </si>
  <si>
    <t>AF0093:20</t>
  </si>
  <si>
    <t>KA6211:A2</t>
  </si>
  <si>
    <t>AF0093:29</t>
  </si>
  <si>
    <t>KA6212:A2</t>
  </si>
  <si>
    <t>AF0093:COM</t>
  </si>
  <si>
    <t>XT0080:3</t>
  </si>
  <si>
    <t>AF0093:V+</t>
  </si>
  <si>
    <t>FU0092:LD</t>
  </si>
  <si>
    <t>AF0094:04</t>
  </si>
  <si>
    <t>UJ0131VIN</t>
  </si>
  <si>
    <t>UJ0131:VIN</t>
  </si>
  <si>
    <t>AF0094:05</t>
  </si>
  <si>
    <t>XT0082:5</t>
  </si>
  <si>
    <t>AF0094:06</t>
  </si>
  <si>
    <t>UJ0131IOUT</t>
  </si>
  <si>
    <t>UJ0131:IOUT</t>
  </si>
  <si>
    <t>AF0094:07</t>
  </si>
  <si>
    <t>AF0094:08</t>
  </si>
  <si>
    <t>UJ0031VIN</t>
  </si>
  <si>
    <t>UJ0031:VIN</t>
  </si>
  <si>
    <t>AF0094:09</t>
  </si>
  <si>
    <t>XT0082:6</t>
  </si>
  <si>
    <t>AF0094:10</t>
  </si>
  <si>
    <t>UJ0031IOUT</t>
  </si>
  <si>
    <t>UJ0031:IOUT</t>
  </si>
  <si>
    <t>AF0094:11</t>
  </si>
  <si>
    <t>AF0095:COM</t>
  </si>
  <si>
    <t>XT0080:4</t>
  </si>
  <si>
    <t>AF0095:V+</t>
  </si>
  <si>
    <t>FU0093:LD</t>
  </si>
  <si>
    <t>FU0090:LD</t>
  </si>
  <si>
    <t>FU0100:LD</t>
  </si>
  <si>
    <t>KA1020:14</t>
  </si>
  <si>
    <t>FU0210:LI</t>
  </si>
  <si>
    <t>XT0002:1</t>
  </si>
  <si>
    <t>FU0212:LD</t>
  </si>
  <si>
    <t>KA0239:21</t>
  </si>
  <si>
    <t>FU0410:LI</t>
  </si>
  <si>
    <t>XT0002:3</t>
  </si>
  <si>
    <t>XT0080:7</t>
  </si>
  <si>
    <t>KA0232:A1</t>
  </si>
  <si>
    <t>KA0232:A2</t>
  </si>
  <si>
    <t>KA0235:A1</t>
  </si>
  <si>
    <t>XT0089:5</t>
  </si>
  <si>
    <t>KA0236:A1</t>
  </si>
  <si>
    <t>KA0235:A2</t>
  </si>
  <si>
    <t>KA0236:A2</t>
  </si>
  <si>
    <t>KA0242:A2</t>
  </si>
  <si>
    <t>KA0237:A1</t>
  </si>
  <si>
    <t>KA0239:A1</t>
  </si>
  <si>
    <t>KA0237:A2</t>
  </si>
  <si>
    <t>KA0239:A2</t>
  </si>
  <si>
    <t>KA0246:14</t>
  </si>
  <si>
    <t>KA6211A1</t>
  </si>
  <si>
    <t>KA6211:A1</t>
  </si>
  <si>
    <t>KA0251:A1</t>
  </si>
  <si>
    <t>KA0240:A1</t>
  </si>
  <si>
    <t>KA0251:A2</t>
  </si>
  <si>
    <t>KA0240:A2</t>
  </si>
  <si>
    <t>KT0140:15</t>
  </si>
  <si>
    <t>KA0137:11</t>
  </si>
  <si>
    <t>XT0080:5</t>
  </si>
  <si>
    <t>KT0141:18</t>
  </si>
  <si>
    <t>KA013222</t>
  </si>
  <si>
    <t>KA0132:22</t>
  </si>
  <si>
    <t>KA0137:14</t>
  </si>
  <si>
    <t>KA0244:11</t>
  </si>
  <si>
    <t>KA0132:12</t>
  </si>
  <si>
    <t>KT0143:A2</t>
  </si>
  <si>
    <t>KA0134:A2</t>
  </si>
  <si>
    <t>KA0138:A2</t>
  </si>
  <si>
    <t>KT0144:15</t>
  </si>
  <si>
    <t>KA0134:11</t>
  </si>
  <si>
    <t>KT0144:18</t>
  </si>
  <si>
    <t>KT0144:A1</t>
  </si>
  <si>
    <t>KA0136:11</t>
  </si>
  <si>
    <t>KA0133:11</t>
  </si>
  <si>
    <t>KA0133:A2</t>
  </si>
  <si>
    <t>KT0144:B1</t>
  </si>
  <si>
    <t>KT0144B1</t>
  </si>
  <si>
    <t>KA0138:24</t>
  </si>
  <si>
    <t>KA0137:21</t>
  </si>
  <si>
    <t>KA0137:A1</t>
  </si>
  <si>
    <t>KT0145:A1</t>
  </si>
  <si>
    <t>KT0145A1</t>
  </si>
  <si>
    <t>KA0244:12</t>
  </si>
  <si>
    <t>KT0145:A2</t>
  </si>
  <si>
    <t>KA0137:A2</t>
  </si>
  <si>
    <t>XT0080:6</t>
  </si>
  <si>
    <t>KT0146:18</t>
  </si>
  <si>
    <t>KT014618</t>
  </si>
  <si>
    <t>AF0081:08</t>
  </si>
  <si>
    <t>KA0242:11</t>
  </si>
  <si>
    <t>KT0146:A1</t>
  </si>
  <si>
    <t>KT0146A1</t>
  </si>
  <si>
    <t>KA0141:21</t>
  </si>
  <si>
    <t>XT0002:7</t>
  </si>
  <si>
    <t>XT0003:7</t>
  </si>
  <si>
    <t>XT0003:1</t>
  </si>
  <si>
    <t>KA1020:24</t>
  </si>
  <si>
    <t>XT0003:3</t>
  </si>
  <si>
    <t>XT0002:2</t>
  </si>
  <si>
    <t>XT0003:2</t>
  </si>
  <si>
    <t>XT0080:1</t>
  </si>
  <si>
    <t>XT0080:8</t>
  </si>
  <si>
    <t>XT0081:2</t>
  </si>
  <si>
    <t>XT0081:4</t>
  </si>
  <si>
    <t>XT0081:5</t>
  </si>
  <si>
    <t>XT0082:1</t>
  </si>
  <si>
    <t>XT0082:2</t>
  </si>
  <si>
    <t>XT0082:4</t>
  </si>
  <si>
    <t>AF0081:00</t>
  </si>
  <si>
    <t>UA1200J21</t>
  </si>
  <si>
    <t>XT0089:20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</si>
  <si>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</si>
  <si>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</si>
  <si>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</si>
  <si>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</si>
  <si>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</si>
  <si>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</si>
  <si>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</si>
  <si>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</si>
  <si>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</si>
  <si>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AF0081:09</t>
  </si>
  <si>
    <t>KA023914</t>
  </si>
  <si>
    <t>KA0239:14</t>
  </si>
  <si>
    <t>AF0081:19</t>
  </si>
  <si>
    <t>UA1200J27</t>
  </si>
  <si>
    <t>UA1200:J2-7</t>
  </si>
  <si>
    <t>AF0081:24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</si>
  <si>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</si>
  <si>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</si>
  <si>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</si>
  <si>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</si>
  <si>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</si>
  <si>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</si>
  <si>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</si>
  <si>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</si>
  <si>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</si>
  <si>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</si>
  <si>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XT0089:1</t>
  </si>
  <si>
    <t>AF0081:40</t>
  </si>
  <si>
    <t>KA014124</t>
  </si>
  <si>
    <t>KA0141:24</t>
  </si>
  <si>
    <t>AF0081:41</t>
  </si>
  <si>
    <t>KA023911</t>
  </si>
  <si>
    <t>KA0239:11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</si>
  <si>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</si>
  <si>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</si>
  <si>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</si>
  <si>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</si>
  <si>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</si>
  <si>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</si>
  <si>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</si>
  <si>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</si>
  <si>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FU0081:LD</t>
  </si>
  <si>
    <t>FU0011:LD</t>
  </si>
  <si>
    <t>UJ0131P</t>
  </si>
  <si>
    <t>UJ0131:+</t>
  </si>
  <si>
    <t>FU0033:LD</t>
  </si>
  <si>
    <t>UJ0031P</t>
  </si>
  <si>
    <t>UJ0031:+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</si>
  <si>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</si>
  <si>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</si>
  <si>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</si>
  <si>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</si>
  <si>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</si>
  <si>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</si>
  <si>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</si>
  <si>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</si>
  <si>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XT0081:1</t>
  </si>
  <si>
    <t>FU0387:LI</t>
  </si>
  <si>
    <t>FU0388:LD</t>
  </si>
  <si>
    <t>KA0138:14</t>
  </si>
  <si>
    <t>FU0389:LD</t>
  </si>
  <si>
    <t>XT0089:21</t>
  </si>
  <si>
    <t>KA0130:11</t>
  </si>
  <si>
    <t>KA0130:A2</t>
  </si>
  <si>
    <t>UA1200J26</t>
  </si>
  <si>
    <t>UA1200:J2-6</t>
  </si>
  <si>
    <t>KA0131:11</t>
  </si>
  <si>
    <t>KA0135:A1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</si>
  <si>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</si>
  <si>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</si>
  <si>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</si>
  <si>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</si>
  <si>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</si>
  <si>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</si>
  <si>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</si>
  <si>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</si>
  <si>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KA0132:21</t>
  </si>
  <si>
    <t>KA0138A1</t>
  </si>
  <si>
    <t>KA0138:A1</t>
  </si>
  <si>
    <t>KA0132:24</t>
  </si>
  <si>
    <t>KA013224</t>
  </si>
  <si>
    <t>KA0134:14</t>
  </si>
  <si>
    <t>KA0141:A1</t>
  </si>
  <si>
    <t>KA0141:A2</t>
  </si>
  <si>
    <t>KA0136:A2</t>
  </si>
  <si>
    <t>KA0135:A2</t>
  </si>
  <si>
    <t>KA0136:14</t>
  </si>
  <si>
    <t>KA013821</t>
  </si>
  <si>
    <t>KA0138:21</t>
  </si>
  <si>
    <t>KA0136:A1</t>
  </si>
  <si>
    <t>PS32002</t>
  </si>
  <si>
    <t>XT0089:14</t>
  </si>
  <si>
    <t>AF0087:09</t>
  </si>
  <si>
    <t>KA0138:11</t>
  </si>
  <si>
    <t>KM3170EP</t>
  </si>
  <si>
    <t>XT0081:12</t>
  </si>
  <si>
    <t>KA0241:21</t>
  </si>
  <si>
    <t>KA0241:24</t>
  </si>
  <si>
    <t>KA0230:A1</t>
  </si>
  <si>
    <t>KA0230:A2</t>
  </si>
  <si>
    <t>KA0231:A1</t>
  </si>
  <si>
    <t>KA0231:A2</t>
  </si>
  <si>
    <t>KA0231:24</t>
  </si>
  <si>
    <t>KA023124</t>
  </si>
  <si>
    <t>KA0245:21</t>
  </si>
  <si>
    <t>KA0236:11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</si>
  <si>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</si>
  <si>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</si>
  <si>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</si>
  <si>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</si>
  <si>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</si>
  <si>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</si>
  <si>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</si>
  <si>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</si>
  <si>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</si>
  <si>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</si>
  <si>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XT0089:15</t>
  </si>
  <si>
    <t>KA0240:14</t>
  </si>
  <si>
    <t>UF1300</t>
  </si>
  <si>
    <t>XT0084:1</t>
  </si>
  <si>
    <t>KA0231:21</t>
  </si>
  <si>
    <t>KA0241:A1</t>
  </si>
  <si>
    <t>KA0241:A2</t>
  </si>
  <si>
    <t>KA0231:11</t>
  </si>
  <si>
    <t>KA0231:14</t>
  </si>
  <si>
    <t>KA0242:21</t>
  </si>
  <si>
    <t>KA024221</t>
  </si>
  <si>
    <t>VD0232:+-1N4005/1</t>
  </si>
  <si>
    <t>KA0243:21</t>
  </si>
  <si>
    <t>KA024524</t>
  </si>
  <si>
    <t>KA0245:24</t>
  </si>
  <si>
    <t>KA0243:24</t>
  </si>
  <si>
    <t>ESTOPD</t>
  </si>
  <si>
    <t>KA0243:A1</t>
  </si>
  <si>
    <t>KA0243:A2</t>
  </si>
  <si>
    <t>KA0245:A1</t>
  </si>
  <si>
    <t>RR0941:-4.7K OHM</t>
  </si>
  <si>
    <t>XT0089:17</t>
  </si>
  <si>
    <t>RR0942:-1.0K OHM</t>
  </si>
  <si>
    <t>UA1200:J1-10</t>
  </si>
  <si>
    <t>UA1200:J1-5</t>
  </si>
  <si>
    <t>UA1200J15</t>
  </si>
  <si>
    <t>VD0231:--1N4005/1</t>
  </si>
  <si>
    <t>VD0232:--1N4005/1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</si>
  <si>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</si>
  <si>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</si>
  <si>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</si>
  <si>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</si>
  <si>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</si>
  <si>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</si>
  <si>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</si>
  <si>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UJ0031:-</t>
  </si>
  <si>
    <t>UJ0031N</t>
  </si>
  <si>
    <t>XT0033:1</t>
  </si>
  <si>
    <t>UJ0131:-</t>
  </si>
  <si>
    <t>XT0011:1</t>
  </si>
  <si>
    <t>XT0089:13</t>
  </si>
  <si>
    <t>Length</t>
  </si>
  <si>
    <t>Bundle Name</t>
  </si>
  <si>
    <t>-0V</t>
  </si>
  <si>
    <t>-012101</t>
  </si>
  <si>
    <t>-012117</t>
  </si>
  <si>
    <t>-012108</t>
  </si>
  <si>
    <t>-012124</t>
  </si>
  <si>
    <t>-012200</t>
  </si>
  <si>
    <t>-012232</t>
  </si>
  <si>
    <t>-012201</t>
  </si>
  <si>
    <t>-012233</t>
  </si>
  <si>
    <t>-018126</t>
  </si>
  <si>
    <t>-018100</t>
  </si>
  <si>
    <t>-018116</t>
  </si>
  <si>
    <t>-018110</t>
  </si>
  <si>
    <t>-009312</t>
  </si>
  <si>
    <t>-009328</t>
  </si>
  <si>
    <t>-009344</t>
  </si>
  <si>
    <t>-009336</t>
  </si>
  <si>
    <t>-023524</t>
  </si>
  <si>
    <t>-009502</t>
  </si>
  <si>
    <t>-007602</t>
  </si>
  <si>
    <t>-007618</t>
  </si>
  <si>
    <t>-023724</t>
  </si>
  <si>
    <t>-006200</t>
  </si>
  <si>
    <t>-007604</t>
  </si>
  <si>
    <t>-007620</t>
  </si>
  <si>
    <t>-006202</t>
  </si>
  <si>
    <t>-006212</t>
  </si>
  <si>
    <t>-007405</t>
  </si>
  <si>
    <t>-007612</t>
  </si>
  <si>
    <t>-009212</t>
  </si>
  <si>
    <t>-009320</t>
  </si>
  <si>
    <t>-009329</t>
  </si>
  <si>
    <t>-521NEG</t>
  </si>
  <si>
    <t>Panel Name</t>
  </si>
  <si>
    <t>60</t>
  </si>
  <si>
    <t>JB70 DOOR</t>
  </si>
  <si>
    <t>JB70 R RAIL</t>
  </si>
  <si>
    <t>JB70 RIGHT RAIL</t>
  </si>
  <si>
    <t>A</t>
  </si>
  <si>
    <t>B</t>
  </si>
  <si>
    <t>GEN</t>
  </si>
  <si>
    <t>VFD</t>
  </si>
  <si>
    <t>HMI-S</t>
  </si>
  <si>
    <t>HM-S</t>
  </si>
  <si>
    <t>140</t>
  </si>
  <si>
    <t>180</t>
  </si>
  <si>
    <t>240</t>
  </si>
  <si>
    <t>FU/AT</t>
  </si>
  <si>
    <t>FU/UV-A</t>
  </si>
  <si>
    <t>BA-B</t>
  </si>
  <si>
    <t>FU/XT-B</t>
  </si>
  <si>
    <t>80</t>
  </si>
  <si>
    <t>FU/BA</t>
  </si>
  <si>
    <t>UJ</t>
  </si>
  <si>
    <t>XT-B</t>
  </si>
  <si>
    <t>VD-B</t>
  </si>
  <si>
    <t>UA/UJ-B</t>
  </si>
  <si>
    <t>KA-B</t>
  </si>
  <si>
    <t>KA A2-B</t>
  </si>
  <si>
    <t>KA A1-B</t>
  </si>
  <si>
    <t>FU/AF-B</t>
  </si>
  <si>
    <t>XT</t>
  </si>
  <si>
    <t>UA</t>
  </si>
  <si>
    <t>RR</t>
  </si>
  <si>
    <t>KA</t>
  </si>
  <si>
    <t>KA A2</t>
  </si>
  <si>
    <t>KA A1</t>
  </si>
  <si>
    <t>FU</t>
  </si>
  <si>
    <t>AF</t>
  </si>
  <si>
    <t>KT L/S</t>
  </si>
  <si>
    <t>KT R/S</t>
  </si>
  <si>
    <t>1444s</t>
  </si>
  <si>
    <t>AF090s</t>
  </si>
  <si>
    <t>AF/AU070s</t>
  </si>
  <si>
    <t>AF/AU060s</t>
  </si>
  <si>
    <t>PC</t>
  </si>
  <si>
    <t>16R</t>
  </si>
  <si>
    <t>12B</t>
  </si>
  <si>
    <t>BA</t>
  </si>
  <si>
    <t>XT-A</t>
  </si>
  <si>
    <t>XT-HMI</t>
  </si>
  <si>
    <t>220</t>
  </si>
  <si>
    <t>160</t>
  </si>
  <si>
    <t>KOC-JPF #1</t>
  </si>
  <si>
    <t>C.1</t>
  </si>
  <si>
    <t>JB72 DOOR</t>
  </si>
  <si>
    <t>FG&amp;E</t>
  </si>
  <si>
    <t>100</t>
  </si>
  <si>
    <t>120</t>
  </si>
  <si>
    <t>KA-GEN</t>
  </si>
  <si>
    <t>FU/XT-GEN</t>
  </si>
  <si>
    <t>AF/AU120s</t>
  </si>
  <si>
    <t>AT</t>
  </si>
  <si>
    <t>AT RED</t>
  </si>
  <si>
    <t>AT BLU</t>
  </si>
  <si>
    <t>FU/XT</t>
  </si>
  <si>
    <t>AF/AU180s</t>
  </si>
  <si>
    <t>UV</t>
  </si>
  <si>
    <t>VD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</si>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</sst>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5" fillId="0" borderId="0" xfId="1"/>
    <xf numFmtId="0" fontId="5" fillId="0" borderId="7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center" vertical="center" wrapText="1" shrinkToFit="1" readingOrder="1"/>
    </xf>
    <xf numFmtId="49" fontId="0" fillId="3" borderId="7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F889354D-04D5-4619-A5DE-9F29CF4EBC8D}"/>
  </cellStyles>
  <dxfs count="17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BA8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C320CE9F-0C6A-437C-BF24-81747935565A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" dT="2026-02-21T05:01:19.33" personId="{C320CE9F-0C6A-437C-BF24-81747935565A}" id="{620B55F1-8AD5-42C2-BDEC-ECA13EFB0C7A}">
    <text>Mislabel; was originally in jb70 RR
Was: JB70
Changed to: JB70 R RAIL
MRCA: 1991668</text>
  </threadedComment>
  <threadedComment ref="G16" dT="2026-02-21T05:00:33.92" personId="{C320CE9F-0C6A-437C-BF24-81747935565A}" id="{E86CA35B-DE2B-4F6D-9B7A-285D56203D23}">
    <text>From panel error
MRCA: 1991671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4" dT="2026-02-23T23:30:02.39" personId="{C320CE9F-0C6A-437C-BF24-81747935565A}" id="{3B7E1AE5-85C2-463B-96B6-3F2F84A258CD}">
    <text>Copied from panel error
MRCA: 1991668</text>
  </threadedComment>
  <threadedComment ref="G15" dT="2026-02-23T23:30:02.39" personId="{C320CE9F-0C6A-437C-BF24-81747935565A}" id="{02412BA0-B179-4FD6-94C0-410D3789731E}">
    <text>Copied from panel error
MRCA: 1991671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C5D0-B347-4BC2-9A90-803F0704E620}">
  <sheetPr>
    <pageSetUpPr fitToPage="1"/>
  </sheetPr>
  <dimension ref="A1:J17"/>
  <sheetViews>
    <sheetView showGridLines="0" workbookViewId="0">
      <selection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7" t="s">
        <v>79</v>
      </c>
      <c r="B1" s="27"/>
      <c r="C1" s="27"/>
    </row>
    <row r="2" spans="1:10" ht="12" customHeight="1" x14ac:dyDescent="0.25">
      <c r="A2" s="28"/>
      <c r="B2" s="28"/>
      <c r="C2" s="28"/>
    </row>
    <row r="3" spans="1:10" ht="12.75" customHeight="1" x14ac:dyDescent="0.25">
      <c r="A3" s="1" t="s">
        <v>1</v>
      </c>
      <c r="B3" s="29" t="s">
        <v>2</v>
      </c>
      <c r="C3" s="29"/>
    </row>
    <row r="4" spans="1:10" x14ac:dyDescent="0.25">
      <c r="A4" s="1" t="s">
        <v>3</v>
      </c>
      <c r="B4" s="29" t="s">
        <v>4</v>
      </c>
      <c r="C4" s="29"/>
    </row>
    <row r="5" spans="1:10" ht="12.75" customHeight="1" x14ac:dyDescent="0.25">
      <c r="A5" s="1" t="s">
        <v>5</v>
      </c>
      <c r="B5" s="29" t="s">
        <v>6</v>
      </c>
      <c r="C5" s="29"/>
    </row>
    <row r="6" spans="1:10" ht="5.25" customHeight="1" x14ac:dyDescent="0.25"/>
    <row r="7" spans="1:10" x14ac:dyDescent="0.25">
      <c r="A7" s="1" t="s">
        <v>7</v>
      </c>
      <c r="B7" s="30"/>
      <c r="C7" s="30"/>
    </row>
    <row r="8" spans="1:10" ht="12.75" customHeight="1" x14ac:dyDescent="0.25">
      <c r="A8" s="1" t="s">
        <v>8</v>
      </c>
      <c r="B8" s="30"/>
      <c r="C8" s="30"/>
    </row>
    <row r="9" spans="1:10" x14ac:dyDescent="0.25">
      <c r="A9" s="1" t="s">
        <v>9</v>
      </c>
      <c r="B9" s="30"/>
      <c r="C9" s="30"/>
    </row>
    <row r="10" spans="1:10" ht="12.75" customHeight="1" x14ac:dyDescent="0.25">
      <c r="A10" s="1" t="s">
        <v>8</v>
      </c>
      <c r="B10" s="30"/>
      <c r="C10" s="30"/>
    </row>
    <row r="11" spans="1:10" ht="10.5" customHeight="1" x14ac:dyDescent="0.25"/>
    <row r="12" spans="1:10" ht="16.5" customHeight="1" x14ac:dyDescent="0.25">
      <c r="A12" s="31" t="s">
        <v>80</v>
      </c>
      <c r="B12" s="31"/>
      <c r="C12" s="31"/>
      <c r="D12" s="31"/>
      <c r="E12" s="31"/>
      <c r="F12" s="31"/>
      <c r="G12" s="31"/>
      <c r="H12" s="32" t="s">
        <v>81</v>
      </c>
      <c r="I12" s="32"/>
      <c r="J12" s="32"/>
    </row>
    <row r="13" spans="1:10" ht="36" x14ac:dyDescent="0.25">
      <c r="A13" s="4" t="s">
        <v>10</v>
      </c>
      <c r="B13" s="3" t="s">
        <v>11</v>
      </c>
      <c r="C13" s="3" t="s">
        <v>82</v>
      </c>
      <c r="D13" s="3" t="s">
        <v>83</v>
      </c>
      <c r="E13" s="3" t="s">
        <v>84</v>
      </c>
      <c r="F13" s="3" t="s">
        <v>85</v>
      </c>
      <c r="G13" s="3" t="s">
        <v>86</v>
      </c>
      <c r="H13" s="3" t="s">
        <v>10</v>
      </c>
      <c r="I13" s="3" t="s">
        <v>11</v>
      </c>
      <c r="J13" s="3" t="s">
        <v>86</v>
      </c>
    </row>
    <row r="14" spans="1:10" ht="6.75" customHeight="1" x14ac:dyDescent="0.25"/>
    <row r="15" spans="1:10" ht="0.75" customHeight="1" x14ac:dyDescent="0.25">
      <c r="E15" s="25" t="s">
        <v>0</v>
      </c>
      <c r="F15" s="25"/>
      <c r="G15" s="25"/>
      <c r="H15" s="25"/>
      <c r="I15" s="25"/>
    </row>
    <row r="16" spans="1:10" ht="11.25" customHeight="1" x14ac:dyDescent="0.25">
      <c r="A16" s="26" t="s">
        <v>95</v>
      </c>
      <c r="B16" s="26"/>
      <c r="C16" s="26"/>
      <c r="E16" s="25"/>
      <c r="F16" s="25"/>
      <c r="G16" s="25"/>
      <c r="H16" s="25"/>
      <c r="I16" s="25"/>
    </row>
    <row r="17" spans="1:3" ht="0.75" customHeight="1" x14ac:dyDescent="0.25">
      <c r="A17" s="26"/>
      <c r="B17" s="26"/>
      <c r="C17" s="26"/>
    </row>
  </sheetData>
  <mergeCells count="13">
    <mergeCell ref="E15:I16"/>
    <mergeCell ref="A16:C17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&amp;C4P101 PANEL ERRORS_C.1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5AD-AFAA-41B9-8204-593D82DE3DC8}">
  <sheetPr>
    <tabColor rgb="FFBA8CDC"/>
  </sheetPr>
  <dimension ref="A1:H67"/>
  <sheetViews>
    <sheetView showGridLines="0" tabSelected="1" workbookViewId="0">
      <selection activeCell="L29" sqref="L29"/>
    </sheetView>
  </sheetViews>
  <sheetFormatPr defaultRowHeight="17.100000000000001" customHeight="1" x14ac:dyDescent="0.25"/>
  <cols>
    <col min="1" max="1" width="12.7109375" style="5" bestFit="1" customWidth="1"/>
    <col min="2" max="2" width="11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9.85546875" style="5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33" t="s">
        <v>1257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2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2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2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43.5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5" x14ac:dyDescent="0.25">
      <c r="A14" s="17" t="s">
        <v>100</v>
      </c>
      <c r="B14" s="18" t="s">
        <v>1222</v>
      </c>
      <c r="C14" s="18" t="s">
        <v>88</v>
      </c>
      <c r="D14" s="18" t="s">
        <v>89</v>
      </c>
      <c r="E14" s="18" t="s">
        <v>1267</v>
      </c>
      <c r="F14" s="18" t="s">
        <v>99</v>
      </c>
      <c r="G14" s="17" t="s">
        <v>1258</v>
      </c>
      <c r="H14" s="19" t="s">
        <v>75</v>
      </c>
    </row>
    <row r="15" spans="1:8" ht="15" x14ac:dyDescent="0.25">
      <c r="A15" s="11"/>
      <c r="B15" s="11"/>
      <c r="C15" s="11"/>
      <c r="D15" s="11"/>
      <c r="E15" s="11"/>
      <c r="F15" s="11"/>
      <c r="G15" s="11"/>
      <c r="H15" s="11"/>
    </row>
    <row r="16" spans="1:8" ht="17.100000000000001" customHeight="1" x14ac:dyDescent="0.25">
      <c r="A16" s="17" t="s">
        <v>87</v>
      </c>
      <c r="B16" s="17" t="s">
        <v>76</v>
      </c>
      <c r="C16" s="17" t="s">
        <v>88</v>
      </c>
      <c r="D16" s="17" t="s">
        <v>89</v>
      </c>
      <c r="E16" s="17" t="s">
        <v>1266</v>
      </c>
      <c r="F16" s="17" t="s">
        <v>90</v>
      </c>
      <c r="G16" s="17" t="s">
        <v>74</v>
      </c>
      <c r="H16" s="11"/>
    </row>
    <row r="17" spans="1:8" ht="17.100000000000001" customHeight="1" x14ac:dyDescent="0.25">
      <c r="A17" s="20"/>
      <c r="B17" s="20"/>
      <c r="C17" s="20"/>
      <c r="D17" s="20"/>
      <c r="E17" s="20"/>
      <c r="F17" s="20"/>
      <c r="G17" s="20"/>
      <c r="H17" s="21"/>
    </row>
    <row r="18" spans="1:8" ht="17.100000000000001" customHeight="1" x14ac:dyDescent="0.25">
      <c r="A18" s="9" t="s">
        <v>667</v>
      </c>
      <c r="B18" s="9" t="s">
        <v>668</v>
      </c>
      <c r="C18" s="9" t="s">
        <v>88</v>
      </c>
      <c r="D18" s="9" t="s">
        <v>103</v>
      </c>
      <c r="E18" s="9" t="s">
        <v>1268</v>
      </c>
      <c r="F18" s="10" t="s">
        <v>669</v>
      </c>
      <c r="G18" s="10" t="s">
        <v>1260</v>
      </c>
      <c r="H18" s="10" t="s">
        <v>40</v>
      </c>
    </row>
    <row r="19" spans="1:8" ht="17.100000000000001" customHeight="1" x14ac:dyDescent="0.25">
      <c r="A19" s="9" t="s">
        <v>670</v>
      </c>
      <c r="B19" s="9" t="s">
        <v>671</v>
      </c>
      <c r="C19" s="9" t="s">
        <v>88</v>
      </c>
      <c r="D19" s="9" t="s">
        <v>103</v>
      </c>
      <c r="E19" s="9" t="s">
        <v>1268</v>
      </c>
      <c r="F19" s="10" t="s">
        <v>672</v>
      </c>
      <c r="G19" s="10" t="s">
        <v>1260</v>
      </c>
      <c r="H19" s="10"/>
    </row>
    <row r="20" spans="1:8" ht="17.100000000000001" customHeight="1" x14ac:dyDescent="0.25">
      <c r="A20" s="9" t="s">
        <v>673</v>
      </c>
      <c r="B20" s="9" t="s">
        <v>674</v>
      </c>
      <c r="C20" s="9" t="s">
        <v>88</v>
      </c>
      <c r="D20" s="9" t="s">
        <v>103</v>
      </c>
      <c r="E20" s="9" t="s">
        <v>1268</v>
      </c>
      <c r="F20" s="10" t="s">
        <v>675</v>
      </c>
      <c r="G20" s="10" t="s">
        <v>1260</v>
      </c>
      <c r="H20" s="10"/>
    </row>
    <row r="21" spans="1:8" ht="17.100000000000001" customHeight="1" x14ac:dyDescent="0.25">
      <c r="A21" s="9" t="s">
        <v>676</v>
      </c>
      <c r="B21" s="9" t="s">
        <v>677</v>
      </c>
      <c r="C21" s="9" t="s">
        <v>88</v>
      </c>
      <c r="D21" s="9" t="s">
        <v>103</v>
      </c>
      <c r="E21" s="9" t="s">
        <v>1268</v>
      </c>
      <c r="F21" s="10" t="s">
        <v>678</v>
      </c>
      <c r="G21" s="10" t="s">
        <v>1260</v>
      </c>
      <c r="H21" s="10"/>
    </row>
    <row r="22" spans="1:8" ht="17.100000000000001" customHeight="1" x14ac:dyDescent="0.25">
      <c r="A22" s="22"/>
      <c r="B22" s="22"/>
      <c r="C22" s="22"/>
      <c r="D22" s="22"/>
      <c r="E22" s="22"/>
      <c r="F22" s="20"/>
      <c r="G22" s="20"/>
      <c r="H22" s="20"/>
    </row>
    <row r="23" spans="1:8" ht="17.100000000000001" customHeight="1" x14ac:dyDescent="0.25">
      <c r="A23" s="9" t="s">
        <v>715</v>
      </c>
      <c r="B23" s="9" t="s">
        <v>716</v>
      </c>
      <c r="C23" s="9" t="s">
        <v>88</v>
      </c>
      <c r="D23" s="9" t="s">
        <v>103</v>
      </c>
      <c r="E23" s="9" t="s">
        <v>1303</v>
      </c>
      <c r="F23" s="10" t="s">
        <v>717</v>
      </c>
      <c r="G23" s="10" t="s">
        <v>1261</v>
      </c>
      <c r="H23" s="10" t="s">
        <v>41</v>
      </c>
    </row>
    <row r="24" spans="1:8" ht="17.100000000000001" customHeight="1" x14ac:dyDescent="0.25">
      <c r="A24" s="9" t="s">
        <v>718</v>
      </c>
      <c r="B24" s="9" t="s">
        <v>719</v>
      </c>
      <c r="C24" s="9" t="s">
        <v>88</v>
      </c>
      <c r="D24" s="9" t="s">
        <v>103</v>
      </c>
      <c r="E24" s="9" t="s">
        <v>1303</v>
      </c>
      <c r="F24" s="10" t="s">
        <v>720</v>
      </c>
      <c r="G24" s="10" t="s">
        <v>1261</v>
      </c>
      <c r="H24" s="10"/>
    </row>
    <row r="25" spans="1:8" ht="17.100000000000001" customHeight="1" x14ac:dyDescent="0.25">
      <c r="A25" s="9" t="s">
        <v>721</v>
      </c>
      <c r="B25" s="9" t="s">
        <v>722</v>
      </c>
      <c r="C25" s="9" t="s">
        <v>88</v>
      </c>
      <c r="D25" s="9" t="s">
        <v>103</v>
      </c>
      <c r="E25" s="9" t="s">
        <v>1303</v>
      </c>
      <c r="F25" s="10" t="s">
        <v>723</v>
      </c>
      <c r="G25" s="10" t="s">
        <v>1261</v>
      </c>
      <c r="H25" s="10"/>
    </row>
    <row r="26" spans="1:8" ht="17.100000000000001" customHeight="1" x14ac:dyDescent="0.25">
      <c r="A26" s="9" t="s">
        <v>724</v>
      </c>
      <c r="B26" s="9" t="s">
        <v>725</v>
      </c>
      <c r="C26" s="9" t="s">
        <v>88</v>
      </c>
      <c r="D26" s="9" t="s">
        <v>103</v>
      </c>
      <c r="E26" s="9" t="s">
        <v>1303</v>
      </c>
      <c r="F26" s="10" t="s">
        <v>726</v>
      </c>
      <c r="G26" s="10" t="s">
        <v>1261</v>
      </c>
      <c r="H26" s="10"/>
    </row>
    <row r="27" spans="1:8" ht="17.100000000000001" customHeight="1" x14ac:dyDescent="0.25">
      <c r="A27" s="22"/>
      <c r="B27" s="22"/>
      <c r="C27" s="22"/>
      <c r="D27" s="22"/>
      <c r="E27" s="22"/>
      <c r="F27" s="20"/>
      <c r="G27" s="20"/>
      <c r="H27" s="20"/>
    </row>
    <row r="28" spans="1:8" ht="17.100000000000001" customHeight="1" x14ac:dyDescent="0.25">
      <c r="A28" s="9" t="s">
        <v>679</v>
      </c>
      <c r="B28" s="9" t="s">
        <v>680</v>
      </c>
      <c r="C28" s="9" t="s">
        <v>88</v>
      </c>
      <c r="D28" s="9" t="s">
        <v>103</v>
      </c>
      <c r="E28" s="9" t="s">
        <v>1268</v>
      </c>
      <c r="F28" s="10" t="s">
        <v>681</v>
      </c>
      <c r="G28" s="10" t="s">
        <v>1260</v>
      </c>
      <c r="H28" s="10" t="s">
        <v>42</v>
      </c>
    </row>
    <row r="29" spans="1:8" ht="17.100000000000001" customHeight="1" x14ac:dyDescent="0.25">
      <c r="A29" s="9" t="s">
        <v>682</v>
      </c>
      <c r="B29" s="9" t="s">
        <v>683</v>
      </c>
      <c r="C29" s="9" t="s">
        <v>88</v>
      </c>
      <c r="D29" s="9" t="s">
        <v>103</v>
      </c>
      <c r="E29" s="9" t="s">
        <v>1268</v>
      </c>
      <c r="F29" s="10" t="s">
        <v>684</v>
      </c>
      <c r="G29" s="10" t="s">
        <v>1260</v>
      </c>
      <c r="H29" s="10"/>
    </row>
    <row r="30" spans="1:8" ht="17.100000000000001" customHeight="1" x14ac:dyDescent="0.25">
      <c r="A30" s="9" t="s">
        <v>685</v>
      </c>
      <c r="B30" s="9" t="s">
        <v>686</v>
      </c>
      <c r="C30" s="9" t="s">
        <v>88</v>
      </c>
      <c r="D30" s="9" t="s">
        <v>103</v>
      </c>
      <c r="E30" s="9" t="s">
        <v>1268</v>
      </c>
      <c r="F30" s="10" t="s">
        <v>687</v>
      </c>
      <c r="G30" s="10" t="s">
        <v>1260</v>
      </c>
      <c r="H30" s="10"/>
    </row>
    <row r="31" spans="1:8" ht="17.100000000000001" customHeight="1" x14ac:dyDescent="0.25">
      <c r="A31" s="9" t="s">
        <v>688</v>
      </c>
      <c r="B31" s="9" t="s">
        <v>689</v>
      </c>
      <c r="C31" s="9" t="s">
        <v>88</v>
      </c>
      <c r="D31" s="9" t="s">
        <v>103</v>
      </c>
      <c r="E31" s="9" t="s">
        <v>1268</v>
      </c>
      <c r="F31" s="10" t="s">
        <v>690</v>
      </c>
      <c r="G31" s="10" t="s">
        <v>1260</v>
      </c>
      <c r="H31" s="10"/>
    </row>
    <row r="32" spans="1:8" ht="17.100000000000001" customHeight="1" x14ac:dyDescent="0.25">
      <c r="A32" s="22"/>
      <c r="B32" s="22"/>
      <c r="C32" s="22"/>
      <c r="D32" s="22"/>
      <c r="E32" s="22"/>
      <c r="F32" s="20"/>
      <c r="G32" s="20"/>
      <c r="H32" s="20"/>
    </row>
    <row r="33" spans="1:8" ht="17.100000000000001" customHeight="1" x14ac:dyDescent="0.25">
      <c r="A33" s="9" t="s">
        <v>691</v>
      </c>
      <c r="B33" s="9" t="s">
        <v>692</v>
      </c>
      <c r="C33" s="9" t="s">
        <v>88</v>
      </c>
      <c r="D33" s="9" t="s">
        <v>103</v>
      </c>
      <c r="E33" s="9" t="s">
        <v>1268</v>
      </c>
      <c r="F33" s="10" t="s">
        <v>693</v>
      </c>
      <c r="G33" s="10" t="s">
        <v>1260</v>
      </c>
      <c r="H33" s="10" t="s">
        <v>43</v>
      </c>
    </row>
    <row r="34" spans="1:8" ht="17.100000000000001" customHeight="1" x14ac:dyDescent="0.25">
      <c r="A34" s="9" t="s">
        <v>694</v>
      </c>
      <c r="B34" s="9" t="s">
        <v>695</v>
      </c>
      <c r="C34" s="9" t="s">
        <v>88</v>
      </c>
      <c r="D34" s="9" t="s">
        <v>103</v>
      </c>
      <c r="E34" s="9" t="s">
        <v>1268</v>
      </c>
      <c r="F34" s="10" t="s">
        <v>696</v>
      </c>
      <c r="G34" s="10" t="s">
        <v>1260</v>
      </c>
      <c r="H34" s="10"/>
    </row>
    <row r="35" spans="1:8" ht="17.100000000000001" customHeight="1" x14ac:dyDescent="0.25">
      <c r="A35" s="22"/>
      <c r="B35" s="22"/>
      <c r="C35" s="22"/>
      <c r="D35" s="22"/>
      <c r="E35" s="22"/>
      <c r="F35" s="20"/>
      <c r="G35" s="20"/>
      <c r="H35" s="20"/>
    </row>
    <row r="36" spans="1:8" ht="17.100000000000001" customHeight="1" x14ac:dyDescent="0.25">
      <c r="A36" s="9" t="s">
        <v>179</v>
      </c>
      <c r="B36" s="9" t="s">
        <v>115</v>
      </c>
      <c r="C36" s="9" t="s">
        <v>88</v>
      </c>
      <c r="D36" s="9" t="s">
        <v>103</v>
      </c>
      <c r="E36" s="9" t="s">
        <v>1267</v>
      </c>
      <c r="F36" s="10" t="s">
        <v>114</v>
      </c>
      <c r="G36" s="10" t="s">
        <v>1258</v>
      </c>
      <c r="H36" s="10" t="s">
        <v>44</v>
      </c>
    </row>
    <row r="37" spans="1:8" ht="17.100000000000001" customHeight="1" x14ac:dyDescent="0.25">
      <c r="A37" s="9" t="s">
        <v>175</v>
      </c>
      <c r="B37" s="9" t="s">
        <v>112</v>
      </c>
      <c r="C37" s="9" t="s">
        <v>88</v>
      </c>
      <c r="D37" s="9" t="s">
        <v>103</v>
      </c>
      <c r="E37" s="9" t="s">
        <v>1267</v>
      </c>
      <c r="F37" s="10" t="s">
        <v>111</v>
      </c>
      <c r="G37" s="10" t="s">
        <v>1258</v>
      </c>
      <c r="H37" s="10"/>
    </row>
    <row r="38" spans="1:8" ht="17.100000000000001" customHeight="1" x14ac:dyDescent="0.25">
      <c r="A38" s="9"/>
      <c r="B38" s="9"/>
      <c r="C38" s="9"/>
      <c r="D38" s="9"/>
      <c r="E38" s="9"/>
      <c r="F38" s="10"/>
      <c r="G38" s="10"/>
      <c r="H38" s="10"/>
    </row>
    <row r="39" spans="1:8" ht="17.100000000000001" customHeight="1" x14ac:dyDescent="0.25">
      <c r="A39" s="9" t="s">
        <v>697</v>
      </c>
      <c r="B39" s="9" t="s">
        <v>698</v>
      </c>
      <c r="C39" s="9" t="s">
        <v>88</v>
      </c>
      <c r="D39" s="9" t="s">
        <v>103</v>
      </c>
      <c r="E39" s="9" t="s">
        <v>1268</v>
      </c>
      <c r="F39" s="10" t="s">
        <v>699</v>
      </c>
      <c r="G39" s="10" t="s">
        <v>1260</v>
      </c>
      <c r="H39" s="10"/>
    </row>
    <row r="40" spans="1:8" ht="17.100000000000001" customHeight="1" x14ac:dyDescent="0.25">
      <c r="A40" s="9" t="s">
        <v>700</v>
      </c>
      <c r="B40" s="9" t="s">
        <v>701</v>
      </c>
      <c r="C40" s="9" t="s">
        <v>88</v>
      </c>
      <c r="D40" s="9" t="s">
        <v>103</v>
      </c>
      <c r="E40" s="9" t="s">
        <v>1268</v>
      </c>
      <c r="F40" s="10" t="s">
        <v>702</v>
      </c>
      <c r="G40" s="10" t="s">
        <v>1260</v>
      </c>
      <c r="H40" s="10"/>
    </row>
    <row r="41" spans="1:8" ht="17.100000000000001" customHeight="1" x14ac:dyDescent="0.25">
      <c r="A41" s="22"/>
      <c r="B41" s="22"/>
      <c r="C41" s="22"/>
      <c r="D41" s="22"/>
      <c r="E41" s="22"/>
      <c r="F41" s="20"/>
      <c r="G41" s="20"/>
      <c r="H41" s="20"/>
    </row>
    <row r="42" spans="1:8" ht="17.100000000000001" customHeight="1" x14ac:dyDescent="0.25">
      <c r="A42" s="9" t="s">
        <v>703</v>
      </c>
      <c r="B42" s="9" t="s">
        <v>704</v>
      </c>
      <c r="C42" s="9" t="s">
        <v>88</v>
      </c>
      <c r="D42" s="9" t="s">
        <v>103</v>
      </c>
      <c r="E42" s="9" t="s">
        <v>1268</v>
      </c>
      <c r="F42" s="10" t="s">
        <v>705</v>
      </c>
      <c r="G42" s="10" t="s">
        <v>1260</v>
      </c>
      <c r="H42" s="10" t="s">
        <v>45</v>
      </c>
    </row>
    <row r="43" spans="1:8" ht="17.100000000000001" customHeight="1" x14ac:dyDescent="0.25">
      <c r="A43" s="9" t="s">
        <v>706</v>
      </c>
      <c r="B43" s="9" t="s">
        <v>707</v>
      </c>
      <c r="C43" s="9" t="s">
        <v>88</v>
      </c>
      <c r="D43" s="9" t="s">
        <v>103</v>
      </c>
      <c r="E43" s="9" t="s">
        <v>1268</v>
      </c>
      <c r="F43" s="10" t="s">
        <v>708</v>
      </c>
      <c r="G43" s="10" t="s">
        <v>1260</v>
      </c>
      <c r="H43" s="10"/>
    </row>
    <row r="44" spans="1:8" ht="17.100000000000001" customHeight="1" x14ac:dyDescent="0.25">
      <c r="A44" s="22"/>
      <c r="B44" s="22"/>
      <c r="C44" s="22"/>
      <c r="D44" s="22"/>
      <c r="E44" s="22"/>
      <c r="F44" s="20"/>
      <c r="G44" s="20"/>
      <c r="H44" s="20"/>
    </row>
    <row r="45" spans="1:8" ht="17.100000000000001" customHeight="1" x14ac:dyDescent="0.25">
      <c r="A45" s="9" t="s">
        <v>709</v>
      </c>
      <c r="B45" s="9" t="s">
        <v>710</v>
      </c>
      <c r="C45" s="9" t="s">
        <v>88</v>
      </c>
      <c r="D45" s="9" t="s">
        <v>103</v>
      </c>
      <c r="E45" s="9" t="s">
        <v>1268</v>
      </c>
      <c r="F45" s="10" t="s">
        <v>711</v>
      </c>
      <c r="G45" s="10" t="s">
        <v>1260</v>
      </c>
      <c r="H45" s="10" t="s">
        <v>46</v>
      </c>
    </row>
    <row r="46" spans="1:8" ht="17.100000000000001" customHeight="1" x14ac:dyDescent="0.25">
      <c r="A46" s="9" t="s">
        <v>712</v>
      </c>
      <c r="B46" s="9" t="s">
        <v>713</v>
      </c>
      <c r="C46" s="9" t="s">
        <v>88</v>
      </c>
      <c r="D46" s="9" t="s">
        <v>103</v>
      </c>
      <c r="E46" s="9" t="s">
        <v>1268</v>
      </c>
      <c r="F46" s="10" t="s">
        <v>714</v>
      </c>
      <c r="G46" s="10" t="s">
        <v>1260</v>
      </c>
      <c r="H46" s="10"/>
    </row>
    <row r="47" spans="1:8" ht="17.100000000000001" customHeight="1" x14ac:dyDescent="0.25">
      <c r="A47" s="22"/>
      <c r="B47" s="22"/>
      <c r="C47" s="22"/>
      <c r="D47" s="22"/>
      <c r="E47" s="22"/>
      <c r="F47" s="20"/>
      <c r="G47" s="20"/>
      <c r="H47" s="20"/>
    </row>
    <row r="48" spans="1:8" ht="17.100000000000001" customHeight="1" x14ac:dyDescent="0.25">
      <c r="A48" s="9" t="s">
        <v>184</v>
      </c>
      <c r="B48" s="9" t="s">
        <v>135</v>
      </c>
      <c r="C48" s="9" t="s">
        <v>88</v>
      </c>
      <c r="D48" s="9" t="s">
        <v>103</v>
      </c>
      <c r="E48" s="9" t="s">
        <v>1267</v>
      </c>
      <c r="F48" s="10" t="s">
        <v>134</v>
      </c>
      <c r="G48" s="10" t="s">
        <v>1258</v>
      </c>
      <c r="H48" s="10" t="s">
        <v>47</v>
      </c>
    </row>
    <row r="49" spans="1:8" ht="17.100000000000001" customHeight="1" x14ac:dyDescent="0.25">
      <c r="A49" s="9" t="s">
        <v>185</v>
      </c>
      <c r="B49" s="9" t="s">
        <v>138</v>
      </c>
      <c r="C49" s="9" t="s">
        <v>88</v>
      </c>
      <c r="D49" s="9" t="s">
        <v>103</v>
      </c>
      <c r="E49" s="9" t="s">
        <v>1267</v>
      </c>
      <c r="F49" s="10" t="s">
        <v>137</v>
      </c>
      <c r="G49" s="10" t="s">
        <v>1258</v>
      </c>
      <c r="H49" s="10"/>
    </row>
    <row r="50" spans="1:8" ht="17.100000000000001" customHeight="1" x14ac:dyDescent="0.25">
      <c r="A50" s="9" t="s">
        <v>188</v>
      </c>
      <c r="B50" s="9" t="s">
        <v>187</v>
      </c>
      <c r="C50" s="9" t="s">
        <v>88</v>
      </c>
      <c r="D50" s="9" t="s">
        <v>103</v>
      </c>
      <c r="E50" s="9" t="s">
        <v>1267</v>
      </c>
      <c r="F50" s="10" t="s">
        <v>186</v>
      </c>
      <c r="G50" s="10" t="s">
        <v>1258</v>
      </c>
      <c r="H50" s="10"/>
    </row>
    <row r="51" spans="1:8" ht="17.100000000000001" customHeight="1" x14ac:dyDescent="0.25">
      <c r="A51" s="9" t="s">
        <v>162</v>
      </c>
      <c r="B51" s="9" t="s">
        <v>161</v>
      </c>
      <c r="C51" s="9" t="s">
        <v>88</v>
      </c>
      <c r="D51" s="9" t="s">
        <v>103</v>
      </c>
      <c r="E51" s="9" t="s">
        <v>1267</v>
      </c>
      <c r="F51" s="10" t="s">
        <v>160</v>
      </c>
      <c r="G51" s="10" t="s">
        <v>1258</v>
      </c>
      <c r="H51" s="10"/>
    </row>
    <row r="52" spans="1:8" ht="17.100000000000001" customHeight="1" x14ac:dyDescent="0.25">
      <c r="A52" s="9" t="s">
        <v>164</v>
      </c>
      <c r="B52" s="9" t="s">
        <v>144</v>
      </c>
      <c r="C52" s="9" t="s">
        <v>88</v>
      </c>
      <c r="D52" s="9" t="s">
        <v>103</v>
      </c>
      <c r="E52" s="9" t="s">
        <v>1267</v>
      </c>
      <c r="F52" s="10" t="s">
        <v>143</v>
      </c>
      <c r="G52" s="10" t="s">
        <v>1258</v>
      </c>
      <c r="H52" s="10"/>
    </row>
    <row r="53" spans="1:8" ht="17.100000000000001" customHeight="1" x14ac:dyDescent="0.25">
      <c r="A53" s="9" t="s">
        <v>163</v>
      </c>
      <c r="B53" s="9" t="s">
        <v>141</v>
      </c>
      <c r="C53" s="9" t="s">
        <v>88</v>
      </c>
      <c r="D53" s="9" t="s">
        <v>103</v>
      </c>
      <c r="E53" s="9" t="s">
        <v>1267</v>
      </c>
      <c r="F53" s="10" t="s">
        <v>140</v>
      </c>
      <c r="G53" s="10" t="s">
        <v>1258</v>
      </c>
      <c r="H53" s="10"/>
    </row>
    <row r="54" spans="1:8" ht="17.100000000000001" customHeight="1" x14ac:dyDescent="0.25">
      <c r="A54" s="22"/>
      <c r="B54" s="22"/>
      <c r="C54" s="22"/>
      <c r="D54" s="22"/>
      <c r="E54" s="22"/>
      <c r="F54" s="20"/>
      <c r="G54" s="20"/>
      <c r="H54" s="20"/>
    </row>
    <row r="55" spans="1:8" ht="17.100000000000001" customHeight="1" x14ac:dyDescent="0.25">
      <c r="A55" s="9" t="s">
        <v>159</v>
      </c>
      <c r="B55" s="9" t="s">
        <v>158</v>
      </c>
      <c r="C55" s="9" t="s">
        <v>88</v>
      </c>
      <c r="D55" s="9" t="s">
        <v>103</v>
      </c>
      <c r="E55" s="9" t="s">
        <v>1267</v>
      </c>
      <c r="F55" s="10" t="s">
        <v>157</v>
      </c>
      <c r="G55" s="10" t="s">
        <v>1258</v>
      </c>
      <c r="H55" s="10" t="s">
        <v>48</v>
      </c>
    </row>
    <row r="56" spans="1:8" ht="17.100000000000001" customHeight="1" x14ac:dyDescent="0.25">
      <c r="A56" s="9" t="s">
        <v>178</v>
      </c>
      <c r="B56" s="9" t="s">
        <v>177</v>
      </c>
      <c r="C56" s="9" t="s">
        <v>88</v>
      </c>
      <c r="D56" s="9" t="s">
        <v>103</v>
      </c>
      <c r="E56" s="9" t="s">
        <v>1267</v>
      </c>
      <c r="F56" s="10" t="s">
        <v>176</v>
      </c>
      <c r="G56" s="10" t="s">
        <v>1258</v>
      </c>
      <c r="H56" s="10"/>
    </row>
    <row r="57" spans="1:8" ht="17.100000000000001" customHeight="1" x14ac:dyDescent="0.25">
      <c r="A57" s="9" t="s">
        <v>180</v>
      </c>
      <c r="B57" s="9" t="s">
        <v>129</v>
      </c>
      <c r="C57" s="9" t="s">
        <v>88</v>
      </c>
      <c r="D57" s="9" t="s">
        <v>103</v>
      </c>
      <c r="E57" s="9" t="s">
        <v>1267</v>
      </c>
      <c r="F57" s="10" t="s">
        <v>128</v>
      </c>
      <c r="G57" s="10" t="s">
        <v>1258</v>
      </c>
      <c r="H57" s="10"/>
    </row>
    <row r="58" spans="1:8" ht="17.100000000000001" customHeight="1" x14ac:dyDescent="0.25">
      <c r="A58" s="9" t="s">
        <v>181</v>
      </c>
      <c r="B58" s="9" t="s">
        <v>132</v>
      </c>
      <c r="C58" s="9" t="s">
        <v>88</v>
      </c>
      <c r="D58" s="9" t="s">
        <v>103</v>
      </c>
      <c r="E58" s="9" t="s">
        <v>1267</v>
      </c>
      <c r="F58" s="10" t="s">
        <v>131</v>
      </c>
      <c r="G58" s="10" t="s">
        <v>1258</v>
      </c>
      <c r="H58" s="10"/>
    </row>
    <row r="59" spans="1:8" ht="17.100000000000001" customHeight="1" x14ac:dyDescent="0.25">
      <c r="A59" s="9" t="s">
        <v>183</v>
      </c>
      <c r="B59" s="9" t="s">
        <v>155</v>
      </c>
      <c r="C59" s="9" t="s">
        <v>88</v>
      </c>
      <c r="D59" s="9" t="s">
        <v>103</v>
      </c>
      <c r="E59" s="9" t="s">
        <v>1267</v>
      </c>
      <c r="F59" s="10" t="s">
        <v>154</v>
      </c>
      <c r="G59" s="10" t="s">
        <v>1258</v>
      </c>
      <c r="H59" s="10"/>
    </row>
    <row r="60" spans="1:8" ht="17.100000000000001" customHeight="1" x14ac:dyDescent="0.25">
      <c r="A60" s="9" t="s">
        <v>182</v>
      </c>
      <c r="B60" s="9" t="s">
        <v>152</v>
      </c>
      <c r="C60" s="9" t="s">
        <v>88</v>
      </c>
      <c r="D60" s="9" t="s">
        <v>103</v>
      </c>
      <c r="E60" s="9" t="s">
        <v>1267</v>
      </c>
      <c r="F60" s="10" t="s">
        <v>151</v>
      </c>
      <c r="G60" s="10" t="s">
        <v>1258</v>
      </c>
      <c r="H60" s="10"/>
    </row>
    <row r="61" spans="1:8" ht="17.100000000000001" customHeight="1" x14ac:dyDescent="0.25">
      <c r="A61" s="22"/>
      <c r="B61" s="22"/>
      <c r="C61" s="22"/>
      <c r="D61" s="22"/>
      <c r="E61" s="22"/>
      <c r="F61" s="20"/>
      <c r="G61" s="20"/>
      <c r="H61" s="20"/>
    </row>
    <row r="62" spans="1:8" ht="17.100000000000001" customHeight="1" x14ac:dyDescent="0.25">
      <c r="A62" s="9" t="s">
        <v>171</v>
      </c>
      <c r="B62" s="9" t="s">
        <v>21</v>
      </c>
      <c r="C62" s="9" t="s">
        <v>88</v>
      </c>
      <c r="D62" s="9" t="s">
        <v>103</v>
      </c>
      <c r="E62" s="9" t="s">
        <v>1267</v>
      </c>
      <c r="F62" s="10" t="s">
        <v>102</v>
      </c>
      <c r="G62" s="10" t="s">
        <v>1258</v>
      </c>
      <c r="H62" s="10" t="s">
        <v>49</v>
      </c>
    </row>
    <row r="63" spans="1:8" ht="17.100000000000001" customHeight="1" x14ac:dyDescent="0.25">
      <c r="A63" s="9" t="s">
        <v>172</v>
      </c>
      <c r="B63" s="9" t="s">
        <v>106</v>
      </c>
      <c r="C63" s="9" t="s">
        <v>88</v>
      </c>
      <c r="D63" s="9" t="s">
        <v>103</v>
      </c>
      <c r="E63" s="9" t="s">
        <v>1267</v>
      </c>
      <c r="F63" s="10" t="s">
        <v>105</v>
      </c>
      <c r="G63" s="10" t="s">
        <v>1258</v>
      </c>
      <c r="H63" s="10"/>
    </row>
    <row r="64" spans="1:8" ht="17.100000000000001" customHeight="1" x14ac:dyDescent="0.25">
      <c r="A64" s="9" t="s">
        <v>167</v>
      </c>
      <c r="B64" s="9" t="s">
        <v>166</v>
      </c>
      <c r="C64" s="9" t="s">
        <v>88</v>
      </c>
      <c r="D64" s="9" t="s">
        <v>103</v>
      </c>
      <c r="E64" s="9" t="s">
        <v>1267</v>
      </c>
      <c r="F64" s="10" t="s">
        <v>165</v>
      </c>
      <c r="G64" s="10" t="s">
        <v>1258</v>
      </c>
      <c r="H64" s="10"/>
    </row>
    <row r="65" spans="1:8" ht="17.100000000000001" customHeight="1" x14ac:dyDescent="0.25">
      <c r="A65" s="9" t="s">
        <v>170</v>
      </c>
      <c r="B65" s="9" t="s">
        <v>169</v>
      </c>
      <c r="C65" s="9" t="s">
        <v>88</v>
      </c>
      <c r="D65" s="9" t="s">
        <v>103</v>
      </c>
      <c r="E65" s="9" t="s">
        <v>1267</v>
      </c>
      <c r="F65" s="10" t="s">
        <v>168</v>
      </c>
      <c r="G65" s="10" t="s">
        <v>1258</v>
      </c>
      <c r="H65" s="10"/>
    </row>
    <row r="66" spans="1:8" ht="17.100000000000001" customHeight="1" x14ac:dyDescent="0.25">
      <c r="A66" s="9" t="s">
        <v>174</v>
      </c>
      <c r="B66" s="9" t="s">
        <v>148</v>
      </c>
      <c r="C66" s="9" t="s">
        <v>88</v>
      </c>
      <c r="D66" s="9" t="s">
        <v>103</v>
      </c>
      <c r="E66" s="9" t="s">
        <v>1267</v>
      </c>
      <c r="F66" s="10" t="s">
        <v>147</v>
      </c>
      <c r="G66" s="10" t="s">
        <v>1258</v>
      </c>
      <c r="H66" s="10"/>
    </row>
    <row r="67" spans="1:8" ht="17.100000000000001" customHeight="1" x14ac:dyDescent="0.25">
      <c r="A67" s="9" t="s">
        <v>173</v>
      </c>
      <c r="B67" s="9" t="s">
        <v>109</v>
      </c>
      <c r="C67" s="9" t="s">
        <v>88</v>
      </c>
      <c r="D67" s="9" t="s">
        <v>103</v>
      </c>
      <c r="E67" s="9" t="s">
        <v>1267</v>
      </c>
      <c r="F67" s="10" t="s">
        <v>108</v>
      </c>
      <c r="G67" s="10" t="s">
        <v>1258</v>
      </c>
      <c r="H67" s="10"/>
    </row>
  </sheetData>
  <sortState xmlns:xlrd2="http://schemas.microsoft.com/office/spreadsheetml/2017/richdata2" ref="A62:G67">
    <sortCondition ref="B62:B6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FB44-A3D8-4447-8989-C8179C221C25}">
  <sheetPr>
    <tabColor rgb="FFBA8CDC"/>
  </sheetPr>
  <dimension ref="A1:H15"/>
  <sheetViews>
    <sheetView showGridLines="0" workbookViewId="0">
      <selection activeCell="E27" sqref="E27"/>
    </sheetView>
  </sheetViews>
  <sheetFormatPr defaultRowHeight="17.100000000000001" customHeight="1" x14ac:dyDescent="0.25"/>
  <cols>
    <col min="1" max="1" width="12" style="5" bestFit="1" customWidth="1"/>
    <col min="2" max="2" width="9.42578125" style="5" bestFit="1" customWidth="1"/>
    <col min="3" max="3" width="6.85546875" style="5" bestFit="1" customWidth="1"/>
    <col min="4" max="4" width="10" style="5" bestFit="1" customWidth="1"/>
    <col min="5" max="5" width="9.42578125" style="5" bestFit="1" customWidth="1"/>
    <col min="6" max="6" width="10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33" t="s">
        <v>74</v>
      </c>
      <c r="B1" s="33"/>
      <c r="C1" s="33"/>
      <c r="D1" s="33"/>
      <c r="F1" s="5"/>
    </row>
    <row r="2" spans="1:8" ht="12" customHeight="1" x14ac:dyDescent="0.25">
      <c r="A2" s="34"/>
      <c r="B2" s="34"/>
      <c r="C2" s="34"/>
      <c r="D2" s="34"/>
      <c r="F2" s="5"/>
    </row>
    <row r="3" spans="1:8" ht="12.75" customHeight="1" x14ac:dyDescent="0.25">
      <c r="A3" s="2" t="s">
        <v>1</v>
      </c>
      <c r="B3" s="29" t="s">
        <v>2</v>
      </c>
      <c r="C3" s="29"/>
      <c r="D3" s="29"/>
      <c r="F3" s="5"/>
    </row>
    <row r="4" spans="1:8" ht="15" customHeight="1" x14ac:dyDescent="0.25">
      <c r="A4" s="2" t="s">
        <v>3</v>
      </c>
      <c r="B4" s="29" t="s">
        <v>4</v>
      </c>
      <c r="C4" s="29"/>
      <c r="D4" s="29"/>
      <c r="F4" s="5"/>
    </row>
    <row r="5" spans="1:8" ht="12.75" customHeight="1" x14ac:dyDescent="0.25">
      <c r="A5" s="2" t="s">
        <v>5</v>
      </c>
      <c r="B5" s="29" t="s">
        <v>6</v>
      </c>
      <c r="C5" s="29"/>
      <c r="D5" s="29"/>
      <c r="F5" s="5"/>
    </row>
    <row r="6" spans="1:8" ht="5.25" customHeight="1" x14ac:dyDescent="0.25">
      <c r="F6" s="5"/>
    </row>
    <row r="7" spans="1:8" ht="15" customHeight="1" x14ac:dyDescent="0.25">
      <c r="A7" s="2" t="s">
        <v>7</v>
      </c>
      <c r="B7" s="29"/>
      <c r="C7" s="29"/>
      <c r="D7" s="29"/>
      <c r="F7" s="5"/>
    </row>
    <row r="8" spans="1:8" ht="12.75" customHeight="1" x14ac:dyDescent="0.25">
      <c r="A8" s="2" t="s">
        <v>8</v>
      </c>
      <c r="B8" s="29"/>
      <c r="C8" s="29"/>
      <c r="D8" s="29"/>
      <c r="F8" s="5"/>
    </row>
    <row r="9" spans="1:8" ht="15" customHeight="1" x14ac:dyDescent="0.25">
      <c r="A9" s="2" t="s">
        <v>9</v>
      </c>
      <c r="B9" s="29"/>
      <c r="C9" s="29"/>
      <c r="D9" s="29"/>
      <c r="F9" s="5"/>
    </row>
    <row r="10" spans="1:8" ht="12.75" customHeight="1" x14ac:dyDescent="0.25">
      <c r="A10" s="2" t="s">
        <v>8</v>
      </c>
      <c r="B10" s="29"/>
      <c r="C10" s="29"/>
      <c r="D10" s="29"/>
      <c r="F10" s="5"/>
    </row>
    <row r="11" spans="1:8" ht="10.5" customHeight="1" x14ac:dyDescent="0.25">
      <c r="F11" s="5"/>
    </row>
    <row r="12" spans="1:8" ht="16.5" customHeight="1" x14ac:dyDescent="0.25">
      <c r="A12" s="36" t="s">
        <v>80</v>
      </c>
      <c r="B12" s="36"/>
      <c r="C12" s="36"/>
      <c r="D12" s="36"/>
      <c r="E12" s="36"/>
      <c r="F12" s="36"/>
      <c r="G12" s="36" t="s">
        <v>81</v>
      </c>
      <c r="H12" s="36"/>
    </row>
    <row r="13" spans="1:8" ht="36" customHeight="1" x14ac:dyDescent="0.25">
      <c r="A13" s="11" t="s">
        <v>10</v>
      </c>
      <c r="B13" s="11" t="s">
        <v>84</v>
      </c>
      <c r="C13" s="11" t="s">
        <v>83</v>
      </c>
      <c r="D13" s="11" t="s">
        <v>85</v>
      </c>
      <c r="E13" s="11" t="s">
        <v>1220</v>
      </c>
      <c r="F13" s="12" t="s">
        <v>10</v>
      </c>
      <c r="G13" s="12" t="s">
        <v>11</v>
      </c>
      <c r="H13" s="12" t="s">
        <v>1221</v>
      </c>
    </row>
    <row r="14" spans="1:8" ht="15" x14ac:dyDescent="0.25">
      <c r="A14" s="18" t="s">
        <v>101</v>
      </c>
      <c r="B14" s="18" t="s">
        <v>1222</v>
      </c>
      <c r="C14" s="18" t="s">
        <v>88</v>
      </c>
      <c r="D14" s="18" t="s">
        <v>93</v>
      </c>
      <c r="E14" s="18" t="s">
        <v>1256</v>
      </c>
      <c r="F14" s="18" t="s">
        <v>99</v>
      </c>
      <c r="G14" s="18" t="s">
        <v>1264</v>
      </c>
      <c r="H14" s="9" t="s">
        <v>1300</v>
      </c>
    </row>
    <row r="15" spans="1:8" ht="17.100000000000001" customHeight="1" x14ac:dyDescent="0.25">
      <c r="A15" s="18" t="s">
        <v>91</v>
      </c>
      <c r="B15" s="18" t="s">
        <v>92</v>
      </c>
      <c r="C15" s="18" t="s">
        <v>88</v>
      </c>
      <c r="D15" s="18" t="s">
        <v>93</v>
      </c>
      <c r="E15" s="18" t="s">
        <v>1256</v>
      </c>
      <c r="F15" s="18" t="s">
        <v>94</v>
      </c>
      <c r="G15" s="18" t="s">
        <v>1264</v>
      </c>
      <c r="H15" s="9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5667-F07B-46B6-8573-EC766A2C9AA6}">
  <sheetPr>
    <tabColor rgb="FF7030A0"/>
  </sheetPr>
  <dimension ref="A1:H42"/>
  <sheetViews>
    <sheetView showGridLines="0" topLeftCell="A14" workbookViewId="0">
      <selection activeCell="E27" sqref="E27"/>
    </sheetView>
  </sheetViews>
  <sheetFormatPr defaultRowHeight="17.100000000000001" customHeight="1" x14ac:dyDescent="0.25"/>
  <cols>
    <col min="1" max="1" width="12" style="5" bestFit="1" customWidth="1"/>
    <col min="2" max="2" width="9.71093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2.5703125" style="5" bestFit="1" customWidth="1"/>
    <col min="7" max="7" width="10.5703125" bestFit="1" customWidth="1"/>
    <col min="8" max="8" width="9.5703125" bestFit="1" customWidth="1"/>
  </cols>
  <sheetData>
    <row r="1" spans="1:8" ht="18" customHeight="1" x14ac:dyDescent="0.25">
      <c r="A1" s="33" t="s">
        <v>1259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2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2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2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43.5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9" t="s">
        <v>99</v>
      </c>
      <c r="B14" s="9" t="s">
        <v>1222</v>
      </c>
      <c r="C14" s="9" t="s">
        <v>88</v>
      </c>
      <c r="D14" s="9" t="s">
        <v>93</v>
      </c>
      <c r="E14" s="9" t="s">
        <v>1267</v>
      </c>
      <c r="F14" s="10" t="s">
        <v>101</v>
      </c>
      <c r="G14" s="10" t="s">
        <v>1264</v>
      </c>
      <c r="H14" s="10" t="s">
        <v>1302</v>
      </c>
    </row>
    <row r="15" spans="1:8" ht="17.100000000000001" customHeight="1" x14ac:dyDescent="0.25">
      <c r="A15" s="9"/>
      <c r="B15" s="9"/>
      <c r="C15" s="9"/>
      <c r="D15" s="9"/>
      <c r="E15" s="9"/>
      <c r="F15" s="10"/>
      <c r="G15" s="10"/>
      <c r="H15" s="10"/>
    </row>
    <row r="16" spans="1:8" ht="17.100000000000001" customHeight="1" x14ac:dyDescent="0.25">
      <c r="A16" s="9" t="s">
        <v>96</v>
      </c>
      <c r="B16" s="9" t="s">
        <v>19</v>
      </c>
      <c r="C16" s="9" t="s">
        <v>88</v>
      </c>
      <c r="D16" s="9" t="s">
        <v>89</v>
      </c>
      <c r="E16" s="9" t="s">
        <v>1267</v>
      </c>
      <c r="F16" s="10" t="s">
        <v>97</v>
      </c>
      <c r="G16" s="10" t="s">
        <v>1264</v>
      </c>
      <c r="H16" s="10"/>
    </row>
    <row r="17" spans="1:8" ht="17.100000000000001" customHeight="1" x14ac:dyDescent="0.25">
      <c r="A17" s="9" t="s">
        <v>96</v>
      </c>
      <c r="B17" s="9" t="s">
        <v>19</v>
      </c>
      <c r="C17" s="9" t="s">
        <v>88</v>
      </c>
      <c r="D17" s="9" t="s">
        <v>89</v>
      </c>
      <c r="E17" s="9" t="s">
        <v>1267</v>
      </c>
      <c r="F17" s="10" t="s">
        <v>98</v>
      </c>
      <c r="G17" s="10" t="s">
        <v>1265</v>
      </c>
      <c r="H17" s="10"/>
    </row>
    <row r="18" spans="1:8" ht="17.100000000000001" customHeight="1" x14ac:dyDescent="0.25">
      <c r="A18" s="22"/>
      <c r="B18" s="22"/>
      <c r="C18" s="22"/>
      <c r="D18" s="22"/>
      <c r="E18" s="22"/>
      <c r="F18" s="20"/>
      <c r="G18" s="20"/>
      <c r="H18" s="20"/>
    </row>
    <row r="19" spans="1:8" ht="17.100000000000001" customHeight="1" x14ac:dyDescent="0.25">
      <c r="A19" s="9" t="s">
        <v>114</v>
      </c>
      <c r="B19" s="9" t="s">
        <v>115</v>
      </c>
      <c r="C19" s="9" t="s">
        <v>88</v>
      </c>
      <c r="D19" s="9" t="s">
        <v>103</v>
      </c>
      <c r="E19" s="9" t="s">
        <v>1303</v>
      </c>
      <c r="F19" s="10" t="s">
        <v>116</v>
      </c>
      <c r="G19" s="10" t="s">
        <v>1260</v>
      </c>
      <c r="H19" s="10" t="s">
        <v>1301</v>
      </c>
    </row>
    <row r="20" spans="1:8" ht="17.100000000000001" customHeight="1" x14ac:dyDescent="0.25">
      <c r="A20" s="9" t="s">
        <v>111</v>
      </c>
      <c r="B20" s="9" t="s">
        <v>112</v>
      </c>
      <c r="C20" s="9" t="s">
        <v>88</v>
      </c>
      <c r="D20" s="9" t="s">
        <v>103</v>
      </c>
      <c r="E20" s="9" t="s">
        <v>1303</v>
      </c>
      <c r="F20" s="10" t="s">
        <v>113</v>
      </c>
      <c r="G20" s="10" t="s">
        <v>1260</v>
      </c>
      <c r="H20" s="10"/>
    </row>
    <row r="21" spans="1:8" ht="17.100000000000001" customHeight="1" x14ac:dyDescent="0.25">
      <c r="A21" s="9" t="s">
        <v>102</v>
      </c>
      <c r="B21" s="9" t="s">
        <v>21</v>
      </c>
      <c r="C21" s="9" t="s">
        <v>88</v>
      </c>
      <c r="D21" s="9" t="s">
        <v>103</v>
      </c>
      <c r="E21" s="9" t="s">
        <v>1303</v>
      </c>
      <c r="F21" s="10" t="s">
        <v>104</v>
      </c>
      <c r="G21" s="10" t="s">
        <v>1260</v>
      </c>
      <c r="H21" s="10"/>
    </row>
    <row r="22" spans="1:8" ht="17.100000000000001" customHeight="1" x14ac:dyDescent="0.25">
      <c r="A22" s="9" t="s">
        <v>126</v>
      </c>
      <c r="B22" s="9" t="s">
        <v>63</v>
      </c>
      <c r="C22" s="9" t="s">
        <v>88</v>
      </c>
      <c r="D22" s="9" t="s">
        <v>103</v>
      </c>
      <c r="E22" s="9" t="s">
        <v>1303</v>
      </c>
      <c r="F22" s="10" t="s">
        <v>127</v>
      </c>
      <c r="G22" s="10" t="s">
        <v>1260</v>
      </c>
      <c r="H22" s="10"/>
    </row>
    <row r="23" spans="1:8" ht="17.100000000000001" customHeight="1" x14ac:dyDescent="0.25">
      <c r="A23" s="9" t="s">
        <v>123</v>
      </c>
      <c r="B23" s="9" t="s">
        <v>124</v>
      </c>
      <c r="C23" s="9" t="s">
        <v>88</v>
      </c>
      <c r="D23" s="9" t="s">
        <v>103</v>
      </c>
      <c r="E23" s="9" t="s">
        <v>1303</v>
      </c>
      <c r="F23" s="10" t="s">
        <v>125</v>
      </c>
      <c r="G23" s="10" t="s">
        <v>1260</v>
      </c>
      <c r="H23" s="10"/>
    </row>
    <row r="24" spans="1:8" ht="17.100000000000001" customHeight="1" x14ac:dyDescent="0.25">
      <c r="A24" s="9" t="s">
        <v>119</v>
      </c>
      <c r="B24" s="9" t="s">
        <v>120</v>
      </c>
      <c r="C24" s="9" t="s">
        <v>88</v>
      </c>
      <c r="D24" s="9" t="s">
        <v>103</v>
      </c>
      <c r="E24" s="9" t="s">
        <v>1303</v>
      </c>
      <c r="F24" s="10" t="s">
        <v>121</v>
      </c>
      <c r="G24" s="10" t="s">
        <v>1260</v>
      </c>
      <c r="H24" s="10"/>
    </row>
    <row r="25" spans="1:8" ht="17.100000000000001" customHeight="1" x14ac:dyDescent="0.25">
      <c r="A25" s="9" t="s">
        <v>119</v>
      </c>
      <c r="B25" s="9" t="s">
        <v>120</v>
      </c>
      <c r="C25" s="9" t="s">
        <v>88</v>
      </c>
      <c r="D25" s="9" t="s">
        <v>103</v>
      </c>
      <c r="E25" s="9" t="s">
        <v>1303</v>
      </c>
      <c r="F25" s="10" t="s">
        <v>122</v>
      </c>
      <c r="G25" s="10" t="s">
        <v>1260</v>
      </c>
      <c r="H25" s="10"/>
    </row>
    <row r="26" spans="1:8" ht="17.100000000000001" customHeight="1" x14ac:dyDescent="0.25">
      <c r="A26" s="9" t="s">
        <v>105</v>
      </c>
      <c r="B26" s="9" t="s">
        <v>106</v>
      </c>
      <c r="C26" s="9" t="s">
        <v>88</v>
      </c>
      <c r="D26" s="9" t="s">
        <v>103</v>
      </c>
      <c r="E26" s="9" t="s">
        <v>1303</v>
      </c>
      <c r="F26" s="10" t="s">
        <v>107</v>
      </c>
      <c r="G26" s="10" t="s">
        <v>1260</v>
      </c>
      <c r="H26" s="10"/>
    </row>
    <row r="27" spans="1:8" ht="17.100000000000001" customHeight="1" x14ac:dyDescent="0.25">
      <c r="A27" s="9" t="s">
        <v>134</v>
      </c>
      <c r="B27" s="9" t="s">
        <v>135</v>
      </c>
      <c r="C27" s="9" t="s">
        <v>88</v>
      </c>
      <c r="D27" s="9" t="s">
        <v>103</v>
      </c>
      <c r="E27" s="9" t="s">
        <v>1303</v>
      </c>
      <c r="F27" s="10" t="s">
        <v>136</v>
      </c>
      <c r="G27" s="10" t="s">
        <v>1260</v>
      </c>
      <c r="H27" s="10"/>
    </row>
    <row r="28" spans="1:8" ht="17.100000000000001" customHeight="1" x14ac:dyDescent="0.25">
      <c r="A28" s="9" t="s">
        <v>137</v>
      </c>
      <c r="B28" s="9" t="s">
        <v>138</v>
      </c>
      <c r="C28" s="9" t="s">
        <v>88</v>
      </c>
      <c r="D28" s="9" t="s">
        <v>103</v>
      </c>
      <c r="E28" s="9" t="s">
        <v>1303</v>
      </c>
      <c r="F28" s="10" t="s">
        <v>139</v>
      </c>
      <c r="G28" s="10" t="s">
        <v>1260</v>
      </c>
      <c r="H28" s="10"/>
    </row>
    <row r="29" spans="1:8" ht="17.100000000000001" customHeight="1" x14ac:dyDescent="0.25">
      <c r="A29" s="9" t="s">
        <v>128</v>
      </c>
      <c r="B29" s="9" t="s">
        <v>129</v>
      </c>
      <c r="C29" s="9" t="s">
        <v>88</v>
      </c>
      <c r="D29" s="9" t="s">
        <v>103</v>
      </c>
      <c r="E29" s="9" t="s">
        <v>1303</v>
      </c>
      <c r="F29" s="10" t="s">
        <v>130</v>
      </c>
      <c r="G29" s="10" t="s">
        <v>1260</v>
      </c>
      <c r="H29" s="10"/>
    </row>
    <row r="30" spans="1:8" ht="17.100000000000001" customHeight="1" x14ac:dyDescent="0.25">
      <c r="A30" s="9" t="s">
        <v>131</v>
      </c>
      <c r="B30" s="9" t="s">
        <v>132</v>
      </c>
      <c r="C30" s="9" t="s">
        <v>88</v>
      </c>
      <c r="D30" s="9" t="s">
        <v>103</v>
      </c>
      <c r="E30" s="9" t="s">
        <v>1303</v>
      </c>
      <c r="F30" s="10" t="s">
        <v>133</v>
      </c>
      <c r="G30" s="10" t="s">
        <v>1260</v>
      </c>
      <c r="H30" s="10"/>
    </row>
    <row r="31" spans="1:8" ht="17.100000000000001" customHeight="1" x14ac:dyDescent="0.25">
      <c r="A31" s="9" t="s">
        <v>108</v>
      </c>
      <c r="B31" s="9" t="s">
        <v>109</v>
      </c>
      <c r="C31" s="9" t="s">
        <v>88</v>
      </c>
      <c r="D31" s="9" t="s">
        <v>103</v>
      </c>
      <c r="E31" s="9" t="s">
        <v>1303</v>
      </c>
      <c r="F31" s="10" t="s">
        <v>110</v>
      </c>
      <c r="G31" s="10" t="s">
        <v>1260</v>
      </c>
      <c r="H31" s="10"/>
    </row>
    <row r="32" spans="1:8" ht="17.100000000000001" customHeight="1" x14ac:dyDescent="0.25">
      <c r="A32" s="9"/>
      <c r="B32" s="9"/>
      <c r="C32" s="9"/>
      <c r="D32" s="9"/>
      <c r="E32" s="9"/>
      <c r="F32" s="10"/>
      <c r="G32" s="10"/>
      <c r="H32" s="10"/>
    </row>
    <row r="33" spans="1:8" ht="17.100000000000001" customHeight="1" x14ac:dyDescent="0.25">
      <c r="A33" s="9" t="s">
        <v>99</v>
      </c>
      <c r="B33" s="9" t="s">
        <v>1222</v>
      </c>
      <c r="C33" s="9" t="s">
        <v>88</v>
      </c>
      <c r="D33" s="9" t="s">
        <v>89</v>
      </c>
      <c r="E33" s="9" t="s">
        <v>1303</v>
      </c>
      <c r="F33" s="10" t="s">
        <v>118</v>
      </c>
      <c r="G33" s="10" t="s">
        <v>1260</v>
      </c>
      <c r="H33" s="10"/>
    </row>
    <row r="34" spans="1:8" ht="17.100000000000001" customHeight="1" x14ac:dyDescent="0.25">
      <c r="A34" s="9" t="s">
        <v>96</v>
      </c>
      <c r="B34" s="9" t="s">
        <v>19</v>
      </c>
      <c r="C34" s="9" t="s">
        <v>88</v>
      </c>
      <c r="D34" s="9" t="s">
        <v>89</v>
      </c>
      <c r="E34" s="9" t="s">
        <v>1303</v>
      </c>
      <c r="F34" s="10" t="s">
        <v>117</v>
      </c>
      <c r="G34" s="10" t="s">
        <v>1260</v>
      </c>
      <c r="H34" s="10"/>
    </row>
    <row r="35" spans="1:8" ht="17.100000000000001" customHeight="1" x14ac:dyDescent="0.25">
      <c r="A35" s="22"/>
      <c r="B35" s="22"/>
      <c r="C35" s="22"/>
      <c r="D35" s="22"/>
      <c r="E35" s="22"/>
      <c r="F35" s="20"/>
      <c r="G35" s="20"/>
      <c r="H35" s="20"/>
    </row>
    <row r="36" spans="1:8" ht="17.100000000000001" customHeight="1" x14ac:dyDescent="0.25">
      <c r="A36" s="9" t="s">
        <v>123</v>
      </c>
      <c r="B36" s="9" t="s">
        <v>124</v>
      </c>
      <c r="C36" s="9" t="s">
        <v>88</v>
      </c>
      <c r="D36" s="9" t="s">
        <v>103</v>
      </c>
      <c r="E36" s="9" t="s">
        <v>1267</v>
      </c>
      <c r="F36" s="10" t="s">
        <v>150</v>
      </c>
      <c r="G36" s="10" t="s">
        <v>1261</v>
      </c>
      <c r="H36" s="10" t="s">
        <v>1276</v>
      </c>
    </row>
    <row r="37" spans="1:8" ht="17.100000000000001" customHeight="1" x14ac:dyDescent="0.25">
      <c r="A37" s="9" t="s">
        <v>143</v>
      </c>
      <c r="B37" s="9" t="s">
        <v>144</v>
      </c>
      <c r="C37" s="9" t="s">
        <v>88</v>
      </c>
      <c r="D37" s="9" t="s">
        <v>103</v>
      </c>
      <c r="E37" s="9" t="s">
        <v>1267</v>
      </c>
      <c r="F37" s="10" t="s">
        <v>145</v>
      </c>
      <c r="G37" s="10" t="s">
        <v>1261</v>
      </c>
      <c r="H37" s="10"/>
    </row>
    <row r="38" spans="1:8" ht="17.100000000000001" customHeight="1" x14ac:dyDescent="0.25">
      <c r="A38" s="9" t="s">
        <v>140</v>
      </c>
      <c r="B38" s="9" t="s">
        <v>141</v>
      </c>
      <c r="C38" s="9" t="s">
        <v>88</v>
      </c>
      <c r="D38" s="9" t="s">
        <v>103</v>
      </c>
      <c r="E38" s="9" t="s">
        <v>1267</v>
      </c>
      <c r="F38" s="10" t="s">
        <v>142</v>
      </c>
      <c r="G38" s="10" t="s">
        <v>1261</v>
      </c>
      <c r="H38" s="10"/>
    </row>
    <row r="39" spans="1:8" ht="17.100000000000001" customHeight="1" x14ac:dyDescent="0.25">
      <c r="A39" s="9" t="s">
        <v>154</v>
      </c>
      <c r="B39" s="9" t="s">
        <v>155</v>
      </c>
      <c r="C39" s="9" t="s">
        <v>88</v>
      </c>
      <c r="D39" s="9" t="s">
        <v>103</v>
      </c>
      <c r="E39" s="9" t="s">
        <v>1267</v>
      </c>
      <c r="F39" s="10" t="s">
        <v>156</v>
      </c>
      <c r="G39" s="10" t="s">
        <v>1261</v>
      </c>
      <c r="H39" s="10"/>
    </row>
    <row r="40" spans="1:8" ht="17.100000000000001" customHeight="1" x14ac:dyDescent="0.25">
      <c r="A40" s="9" t="s">
        <v>151</v>
      </c>
      <c r="B40" s="9" t="s">
        <v>152</v>
      </c>
      <c r="C40" s="9" t="s">
        <v>88</v>
      </c>
      <c r="D40" s="9" t="s">
        <v>103</v>
      </c>
      <c r="E40" s="9" t="s">
        <v>1267</v>
      </c>
      <c r="F40" s="10" t="s">
        <v>153</v>
      </c>
      <c r="G40" s="10" t="s">
        <v>1261</v>
      </c>
      <c r="H40" s="10"/>
    </row>
    <row r="41" spans="1:8" ht="17.100000000000001" customHeight="1" x14ac:dyDescent="0.25">
      <c r="A41" s="9" t="s">
        <v>147</v>
      </c>
      <c r="B41" s="9" t="s">
        <v>148</v>
      </c>
      <c r="C41" s="9" t="s">
        <v>88</v>
      </c>
      <c r="D41" s="9" t="s">
        <v>103</v>
      </c>
      <c r="E41" s="9" t="s">
        <v>1267</v>
      </c>
      <c r="F41" s="10" t="s">
        <v>149</v>
      </c>
      <c r="G41" s="10" t="s">
        <v>1261</v>
      </c>
      <c r="H41" s="10"/>
    </row>
    <row r="42" spans="1:8" ht="17.100000000000001" customHeight="1" x14ac:dyDescent="0.25">
      <c r="A42" s="9" t="s">
        <v>108</v>
      </c>
      <c r="B42" s="9" t="s">
        <v>109</v>
      </c>
      <c r="C42" s="9" t="s">
        <v>88</v>
      </c>
      <c r="D42" s="9" t="s">
        <v>103</v>
      </c>
      <c r="E42" s="9" t="s">
        <v>1267</v>
      </c>
      <c r="F42" s="10" t="s">
        <v>146</v>
      </c>
      <c r="G42" s="10" t="s">
        <v>1261</v>
      </c>
      <c r="H42" s="10"/>
    </row>
  </sheetData>
  <sortState xmlns:xlrd2="http://schemas.microsoft.com/office/spreadsheetml/2017/richdata2" ref="A36:G42">
    <sortCondition ref="B36:B4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7B89-FA39-43FD-9735-D92B33B183E0}">
  <sheetPr>
    <tabColor rgb="FF7030A0"/>
  </sheetPr>
  <dimension ref="A1:H34"/>
  <sheetViews>
    <sheetView showGridLines="0" workbookViewId="0">
      <selection activeCell="E27" sqref="E27"/>
    </sheetView>
  </sheetViews>
  <sheetFormatPr defaultRowHeight="17.100000000000001" customHeight="1" x14ac:dyDescent="0.25"/>
  <cols>
    <col min="1" max="1" width="12.7109375" style="5" bestFit="1" customWidth="1"/>
    <col min="2" max="2" width="10.855468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0.5703125" style="5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33" t="s">
        <v>77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5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5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5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36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9" t="s">
        <v>190</v>
      </c>
      <c r="B14" s="9" t="s">
        <v>1222</v>
      </c>
      <c r="C14" s="9" t="s">
        <v>88</v>
      </c>
      <c r="D14" s="9" t="s">
        <v>89</v>
      </c>
      <c r="E14" s="9" t="s">
        <v>1256</v>
      </c>
      <c r="F14" s="10" t="s">
        <v>191</v>
      </c>
      <c r="G14" s="10" t="s">
        <v>77</v>
      </c>
      <c r="H14" s="10" t="s">
        <v>1269</v>
      </c>
    </row>
    <row r="15" spans="1:8" ht="17.100000000000001" customHeight="1" x14ac:dyDescent="0.25">
      <c r="A15" s="9" t="s">
        <v>192</v>
      </c>
      <c r="B15" s="9" t="s">
        <v>193</v>
      </c>
      <c r="C15" s="9" t="s">
        <v>88</v>
      </c>
      <c r="D15" s="9" t="s">
        <v>89</v>
      </c>
      <c r="E15" s="9" t="s">
        <v>1256</v>
      </c>
      <c r="F15" s="10" t="s">
        <v>194</v>
      </c>
      <c r="G15" s="10" t="s">
        <v>77</v>
      </c>
      <c r="H15" s="10"/>
    </row>
    <row r="16" spans="1:8" ht="17.100000000000001" customHeight="1" x14ac:dyDescent="0.25">
      <c r="A16" s="9"/>
      <c r="B16" s="9"/>
      <c r="C16" s="9"/>
      <c r="D16" s="9"/>
      <c r="E16" s="9"/>
      <c r="F16" s="10"/>
      <c r="G16" s="10"/>
      <c r="H16" s="10"/>
    </row>
    <row r="17" spans="1:8" ht="17.100000000000001" customHeight="1" x14ac:dyDescent="0.25">
      <c r="A17" s="9" t="s">
        <v>197</v>
      </c>
      <c r="B17" s="9" t="s">
        <v>193</v>
      </c>
      <c r="C17" s="9" t="s">
        <v>88</v>
      </c>
      <c r="D17" s="9" t="s">
        <v>89</v>
      </c>
      <c r="E17" s="9" t="s">
        <v>1256</v>
      </c>
      <c r="F17" s="10" t="s">
        <v>194</v>
      </c>
      <c r="G17" s="10" t="s">
        <v>77</v>
      </c>
      <c r="H17" s="10"/>
    </row>
    <row r="18" spans="1:8" ht="17.100000000000001" customHeight="1" x14ac:dyDescent="0.25">
      <c r="A18" s="9" t="s">
        <v>195</v>
      </c>
      <c r="B18" s="9" t="s">
        <v>78</v>
      </c>
      <c r="C18" s="9" t="s">
        <v>88</v>
      </c>
      <c r="D18" s="9" t="s">
        <v>89</v>
      </c>
      <c r="E18" s="9" t="s">
        <v>1256</v>
      </c>
      <c r="F18" s="10" t="s">
        <v>196</v>
      </c>
      <c r="G18" s="10" t="s">
        <v>77</v>
      </c>
      <c r="H18" s="10"/>
    </row>
    <row r="19" spans="1:8" ht="17.100000000000001" customHeight="1" x14ac:dyDescent="0.25">
      <c r="A19" s="22"/>
      <c r="B19" s="22"/>
      <c r="C19" s="22"/>
      <c r="D19" s="22"/>
      <c r="E19" s="22"/>
      <c r="F19" s="20"/>
      <c r="G19" s="20"/>
      <c r="H19" s="20"/>
    </row>
    <row r="20" spans="1:8" ht="17.100000000000001" customHeight="1" x14ac:dyDescent="0.25">
      <c r="A20" s="9" t="s">
        <v>200</v>
      </c>
      <c r="B20" s="9" t="s">
        <v>1222</v>
      </c>
      <c r="C20" s="9" t="s">
        <v>88</v>
      </c>
      <c r="D20" s="9" t="s">
        <v>89</v>
      </c>
      <c r="E20" s="9" t="s">
        <v>1273</v>
      </c>
      <c r="F20" s="10" t="s">
        <v>201</v>
      </c>
      <c r="G20" s="10" t="s">
        <v>1260</v>
      </c>
      <c r="H20" s="10" t="s">
        <v>1270</v>
      </c>
    </row>
    <row r="21" spans="1:8" ht="17.100000000000001" customHeight="1" x14ac:dyDescent="0.25">
      <c r="A21" s="9" t="s">
        <v>198</v>
      </c>
      <c r="B21" s="9" t="s">
        <v>19</v>
      </c>
      <c r="C21" s="9" t="s">
        <v>88</v>
      </c>
      <c r="D21" s="9" t="s">
        <v>89</v>
      </c>
      <c r="E21" s="9" t="s">
        <v>1273</v>
      </c>
      <c r="F21" s="10" t="s">
        <v>199</v>
      </c>
      <c r="G21" s="10" t="s">
        <v>1260</v>
      </c>
      <c r="H21" s="10"/>
    </row>
    <row r="22" spans="1:8" ht="17.100000000000001" customHeight="1" x14ac:dyDescent="0.25">
      <c r="A22" s="22"/>
      <c r="B22" s="22"/>
      <c r="C22" s="22"/>
      <c r="D22" s="22"/>
      <c r="E22" s="22"/>
      <c r="F22" s="20"/>
      <c r="G22" s="20"/>
      <c r="H22" s="20"/>
    </row>
    <row r="23" spans="1:8" ht="17.100000000000001" customHeight="1" x14ac:dyDescent="0.25">
      <c r="A23" s="9" t="s">
        <v>203</v>
      </c>
      <c r="B23" s="9" t="s">
        <v>1222</v>
      </c>
      <c r="C23" s="9" t="s">
        <v>88</v>
      </c>
      <c r="D23" s="9" t="s">
        <v>93</v>
      </c>
      <c r="E23" s="9" t="s">
        <v>1273</v>
      </c>
      <c r="F23" s="10" t="s">
        <v>204</v>
      </c>
      <c r="G23" s="10" t="s">
        <v>1261</v>
      </c>
      <c r="H23" s="10" t="s">
        <v>1271</v>
      </c>
    </row>
    <row r="24" spans="1:8" ht="17.100000000000001" customHeight="1" x14ac:dyDescent="0.25">
      <c r="A24" s="9" t="s">
        <v>207</v>
      </c>
      <c r="B24" s="9" t="s">
        <v>1222</v>
      </c>
      <c r="C24" s="9" t="s">
        <v>88</v>
      </c>
      <c r="D24" s="9" t="s">
        <v>93</v>
      </c>
      <c r="E24" s="9" t="s">
        <v>1273</v>
      </c>
      <c r="F24" s="10" t="s">
        <v>208</v>
      </c>
      <c r="G24" s="10" t="s">
        <v>1261</v>
      </c>
      <c r="H24" s="10"/>
    </row>
    <row r="25" spans="1:8" ht="17.100000000000001" customHeight="1" x14ac:dyDescent="0.25">
      <c r="A25" s="9" t="s">
        <v>211</v>
      </c>
      <c r="B25" s="9" t="s">
        <v>1222</v>
      </c>
      <c r="C25" s="9" t="s">
        <v>88</v>
      </c>
      <c r="D25" s="9" t="s">
        <v>93</v>
      </c>
      <c r="E25" s="9" t="s">
        <v>1273</v>
      </c>
      <c r="F25" s="10" t="s">
        <v>212</v>
      </c>
      <c r="G25" s="10" t="s">
        <v>1261</v>
      </c>
      <c r="H25" s="10"/>
    </row>
    <row r="26" spans="1:8" ht="17.100000000000001" customHeight="1" x14ac:dyDescent="0.25">
      <c r="A26" s="9" t="s">
        <v>205</v>
      </c>
      <c r="B26" s="9" t="s">
        <v>25</v>
      </c>
      <c r="C26" s="9" t="s">
        <v>88</v>
      </c>
      <c r="D26" s="9" t="s">
        <v>93</v>
      </c>
      <c r="E26" s="9" t="s">
        <v>1273</v>
      </c>
      <c r="F26" s="10" t="s">
        <v>206</v>
      </c>
      <c r="G26" s="10" t="s">
        <v>1261</v>
      </c>
      <c r="H26" s="10"/>
    </row>
    <row r="27" spans="1:8" ht="17.100000000000001" customHeight="1" x14ac:dyDescent="0.25">
      <c r="A27" s="9" t="s">
        <v>209</v>
      </c>
      <c r="B27" s="9" t="s">
        <v>26</v>
      </c>
      <c r="C27" s="9" t="s">
        <v>88</v>
      </c>
      <c r="D27" s="9" t="s">
        <v>93</v>
      </c>
      <c r="E27" s="9" t="s">
        <v>1273</v>
      </c>
      <c r="F27" s="10" t="s">
        <v>210</v>
      </c>
      <c r="G27" s="10" t="s">
        <v>1261</v>
      </c>
      <c r="H27" s="10"/>
    </row>
    <row r="28" spans="1:8" ht="17.100000000000001" customHeight="1" x14ac:dyDescent="0.25">
      <c r="A28" s="9" t="s">
        <v>213</v>
      </c>
      <c r="B28" s="9" t="s">
        <v>27</v>
      </c>
      <c r="C28" s="9" t="s">
        <v>88</v>
      </c>
      <c r="D28" s="9" t="s">
        <v>93</v>
      </c>
      <c r="E28" s="9" t="s">
        <v>1273</v>
      </c>
      <c r="F28" s="10" t="s">
        <v>214</v>
      </c>
      <c r="G28" s="10" t="s">
        <v>1261</v>
      </c>
      <c r="H28" s="10"/>
    </row>
    <row r="29" spans="1:8" ht="17.100000000000001" customHeight="1" x14ac:dyDescent="0.25">
      <c r="A29" s="23"/>
      <c r="B29" s="23"/>
      <c r="C29" s="23"/>
      <c r="D29" s="23"/>
      <c r="E29" s="23"/>
      <c r="F29" s="24"/>
      <c r="G29" s="24"/>
      <c r="H29" s="24"/>
    </row>
    <row r="30" spans="1:8" ht="17.100000000000001" customHeight="1" x14ac:dyDescent="0.25">
      <c r="A30" s="9" t="s">
        <v>220</v>
      </c>
      <c r="B30" s="9" t="s">
        <v>1222</v>
      </c>
      <c r="C30" s="9" t="s">
        <v>88</v>
      </c>
      <c r="D30" s="9" t="s">
        <v>93</v>
      </c>
      <c r="E30" s="9" t="s">
        <v>1273</v>
      </c>
      <c r="F30" s="10" t="s">
        <v>208</v>
      </c>
      <c r="G30" s="10" t="s">
        <v>1261</v>
      </c>
      <c r="H30" s="10" t="s">
        <v>1272</v>
      </c>
    </row>
    <row r="31" spans="1:8" ht="17.100000000000001" customHeight="1" x14ac:dyDescent="0.25">
      <c r="A31" s="9" t="s">
        <v>218</v>
      </c>
      <c r="B31" s="9" t="s">
        <v>39</v>
      </c>
      <c r="C31" s="9" t="s">
        <v>88</v>
      </c>
      <c r="D31" s="9" t="s">
        <v>93</v>
      </c>
      <c r="E31" s="9" t="s">
        <v>1273</v>
      </c>
      <c r="F31" s="10" t="s">
        <v>219</v>
      </c>
      <c r="G31" s="10" t="s">
        <v>1261</v>
      </c>
      <c r="H31" s="10"/>
    </row>
    <row r="32" spans="1:8" ht="17.100000000000001" customHeight="1" x14ac:dyDescent="0.25">
      <c r="A32" s="9"/>
      <c r="B32" s="9"/>
      <c r="C32" s="9"/>
      <c r="D32" s="9"/>
      <c r="E32" s="9"/>
      <c r="F32" s="10"/>
      <c r="G32" s="10"/>
      <c r="H32" s="10"/>
    </row>
    <row r="33" spans="1:8" ht="17.100000000000001" customHeight="1" x14ac:dyDescent="0.25">
      <c r="A33" s="9" t="s">
        <v>191</v>
      </c>
      <c r="B33" s="9" t="s">
        <v>1222</v>
      </c>
      <c r="C33" s="9" t="s">
        <v>88</v>
      </c>
      <c r="D33" s="9" t="s">
        <v>89</v>
      </c>
      <c r="E33" s="9" t="s">
        <v>1273</v>
      </c>
      <c r="F33" s="10" t="s">
        <v>217</v>
      </c>
      <c r="G33" s="10" t="s">
        <v>1261</v>
      </c>
      <c r="H33" s="10"/>
    </row>
    <row r="34" spans="1:8" ht="17.100000000000001" customHeight="1" x14ac:dyDescent="0.25">
      <c r="A34" s="9" t="s">
        <v>215</v>
      </c>
      <c r="B34" s="9" t="s">
        <v>19</v>
      </c>
      <c r="C34" s="9" t="s">
        <v>88</v>
      </c>
      <c r="D34" s="9" t="s">
        <v>89</v>
      </c>
      <c r="E34" s="9" t="s">
        <v>1273</v>
      </c>
      <c r="F34" s="10" t="s">
        <v>216</v>
      </c>
      <c r="G34" s="10" t="s">
        <v>1261</v>
      </c>
      <c r="H34" s="10"/>
    </row>
  </sheetData>
  <sortState xmlns:xlrd2="http://schemas.microsoft.com/office/spreadsheetml/2017/richdata2" ref="A30:H34">
    <sortCondition descending="1" ref="D30:D34"/>
    <sortCondition ref="B30:B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EE17-F559-4681-BB4D-B179193745A4}">
  <sheetPr>
    <tabColor rgb="FF7030A0"/>
  </sheetPr>
  <dimension ref="A1:H223"/>
  <sheetViews>
    <sheetView showGridLines="0" workbookViewId="0">
      <selection activeCell="E27" sqref="E27"/>
    </sheetView>
  </sheetViews>
  <sheetFormatPr defaultRowHeight="17.100000000000001" customHeight="1" x14ac:dyDescent="0.25"/>
  <cols>
    <col min="1" max="1" width="18.42578125" style="5" bestFit="1" customWidth="1"/>
    <col min="2" max="2" width="11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8.42578125" style="5" bestFit="1" customWidth="1"/>
    <col min="7" max="7" width="8" bestFit="1" customWidth="1"/>
    <col min="8" max="8" width="8.28515625" bestFit="1" customWidth="1"/>
  </cols>
  <sheetData>
    <row r="1" spans="1:8" ht="18" customHeight="1" x14ac:dyDescent="0.25">
      <c r="A1" s="33" t="s">
        <v>12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2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2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2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43.5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9" t="s">
        <v>1060</v>
      </c>
      <c r="B14" s="9" t="s">
        <v>1061</v>
      </c>
      <c r="C14" s="9" t="s">
        <v>88</v>
      </c>
      <c r="D14" s="9" t="s">
        <v>103</v>
      </c>
      <c r="E14" s="9" t="s">
        <v>1273</v>
      </c>
      <c r="F14" s="10" t="s">
        <v>1062</v>
      </c>
      <c r="G14" s="10" t="s">
        <v>1260</v>
      </c>
      <c r="H14" s="10" t="s">
        <v>1290</v>
      </c>
    </row>
    <row r="15" spans="1:8" ht="17.100000000000001" customHeight="1" x14ac:dyDescent="0.25">
      <c r="A15" s="9"/>
      <c r="B15" s="9"/>
      <c r="C15" s="9"/>
      <c r="D15" s="9"/>
      <c r="E15" s="9"/>
      <c r="F15" s="10"/>
      <c r="G15" s="10"/>
      <c r="H15" s="10"/>
    </row>
    <row r="16" spans="1:8" ht="17.100000000000001" customHeight="1" x14ac:dyDescent="0.25">
      <c r="A16" s="9" t="s">
        <v>1096</v>
      </c>
      <c r="B16" s="9" t="s">
        <v>1222</v>
      </c>
      <c r="C16" s="9" t="s">
        <v>88</v>
      </c>
      <c r="D16" s="9" t="s">
        <v>93</v>
      </c>
      <c r="E16" s="9" t="s">
        <v>1256</v>
      </c>
      <c r="F16" s="10" t="s">
        <v>1052</v>
      </c>
      <c r="G16" s="10" t="s">
        <v>1260</v>
      </c>
      <c r="H16" s="10"/>
    </row>
    <row r="17" spans="1:8" ht="17.100000000000001" customHeight="1" x14ac:dyDescent="0.25">
      <c r="A17" s="9" t="s">
        <v>1097</v>
      </c>
      <c r="B17" s="9" t="s">
        <v>14</v>
      </c>
      <c r="C17" s="9" t="s">
        <v>88</v>
      </c>
      <c r="D17" s="9" t="s">
        <v>93</v>
      </c>
      <c r="E17" s="9" t="s">
        <v>1256</v>
      </c>
      <c r="F17" s="10" t="s">
        <v>1104</v>
      </c>
      <c r="G17" s="10" t="s">
        <v>1260</v>
      </c>
      <c r="H17" s="10"/>
    </row>
    <row r="18" spans="1:8" ht="17.100000000000001" customHeight="1" x14ac:dyDescent="0.25">
      <c r="A18" s="23"/>
      <c r="B18" s="23"/>
      <c r="C18" s="23"/>
      <c r="D18" s="23"/>
      <c r="E18" s="23"/>
      <c r="F18" s="24"/>
      <c r="G18" s="24"/>
      <c r="H18" s="24"/>
    </row>
    <row r="19" spans="1:8" ht="17.100000000000001" customHeight="1" x14ac:dyDescent="0.25">
      <c r="A19" s="9" t="s">
        <v>1118</v>
      </c>
      <c r="B19" s="9" t="s">
        <v>21</v>
      </c>
      <c r="C19" s="9" t="s">
        <v>88</v>
      </c>
      <c r="D19" s="9" t="s">
        <v>93</v>
      </c>
      <c r="E19" s="9" t="s">
        <v>1256</v>
      </c>
      <c r="F19" s="10" t="s">
        <v>1119</v>
      </c>
      <c r="G19" s="10" t="s">
        <v>1260</v>
      </c>
      <c r="H19" s="10" t="s">
        <v>1289</v>
      </c>
    </row>
    <row r="20" spans="1:8" ht="17.100000000000001" customHeight="1" x14ac:dyDescent="0.25">
      <c r="A20" s="9" t="s">
        <v>1123</v>
      </c>
      <c r="B20" s="9" t="s">
        <v>23</v>
      </c>
      <c r="C20" s="9" t="s">
        <v>88</v>
      </c>
      <c r="D20" s="9" t="s">
        <v>93</v>
      </c>
      <c r="E20" s="9" t="s">
        <v>1256</v>
      </c>
      <c r="F20" s="10" t="s">
        <v>1124</v>
      </c>
      <c r="G20" s="10" t="s">
        <v>1260</v>
      </c>
      <c r="H20" s="10"/>
    </row>
    <row r="21" spans="1:8" ht="17.100000000000001" customHeight="1" x14ac:dyDescent="0.25">
      <c r="A21" s="9"/>
      <c r="B21" s="9"/>
      <c r="C21" s="9"/>
      <c r="D21" s="9"/>
      <c r="E21" s="9"/>
      <c r="F21" s="10"/>
      <c r="G21" s="10"/>
      <c r="H21" s="10"/>
    </row>
    <row r="22" spans="1:8" ht="17.100000000000001" customHeight="1" x14ac:dyDescent="0.25">
      <c r="A22" s="9" t="s">
        <v>1114</v>
      </c>
      <c r="B22" s="9" t="s">
        <v>13</v>
      </c>
      <c r="C22" s="9" t="s">
        <v>88</v>
      </c>
      <c r="D22" s="9" t="s">
        <v>89</v>
      </c>
      <c r="E22" s="9" t="s">
        <v>1256</v>
      </c>
      <c r="F22" s="10" t="s">
        <v>1115</v>
      </c>
      <c r="G22" s="10" t="s">
        <v>1260</v>
      </c>
      <c r="H22" s="10"/>
    </row>
    <row r="23" spans="1:8" ht="17.100000000000001" customHeight="1" x14ac:dyDescent="0.25">
      <c r="A23" s="9" t="s">
        <v>1114</v>
      </c>
      <c r="B23" s="9" t="s">
        <v>13</v>
      </c>
      <c r="C23" s="9" t="s">
        <v>88</v>
      </c>
      <c r="D23" s="9" t="s">
        <v>89</v>
      </c>
      <c r="E23" s="9" t="s">
        <v>1256</v>
      </c>
      <c r="F23" s="10" t="s">
        <v>1116</v>
      </c>
      <c r="G23" s="10" t="s">
        <v>1260</v>
      </c>
      <c r="H23" s="10"/>
    </row>
    <row r="24" spans="1:8" ht="17.100000000000001" customHeight="1" x14ac:dyDescent="0.25">
      <c r="A24" s="9" t="s">
        <v>1117</v>
      </c>
      <c r="B24" s="9" t="s">
        <v>19</v>
      </c>
      <c r="C24" s="9" t="s">
        <v>88</v>
      </c>
      <c r="D24" s="9" t="s">
        <v>89</v>
      </c>
      <c r="E24" s="9" t="s">
        <v>1256</v>
      </c>
      <c r="F24" s="10" t="s">
        <v>1050</v>
      </c>
      <c r="G24" s="10" t="s">
        <v>1260</v>
      </c>
      <c r="H24" s="10"/>
    </row>
    <row r="25" spans="1:8" ht="17.100000000000001" customHeight="1" x14ac:dyDescent="0.25">
      <c r="A25" s="9"/>
      <c r="B25" s="9"/>
      <c r="C25" s="9"/>
      <c r="D25" s="9"/>
      <c r="E25" s="9"/>
      <c r="F25" s="10"/>
      <c r="G25" s="10"/>
      <c r="H25" s="10"/>
    </row>
    <row r="26" spans="1:8" ht="17.100000000000001" customHeight="1" x14ac:dyDescent="0.25">
      <c r="A26" s="9" t="s">
        <v>1111</v>
      </c>
      <c r="B26" s="9" t="s">
        <v>20</v>
      </c>
      <c r="C26" s="9" t="s">
        <v>88</v>
      </c>
      <c r="D26" s="9" t="s">
        <v>202</v>
      </c>
      <c r="E26" s="9" t="s">
        <v>1256</v>
      </c>
      <c r="F26" s="10" t="s">
        <v>1112</v>
      </c>
      <c r="G26" s="10" t="s">
        <v>1260</v>
      </c>
      <c r="H26" s="10"/>
    </row>
    <row r="27" spans="1:8" ht="17.100000000000001" customHeight="1" x14ac:dyDescent="0.25">
      <c r="A27" s="9" t="s">
        <v>1113</v>
      </c>
      <c r="B27" s="9" t="s">
        <v>20</v>
      </c>
      <c r="C27" s="9" t="s">
        <v>88</v>
      </c>
      <c r="D27" s="9" t="s">
        <v>202</v>
      </c>
      <c r="E27" s="9" t="s">
        <v>1256</v>
      </c>
      <c r="F27" s="10" t="s">
        <v>1120</v>
      </c>
      <c r="G27" s="10" t="s">
        <v>1260</v>
      </c>
      <c r="H27" s="10"/>
    </row>
    <row r="28" spans="1:8" ht="17.100000000000001" customHeight="1" x14ac:dyDescent="0.25">
      <c r="A28" s="23"/>
      <c r="B28" s="23"/>
      <c r="C28" s="23"/>
      <c r="D28" s="23"/>
      <c r="E28" s="23"/>
      <c r="F28" s="24"/>
      <c r="G28" s="24"/>
      <c r="H28" s="24"/>
    </row>
    <row r="29" spans="1:8" ht="17.100000000000001" customHeight="1" x14ac:dyDescent="0.25">
      <c r="A29" s="9" t="s">
        <v>998</v>
      </c>
      <c r="B29" s="9" t="s">
        <v>391</v>
      </c>
      <c r="C29" s="9" t="s">
        <v>88</v>
      </c>
      <c r="D29" s="9" t="s">
        <v>103</v>
      </c>
      <c r="E29" s="9" t="s">
        <v>1256</v>
      </c>
      <c r="F29" s="10" t="s">
        <v>1005</v>
      </c>
      <c r="G29" s="10" t="s">
        <v>1260</v>
      </c>
      <c r="H29" s="10" t="s">
        <v>1288</v>
      </c>
    </row>
    <row r="30" spans="1:8" ht="17.100000000000001" customHeight="1" x14ac:dyDescent="0.25">
      <c r="A30" s="9" t="s">
        <v>1088</v>
      </c>
      <c r="B30" s="9" t="s">
        <v>1087</v>
      </c>
      <c r="C30" s="9" t="s">
        <v>88</v>
      </c>
      <c r="D30" s="9" t="s">
        <v>103</v>
      </c>
      <c r="E30" s="9" t="s">
        <v>1256</v>
      </c>
      <c r="F30" s="10" t="s">
        <v>1086</v>
      </c>
      <c r="G30" s="10" t="s">
        <v>1260</v>
      </c>
      <c r="H30" s="10"/>
    </row>
    <row r="31" spans="1:8" ht="17.100000000000001" customHeight="1" x14ac:dyDescent="0.25">
      <c r="A31" s="9" t="s">
        <v>1088</v>
      </c>
      <c r="B31" s="9" t="s">
        <v>1087</v>
      </c>
      <c r="C31" s="9" t="s">
        <v>88</v>
      </c>
      <c r="D31" s="9" t="s">
        <v>103</v>
      </c>
      <c r="E31" s="9" t="s">
        <v>1256</v>
      </c>
      <c r="F31" s="10" t="s">
        <v>1125</v>
      </c>
      <c r="G31" s="10" t="s">
        <v>1260</v>
      </c>
      <c r="H31" s="10"/>
    </row>
    <row r="32" spans="1:8" ht="17.100000000000001" customHeight="1" x14ac:dyDescent="0.25">
      <c r="A32" s="9" t="s">
        <v>1134</v>
      </c>
      <c r="B32" s="9" t="s">
        <v>399</v>
      </c>
      <c r="C32" s="9" t="s">
        <v>88</v>
      </c>
      <c r="D32" s="9" t="s">
        <v>103</v>
      </c>
      <c r="E32" s="9" t="s">
        <v>1256</v>
      </c>
      <c r="F32" s="10" t="s">
        <v>1136</v>
      </c>
      <c r="G32" s="10" t="s">
        <v>1260</v>
      </c>
      <c r="H32" s="10"/>
    </row>
    <row r="33" spans="1:8" ht="17.100000000000001" customHeight="1" x14ac:dyDescent="0.25">
      <c r="A33" s="9" t="s">
        <v>1135</v>
      </c>
      <c r="B33" s="9" t="s">
        <v>399</v>
      </c>
      <c r="C33" s="9" t="s">
        <v>88</v>
      </c>
      <c r="D33" s="9" t="s">
        <v>103</v>
      </c>
      <c r="E33" s="9" t="s">
        <v>1256</v>
      </c>
      <c r="F33" s="10" t="s">
        <v>1145</v>
      </c>
      <c r="G33" s="10" t="s">
        <v>1260</v>
      </c>
      <c r="H33" s="10"/>
    </row>
    <row r="34" spans="1:8" ht="17.100000000000001" customHeight="1" x14ac:dyDescent="0.25">
      <c r="A34" s="9" t="s">
        <v>1145</v>
      </c>
      <c r="B34" s="9" t="s">
        <v>399</v>
      </c>
      <c r="C34" s="9" t="s">
        <v>88</v>
      </c>
      <c r="D34" s="9" t="s">
        <v>103</v>
      </c>
      <c r="E34" s="9" t="s">
        <v>1256</v>
      </c>
      <c r="F34" s="10" t="s">
        <v>1161</v>
      </c>
      <c r="G34" s="10" t="s">
        <v>1260</v>
      </c>
      <c r="H34" s="10"/>
    </row>
    <row r="35" spans="1:8" ht="17.100000000000001" customHeight="1" x14ac:dyDescent="0.25">
      <c r="A35" s="9" t="s">
        <v>1161</v>
      </c>
      <c r="B35" s="9" t="s">
        <v>399</v>
      </c>
      <c r="C35" s="9" t="s">
        <v>88</v>
      </c>
      <c r="D35" s="9" t="s">
        <v>103</v>
      </c>
      <c r="E35" s="9" t="s">
        <v>1256</v>
      </c>
      <c r="F35" s="10" t="s">
        <v>1163</v>
      </c>
      <c r="G35" s="10" t="s">
        <v>1260</v>
      </c>
      <c r="H35" s="10"/>
    </row>
    <row r="36" spans="1:8" ht="17.100000000000001" customHeight="1" x14ac:dyDescent="0.25">
      <c r="A36" s="9" t="s">
        <v>1163</v>
      </c>
      <c r="B36" s="9" t="s">
        <v>399</v>
      </c>
      <c r="C36" s="9" t="s">
        <v>88</v>
      </c>
      <c r="D36" s="9" t="s">
        <v>103</v>
      </c>
      <c r="E36" s="9" t="s">
        <v>1256</v>
      </c>
      <c r="F36" s="10" t="s">
        <v>989</v>
      </c>
      <c r="G36" s="10" t="s">
        <v>1260</v>
      </c>
      <c r="H36" s="10"/>
    </row>
    <row r="37" spans="1:8" ht="17.100000000000001" customHeight="1" x14ac:dyDescent="0.25">
      <c r="A37" s="9" t="s">
        <v>1130</v>
      </c>
      <c r="B37" s="9" t="s">
        <v>592</v>
      </c>
      <c r="C37" s="9" t="s">
        <v>88</v>
      </c>
      <c r="D37" s="9" t="s">
        <v>103</v>
      </c>
      <c r="E37" s="9" t="s">
        <v>1273</v>
      </c>
      <c r="F37" s="10" t="s">
        <v>647</v>
      </c>
      <c r="G37" s="10" t="s">
        <v>1260</v>
      </c>
      <c r="H37" s="10"/>
    </row>
    <row r="38" spans="1:8" ht="17.100000000000001" customHeight="1" x14ac:dyDescent="0.25">
      <c r="A38" s="10" t="s">
        <v>1130</v>
      </c>
      <c r="B38" s="9" t="s">
        <v>592</v>
      </c>
      <c r="C38" s="9" t="s">
        <v>88</v>
      </c>
      <c r="D38" s="9" t="s">
        <v>103</v>
      </c>
      <c r="E38" s="9" t="s">
        <v>1309</v>
      </c>
      <c r="F38" s="9" t="s">
        <v>1129</v>
      </c>
      <c r="G38" s="10" t="s">
        <v>1260</v>
      </c>
      <c r="H38" s="10"/>
    </row>
    <row r="39" spans="1:8" ht="17.100000000000001" customHeight="1" x14ac:dyDescent="0.25">
      <c r="A39" s="10" t="s">
        <v>1141</v>
      </c>
      <c r="B39" s="9" t="s">
        <v>1140</v>
      </c>
      <c r="C39" s="9" t="s">
        <v>88</v>
      </c>
      <c r="D39" s="9" t="s">
        <v>103</v>
      </c>
      <c r="E39" s="9" t="s">
        <v>1256</v>
      </c>
      <c r="F39" s="9" t="s">
        <v>1139</v>
      </c>
      <c r="G39" s="10" t="s">
        <v>1260</v>
      </c>
      <c r="H39" s="10"/>
    </row>
    <row r="40" spans="1:8" ht="17.100000000000001" customHeight="1" x14ac:dyDescent="0.25">
      <c r="A40" s="9" t="s">
        <v>1184</v>
      </c>
      <c r="B40" s="9" t="s">
        <v>106</v>
      </c>
      <c r="C40" s="9" t="s">
        <v>88</v>
      </c>
      <c r="D40" s="9" t="s">
        <v>103</v>
      </c>
      <c r="E40" s="9" t="s">
        <v>1256</v>
      </c>
      <c r="F40" s="10" t="s">
        <v>107</v>
      </c>
      <c r="G40" s="10" t="s">
        <v>1260</v>
      </c>
      <c r="H40" s="10"/>
    </row>
    <row r="41" spans="1:8" ht="17.100000000000001" customHeight="1" x14ac:dyDescent="0.25">
      <c r="A41" s="9" t="s">
        <v>1196</v>
      </c>
      <c r="B41" s="9" t="s">
        <v>469</v>
      </c>
      <c r="C41" s="9" t="s">
        <v>88</v>
      </c>
      <c r="D41" s="9" t="s">
        <v>103</v>
      </c>
      <c r="E41" s="9" t="s">
        <v>1256</v>
      </c>
      <c r="F41" s="10" t="s">
        <v>648</v>
      </c>
      <c r="G41" s="10" t="s">
        <v>1260</v>
      </c>
      <c r="H41" s="10"/>
    </row>
    <row r="42" spans="1:8" ht="17.100000000000001" customHeight="1" x14ac:dyDescent="0.25">
      <c r="A42" s="9" t="s">
        <v>1198</v>
      </c>
      <c r="B42" s="9" t="s">
        <v>479</v>
      </c>
      <c r="C42" s="9" t="s">
        <v>88</v>
      </c>
      <c r="D42" s="9" t="s">
        <v>103</v>
      </c>
      <c r="E42" s="9" t="s">
        <v>1256</v>
      </c>
      <c r="F42" s="10" t="s">
        <v>649</v>
      </c>
      <c r="G42" s="10" t="s">
        <v>1260</v>
      </c>
      <c r="H42" s="10"/>
    </row>
    <row r="43" spans="1:8" ht="17.100000000000001" customHeight="1" x14ac:dyDescent="0.25">
      <c r="A43" s="9" t="s">
        <v>1152</v>
      </c>
      <c r="B43" s="9" t="s">
        <v>1153</v>
      </c>
      <c r="C43" s="9" t="s">
        <v>88</v>
      </c>
      <c r="D43" s="9" t="s">
        <v>103</v>
      </c>
      <c r="E43" s="9" t="s">
        <v>1256</v>
      </c>
      <c r="F43" s="10" t="s">
        <v>1154</v>
      </c>
      <c r="G43" s="10" t="s">
        <v>1260</v>
      </c>
      <c r="H43" s="10"/>
    </row>
    <row r="44" spans="1:8" ht="17.100000000000001" customHeight="1" x14ac:dyDescent="0.25">
      <c r="A44" s="23"/>
      <c r="B44" s="23"/>
      <c r="C44" s="23"/>
      <c r="D44" s="23"/>
      <c r="E44" s="23"/>
      <c r="F44" s="24"/>
      <c r="G44" s="24"/>
      <c r="H44" s="24"/>
    </row>
    <row r="45" spans="1:8" ht="17.100000000000001" customHeight="1" x14ac:dyDescent="0.25">
      <c r="A45" s="9" t="s">
        <v>1026</v>
      </c>
      <c r="B45" s="9" t="s">
        <v>1222</v>
      </c>
      <c r="C45" s="9" t="s">
        <v>88</v>
      </c>
      <c r="D45" s="9" t="s">
        <v>103</v>
      </c>
      <c r="E45" s="9" t="s">
        <v>1256</v>
      </c>
      <c r="F45" s="10" t="s">
        <v>1147</v>
      </c>
      <c r="G45" s="10" t="s">
        <v>1260</v>
      </c>
      <c r="H45" s="10" t="s">
        <v>1287</v>
      </c>
    </row>
    <row r="46" spans="1:8" ht="17.100000000000001" customHeight="1" x14ac:dyDescent="0.25">
      <c r="A46" s="9" t="s">
        <v>1148</v>
      </c>
      <c r="B46" s="9" t="s">
        <v>1222</v>
      </c>
      <c r="C46" s="9" t="s">
        <v>88</v>
      </c>
      <c r="D46" s="9" t="s">
        <v>103</v>
      </c>
      <c r="E46" s="9" t="s">
        <v>1273</v>
      </c>
      <c r="F46" s="10" t="s">
        <v>1036</v>
      </c>
      <c r="G46" s="10" t="s">
        <v>1260</v>
      </c>
      <c r="H46" s="10"/>
    </row>
    <row r="47" spans="1:8" ht="17.100000000000001" customHeight="1" x14ac:dyDescent="0.25">
      <c r="A47" s="9" t="s">
        <v>1147</v>
      </c>
      <c r="B47" s="9" t="s">
        <v>1222</v>
      </c>
      <c r="C47" s="9" t="s">
        <v>88</v>
      </c>
      <c r="D47" s="9" t="s">
        <v>103</v>
      </c>
      <c r="E47" s="9" t="s">
        <v>1256</v>
      </c>
      <c r="F47" s="10" t="s">
        <v>1019</v>
      </c>
      <c r="G47" s="10" t="s">
        <v>1260</v>
      </c>
      <c r="H47" s="10"/>
    </row>
    <row r="48" spans="1:8" ht="17.100000000000001" customHeight="1" x14ac:dyDescent="0.25">
      <c r="A48" s="9" t="s">
        <v>1000</v>
      </c>
      <c r="B48" s="9" t="s">
        <v>1222</v>
      </c>
      <c r="C48" s="9" t="s">
        <v>88</v>
      </c>
      <c r="D48" s="9" t="s">
        <v>103</v>
      </c>
      <c r="E48" s="9" t="s">
        <v>1256</v>
      </c>
      <c r="F48" s="10" t="s">
        <v>1007</v>
      </c>
      <c r="G48" s="10" t="s">
        <v>1260</v>
      </c>
      <c r="H48" s="10"/>
    </row>
    <row r="49" spans="1:8" ht="17.100000000000001" customHeight="1" x14ac:dyDescent="0.25">
      <c r="A49" s="9" t="s">
        <v>1185</v>
      </c>
      <c r="B49" s="9" t="s">
        <v>1222</v>
      </c>
      <c r="C49" s="9" t="s">
        <v>88</v>
      </c>
      <c r="D49" s="9" t="s">
        <v>103</v>
      </c>
      <c r="E49" s="9" t="s">
        <v>1256</v>
      </c>
      <c r="F49" s="10" t="s">
        <v>1053</v>
      </c>
      <c r="G49" s="10" t="s">
        <v>1260</v>
      </c>
      <c r="H49" s="10"/>
    </row>
    <row r="50" spans="1:8" ht="17.100000000000001" customHeight="1" x14ac:dyDescent="0.25">
      <c r="A50" s="9" t="s">
        <v>1197</v>
      </c>
      <c r="B50" s="9" t="s">
        <v>1222</v>
      </c>
      <c r="C50" s="9" t="s">
        <v>88</v>
      </c>
      <c r="D50" s="9" t="s">
        <v>103</v>
      </c>
      <c r="E50" s="9" t="s">
        <v>1256</v>
      </c>
      <c r="F50" s="10" t="s">
        <v>988</v>
      </c>
      <c r="G50" s="10" t="s">
        <v>1260</v>
      </c>
      <c r="H50" s="10"/>
    </row>
    <row r="51" spans="1:8" ht="17.100000000000001" customHeight="1" x14ac:dyDescent="0.25">
      <c r="A51" s="9" t="s">
        <v>1079</v>
      </c>
      <c r="B51" s="9" t="s">
        <v>865</v>
      </c>
      <c r="C51" s="9" t="s">
        <v>88</v>
      </c>
      <c r="D51" s="9" t="s">
        <v>103</v>
      </c>
      <c r="E51" s="9" t="s">
        <v>1256</v>
      </c>
      <c r="F51" s="10" t="s">
        <v>1078</v>
      </c>
      <c r="G51" s="10" t="s">
        <v>1260</v>
      </c>
      <c r="H51" s="10"/>
    </row>
    <row r="52" spans="1:8" ht="17.100000000000001" customHeight="1" x14ac:dyDescent="0.25">
      <c r="A52" s="9" t="s">
        <v>1137</v>
      </c>
      <c r="B52" s="9" t="s">
        <v>865</v>
      </c>
      <c r="C52" s="9" t="s">
        <v>88</v>
      </c>
      <c r="D52" s="9" t="s">
        <v>103</v>
      </c>
      <c r="E52" s="9" t="s">
        <v>1256</v>
      </c>
      <c r="F52" s="10" t="s">
        <v>1146</v>
      </c>
      <c r="G52" s="10" t="s">
        <v>1260</v>
      </c>
      <c r="H52" s="10"/>
    </row>
    <row r="53" spans="1:8" ht="17.100000000000001" customHeight="1" x14ac:dyDescent="0.25">
      <c r="A53" s="9" t="s">
        <v>1146</v>
      </c>
      <c r="B53" s="9" t="s">
        <v>865</v>
      </c>
      <c r="C53" s="9" t="s">
        <v>88</v>
      </c>
      <c r="D53" s="9" t="s">
        <v>103</v>
      </c>
      <c r="E53" s="9" t="s">
        <v>1256</v>
      </c>
      <c r="F53" s="10" t="s">
        <v>1162</v>
      </c>
      <c r="G53" s="10" t="s">
        <v>1260</v>
      </c>
      <c r="H53" s="10"/>
    </row>
    <row r="54" spans="1:8" ht="17.100000000000001" customHeight="1" x14ac:dyDescent="0.25">
      <c r="A54" s="9" t="s">
        <v>1162</v>
      </c>
      <c r="B54" s="9" t="s">
        <v>865</v>
      </c>
      <c r="C54" s="9" t="s">
        <v>88</v>
      </c>
      <c r="D54" s="9" t="s">
        <v>103</v>
      </c>
      <c r="E54" s="9" t="s">
        <v>1256</v>
      </c>
      <c r="F54" s="10" t="s">
        <v>1164</v>
      </c>
      <c r="G54" s="10" t="s">
        <v>1260</v>
      </c>
      <c r="H54" s="10"/>
    </row>
    <row r="55" spans="1:8" ht="17.100000000000001" customHeight="1" x14ac:dyDescent="0.25">
      <c r="A55" s="9" t="s">
        <v>1164</v>
      </c>
      <c r="B55" s="9" t="s">
        <v>865</v>
      </c>
      <c r="C55" s="9" t="s">
        <v>88</v>
      </c>
      <c r="D55" s="9" t="s">
        <v>103</v>
      </c>
      <c r="E55" s="9" t="s">
        <v>1256</v>
      </c>
      <c r="F55" s="10" t="s">
        <v>990</v>
      </c>
      <c r="G55" s="10" t="s">
        <v>1260</v>
      </c>
      <c r="H55" s="10"/>
    </row>
    <row r="56" spans="1:8" ht="17.100000000000001" customHeight="1" x14ac:dyDescent="0.25">
      <c r="A56" s="23"/>
      <c r="B56" s="23"/>
      <c r="C56" s="23"/>
      <c r="D56" s="23"/>
      <c r="E56" s="23"/>
      <c r="F56" s="24"/>
      <c r="G56" s="24"/>
      <c r="H56" s="24"/>
    </row>
    <row r="57" spans="1:8" ht="17.100000000000001" customHeight="1" x14ac:dyDescent="0.25">
      <c r="A57" s="9" t="s">
        <v>1194</v>
      </c>
      <c r="B57" s="9" t="s">
        <v>1195</v>
      </c>
      <c r="C57" s="9" t="s">
        <v>88</v>
      </c>
      <c r="D57" s="9" t="s">
        <v>103</v>
      </c>
      <c r="E57" s="9" t="s">
        <v>1273</v>
      </c>
      <c r="F57" s="10" t="s">
        <v>1089</v>
      </c>
      <c r="G57" s="10" t="s">
        <v>1260</v>
      </c>
      <c r="H57" s="10" t="s">
        <v>1286</v>
      </c>
    </row>
    <row r="58" spans="1:8" ht="17.100000000000001" customHeight="1" x14ac:dyDescent="0.25">
      <c r="A58" s="9" t="s">
        <v>1138</v>
      </c>
      <c r="B58" s="9" t="s">
        <v>21</v>
      </c>
      <c r="C58" s="9" t="s">
        <v>88</v>
      </c>
      <c r="D58" s="9" t="s">
        <v>103</v>
      </c>
      <c r="E58" s="9" t="s">
        <v>1256</v>
      </c>
      <c r="F58" s="10" t="s">
        <v>1119</v>
      </c>
      <c r="G58" s="10" t="s">
        <v>1260</v>
      </c>
      <c r="H58" s="10"/>
    </row>
    <row r="59" spans="1:8" ht="17.100000000000001" customHeight="1" x14ac:dyDescent="0.25">
      <c r="A59" s="9" t="s">
        <v>1168</v>
      </c>
      <c r="B59" s="9" t="s">
        <v>21</v>
      </c>
      <c r="C59" s="9" t="s">
        <v>88</v>
      </c>
      <c r="D59" s="9" t="s">
        <v>103</v>
      </c>
      <c r="E59" s="9" t="s">
        <v>1256</v>
      </c>
      <c r="F59" s="10" t="s">
        <v>1056</v>
      </c>
      <c r="G59" s="10" t="s">
        <v>1260</v>
      </c>
      <c r="H59" s="10"/>
    </row>
    <row r="60" spans="1:8" ht="17.100000000000001" customHeight="1" x14ac:dyDescent="0.25">
      <c r="A60" s="9" t="s">
        <v>1015</v>
      </c>
      <c r="B60" s="9" t="s">
        <v>21</v>
      </c>
      <c r="C60" s="9" t="s">
        <v>88</v>
      </c>
      <c r="D60" s="9" t="s">
        <v>103</v>
      </c>
      <c r="E60" s="9" t="s">
        <v>1256</v>
      </c>
      <c r="F60" s="10" t="s">
        <v>1054</v>
      </c>
      <c r="G60" s="10" t="s">
        <v>1260</v>
      </c>
      <c r="H60" s="10"/>
    </row>
    <row r="61" spans="1:8" ht="17.100000000000001" customHeight="1" x14ac:dyDescent="0.25">
      <c r="A61" s="9" t="s">
        <v>1071</v>
      </c>
      <c r="B61" s="9" t="s">
        <v>1070</v>
      </c>
      <c r="C61" s="9" t="s">
        <v>88</v>
      </c>
      <c r="D61" s="9" t="s">
        <v>103</v>
      </c>
      <c r="E61" s="9" t="s">
        <v>1256</v>
      </c>
      <c r="F61" s="10" t="s">
        <v>1069</v>
      </c>
      <c r="G61" s="10" t="s">
        <v>1260</v>
      </c>
      <c r="H61" s="10"/>
    </row>
    <row r="62" spans="1:8" ht="17.100000000000001" customHeight="1" x14ac:dyDescent="0.25">
      <c r="A62" s="9" t="s">
        <v>1131</v>
      </c>
      <c r="B62" s="9" t="s">
        <v>1132</v>
      </c>
      <c r="C62" s="9" t="s">
        <v>88</v>
      </c>
      <c r="D62" s="9" t="s">
        <v>103</v>
      </c>
      <c r="E62" s="9" t="s">
        <v>1256</v>
      </c>
      <c r="F62" s="10" t="s">
        <v>1133</v>
      </c>
      <c r="G62" s="10" t="s">
        <v>1260</v>
      </c>
      <c r="H62" s="10"/>
    </row>
    <row r="63" spans="1:8" ht="17.100000000000001" customHeight="1" x14ac:dyDescent="0.25">
      <c r="A63" s="9" t="s">
        <v>1133</v>
      </c>
      <c r="B63" s="9" t="s">
        <v>1132</v>
      </c>
      <c r="C63" s="9" t="s">
        <v>88</v>
      </c>
      <c r="D63" s="9" t="s">
        <v>103</v>
      </c>
      <c r="E63" s="9" t="s">
        <v>1256</v>
      </c>
      <c r="F63" s="10" t="s">
        <v>1155</v>
      </c>
      <c r="G63" s="10" t="s">
        <v>1260</v>
      </c>
      <c r="H63" s="10"/>
    </row>
    <row r="64" spans="1:8" ht="17.100000000000001" customHeight="1" x14ac:dyDescent="0.25">
      <c r="A64" s="9" t="s">
        <v>1136</v>
      </c>
      <c r="B64" s="9" t="s">
        <v>399</v>
      </c>
      <c r="C64" s="9" t="s">
        <v>88</v>
      </c>
      <c r="D64" s="9" t="s">
        <v>103</v>
      </c>
      <c r="E64" s="9" t="s">
        <v>1256</v>
      </c>
      <c r="F64" s="10" t="s">
        <v>1187</v>
      </c>
      <c r="G64" s="10" t="s">
        <v>1260</v>
      </c>
      <c r="H64" s="10"/>
    </row>
    <row r="65" spans="1:8" ht="17.100000000000001" customHeight="1" x14ac:dyDescent="0.25">
      <c r="A65" s="9" t="s">
        <v>1142</v>
      </c>
      <c r="B65" s="9" t="s">
        <v>1143</v>
      </c>
      <c r="C65" s="9" t="s">
        <v>88</v>
      </c>
      <c r="D65" s="9" t="s">
        <v>103</v>
      </c>
      <c r="E65" s="9" t="s">
        <v>1256</v>
      </c>
      <c r="F65" s="10" t="s">
        <v>1144</v>
      </c>
      <c r="G65" s="10" t="s">
        <v>1260</v>
      </c>
      <c r="H65" s="10"/>
    </row>
    <row r="66" spans="1:8" ht="17.100000000000001" customHeight="1" x14ac:dyDescent="0.25">
      <c r="A66" s="9" t="s">
        <v>1103</v>
      </c>
      <c r="B66" s="9" t="s">
        <v>1102</v>
      </c>
      <c r="C66" s="9" t="s">
        <v>88</v>
      </c>
      <c r="D66" s="9" t="s">
        <v>103</v>
      </c>
      <c r="E66" s="9" t="s">
        <v>1256</v>
      </c>
      <c r="F66" s="10" t="s">
        <v>1101</v>
      </c>
      <c r="G66" s="10" t="s">
        <v>1260</v>
      </c>
      <c r="H66" s="10"/>
    </row>
    <row r="67" spans="1:8" ht="17.100000000000001" customHeight="1" x14ac:dyDescent="0.25">
      <c r="A67" s="9" t="s">
        <v>1100</v>
      </c>
      <c r="B67" s="9" t="s">
        <v>1099</v>
      </c>
      <c r="C67" s="9" t="s">
        <v>88</v>
      </c>
      <c r="D67" s="9" t="s">
        <v>103</v>
      </c>
      <c r="E67" s="9" t="s">
        <v>1256</v>
      </c>
      <c r="F67" s="10" t="s">
        <v>1098</v>
      </c>
      <c r="G67" s="10" t="s">
        <v>1260</v>
      </c>
      <c r="H67" s="10"/>
    </row>
    <row r="68" spans="1:8" ht="17.100000000000001" customHeight="1" x14ac:dyDescent="0.25">
      <c r="A68" s="9" t="s">
        <v>1149</v>
      </c>
      <c r="B68" s="9" t="s">
        <v>1150</v>
      </c>
      <c r="C68" s="9" t="s">
        <v>88</v>
      </c>
      <c r="D68" s="9" t="s">
        <v>103</v>
      </c>
      <c r="E68" s="9" t="s">
        <v>1256</v>
      </c>
      <c r="F68" s="10" t="s">
        <v>1151</v>
      </c>
      <c r="G68" s="10" t="s">
        <v>1260</v>
      </c>
      <c r="H68" s="10"/>
    </row>
    <row r="69" spans="1:8" ht="17.100000000000001" customHeight="1" x14ac:dyDescent="0.25">
      <c r="A69" s="9" t="s">
        <v>1092</v>
      </c>
      <c r="B69" s="9" t="s">
        <v>1091</v>
      </c>
      <c r="C69" s="9" t="s">
        <v>88</v>
      </c>
      <c r="D69" s="9" t="s">
        <v>103</v>
      </c>
      <c r="E69" s="9" t="s">
        <v>1256</v>
      </c>
      <c r="F69" s="10" t="s">
        <v>1090</v>
      </c>
      <c r="G69" s="10" t="s">
        <v>1260</v>
      </c>
      <c r="H69" s="10"/>
    </row>
    <row r="70" spans="1:8" ht="17.100000000000001" customHeight="1" x14ac:dyDescent="0.25">
      <c r="A70" s="9" t="s">
        <v>1092</v>
      </c>
      <c r="B70" s="9" t="s">
        <v>1091</v>
      </c>
      <c r="C70" s="9" t="s">
        <v>88</v>
      </c>
      <c r="D70" s="9" t="s">
        <v>103</v>
      </c>
      <c r="E70" s="9" t="s">
        <v>1256</v>
      </c>
      <c r="F70" s="10" t="s">
        <v>1160</v>
      </c>
      <c r="G70" s="10" t="s">
        <v>1260</v>
      </c>
      <c r="H70" s="10"/>
    </row>
    <row r="71" spans="1:8" ht="17.100000000000001" customHeight="1" x14ac:dyDescent="0.25">
      <c r="A71" s="9" t="s">
        <v>1165</v>
      </c>
      <c r="B71" s="9" t="s">
        <v>1166</v>
      </c>
      <c r="C71" s="9" t="s">
        <v>88</v>
      </c>
      <c r="D71" s="9" t="s">
        <v>103</v>
      </c>
      <c r="E71" s="9" t="s">
        <v>1256</v>
      </c>
      <c r="F71" s="10" t="s">
        <v>1167</v>
      </c>
      <c r="G71" s="10" t="s">
        <v>1260</v>
      </c>
      <c r="H71" s="10"/>
    </row>
    <row r="72" spans="1:8" ht="17.100000000000001" customHeight="1" x14ac:dyDescent="0.25">
      <c r="A72" s="9" t="s">
        <v>1095</v>
      </c>
      <c r="B72" s="9" t="s">
        <v>1094</v>
      </c>
      <c r="C72" s="9" t="s">
        <v>88</v>
      </c>
      <c r="D72" s="9" t="s">
        <v>103</v>
      </c>
      <c r="E72" s="9" t="s">
        <v>1256</v>
      </c>
      <c r="F72" s="10" t="s">
        <v>1093</v>
      </c>
      <c r="G72" s="10" t="s">
        <v>1260</v>
      </c>
      <c r="H72" s="10"/>
    </row>
    <row r="73" spans="1:8" ht="17.100000000000001" customHeight="1" x14ac:dyDescent="0.25">
      <c r="A73" s="9" t="s">
        <v>1074</v>
      </c>
      <c r="B73" s="9" t="s">
        <v>1073</v>
      </c>
      <c r="C73" s="9" t="s">
        <v>88</v>
      </c>
      <c r="D73" s="9" t="s">
        <v>103</v>
      </c>
      <c r="E73" s="9" t="s">
        <v>1256</v>
      </c>
      <c r="F73" s="10" t="s">
        <v>1072</v>
      </c>
      <c r="G73" s="10" t="s">
        <v>1260</v>
      </c>
      <c r="H73" s="10"/>
    </row>
    <row r="74" spans="1:8" ht="17.100000000000001" customHeight="1" x14ac:dyDescent="0.25">
      <c r="A74" s="9" t="s">
        <v>1174</v>
      </c>
      <c r="B74" s="9" t="s">
        <v>1175</v>
      </c>
      <c r="C74" s="9" t="s">
        <v>88</v>
      </c>
      <c r="D74" s="9" t="s">
        <v>103</v>
      </c>
      <c r="E74" s="9" t="s">
        <v>1256</v>
      </c>
      <c r="F74" s="10" t="s">
        <v>1176</v>
      </c>
      <c r="G74" s="10" t="s">
        <v>1260</v>
      </c>
      <c r="H74" s="10"/>
    </row>
    <row r="75" spans="1:8" ht="17.100000000000001" customHeight="1" x14ac:dyDescent="0.25">
      <c r="A75" s="9" t="s">
        <v>1171</v>
      </c>
      <c r="B75" s="9" t="s">
        <v>1172</v>
      </c>
      <c r="C75" s="9" t="s">
        <v>88</v>
      </c>
      <c r="D75" s="9" t="s">
        <v>103</v>
      </c>
      <c r="E75" s="9" t="s">
        <v>1256</v>
      </c>
      <c r="F75" s="10" t="s">
        <v>1173</v>
      </c>
      <c r="G75" s="10" t="s">
        <v>1260</v>
      </c>
      <c r="H75" s="10"/>
    </row>
    <row r="76" spans="1:8" ht="17.100000000000001" customHeight="1" x14ac:dyDescent="0.25">
      <c r="A76" s="9" t="s">
        <v>1173</v>
      </c>
      <c r="B76" s="9" t="s">
        <v>1172</v>
      </c>
      <c r="C76" s="9" t="s">
        <v>88</v>
      </c>
      <c r="D76" s="9" t="s">
        <v>103</v>
      </c>
      <c r="E76" s="9" t="s">
        <v>1256</v>
      </c>
      <c r="F76" s="10" t="s">
        <v>1183</v>
      </c>
      <c r="G76" s="10" t="s">
        <v>1260</v>
      </c>
      <c r="H76" s="10"/>
    </row>
    <row r="77" spans="1:8" ht="17.100000000000001" customHeight="1" x14ac:dyDescent="0.25">
      <c r="A77" s="9" t="s">
        <v>1188</v>
      </c>
      <c r="B77" s="9" t="s">
        <v>1189</v>
      </c>
      <c r="C77" s="9" t="s">
        <v>88</v>
      </c>
      <c r="D77" s="9" t="s">
        <v>103</v>
      </c>
      <c r="E77" s="9" t="s">
        <v>1256</v>
      </c>
      <c r="F77" s="10" t="s">
        <v>1190</v>
      </c>
      <c r="G77" s="10" t="s">
        <v>1260</v>
      </c>
      <c r="H77" s="10"/>
    </row>
    <row r="78" spans="1:8" ht="17.100000000000001" customHeight="1" x14ac:dyDescent="0.25">
      <c r="A78" s="9" t="s">
        <v>1082</v>
      </c>
      <c r="B78" s="9" t="s">
        <v>1081</v>
      </c>
      <c r="C78" s="9" t="s">
        <v>88</v>
      </c>
      <c r="D78" s="9" t="s">
        <v>103</v>
      </c>
      <c r="E78" s="9" t="s">
        <v>1256</v>
      </c>
      <c r="F78" s="10" t="s">
        <v>1080</v>
      </c>
      <c r="G78" s="10" t="s">
        <v>1260</v>
      </c>
      <c r="H78" s="10"/>
    </row>
    <row r="79" spans="1:8" ht="17.100000000000001" customHeight="1" x14ac:dyDescent="0.25">
      <c r="A79" s="9" t="s">
        <v>1065</v>
      </c>
      <c r="B79" s="9" t="s">
        <v>1064</v>
      </c>
      <c r="C79" s="9" t="s">
        <v>88</v>
      </c>
      <c r="D79" s="9" t="s">
        <v>103</v>
      </c>
      <c r="E79" s="9" t="s">
        <v>1256</v>
      </c>
      <c r="F79" s="10" t="s">
        <v>1063</v>
      </c>
      <c r="G79" s="10" t="s">
        <v>1260</v>
      </c>
      <c r="H79" s="10"/>
    </row>
    <row r="80" spans="1:8" ht="17.100000000000001" customHeight="1" x14ac:dyDescent="0.25">
      <c r="A80" s="9" t="s">
        <v>1085</v>
      </c>
      <c r="B80" s="9" t="s">
        <v>1084</v>
      </c>
      <c r="C80" s="9" t="s">
        <v>88</v>
      </c>
      <c r="D80" s="9" t="s">
        <v>103</v>
      </c>
      <c r="E80" s="9" t="s">
        <v>1256</v>
      </c>
      <c r="F80" s="10" t="s">
        <v>1083</v>
      </c>
      <c r="G80" s="10" t="s">
        <v>1260</v>
      </c>
      <c r="H80" s="10"/>
    </row>
    <row r="81" spans="1:8" ht="17.100000000000001" customHeight="1" x14ac:dyDescent="0.25">
      <c r="A81" s="9" t="s">
        <v>1068</v>
      </c>
      <c r="B81" s="9" t="s">
        <v>1067</v>
      </c>
      <c r="C81" s="9" t="s">
        <v>88</v>
      </c>
      <c r="D81" s="9" t="s">
        <v>103</v>
      </c>
      <c r="E81" s="9" t="s">
        <v>1256</v>
      </c>
      <c r="F81" s="10" t="s">
        <v>1066</v>
      </c>
      <c r="G81" s="10" t="s">
        <v>1260</v>
      </c>
      <c r="H81" s="10"/>
    </row>
    <row r="82" spans="1:8" ht="17.100000000000001" customHeight="1" x14ac:dyDescent="0.25">
      <c r="A82" s="9" t="s">
        <v>1191</v>
      </c>
      <c r="B82" s="9" t="s">
        <v>1192</v>
      </c>
      <c r="C82" s="9" t="s">
        <v>88</v>
      </c>
      <c r="D82" s="9" t="s">
        <v>103</v>
      </c>
      <c r="E82" s="9" t="s">
        <v>1256</v>
      </c>
      <c r="F82" s="10" t="s">
        <v>1193</v>
      </c>
      <c r="G82" s="10" t="s">
        <v>1260</v>
      </c>
      <c r="H82" s="10"/>
    </row>
    <row r="83" spans="1:8" ht="17.100000000000001" customHeight="1" x14ac:dyDescent="0.25">
      <c r="A83" s="9" t="s">
        <v>1156</v>
      </c>
      <c r="B83" s="9" t="s">
        <v>1157</v>
      </c>
      <c r="C83" s="9" t="s">
        <v>88</v>
      </c>
      <c r="D83" s="9" t="s">
        <v>103</v>
      </c>
      <c r="E83" s="9" t="s">
        <v>1256</v>
      </c>
      <c r="F83" s="10" t="s">
        <v>1158</v>
      </c>
      <c r="G83" s="10" t="s">
        <v>1260</v>
      </c>
      <c r="H83" s="10"/>
    </row>
    <row r="84" spans="1:8" ht="17.100000000000001" customHeight="1" x14ac:dyDescent="0.25">
      <c r="A84" s="9" t="s">
        <v>1041</v>
      </c>
      <c r="B84" s="9" t="s">
        <v>1039</v>
      </c>
      <c r="C84" s="9" t="s">
        <v>88</v>
      </c>
      <c r="D84" s="9" t="s">
        <v>103</v>
      </c>
      <c r="E84" s="9" t="s">
        <v>1256</v>
      </c>
      <c r="F84" s="10" t="s">
        <v>1186</v>
      </c>
      <c r="G84" s="10" t="s">
        <v>1260</v>
      </c>
      <c r="H84" s="10"/>
    </row>
    <row r="85" spans="1:8" ht="17.100000000000001" customHeight="1" x14ac:dyDescent="0.25">
      <c r="A85" s="9" t="s">
        <v>1044</v>
      </c>
      <c r="B85" s="9" t="s">
        <v>1043</v>
      </c>
      <c r="C85" s="9" t="s">
        <v>88</v>
      </c>
      <c r="D85" s="9" t="s">
        <v>103</v>
      </c>
      <c r="E85" s="9" t="s">
        <v>1256</v>
      </c>
      <c r="F85" s="10" t="s">
        <v>1159</v>
      </c>
      <c r="G85" s="10" t="s">
        <v>1260</v>
      </c>
      <c r="H85" s="10"/>
    </row>
    <row r="86" spans="1:8" ht="17.100000000000001" customHeight="1" x14ac:dyDescent="0.25">
      <c r="A86" s="9" t="s">
        <v>1177</v>
      </c>
      <c r="B86" s="9" t="s">
        <v>1178</v>
      </c>
      <c r="C86" s="9" t="s">
        <v>88</v>
      </c>
      <c r="D86" s="9" t="s">
        <v>103</v>
      </c>
      <c r="E86" s="9" t="s">
        <v>1273</v>
      </c>
      <c r="F86" s="10" t="s">
        <v>1179</v>
      </c>
      <c r="G86" s="10" t="s">
        <v>1260</v>
      </c>
      <c r="H86" s="10"/>
    </row>
    <row r="87" spans="1:8" ht="17.100000000000001" customHeight="1" x14ac:dyDescent="0.25">
      <c r="A87" s="9" t="s">
        <v>1169</v>
      </c>
      <c r="B87" s="9" t="s">
        <v>1061</v>
      </c>
      <c r="C87" s="9" t="s">
        <v>88</v>
      </c>
      <c r="D87" s="9" t="s">
        <v>103</v>
      </c>
      <c r="E87" s="9" t="s">
        <v>1273</v>
      </c>
      <c r="F87" s="10" t="s">
        <v>1170</v>
      </c>
      <c r="G87" s="10" t="s">
        <v>1260</v>
      </c>
      <c r="H87" s="10"/>
    </row>
    <row r="88" spans="1:8" ht="17.100000000000001" customHeight="1" x14ac:dyDescent="0.25">
      <c r="A88" s="9" t="s">
        <v>1170</v>
      </c>
      <c r="B88" s="9" t="s">
        <v>1061</v>
      </c>
      <c r="C88" s="9" t="s">
        <v>88</v>
      </c>
      <c r="D88" s="9" t="s">
        <v>103</v>
      </c>
      <c r="E88" s="9" t="s">
        <v>1273</v>
      </c>
      <c r="F88" s="10" t="s">
        <v>1062</v>
      </c>
      <c r="G88" s="10" t="s">
        <v>1260</v>
      </c>
      <c r="H88" s="10"/>
    </row>
    <row r="89" spans="1:8" ht="17.100000000000001" customHeight="1" x14ac:dyDescent="0.25">
      <c r="A89" s="9" t="s">
        <v>1180</v>
      </c>
      <c r="B89" s="9" t="s">
        <v>1181</v>
      </c>
      <c r="C89" s="9" t="s">
        <v>88</v>
      </c>
      <c r="D89" s="9" t="s">
        <v>103</v>
      </c>
      <c r="E89" s="9" t="s">
        <v>1256</v>
      </c>
      <c r="F89" s="10" t="s">
        <v>1182</v>
      </c>
      <c r="G89" s="10" t="s">
        <v>1260</v>
      </c>
      <c r="H89" s="10"/>
    </row>
    <row r="90" spans="1:8" ht="17.100000000000001" customHeight="1" x14ac:dyDescent="0.25">
      <c r="A90" s="9"/>
      <c r="B90" s="9"/>
      <c r="C90" s="9"/>
      <c r="D90" s="9"/>
      <c r="E90" s="9"/>
      <c r="F90" s="10"/>
      <c r="G90" s="10"/>
      <c r="H90" s="10"/>
    </row>
    <row r="91" spans="1:8" ht="17.100000000000001" customHeight="1" x14ac:dyDescent="0.25">
      <c r="A91" s="9" t="s">
        <v>1122</v>
      </c>
      <c r="B91" s="9" t="s">
        <v>22</v>
      </c>
      <c r="C91" s="9" t="s">
        <v>88</v>
      </c>
      <c r="D91" s="9" t="s">
        <v>93</v>
      </c>
      <c r="E91" s="9" t="s">
        <v>1256</v>
      </c>
      <c r="F91" s="10" t="s">
        <v>1121</v>
      </c>
      <c r="G91" s="10" t="s">
        <v>1260</v>
      </c>
      <c r="H91" s="10"/>
    </row>
    <row r="92" spans="1:8" ht="17.100000000000001" customHeight="1" x14ac:dyDescent="0.25">
      <c r="A92" s="23"/>
      <c r="B92" s="23"/>
      <c r="C92" s="23"/>
      <c r="D92" s="23"/>
      <c r="E92" s="23"/>
      <c r="F92" s="24"/>
      <c r="G92" s="24"/>
      <c r="H92" s="24"/>
    </row>
    <row r="93" spans="1:8" ht="17.100000000000001" customHeight="1" x14ac:dyDescent="0.25">
      <c r="A93" s="9" t="s">
        <v>1199</v>
      </c>
      <c r="B93" s="9" t="s">
        <v>1249</v>
      </c>
      <c r="C93" s="9" t="s">
        <v>88</v>
      </c>
      <c r="D93" s="9" t="s">
        <v>103</v>
      </c>
      <c r="E93" s="9" t="s">
        <v>1309</v>
      </c>
      <c r="F93" s="10" t="s">
        <v>889</v>
      </c>
      <c r="G93" s="10" t="s">
        <v>1260</v>
      </c>
      <c r="H93" s="10" t="s">
        <v>1285</v>
      </c>
    </row>
    <row r="94" spans="1:8" ht="17.100000000000001" customHeight="1" x14ac:dyDescent="0.25">
      <c r="A94" s="9" t="s">
        <v>1201</v>
      </c>
      <c r="B94" s="9" t="s">
        <v>1249</v>
      </c>
      <c r="C94" s="9" t="s">
        <v>88</v>
      </c>
      <c r="D94" s="9" t="s">
        <v>103</v>
      </c>
      <c r="E94" s="9" t="s">
        <v>1309</v>
      </c>
      <c r="F94" s="10" t="s">
        <v>889</v>
      </c>
      <c r="G94" s="10" t="s">
        <v>1260</v>
      </c>
      <c r="H94" s="10"/>
    </row>
    <row r="95" spans="1:8" ht="17.100000000000001" customHeight="1" x14ac:dyDescent="0.25">
      <c r="A95" s="9" t="s">
        <v>1201</v>
      </c>
      <c r="B95" s="9" t="s">
        <v>1222</v>
      </c>
      <c r="C95" s="9" t="s">
        <v>88</v>
      </c>
      <c r="D95" s="9" t="s">
        <v>103</v>
      </c>
      <c r="E95" s="9" t="s">
        <v>1309</v>
      </c>
      <c r="F95" s="10" t="s">
        <v>891</v>
      </c>
      <c r="G95" s="10" t="s">
        <v>1260</v>
      </c>
      <c r="H95" s="10"/>
    </row>
    <row r="96" spans="1:8" ht="17.100000000000001" customHeight="1" x14ac:dyDescent="0.25">
      <c r="A96" s="9" t="s">
        <v>1199</v>
      </c>
      <c r="B96" s="9" t="s">
        <v>21</v>
      </c>
      <c r="C96" s="9" t="s">
        <v>88</v>
      </c>
      <c r="D96" s="9" t="s">
        <v>103</v>
      </c>
      <c r="E96" s="9" t="s">
        <v>1309</v>
      </c>
      <c r="F96" s="10" t="s">
        <v>1200</v>
      </c>
      <c r="G96" s="10" t="s">
        <v>1260</v>
      </c>
      <c r="H96" s="10"/>
    </row>
    <row r="97" spans="1:8" ht="17.100000000000001" customHeight="1" x14ac:dyDescent="0.25">
      <c r="A97" s="23"/>
      <c r="B97" s="23"/>
      <c r="C97" s="23"/>
      <c r="D97" s="23"/>
      <c r="E97" s="23"/>
      <c r="F97" s="24"/>
      <c r="G97" s="24"/>
      <c r="H97" s="24"/>
    </row>
    <row r="98" spans="1:8" ht="17.100000000000001" customHeight="1" x14ac:dyDescent="0.25">
      <c r="A98" s="9" t="s">
        <v>1210</v>
      </c>
      <c r="B98" s="9" t="s">
        <v>1222</v>
      </c>
      <c r="C98" s="9" t="s">
        <v>88</v>
      </c>
      <c r="D98" s="9" t="s">
        <v>103</v>
      </c>
      <c r="E98" s="9" t="s">
        <v>1266</v>
      </c>
      <c r="F98" s="10" t="s">
        <v>1211</v>
      </c>
      <c r="G98" s="10" t="s">
        <v>1260</v>
      </c>
      <c r="H98" s="10" t="s">
        <v>1284</v>
      </c>
    </row>
    <row r="99" spans="1:8" ht="17.100000000000001" customHeight="1" x14ac:dyDescent="0.25">
      <c r="A99" s="9" t="s">
        <v>1202</v>
      </c>
      <c r="B99" s="9" t="s">
        <v>23</v>
      </c>
      <c r="C99" s="9" t="s">
        <v>88</v>
      </c>
      <c r="D99" s="9" t="s">
        <v>103</v>
      </c>
      <c r="E99" s="9" t="s">
        <v>1266</v>
      </c>
      <c r="F99" s="10" t="s">
        <v>1124</v>
      </c>
      <c r="G99" s="10" t="s">
        <v>1260</v>
      </c>
      <c r="H99" s="10"/>
    </row>
    <row r="100" spans="1:8" ht="17.100000000000001" customHeight="1" x14ac:dyDescent="0.25">
      <c r="A100" s="9" t="s">
        <v>1213</v>
      </c>
      <c r="B100" s="9" t="s">
        <v>23</v>
      </c>
      <c r="C100" s="9" t="s">
        <v>88</v>
      </c>
      <c r="D100" s="9" t="s">
        <v>103</v>
      </c>
      <c r="E100" s="9" t="s">
        <v>1266</v>
      </c>
      <c r="F100" s="10" t="s">
        <v>1124</v>
      </c>
      <c r="G100" s="10" t="s">
        <v>1260</v>
      </c>
      <c r="H100" s="10"/>
    </row>
    <row r="101" spans="1:8" ht="17.100000000000001" customHeight="1" x14ac:dyDescent="0.25">
      <c r="A101" s="9" t="s">
        <v>1207</v>
      </c>
      <c r="B101" s="9" t="s">
        <v>1208</v>
      </c>
      <c r="C101" s="9" t="s">
        <v>88</v>
      </c>
      <c r="D101" s="9" t="s">
        <v>103</v>
      </c>
      <c r="E101" s="9" t="s">
        <v>1256</v>
      </c>
      <c r="F101" s="10" t="s">
        <v>1209</v>
      </c>
      <c r="G101" s="10" t="s">
        <v>1260</v>
      </c>
      <c r="H101" s="10"/>
    </row>
    <row r="102" spans="1:8" ht="17.100000000000001" customHeight="1" x14ac:dyDescent="0.25">
      <c r="A102" s="9" t="s">
        <v>1203</v>
      </c>
      <c r="B102" s="9" t="s">
        <v>1204</v>
      </c>
      <c r="C102" s="9" t="s">
        <v>88</v>
      </c>
      <c r="D102" s="9" t="s">
        <v>103</v>
      </c>
      <c r="E102" s="9" t="s">
        <v>1273</v>
      </c>
      <c r="F102" s="10" t="s">
        <v>1205</v>
      </c>
      <c r="G102" s="10" t="s">
        <v>1260</v>
      </c>
      <c r="H102" s="10"/>
    </row>
    <row r="103" spans="1:8" ht="17.100000000000001" customHeight="1" x14ac:dyDescent="0.25">
      <c r="A103" s="9" t="s">
        <v>1203</v>
      </c>
      <c r="B103" s="9" t="s">
        <v>1204</v>
      </c>
      <c r="C103" s="9" t="s">
        <v>88</v>
      </c>
      <c r="D103" s="9" t="s">
        <v>103</v>
      </c>
      <c r="E103" s="9" t="s">
        <v>1273</v>
      </c>
      <c r="F103" s="10" t="s">
        <v>1206</v>
      </c>
      <c r="G103" s="10" t="s">
        <v>1260</v>
      </c>
      <c r="H103" s="10"/>
    </row>
    <row r="104" spans="1:8" ht="17.100000000000001" customHeight="1" x14ac:dyDescent="0.25">
      <c r="A104" s="9" t="s">
        <v>1212</v>
      </c>
      <c r="B104" s="9" t="s">
        <v>1061</v>
      </c>
      <c r="C104" s="9" t="s">
        <v>88</v>
      </c>
      <c r="D104" s="9" t="s">
        <v>103</v>
      </c>
      <c r="E104" s="9" t="s">
        <v>1266</v>
      </c>
      <c r="F104" s="10" t="s">
        <v>1062</v>
      </c>
      <c r="G104" s="10" t="s">
        <v>1260</v>
      </c>
      <c r="H104" s="10"/>
    </row>
    <row r="105" spans="1:8" ht="17.100000000000001" customHeight="1" x14ac:dyDescent="0.25">
      <c r="A105" s="10" t="s">
        <v>1128</v>
      </c>
      <c r="B105" s="9" t="s">
        <v>1127</v>
      </c>
      <c r="C105" s="9" t="s">
        <v>88</v>
      </c>
      <c r="D105" s="9" t="s">
        <v>103</v>
      </c>
      <c r="E105" s="9" t="s">
        <v>1310</v>
      </c>
      <c r="F105" s="9" t="s">
        <v>1126</v>
      </c>
      <c r="G105" s="10" t="s">
        <v>1260</v>
      </c>
      <c r="H105" s="10"/>
    </row>
    <row r="106" spans="1:8" ht="17.100000000000001" customHeight="1" x14ac:dyDescent="0.25">
      <c r="A106" s="10" t="s">
        <v>1077</v>
      </c>
      <c r="B106" s="9" t="s">
        <v>1076</v>
      </c>
      <c r="C106" s="9" t="s">
        <v>88</v>
      </c>
      <c r="D106" s="9" t="s">
        <v>103</v>
      </c>
      <c r="E106" s="9" t="s">
        <v>1309</v>
      </c>
      <c r="F106" s="9" t="s">
        <v>1075</v>
      </c>
      <c r="G106" s="10" t="s">
        <v>1260</v>
      </c>
      <c r="H106" s="10"/>
    </row>
    <row r="107" spans="1:8" ht="17.100000000000001" customHeight="1" x14ac:dyDescent="0.25">
      <c r="A107" s="23"/>
      <c r="B107" s="23"/>
      <c r="C107" s="23"/>
      <c r="D107" s="23"/>
      <c r="E107" s="23"/>
      <c r="F107" s="24"/>
      <c r="G107" s="24"/>
      <c r="H107" s="24"/>
    </row>
    <row r="108" spans="1:8" ht="17.100000000000001" customHeight="1" x14ac:dyDescent="0.25">
      <c r="A108" s="9" t="s">
        <v>1214</v>
      </c>
      <c r="B108" s="9" t="s">
        <v>1215</v>
      </c>
      <c r="C108" s="9" t="s">
        <v>88</v>
      </c>
      <c r="D108" s="9" t="s">
        <v>202</v>
      </c>
      <c r="E108" s="9" t="s">
        <v>1256</v>
      </c>
      <c r="F108" s="10" t="s">
        <v>1216</v>
      </c>
      <c r="G108" s="10" t="s">
        <v>1260</v>
      </c>
      <c r="H108" s="10" t="s">
        <v>1275</v>
      </c>
    </row>
    <row r="109" spans="1:8" ht="17.100000000000001" customHeight="1" x14ac:dyDescent="0.25">
      <c r="A109" s="10" t="s">
        <v>1110</v>
      </c>
      <c r="B109" s="9" t="s">
        <v>1109</v>
      </c>
      <c r="C109" s="9" t="s">
        <v>88</v>
      </c>
      <c r="D109" s="9" t="s">
        <v>202</v>
      </c>
      <c r="E109" s="9" t="s">
        <v>1256</v>
      </c>
      <c r="F109" s="9" t="s">
        <v>1108</v>
      </c>
      <c r="G109" s="10" t="s">
        <v>1260</v>
      </c>
      <c r="H109" s="10"/>
    </row>
    <row r="110" spans="1:8" ht="17.100000000000001" customHeight="1" x14ac:dyDescent="0.25">
      <c r="A110" s="10"/>
      <c r="B110" s="9"/>
      <c r="C110" s="9"/>
      <c r="D110" s="9"/>
      <c r="E110" s="9"/>
      <c r="F110" s="9"/>
      <c r="G110" s="10"/>
      <c r="H110" s="10"/>
    </row>
    <row r="111" spans="1:8" ht="17.100000000000001" customHeight="1" x14ac:dyDescent="0.25">
      <c r="A111" s="9" t="s">
        <v>1217</v>
      </c>
      <c r="B111" s="9" t="s">
        <v>1254</v>
      </c>
      <c r="C111" s="9" t="s">
        <v>88</v>
      </c>
      <c r="D111" s="9" t="s">
        <v>202</v>
      </c>
      <c r="E111" s="9" t="s">
        <v>1256</v>
      </c>
      <c r="F111" s="10" t="s">
        <v>1218</v>
      </c>
      <c r="G111" s="10" t="s">
        <v>1260</v>
      </c>
      <c r="H111" s="10"/>
    </row>
    <row r="112" spans="1:8" ht="17.100000000000001" customHeight="1" x14ac:dyDescent="0.25">
      <c r="A112" s="10" t="s">
        <v>1107</v>
      </c>
      <c r="B112" s="9" t="s">
        <v>1106</v>
      </c>
      <c r="C112" s="9" t="s">
        <v>88</v>
      </c>
      <c r="D112" s="9" t="s">
        <v>202</v>
      </c>
      <c r="E112" s="9" t="s">
        <v>1256</v>
      </c>
      <c r="F112" s="9" t="s">
        <v>1105</v>
      </c>
      <c r="G112" s="10" t="s">
        <v>1260</v>
      </c>
      <c r="H112" s="10"/>
    </row>
    <row r="113" spans="1:8" ht="17.100000000000001" customHeight="1" x14ac:dyDescent="0.25">
      <c r="A113" s="23"/>
      <c r="B113" s="23"/>
      <c r="C113" s="23"/>
      <c r="D113" s="23"/>
      <c r="E113" s="23"/>
      <c r="F113" s="24"/>
      <c r="G113" s="24"/>
      <c r="H113" s="24"/>
    </row>
    <row r="114" spans="1:8" ht="17.100000000000001" customHeight="1" x14ac:dyDescent="0.25">
      <c r="A114" s="9" t="s">
        <v>1010</v>
      </c>
      <c r="B114" s="9" t="s">
        <v>1222</v>
      </c>
      <c r="C114" s="9" t="s">
        <v>88</v>
      </c>
      <c r="D114" s="9" t="s">
        <v>103</v>
      </c>
      <c r="E114" s="9" t="s">
        <v>1256</v>
      </c>
      <c r="F114" s="10" t="s">
        <v>891</v>
      </c>
      <c r="G114" s="10" t="s">
        <v>1260</v>
      </c>
      <c r="H114" s="10" t="s">
        <v>1283</v>
      </c>
    </row>
    <row r="115" spans="1:8" ht="17.100000000000001" customHeight="1" x14ac:dyDescent="0.25">
      <c r="A115" s="9" t="s">
        <v>1058</v>
      </c>
      <c r="B115" s="9" t="s">
        <v>1222</v>
      </c>
      <c r="C115" s="9" t="s">
        <v>88</v>
      </c>
      <c r="D115" s="9" t="s">
        <v>103</v>
      </c>
      <c r="E115" s="9" t="s">
        <v>1256</v>
      </c>
      <c r="F115" s="10" t="s">
        <v>1010</v>
      </c>
      <c r="G115" s="10" t="s">
        <v>1260</v>
      </c>
      <c r="H115" s="10"/>
    </row>
    <row r="116" spans="1:8" ht="17.100000000000001" customHeight="1" x14ac:dyDescent="0.25">
      <c r="A116" s="9" t="s">
        <v>1119</v>
      </c>
      <c r="B116" s="9" t="s">
        <v>21</v>
      </c>
      <c r="C116" s="9" t="s">
        <v>88</v>
      </c>
      <c r="D116" s="9" t="s">
        <v>103</v>
      </c>
      <c r="E116" s="9" t="s">
        <v>1256</v>
      </c>
      <c r="F116" s="10" t="s">
        <v>1200</v>
      </c>
      <c r="G116" s="10" t="s">
        <v>1260</v>
      </c>
      <c r="H116" s="10"/>
    </row>
    <row r="117" spans="1:8" ht="17.100000000000001" customHeight="1" x14ac:dyDescent="0.25">
      <c r="A117" s="9" t="s">
        <v>1055</v>
      </c>
      <c r="B117" s="9" t="s">
        <v>21</v>
      </c>
      <c r="C117" s="9" t="s">
        <v>88</v>
      </c>
      <c r="D117" s="9" t="s">
        <v>103</v>
      </c>
      <c r="E117" s="9" t="s">
        <v>1256</v>
      </c>
      <c r="F117" s="10" t="s">
        <v>1219</v>
      </c>
      <c r="G117" s="10" t="s">
        <v>1260</v>
      </c>
      <c r="H117" s="10"/>
    </row>
    <row r="118" spans="1:8" ht="17.100000000000001" customHeight="1" x14ac:dyDescent="0.25">
      <c r="A118" s="9"/>
      <c r="B118" s="9"/>
      <c r="C118" s="9"/>
      <c r="D118" s="9"/>
      <c r="E118" s="9"/>
      <c r="F118" s="10"/>
      <c r="G118" s="10"/>
      <c r="H118" s="10"/>
    </row>
    <row r="119" spans="1:8" ht="17.100000000000001" customHeight="1" x14ac:dyDescent="0.25">
      <c r="A119" s="9" t="s">
        <v>1211</v>
      </c>
      <c r="B119" s="9" t="s">
        <v>1222</v>
      </c>
      <c r="C119" s="9" t="s">
        <v>88</v>
      </c>
      <c r="D119" s="9" t="s">
        <v>93</v>
      </c>
      <c r="E119" s="9" t="s">
        <v>1256</v>
      </c>
      <c r="F119" s="10" t="s">
        <v>1059</v>
      </c>
      <c r="G119" s="10" t="s">
        <v>1260</v>
      </c>
      <c r="H119" s="10"/>
    </row>
    <row r="120" spans="1:8" ht="17.100000000000001" customHeight="1" x14ac:dyDescent="0.25">
      <c r="A120" s="9"/>
      <c r="B120" s="9"/>
      <c r="C120" s="9"/>
      <c r="D120" s="9"/>
      <c r="E120" s="9"/>
      <c r="F120" s="10"/>
      <c r="G120" s="10"/>
      <c r="H120" s="10"/>
    </row>
    <row r="121" spans="1:8" ht="17.100000000000001" customHeight="1" x14ac:dyDescent="0.25">
      <c r="A121" s="9" t="s">
        <v>1051</v>
      </c>
      <c r="B121" s="9" t="s">
        <v>1222</v>
      </c>
      <c r="C121" s="9" t="s">
        <v>88</v>
      </c>
      <c r="D121" s="9" t="s">
        <v>89</v>
      </c>
      <c r="E121" s="9" t="s">
        <v>1256</v>
      </c>
      <c r="F121" s="10" t="s">
        <v>1057</v>
      </c>
      <c r="G121" s="10" t="s">
        <v>1260</v>
      </c>
      <c r="H121" s="10"/>
    </row>
    <row r="122" spans="1:8" ht="17.100000000000001" customHeight="1" x14ac:dyDescent="0.25">
      <c r="A122" s="9" t="s">
        <v>1052</v>
      </c>
      <c r="B122" s="9" t="s">
        <v>1222</v>
      </c>
      <c r="C122" s="9" t="s">
        <v>88</v>
      </c>
      <c r="D122" s="9" t="s">
        <v>89</v>
      </c>
      <c r="E122" s="9" t="s">
        <v>1256</v>
      </c>
      <c r="F122" s="10" t="s">
        <v>1058</v>
      </c>
      <c r="G122" s="10" t="s">
        <v>1260</v>
      </c>
      <c r="H122" s="10"/>
    </row>
    <row r="123" spans="1:8" ht="17.100000000000001" customHeight="1" x14ac:dyDescent="0.25">
      <c r="A123" s="22"/>
      <c r="B123" s="22"/>
      <c r="C123" s="22"/>
      <c r="D123" s="22"/>
      <c r="E123" s="22"/>
      <c r="F123" s="20"/>
      <c r="G123" s="20"/>
      <c r="H123" s="20"/>
    </row>
    <row r="124" spans="1:8" ht="17.100000000000001" customHeight="1" x14ac:dyDescent="0.25">
      <c r="A124" s="9" t="s">
        <v>1040</v>
      </c>
      <c r="B124" s="9" t="s">
        <v>1039</v>
      </c>
      <c r="C124" s="9" t="s">
        <v>88</v>
      </c>
      <c r="D124" s="9" t="s">
        <v>103</v>
      </c>
      <c r="E124" s="9" t="s">
        <v>1304</v>
      </c>
      <c r="F124" s="10" t="s">
        <v>1038</v>
      </c>
      <c r="G124" s="10" t="s">
        <v>1261</v>
      </c>
      <c r="H124" s="10" t="s">
        <v>1282</v>
      </c>
    </row>
    <row r="125" spans="1:8" ht="17.100000000000001" customHeight="1" x14ac:dyDescent="0.25">
      <c r="A125" s="9"/>
      <c r="B125" s="9"/>
      <c r="C125" s="9"/>
      <c r="D125" s="9"/>
      <c r="E125" s="9"/>
      <c r="F125" s="10"/>
      <c r="G125" s="10"/>
      <c r="H125" s="10"/>
    </row>
    <row r="126" spans="1:8" ht="17.100000000000001" customHeight="1" x14ac:dyDescent="0.25">
      <c r="A126" s="9" t="s">
        <v>979</v>
      </c>
      <c r="B126" s="9" t="s">
        <v>15</v>
      </c>
      <c r="C126" s="9" t="s">
        <v>88</v>
      </c>
      <c r="D126" s="9" t="s">
        <v>93</v>
      </c>
      <c r="E126" s="9" t="s">
        <v>1304</v>
      </c>
      <c r="F126" s="10" t="s">
        <v>803</v>
      </c>
      <c r="G126" s="10" t="s">
        <v>1261</v>
      </c>
      <c r="H126" s="10"/>
    </row>
    <row r="127" spans="1:8" ht="17.100000000000001" customHeight="1" x14ac:dyDescent="0.25">
      <c r="A127" s="9" t="s">
        <v>942</v>
      </c>
      <c r="B127" s="9" t="s">
        <v>16</v>
      </c>
      <c r="C127" s="9" t="s">
        <v>88</v>
      </c>
      <c r="D127" s="9" t="s">
        <v>93</v>
      </c>
      <c r="E127" s="9" t="s">
        <v>1304</v>
      </c>
      <c r="F127" s="10" t="s">
        <v>941</v>
      </c>
      <c r="G127" s="10" t="s">
        <v>1261</v>
      </c>
      <c r="H127" s="10"/>
    </row>
    <row r="128" spans="1:8" ht="17.100000000000001" customHeight="1" x14ac:dyDescent="0.25">
      <c r="A128" s="9" t="s">
        <v>956</v>
      </c>
      <c r="B128" s="9" t="s">
        <v>17</v>
      </c>
      <c r="C128" s="9" t="s">
        <v>88</v>
      </c>
      <c r="D128" s="9" t="s">
        <v>93</v>
      </c>
      <c r="E128" s="9" t="s">
        <v>1304</v>
      </c>
      <c r="F128" s="10" t="s">
        <v>955</v>
      </c>
      <c r="G128" s="10" t="s">
        <v>1261</v>
      </c>
      <c r="H128" s="10"/>
    </row>
    <row r="129" spans="1:8" ht="17.100000000000001" customHeight="1" x14ac:dyDescent="0.25">
      <c r="A129" s="9" t="s">
        <v>978</v>
      </c>
      <c r="B129" s="9" t="s">
        <v>18</v>
      </c>
      <c r="C129" s="9" t="s">
        <v>88</v>
      </c>
      <c r="D129" s="9" t="s">
        <v>93</v>
      </c>
      <c r="E129" s="9" t="s">
        <v>1304</v>
      </c>
      <c r="F129" s="10" t="s">
        <v>977</v>
      </c>
      <c r="G129" s="10" t="s">
        <v>1261</v>
      </c>
      <c r="H129" s="10"/>
    </row>
    <row r="130" spans="1:8" ht="17.100000000000001" customHeight="1" x14ac:dyDescent="0.25">
      <c r="A130" s="23"/>
      <c r="B130" s="23"/>
      <c r="C130" s="23"/>
      <c r="D130" s="23"/>
      <c r="E130" s="23"/>
      <c r="F130" s="24"/>
      <c r="G130" s="24"/>
      <c r="H130" s="24"/>
    </row>
    <row r="131" spans="1:8" ht="17.100000000000001" customHeight="1" x14ac:dyDescent="0.25">
      <c r="A131" s="9" t="s">
        <v>932</v>
      </c>
      <c r="B131" s="9" t="s">
        <v>1251</v>
      </c>
      <c r="C131" s="9" t="s">
        <v>88</v>
      </c>
      <c r="D131" s="9" t="s">
        <v>103</v>
      </c>
      <c r="E131" s="9" t="s">
        <v>1304</v>
      </c>
      <c r="F131" s="10" t="s">
        <v>931</v>
      </c>
      <c r="G131" s="10" t="s">
        <v>1261</v>
      </c>
      <c r="H131" s="10" t="s">
        <v>1281</v>
      </c>
    </row>
    <row r="132" spans="1:8" ht="17.100000000000001" customHeight="1" x14ac:dyDescent="0.25">
      <c r="A132" s="9" t="s">
        <v>993</v>
      </c>
      <c r="B132" s="9" t="s">
        <v>391</v>
      </c>
      <c r="C132" s="9" t="s">
        <v>88</v>
      </c>
      <c r="D132" s="9" t="s">
        <v>103</v>
      </c>
      <c r="E132" s="9" t="s">
        <v>1304</v>
      </c>
      <c r="F132" s="10" t="s">
        <v>991</v>
      </c>
      <c r="G132" s="10" t="s">
        <v>1261</v>
      </c>
      <c r="H132" s="10"/>
    </row>
    <row r="133" spans="1:8" ht="17.100000000000001" customHeight="1" x14ac:dyDescent="0.25">
      <c r="A133" s="9" t="s">
        <v>993</v>
      </c>
      <c r="B133" s="9" t="s">
        <v>391</v>
      </c>
      <c r="C133" s="9" t="s">
        <v>88</v>
      </c>
      <c r="D133" s="9" t="s">
        <v>103</v>
      </c>
      <c r="E133" s="9" t="s">
        <v>1304</v>
      </c>
      <c r="F133" s="10" t="s">
        <v>997</v>
      </c>
      <c r="G133" s="10" t="s">
        <v>1261</v>
      </c>
      <c r="H133" s="10"/>
    </row>
    <row r="134" spans="1:8" ht="17.100000000000001" customHeight="1" x14ac:dyDescent="0.25">
      <c r="A134" s="9" t="s">
        <v>998</v>
      </c>
      <c r="B134" s="9" t="s">
        <v>391</v>
      </c>
      <c r="C134" s="9" t="s">
        <v>88</v>
      </c>
      <c r="D134" s="9" t="s">
        <v>103</v>
      </c>
      <c r="E134" s="9" t="s">
        <v>1304</v>
      </c>
      <c r="F134" s="10" t="s">
        <v>997</v>
      </c>
      <c r="G134" s="10" t="s">
        <v>1261</v>
      </c>
      <c r="H134" s="10"/>
    </row>
    <row r="135" spans="1:8" ht="17.100000000000001" customHeight="1" x14ac:dyDescent="0.25">
      <c r="A135" s="9" t="s">
        <v>1005</v>
      </c>
      <c r="B135" s="9" t="s">
        <v>391</v>
      </c>
      <c r="C135" s="9" t="s">
        <v>88</v>
      </c>
      <c r="D135" s="9" t="s">
        <v>103</v>
      </c>
      <c r="E135" s="9" t="s">
        <v>1304</v>
      </c>
      <c r="F135" s="10" t="s">
        <v>1004</v>
      </c>
      <c r="G135" s="10" t="s">
        <v>1261</v>
      </c>
      <c r="H135" s="10"/>
    </row>
    <row r="136" spans="1:8" ht="17.100000000000001" customHeight="1" x14ac:dyDescent="0.25">
      <c r="A136" s="9" t="s">
        <v>989</v>
      </c>
      <c r="B136" s="9" t="s">
        <v>399</v>
      </c>
      <c r="C136" s="9" t="s">
        <v>88</v>
      </c>
      <c r="D136" s="9" t="s">
        <v>103</v>
      </c>
      <c r="E136" s="9" t="s">
        <v>1304</v>
      </c>
      <c r="F136" s="10" t="s">
        <v>862</v>
      </c>
      <c r="G136" s="10" t="s">
        <v>1261</v>
      </c>
      <c r="H136" s="10"/>
    </row>
    <row r="137" spans="1:8" ht="17.100000000000001" customHeight="1" x14ac:dyDescent="0.25">
      <c r="A137" s="9" t="s">
        <v>924</v>
      </c>
      <c r="B137" s="9" t="s">
        <v>923</v>
      </c>
      <c r="C137" s="9" t="s">
        <v>88</v>
      </c>
      <c r="D137" s="9" t="s">
        <v>103</v>
      </c>
      <c r="E137" s="9" t="s">
        <v>1304</v>
      </c>
      <c r="F137" s="10" t="s">
        <v>922</v>
      </c>
      <c r="G137" s="10" t="s">
        <v>1261</v>
      </c>
      <c r="H137" s="10"/>
    </row>
    <row r="138" spans="1:8" ht="17.100000000000001" customHeight="1" x14ac:dyDescent="0.25">
      <c r="A138" s="9" t="s">
        <v>887</v>
      </c>
      <c r="B138" s="9" t="s">
        <v>886</v>
      </c>
      <c r="C138" s="9" t="s">
        <v>88</v>
      </c>
      <c r="D138" s="9" t="s">
        <v>103</v>
      </c>
      <c r="E138" s="9" t="s">
        <v>1304</v>
      </c>
      <c r="F138" s="10" t="s">
        <v>912</v>
      </c>
      <c r="G138" s="10" t="s">
        <v>1261</v>
      </c>
      <c r="H138" s="10"/>
    </row>
    <row r="139" spans="1:8" ht="17.100000000000001" customHeight="1" x14ac:dyDescent="0.25">
      <c r="A139" s="9" t="s">
        <v>887</v>
      </c>
      <c r="B139" s="9" t="s">
        <v>886</v>
      </c>
      <c r="C139" s="9" t="s">
        <v>88</v>
      </c>
      <c r="D139" s="9" t="s">
        <v>103</v>
      </c>
      <c r="E139" s="9" t="s">
        <v>1304</v>
      </c>
      <c r="F139" s="10" t="s">
        <v>885</v>
      </c>
      <c r="G139" s="10" t="s">
        <v>1261</v>
      </c>
      <c r="H139" s="10"/>
    </row>
    <row r="140" spans="1:8" ht="17.100000000000001" customHeight="1" x14ac:dyDescent="0.25">
      <c r="A140" s="9" t="s">
        <v>1031</v>
      </c>
      <c r="B140" s="9" t="s">
        <v>883</v>
      </c>
      <c r="C140" s="9" t="s">
        <v>88</v>
      </c>
      <c r="D140" s="9" t="s">
        <v>103</v>
      </c>
      <c r="E140" s="9" t="s">
        <v>1304</v>
      </c>
      <c r="F140" s="10" t="s">
        <v>882</v>
      </c>
      <c r="G140" s="10" t="s">
        <v>1261</v>
      </c>
      <c r="H140" s="10"/>
    </row>
    <row r="141" spans="1:8" ht="17.100000000000001" customHeight="1" x14ac:dyDescent="0.25">
      <c r="A141" s="9" t="s">
        <v>894</v>
      </c>
      <c r="B141" s="9" t="s">
        <v>893</v>
      </c>
      <c r="C141" s="9" t="s">
        <v>88</v>
      </c>
      <c r="D141" s="9" t="s">
        <v>103</v>
      </c>
      <c r="E141" s="9" t="s">
        <v>1304</v>
      </c>
      <c r="F141" s="10" t="s">
        <v>892</v>
      </c>
      <c r="G141" s="10" t="s">
        <v>1261</v>
      </c>
      <c r="H141" s="10"/>
    </row>
    <row r="142" spans="1:8" ht="17.100000000000001" customHeight="1" x14ac:dyDescent="0.25">
      <c r="A142" s="9" t="s">
        <v>930</v>
      </c>
      <c r="B142" s="9" t="s">
        <v>929</v>
      </c>
      <c r="C142" s="9" t="s">
        <v>88</v>
      </c>
      <c r="D142" s="9" t="s">
        <v>103</v>
      </c>
      <c r="E142" s="9" t="s">
        <v>1304</v>
      </c>
      <c r="F142" s="10" t="s">
        <v>928</v>
      </c>
      <c r="G142" s="10" t="s">
        <v>1261</v>
      </c>
      <c r="H142" s="10"/>
    </row>
    <row r="143" spans="1:8" ht="17.100000000000001" customHeight="1" x14ac:dyDescent="0.25">
      <c r="A143" s="9" t="s">
        <v>945</v>
      </c>
      <c r="B143" s="9" t="s">
        <v>944</v>
      </c>
      <c r="C143" s="9" t="s">
        <v>88</v>
      </c>
      <c r="D143" s="9" t="s">
        <v>103</v>
      </c>
      <c r="E143" s="9" t="s">
        <v>1304</v>
      </c>
      <c r="F143" s="10" t="s">
        <v>943</v>
      </c>
      <c r="G143" s="10" t="s">
        <v>1261</v>
      </c>
      <c r="H143" s="10"/>
    </row>
    <row r="144" spans="1:8" ht="17.100000000000001" customHeight="1" x14ac:dyDescent="0.25">
      <c r="A144" s="9" t="s">
        <v>1003</v>
      </c>
      <c r="B144" s="9" t="s">
        <v>1002</v>
      </c>
      <c r="C144" s="9" t="s">
        <v>88</v>
      </c>
      <c r="D144" s="9" t="s">
        <v>103</v>
      </c>
      <c r="E144" s="9" t="s">
        <v>1304</v>
      </c>
      <c r="F144" s="10" t="s">
        <v>1001</v>
      </c>
      <c r="G144" s="10" t="s">
        <v>1261</v>
      </c>
      <c r="H144" s="10"/>
    </row>
    <row r="145" spans="1:8" ht="17.100000000000001" customHeight="1" x14ac:dyDescent="0.25">
      <c r="A145" s="23"/>
      <c r="B145" s="23"/>
      <c r="C145" s="23"/>
      <c r="D145" s="23"/>
      <c r="E145" s="23"/>
      <c r="F145" s="24"/>
      <c r="G145" s="24"/>
      <c r="H145" s="24"/>
    </row>
    <row r="146" spans="1:8" ht="17.100000000000001" customHeight="1" x14ac:dyDescent="0.25">
      <c r="A146" s="9" t="s">
        <v>950</v>
      </c>
      <c r="B146" s="9" t="s">
        <v>1252</v>
      </c>
      <c r="C146" s="9" t="s">
        <v>88</v>
      </c>
      <c r="D146" s="9" t="s">
        <v>103</v>
      </c>
      <c r="E146" s="9" t="s">
        <v>1304</v>
      </c>
      <c r="F146" s="10" t="s">
        <v>949</v>
      </c>
      <c r="G146" s="10" t="s">
        <v>1261</v>
      </c>
      <c r="H146" s="10" t="s">
        <v>1280</v>
      </c>
    </row>
    <row r="147" spans="1:8" ht="17.100000000000001" customHeight="1" x14ac:dyDescent="0.25">
      <c r="A147" s="9" t="s">
        <v>952</v>
      </c>
      <c r="B147" s="9" t="s">
        <v>1253</v>
      </c>
      <c r="C147" s="9" t="s">
        <v>88</v>
      </c>
      <c r="D147" s="9" t="s">
        <v>103</v>
      </c>
      <c r="E147" s="9" t="s">
        <v>1304</v>
      </c>
      <c r="F147" s="10" t="s">
        <v>951</v>
      </c>
      <c r="G147" s="10" t="s">
        <v>1261</v>
      </c>
      <c r="H147" s="10"/>
    </row>
    <row r="148" spans="1:8" ht="17.100000000000001" customHeight="1" x14ac:dyDescent="0.25">
      <c r="A148" s="9" t="s">
        <v>1026</v>
      </c>
      <c r="B148" s="9" t="s">
        <v>1222</v>
      </c>
      <c r="C148" s="9" t="s">
        <v>88</v>
      </c>
      <c r="D148" s="9" t="s">
        <v>103</v>
      </c>
      <c r="E148" s="9" t="s">
        <v>1304</v>
      </c>
      <c r="F148" s="10" t="s">
        <v>881</v>
      </c>
      <c r="G148" s="10" t="s">
        <v>1261</v>
      </c>
      <c r="H148" s="10"/>
    </row>
    <row r="149" spans="1:8" ht="17.100000000000001" customHeight="1" x14ac:dyDescent="0.25">
      <c r="A149" s="9" t="s">
        <v>1018</v>
      </c>
      <c r="B149" s="9" t="s">
        <v>1222</v>
      </c>
      <c r="C149" s="9" t="s">
        <v>88</v>
      </c>
      <c r="D149" s="9" t="s">
        <v>103</v>
      </c>
      <c r="E149" s="9" t="s">
        <v>1304</v>
      </c>
      <c r="F149" s="10" t="s">
        <v>1017</v>
      </c>
      <c r="G149" s="10" t="s">
        <v>1261</v>
      </c>
      <c r="H149" s="10"/>
    </row>
    <row r="150" spans="1:8" ht="17.100000000000001" customHeight="1" x14ac:dyDescent="0.25">
      <c r="A150" s="9" t="s">
        <v>1036</v>
      </c>
      <c r="B150" s="9" t="s">
        <v>1222</v>
      </c>
      <c r="C150" s="9" t="s">
        <v>88</v>
      </c>
      <c r="D150" s="9" t="s">
        <v>103</v>
      </c>
      <c r="E150" s="9" t="s">
        <v>1304</v>
      </c>
      <c r="F150" s="10" t="s">
        <v>1035</v>
      </c>
      <c r="G150" s="10" t="s">
        <v>1261</v>
      </c>
      <c r="H150" s="10"/>
    </row>
    <row r="151" spans="1:8" ht="17.100000000000001" customHeight="1" x14ac:dyDescent="0.25">
      <c r="A151" s="9" t="s">
        <v>1019</v>
      </c>
      <c r="B151" s="9" t="s">
        <v>1222</v>
      </c>
      <c r="C151" s="9" t="s">
        <v>88</v>
      </c>
      <c r="D151" s="9" t="s">
        <v>103</v>
      </c>
      <c r="E151" s="9" t="s">
        <v>1304</v>
      </c>
      <c r="F151" s="10" t="s">
        <v>1017</v>
      </c>
      <c r="G151" s="10" t="s">
        <v>1261</v>
      </c>
      <c r="H151" s="10"/>
    </row>
    <row r="152" spans="1:8" ht="17.100000000000001" customHeight="1" x14ac:dyDescent="0.25">
      <c r="A152" s="9" t="s">
        <v>995</v>
      </c>
      <c r="B152" s="9" t="s">
        <v>1222</v>
      </c>
      <c r="C152" s="9" t="s">
        <v>88</v>
      </c>
      <c r="D152" s="9" t="s">
        <v>103</v>
      </c>
      <c r="E152" s="9" t="s">
        <v>1304</v>
      </c>
      <c r="F152" s="10" t="s">
        <v>999</v>
      </c>
      <c r="G152" s="10" t="s">
        <v>1261</v>
      </c>
      <c r="H152" s="10"/>
    </row>
    <row r="153" spans="1:8" ht="17.100000000000001" customHeight="1" x14ac:dyDescent="0.25">
      <c r="A153" s="9" t="s">
        <v>995</v>
      </c>
      <c r="B153" s="9" t="s">
        <v>1222</v>
      </c>
      <c r="C153" s="9" t="s">
        <v>88</v>
      </c>
      <c r="D153" s="9" t="s">
        <v>103</v>
      </c>
      <c r="E153" s="9" t="s">
        <v>1304</v>
      </c>
      <c r="F153" s="10" t="s">
        <v>994</v>
      </c>
      <c r="G153" s="10" t="s">
        <v>1261</v>
      </c>
      <c r="H153" s="10"/>
    </row>
    <row r="154" spans="1:8" ht="17.100000000000001" customHeight="1" x14ac:dyDescent="0.25">
      <c r="A154" s="9" t="s">
        <v>1000</v>
      </c>
      <c r="B154" s="9" t="s">
        <v>1222</v>
      </c>
      <c r="C154" s="9" t="s">
        <v>88</v>
      </c>
      <c r="D154" s="9" t="s">
        <v>103</v>
      </c>
      <c r="E154" s="9" t="s">
        <v>1304</v>
      </c>
      <c r="F154" s="10" t="s">
        <v>999</v>
      </c>
      <c r="G154" s="10" t="s">
        <v>1261</v>
      </c>
      <c r="H154" s="10"/>
    </row>
    <row r="155" spans="1:8" ht="17.100000000000001" customHeight="1" x14ac:dyDescent="0.25">
      <c r="A155" s="9" t="s">
        <v>1007</v>
      </c>
      <c r="B155" s="9" t="s">
        <v>1222</v>
      </c>
      <c r="C155" s="9" t="s">
        <v>88</v>
      </c>
      <c r="D155" s="9" t="s">
        <v>103</v>
      </c>
      <c r="E155" s="9" t="s">
        <v>1304</v>
      </c>
      <c r="F155" s="10" t="s">
        <v>1006</v>
      </c>
      <c r="G155" s="10" t="s">
        <v>1261</v>
      </c>
      <c r="H155" s="10"/>
    </row>
    <row r="156" spans="1:8" ht="17.100000000000001" customHeight="1" x14ac:dyDescent="0.25">
      <c r="A156" s="9" t="s">
        <v>996</v>
      </c>
      <c r="B156" s="9" t="s">
        <v>1222</v>
      </c>
      <c r="C156" s="9" t="s">
        <v>88</v>
      </c>
      <c r="D156" s="9" t="s">
        <v>103</v>
      </c>
      <c r="E156" s="9" t="s">
        <v>1304</v>
      </c>
      <c r="F156" s="10" t="s">
        <v>994</v>
      </c>
      <c r="G156" s="10" t="s">
        <v>1261</v>
      </c>
      <c r="H156" s="10"/>
    </row>
    <row r="157" spans="1:8" ht="17.100000000000001" customHeight="1" x14ac:dyDescent="0.25">
      <c r="A157" s="9" t="s">
        <v>990</v>
      </c>
      <c r="B157" s="9" t="s">
        <v>865</v>
      </c>
      <c r="C157" s="9" t="s">
        <v>88</v>
      </c>
      <c r="D157" s="9" t="s">
        <v>103</v>
      </c>
      <c r="E157" s="9" t="s">
        <v>1304</v>
      </c>
      <c r="F157" s="10" t="s">
        <v>864</v>
      </c>
      <c r="G157" s="10" t="s">
        <v>1261</v>
      </c>
      <c r="H157" s="10"/>
    </row>
    <row r="158" spans="1:8" ht="17.100000000000001" customHeight="1" x14ac:dyDescent="0.25">
      <c r="A158" s="9" t="s">
        <v>902</v>
      </c>
      <c r="B158" s="9" t="s">
        <v>901</v>
      </c>
      <c r="C158" s="9" t="s">
        <v>88</v>
      </c>
      <c r="D158" s="9" t="s">
        <v>103</v>
      </c>
      <c r="E158" s="9" t="s">
        <v>1304</v>
      </c>
      <c r="F158" s="10" t="s">
        <v>900</v>
      </c>
      <c r="G158" s="10" t="s">
        <v>1261</v>
      </c>
      <c r="H158" s="10"/>
    </row>
    <row r="159" spans="1:8" ht="17.100000000000001" customHeight="1" x14ac:dyDescent="0.25">
      <c r="A159" s="9" t="s">
        <v>935</v>
      </c>
      <c r="B159" s="9" t="s">
        <v>934</v>
      </c>
      <c r="C159" s="9" t="s">
        <v>88</v>
      </c>
      <c r="D159" s="9" t="s">
        <v>103</v>
      </c>
      <c r="E159" s="9" t="s">
        <v>1304</v>
      </c>
      <c r="F159" s="10" t="s">
        <v>933</v>
      </c>
      <c r="G159" s="10" t="s">
        <v>1261</v>
      </c>
      <c r="H159" s="10"/>
    </row>
    <row r="160" spans="1:8" ht="17.100000000000001" customHeight="1" x14ac:dyDescent="0.25">
      <c r="A160" s="9" t="s">
        <v>948</v>
      </c>
      <c r="B160" s="9" t="s">
        <v>947</v>
      </c>
      <c r="C160" s="9" t="s">
        <v>88</v>
      </c>
      <c r="D160" s="9" t="s">
        <v>103</v>
      </c>
      <c r="E160" s="9" t="s">
        <v>1304</v>
      </c>
      <c r="F160" s="10" t="s">
        <v>946</v>
      </c>
      <c r="G160" s="10" t="s">
        <v>1261</v>
      </c>
      <c r="H160" s="10"/>
    </row>
    <row r="161" spans="1:8" ht="17.100000000000001" customHeight="1" x14ac:dyDescent="0.25">
      <c r="A161" s="23"/>
      <c r="B161" s="23"/>
      <c r="C161" s="23"/>
      <c r="D161" s="23"/>
      <c r="E161" s="23"/>
      <c r="F161" s="24"/>
      <c r="G161" s="24"/>
      <c r="H161" s="24"/>
    </row>
    <row r="162" spans="1:8" ht="17.100000000000001" customHeight="1" x14ac:dyDescent="0.25">
      <c r="A162" s="9" t="s">
        <v>1025</v>
      </c>
      <c r="B162" s="9" t="s">
        <v>21</v>
      </c>
      <c r="C162" s="9" t="s">
        <v>88</v>
      </c>
      <c r="D162" s="9" t="s">
        <v>103</v>
      </c>
      <c r="E162" s="9" t="s">
        <v>1304</v>
      </c>
      <c r="F162" s="10" t="s">
        <v>1023</v>
      </c>
      <c r="G162" s="10" t="s">
        <v>1261</v>
      </c>
      <c r="H162" s="10" t="s">
        <v>1279</v>
      </c>
    </row>
    <row r="163" spans="1:8" ht="17.100000000000001" customHeight="1" x14ac:dyDescent="0.25">
      <c r="A163" s="9" t="s">
        <v>1021</v>
      </c>
      <c r="B163" s="9" t="s">
        <v>21</v>
      </c>
      <c r="C163" s="9" t="s">
        <v>88</v>
      </c>
      <c r="D163" s="9" t="s">
        <v>103</v>
      </c>
      <c r="E163" s="9" t="s">
        <v>1304</v>
      </c>
      <c r="F163" s="10" t="s">
        <v>1020</v>
      </c>
      <c r="G163" s="10" t="s">
        <v>1261</v>
      </c>
      <c r="H163" s="10"/>
    </row>
    <row r="164" spans="1:8" ht="17.100000000000001" customHeight="1" x14ac:dyDescent="0.25">
      <c r="A164" s="9" t="s">
        <v>1024</v>
      </c>
      <c r="B164" s="9" t="s">
        <v>21</v>
      </c>
      <c r="C164" s="9" t="s">
        <v>88</v>
      </c>
      <c r="D164" s="9" t="s">
        <v>103</v>
      </c>
      <c r="E164" s="9" t="s">
        <v>1304</v>
      </c>
      <c r="F164" s="10" t="s">
        <v>1023</v>
      </c>
      <c r="G164" s="10" t="s">
        <v>1261</v>
      </c>
      <c r="H164" s="10"/>
    </row>
    <row r="165" spans="1:8" ht="17.100000000000001" customHeight="1" x14ac:dyDescent="0.25">
      <c r="A165" s="9" t="s">
        <v>1009</v>
      </c>
      <c r="B165" s="9" t="s">
        <v>21</v>
      </c>
      <c r="C165" s="9" t="s">
        <v>88</v>
      </c>
      <c r="D165" s="9" t="s">
        <v>103</v>
      </c>
      <c r="E165" s="9" t="s">
        <v>1304</v>
      </c>
      <c r="F165" s="10" t="s">
        <v>1008</v>
      </c>
      <c r="G165" s="10" t="s">
        <v>1261</v>
      </c>
      <c r="H165" s="10"/>
    </row>
    <row r="166" spans="1:8" ht="17.100000000000001" customHeight="1" x14ac:dyDescent="0.25">
      <c r="A166" s="9" t="s">
        <v>1009</v>
      </c>
      <c r="B166" s="9" t="s">
        <v>21</v>
      </c>
      <c r="C166" s="9" t="s">
        <v>88</v>
      </c>
      <c r="D166" s="9" t="s">
        <v>103</v>
      </c>
      <c r="E166" s="9" t="s">
        <v>1304</v>
      </c>
      <c r="F166" s="10" t="s">
        <v>1020</v>
      </c>
      <c r="G166" s="10" t="s">
        <v>1261</v>
      </c>
      <c r="H166" s="10"/>
    </row>
    <row r="167" spans="1:8" ht="17.100000000000001" customHeight="1" x14ac:dyDescent="0.25">
      <c r="A167" s="9" t="s">
        <v>1030</v>
      </c>
      <c r="B167" s="9" t="s">
        <v>21</v>
      </c>
      <c r="C167" s="9" t="s">
        <v>88</v>
      </c>
      <c r="D167" s="9" t="s">
        <v>103</v>
      </c>
      <c r="E167" s="9" t="s">
        <v>1304</v>
      </c>
      <c r="F167" s="10" t="s">
        <v>880</v>
      </c>
      <c r="G167" s="10" t="s">
        <v>1261</v>
      </c>
      <c r="H167" s="10"/>
    </row>
    <row r="168" spans="1:8" ht="17.100000000000001" customHeight="1" x14ac:dyDescent="0.25">
      <c r="A168" s="9" t="s">
        <v>1015</v>
      </c>
      <c r="B168" s="9" t="s">
        <v>21</v>
      </c>
      <c r="C168" s="9" t="s">
        <v>88</v>
      </c>
      <c r="D168" s="9" t="s">
        <v>103</v>
      </c>
      <c r="E168" s="9" t="s">
        <v>1304</v>
      </c>
      <c r="F168" s="10" t="s">
        <v>879</v>
      </c>
      <c r="G168" s="10" t="s">
        <v>1261</v>
      </c>
      <c r="H168" s="10"/>
    </row>
    <row r="169" spans="1:8" ht="17.100000000000001" customHeight="1" x14ac:dyDescent="0.25">
      <c r="A169" s="9" t="s">
        <v>927</v>
      </c>
      <c r="B169" s="9" t="s">
        <v>926</v>
      </c>
      <c r="C169" s="9" t="s">
        <v>88</v>
      </c>
      <c r="D169" s="9" t="s">
        <v>103</v>
      </c>
      <c r="E169" s="9" t="s">
        <v>1304</v>
      </c>
      <c r="F169" s="10" t="s">
        <v>925</v>
      </c>
      <c r="G169" s="10" t="s">
        <v>1261</v>
      </c>
      <c r="H169" s="10"/>
    </row>
    <row r="170" spans="1:8" ht="17.100000000000001" customHeight="1" x14ac:dyDescent="0.25">
      <c r="A170" s="9" t="s">
        <v>1013</v>
      </c>
      <c r="B170" s="9" t="s">
        <v>1012</v>
      </c>
      <c r="C170" s="9" t="s">
        <v>88</v>
      </c>
      <c r="D170" s="9" t="s">
        <v>103</v>
      </c>
      <c r="E170" s="9" t="s">
        <v>1304</v>
      </c>
      <c r="F170" s="10" t="s">
        <v>1011</v>
      </c>
      <c r="G170" s="10" t="s">
        <v>1261</v>
      </c>
      <c r="H170" s="10"/>
    </row>
    <row r="171" spans="1:8" ht="17.100000000000001" customHeight="1" x14ac:dyDescent="0.25">
      <c r="A171" s="9" t="s">
        <v>1014</v>
      </c>
      <c r="B171" s="9" t="s">
        <v>1012</v>
      </c>
      <c r="C171" s="9" t="s">
        <v>88</v>
      </c>
      <c r="D171" s="9" t="s">
        <v>103</v>
      </c>
      <c r="E171" s="9" t="s">
        <v>1304</v>
      </c>
      <c r="F171" s="10" t="s">
        <v>1011</v>
      </c>
      <c r="G171" s="10" t="s">
        <v>1261</v>
      </c>
      <c r="H171" s="10"/>
    </row>
    <row r="172" spans="1:8" ht="17.100000000000001" customHeight="1" x14ac:dyDescent="0.25">
      <c r="A172" s="9" t="s">
        <v>1014</v>
      </c>
      <c r="B172" s="9" t="s">
        <v>1012</v>
      </c>
      <c r="C172" s="9" t="s">
        <v>88</v>
      </c>
      <c r="D172" s="9" t="s">
        <v>103</v>
      </c>
      <c r="E172" s="9" t="s">
        <v>1304</v>
      </c>
      <c r="F172" s="10" t="s">
        <v>1022</v>
      </c>
      <c r="G172" s="10" t="s">
        <v>1261</v>
      </c>
      <c r="H172" s="10"/>
    </row>
    <row r="173" spans="1:8" ht="17.100000000000001" customHeight="1" x14ac:dyDescent="0.25">
      <c r="A173" s="9" t="s">
        <v>915</v>
      </c>
      <c r="B173" s="9" t="s">
        <v>914</v>
      </c>
      <c r="C173" s="9" t="s">
        <v>88</v>
      </c>
      <c r="D173" s="9" t="s">
        <v>103</v>
      </c>
      <c r="E173" s="9" t="s">
        <v>1304</v>
      </c>
      <c r="F173" s="10" t="s">
        <v>913</v>
      </c>
      <c r="G173" s="10" t="s">
        <v>1261</v>
      </c>
      <c r="H173" s="10"/>
    </row>
    <row r="174" spans="1:8" ht="17.100000000000001" customHeight="1" x14ac:dyDescent="0.25">
      <c r="A174" s="9" t="s">
        <v>905</v>
      </c>
      <c r="B174" s="9" t="s">
        <v>904</v>
      </c>
      <c r="C174" s="9" t="s">
        <v>88</v>
      </c>
      <c r="D174" s="9" t="s">
        <v>103</v>
      </c>
      <c r="E174" s="9" t="s">
        <v>1304</v>
      </c>
      <c r="F174" s="10" t="s">
        <v>903</v>
      </c>
      <c r="G174" s="10" t="s">
        <v>1261</v>
      </c>
      <c r="H174" s="10"/>
    </row>
    <row r="175" spans="1:8" ht="17.100000000000001" customHeight="1" x14ac:dyDescent="0.25">
      <c r="A175" s="9" t="s">
        <v>938</v>
      </c>
      <c r="B175" s="9" t="s">
        <v>937</v>
      </c>
      <c r="C175" s="9" t="s">
        <v>88</v>
      </c>
      <c r="D175" s="9" t="s">
        <v>103</v>
      </c>
      <c r="E175" s="9" t="s">
        <v>1304</v>
      </c>
      <c r="F175" s="10" t="s">
        <v>936</v>
      </c>
      <c r="G175" s="10" t="s">
        <v>1261</v>
      </c>
      <c r="H175" s="10"/>
    </row>
    <row r="176" spans="1:8" ht="17.100000000000001" customHeight="1" x14ac:dyDescent="0.25">
      <c r="A176" s="9" t="s">
        <v>1016</v>
      </c>
      <c r="B176" s="9" t="s">
        <v>875</v>
      </c>
      <c r="C176" s="9" t="s">
        <v>88</v>
      </c>
      <c r="D176" s="9" t="s">
        <v>103</v>
      </c>
      <c r="E176" s="9" t="s">
        <v>1304</v>
      </c>
      <c r="F176" s="10" t="s">
        <v>877</v>
      </c>
      <c r="G176" s="10" t="s">
        <v>1261</v>
      </c>
      <c r="H176" s="10"/>
    </row>
    <row r="177" spans="1:8" ht="17.100000000000001" customHeight="1" x14ac:dyDescent="0.25">
      <c r="A177" s="9" t="s">
        <v>1029</v>
      </c>
      <c r="B177" s="9" t="s">
        <v>1028</v>
      </c>
      <c r="C177" s="9" t="s">
        <v>88</v>
      </c>
      <c r="D177" s="9" t="s">
        <v>103</v>
      </c>
      <c r="E177" s="9" t="s">
        <v>1304</v>
      </c>
      <c r="F177" s="10" t="s">
        <v>1027</v>
      </c>
      <c r="G177" s="10" t="s">
        <v>1261</v>
      </c>
      <c r="H177" s="10"/>
    </row>
    <row r="178" spans="1:8" ht="17.100000000000001" customHeight="1" x14ac:dyDescent="0.25">
      <c r="A178" s="9" t="s">
        <v>1034</v>
      </c>
      <c r="B178" s="9" t="s">
        <v>1033</v>
      </c>
      <c r="C178" s="9" t="s">
        <v>88</v>
      </c>
      <c r="D178" s="9" t="s">
        <v>103</v>
      </c>
      <c r="E178" s="9" t="s">
        <v>1304</v>
      </c>
      <c r="F178" s="10" t="s">
        <v>1032</v>
      </c>
      <c r="G178" s="10" t="s">
        <v>1261</v>
      </c>
      <c r="H178" s="10"/>
    </row>
    <row r="179" spans="1:8" ht="17.100000000000001" customHeight="1" x14ac:dyDescent="0.25">
      <c r="A179" s="9" t="s">
        <v>1041</v>
      </c>
      <c r="B179" s="9" t="s">
        <v>1039</v>
      </c>
      <c r="C179" s="9" t="s">
        <v>88</v>
      </c>
      <c r="D179" s="9" t="s">
        <v>103</v>
      </c>
      <c r="E179" s="9" t="s">
        <v>1304</v>
      </c>
      <c r="F179" s="10" t="s">
        <v>1038</v>
      </c>
      <c r="G179" s="10" t="s">
        <v>1261</v>
      </c>
      <c r="H179" s="10"/>
    </row>
    <row r="180" spans="1:8" ht="17.100000000000001" customHeight="1" x14ac:dyDescent="0.25">
      <c r="A180" s="9" t="s">
        <v>1044</v>
      </c>
      <c r="B180" s="9" t="s">
        <v>1043</v>
      </c>
      <c r="C180" s="9" t="s">
        <v>88</v>
      </c>
      <c r="D180" s="9" t="s">
        <v>103</v>
      </c>
      <c r="E180" s="9" t="s">
        <v>1304</v>
      </c>
      <c r="F180" s="10" t="s">
        <v>1042</v>
      </c>
      <c r="G180" s="10" t="s">
        <v>1261</v>
      </c>
      <c r="H180" s="10"/>
    </row>
    <row r="181" spans="1:8" ht="17.100000000000001" customHeight="1" x14ac:dyDescent="0.25">
      <c r="A181" s="9" t="s">
        <v>1048</v>
      </c>
      <c r="B181" s="9" t="s">
        <v>1222</v>
      </c>
      <c r="C181" s="9" t="s">
        <v>88</v>
      </c>
      <c r="D181" s="9" t="s">
        <v>93</v>
      </c>
      <c r="E181" s="9" t="s">
        <v>1304</v>
      </c>
      <c r="F181" s="10" t="s">
        <v>735</v>
      </c>
      <c r="G181" s="10" t="s">
        <v>1261</v>
      </c>
      <c r="H181" s="10"/>
    </row>
    <row r="182" spans="1:8" ht="17.100000000000001" customHeight="1" x14ac:dyDescent="0.25">
      <c r="A182" s="9" t="s">
        <v>981</v>
      </c>
      <c r="B182" s="9" t="s">
        <v>35</v>
      </c>
      <c r="C182" s="9" t="s">
        <v>88</v>
      </c>
      <c r="D182" s="9" t="s">
        <v>93</v>
      </c>
      <c r="E182" s="9" t="s">
        <v>1304</v>
      </c>
      <c r="F182" s="10" t="s">
        <v>980</v>
      </c>
      <c r="G182" s="10" t="s">
        <v>1261</v>
      </c>
      <c r="H182" s="10"/>
    </row>
    <row r="183" spans="1:8" ht="17.100000000000001" customHeight="1" x14ac:dyDescent="0.25">
      <c r="A183" s="9" t="s">
        <v>985</v>
      </c>
      <c r="B183" s="9" t="s">
        <v>37</v>
      </c>
      <c r="C183" s="9" t="s">
        <v>88</v>
      </c>
      <c r="D183" s="9" t="s">
        <v>93</v>
      </c>
      <c r="E183" s="9" t="s">
        <v>1304</v>
      </c>
      <c r="F183" s="10" t="s">
        <v>984</v>
      </c>
      <c r="G183" s="10" t="s">
        <v>1261</v>
      </c>
      <c r="H183" s="10"/>
    </row>
    <row r="184" spans="1:8" ht="17.100000000000001" customHeight="1" x14ac:dyDescent="0.25">
      <c r="A184" s="23"/>
      <c r="B184" s="23"/>
      <c r="C184" s="23"/>
      <c r="D184" s="23"/>
      <c r="E184" s="23"/>
      <c r="F184" s="24"/>
      <c r="G184" s="24"/>
      <c r="H184" s="24"/>
    </row>
    <row r="185" spans="1:8" ht="17.100000000000001" customHeight="1" x14ac:dyDescent="0.25">
      <c r="A185" s="9" t="s">
        <v>897</v>
      </c>
      <c r="B185" s="9" t="s">
        <v>896</v>
      </c>
      <c r="C185" s="9" t="s">
        <v>88</v>
      </c>
      <c r="D185" s="9" t="s">
        <v>103</v>
      </c>
      <c r="E185" s="9" t="s">
        <v>1267</v>
      </c>
      <c r="F185" s="10" t="s">
        <v>895</v>
      </c>
      <c r="G185" s="10" t="s">
        <v>1261</v>
      </c>
      <c r="H185" s="10" t="s">
        <v>1278</v>
      </c>
    </row>
    <row r="186" spans="1:8" ht="17.100000000000001" customHeight="1" x14ac:dyDescent="0.25">
      <c r="A186" s="9"/>
      <c r="B186" s="9"/>
      <c r="C186" s="9"/>
      <c r="D186" s="9"/>
      <c r="E186" s="9"/>
      <c r="F186" s="10"/>
      <c r="G186" s="10"/>
      <c r="H186" s="10"/>
    </row>
    <row r="187" spans="1:8" ht="17.100000000000001" customHeight="1" x14ac:dyDescent="0.25">
      <c r="A187" s="9" t="s">
        <v>973</v>
      </c>
      <c r="B187" s="9" t="s">
        <v>972</v>
      </c>
      <c r="C187" s="9" t="s">
        <v>88</v>
      </c>
      <c r="D187" s="9" t="s">
        <v>103</v>
      </c>
      <c r="E187" s="9" t="s">
        <v>1267</v>
      </c>
      <c r="F187" s="10" t="s">
        <v>971</v>
      </c>
      <c r="G187" s="10" t="s">
        <v>1261</v>
      </c>
      <c r="H187" s="10"/>
    </row>
    <row r="188" spans="1:8" ht="17.100000000000001" customHeight="1" x14ac:dyDescent="0.25">
      <c r="A188" s="9" t="s">
        <v>921</v>
      </c>
      <c r="B188" s="9" t="s">
        <v>920</v>
      </c>
      <c r="C188" s="9" t="s">
        <v>88</v>
      </c>
      <c r="D188" s="9" t="s">
        <v>103</v>
      </c>
      <c r="E188" s="9" t="s">
        <v>1267</v>
      </c>
      <c r="F188" s="10" t="s">
        <v>919</v>
      </c>
      <c r="G188" s="10" t="s">
        <v>1261</v>
      </c>
      <c r="H188" s="10"/>
    </row>
    <row r="189" spans="1:8" ht="17.100000000000001" customHeight="1" x14ac:dyDescent="0.25">
      <c r="A189" s="9" t="s">
        <v>968</v>
      </c>
      <c r="B189" s="9" t="s">
        <v>967</v>
      </c>
      <c r="C189" s="9" t="s">
        <v>88</v>
      </c>
      <c r="D189" s="9" t="s">
        <v>103</v>
      </c>
      <c r="E189" s="9" t="s">
        <v>1267</v>
      </c>
      <c r="F189" s="10" t="s">
        <v>966</v>
      </c>
      <c r="G189" s="10" t="s">
        <v>1261</v>
      </c>
      <c r="H189" s="10"/>
    </row>
    <row r="190" spans="1:8" ht="17.100000000000001" customHeight="1" x14ac:dyDescent="0.25">
      <c r="A190" s="9" t="s">
        <v>964</v>
      </c>
      <c r="B190" s="9" t="s">
        <v>963</v>
      </c>
      <c r="C190" s="9" t="s">
        <v>88</v>
      </c>
      <c r="D190" s="9" t="s">
        <v>103</v>
      </c>
      <c r="E190" s="9" t="s">
        <v>1267</v>
      </c>
      <c r="F190" s="10" t="s">
        <v>962</v>
      </c>
      <c r="G190" s="10" t="s">
        <v>1261</v>
      </c>
      <c r="H190" s="10"/>
    </row>
    <row r="191" spans="1:8" ht="17.100000000000001" customHeight="1" x14ac:dyDescent="0.25">
      <c r="A191" s="9" t="s">
        <v>918</v>
      </c>
      <c r="B191" s="9" t="s">
        <v>917</v>
      </c>
      <c r="C191" s="9" t="s">
        <v>88</v>
      </c>
      <c r="D191" s="9" t="s">
        <v>103</v>
      </c>
      <c r="E191" s="9" t="s">
        <v>1267</v>
      </c>
      <c r="F191" s="10" t="s">
        <v>916</v>
      </c>
      <c r="G191" s="10" t="s">
        <v>1261</v>
      </c>
      <c r="H191" s="10"/>
    </row>
    <row r="192" spans="1:8" ht="17.100000000000001" customHeight="1" x14ac:dyDescent="0.25">
      <c r="A192" s="9" t="s">
        <v>908</v>
      </c>
      <c r="B192" s="9" t="s">
        <v>907</v>
      </c>
      <c r="C192" s="9" t="s">
        <v>88</v>
      </c>
      <c r="D192" s="9" t="s">
        <v>103</v>
      </c>
      <c r="E192" s="9" t="s">
        <v>1267</v>
      </c>
      <c r="F192" s="10" t="s">
        <v>906</v>
      </c>
      <c r="G192" s="10" t="s">
        <v>1261</v>
      </c>
      <c r="H192" s="10"/>
    </row>
    <row r="193" spans="1:8" ht="17.100000000000001" customHeight="1" x14ac:dyDescent="0.25">
      <c r="A193" s="9" t="s">
        <v>959</v>
      </c>
      <c r="B193" s="9" t="s">
        <v>958</v>
      </c>
      <c r="C193" s="9" t="s">
        <v>88</v>
      </c>
      <c r="D193" s="9" t="s">
        <v>103</v>
      </c>
      <c r="E193" s="9" t="s">
        <v>1267</v>
      </c>
      <c r="F193" s="10" t="s">
        <v>957</v>
      </c>
      <c r="G193" s="10" t="s">
        <v>1261</v>
      </c>
      <c r="H193" s="10"/>
    </row>
    <row r="194" spans="1:8" ht="17.100000000000001" customHeight="1" x14ac:dyDescent="0.25">
      <c r="A194" s="9"/>
      <c r="B194" s="9"/>
      <c r="C194" s="9"/>
      <c r="D194" s="9"/>
      <c r="E194" s="9"/>
      <c r="F194" s="10"/>
      <c r="G194" s="10"/>
      <c r="H194" s="10"/>
    </row>
    <row r="195" spans="1:8" ht="17.100000000000001" customHeight="1" x14ac:dyDescent="0.25">
      <c r="A195" s="9" t="s">
        <v>911</v>
      </c>
      <c r="B195" s="9" t="s">
        <v>910</v>
      </c>
      <c r="C195" s="9" t="s">
        <v>88</v>
      </c>
      <c r="D195" s="9" t="s">
        <v>89</v>
      </c>
      <c r="E195" s="9" t="s">
        <v>1267</v>
      </c>
      <c r="F195" s="10" t="s">
        <v>909</v>
      </c>
      <c r="G195" s="10" t="s">
        <v>1261</v>
      </c>
      <c r="H195" s="10"/>
    </row>
    <row r="196" spans="1:8" ht="17.100000000000001" customHeight="1" x14ac:dyDescent="0.25">
      <c r="A196" s="23"/>
      <c r="B196" s="23"/>
      <c r="C196" s="23"/>
      <c r="D196" s="23"/>
      <c r="E196" s="23"/>
      <c r="F196" s="24"/>
      <c r="G196" s="24"/>
      <c r="H196" s="24"/>
    </row>
    <row r="197" spans="1:8" ht="17.100000000000001" customHeight="1" x14ac:dyDescent="0.25">
      <c r="A197" s="9" t="s">
        <v>899</v>
      </c>
      <c r="B197" s="9" t="s">
        <v>1250</v>
      </c>
      <c r="C197" s="9" t="s">
        <v>88</v>
      </c>
      <c r="D197" s="9" t="s">
        <v>103</v>
      </c>
      <c r="E197" s="9" t="s">
        <v>1304</v>
      </c>
      <c r="F197" s="10" t="s">
        <v>898</v>
      </c>
      <c r="G197" s="10" t="s">
        <v>1261</v>
      </c>
      <c r="H197" s="10" t="s">
        <v>1277</v>
      </c>
    </row>
    <row r="198" spans="1:8" ht="17.100000000000001" customHeight="1" x14ac:dyDescent="0.25">
      <c r="A198" s="23"/>
      <c r="B198" s="23"/>
      <c r="C198" s="23"/>
      <c r="D198" s="23"/>
      <c r="E198" s="23"/>
      <c r="F198" s="24"/>
      <c r="G198" s="24"/>
      <c r="H198" s="24"/>
    </row>
    <row r="199" spans="1:8" ht="17.100000000000001" customHeight="1" x14ac:dyDescent="0.25">
      <c r="A199" s="9" t="s">
        <v>889</v>
      </c>
      <c r="B199" s="9" t="s">
        <v>1249</v>
      </c>
      <c r="C199" s="9" t="s">
        <v>88</v>
      </c>
      <c r="D199" s="9" t="s">
        <v>103</v>
      </c>
      <c r="E199" s="9" t="s">
        <v>1304</v>
      </c>
      <c r="F199" s="10" t="s">
        <v>888</v>
      </c>
      <c r="G199" s="10" t="s">
        <v>1261</v>
      </c>
      <c r="H199" s="10" t="s">
        <v>1276</v>
      </c>
    </row>
    <row r="200" spans="1:8" ht="17.100000000000001" customHeight="1" x14ac:dyDescent="0.25">
      <c r="A200" s="9" t="s">
        <v>1010</v>
      </c>
      <c r="B200" s="9" t="s">
        <v>1222</v>
      </c>
      <c r="C200" s="9" t="s">
        <v>88</v>
      </c>
      <c r="D200" s="9" t="s">
        <v>103</v>
      </c>
      <c r="E200" s="9" t="s">
        <v>1304</v>
      </c>
      <c r="F200" s="10" t="s">
        <v>873</v>
      </c>
      <c r="G200" s="10" t="s">
        <v>1261</v>
      </c>
      <c r="H200" s="10"/>
    </row>
    <row r="201" spans="1:8" ht="17.100000000000001" customHeight="1" x14ac:dyDescent="0.25">
      <c r="A201" s="9" t="s">
        <v>1037</v>
      </c>
      <c r="B201" s="9" t="s">
        <v>1222</v>
      </c>
      <c r="C201" s="9" t="s">
        <v>88</v>
      </c>
      <c r="D201" s="9" t="s">
        <v>103</v>
      </c>
      <c r="E201" s="9" t="s">
        <v>1304</v>
      </c>
      <c r="F201" s="10" t="s">
        <v>1035</v>
      </c>
      <c r="G201" s="10" t="s">
        <v>1261</v>
      </c>
      <c r="H201" s="10"/>
    </row>
    <row r="202" spans="1:8" ht="17.100000000000001" customHeight="1" x14ac:dyDescent="0.25">
      <c r="A202" s="9" t="s">
        <v>988</v>
      </c>
      <c r="B202" s="9" t="s">
        <v>1222</v>
      </c>
      <c r="C202" s="9" t="s">
        <v>88</v>
      </c>
      <c r="D202" s="9" t="s">
        <v>103</v>
      </c>
      <c r="E202" s="9" t="s">
        <v>1304</v>
      </c>
      <c r="F202" s="10" t="s">
        <v>650</v>
      </c>
      <c r="G202" s="10" t="s">
        <v>1261</v>
      </c>
      <c r="H202" s="10"/>
    </row>
    <row r="203" spans="1:8" ht="17.100000000000001" customHeight="1" x14ac:dyDescent="0.25">
      <c r="A203" s="9" t="s">
        <v>961</v>
      </c>
      <c r="B203" s="9" t="s">
        <v>1222</v>
      </c>
      <c r="C203" s="9" t="s">
        <v>88</v>
      </c>
      <c r="D203" s="9" t="s">
        <v>103</v>
      </c>
      <c r="E203" s="9" t="s">
        <v>1304</v>
      </c>
      <c r="F203" s="10" t="s">
        <v>965</v>
      </c>
      <c r="G203" s="10" t="s">
        <v>1261</v>
      </c>
      <c r="H203" s="10"/>
    </row>
    <row r="204" spans="1:8" ht="17.100000000000001" customHeight="1" x14ac:dyDescent="0.25">
      <c r="A204" s="9" t="s">
        <v>961</v>
      </c>
      <c r="B204" s="9" t="s">
        <v>1222</v>
      </c>
      <c r="C204" s="9" t="s">
        <v>88</v>
      </c>
      <c r="D204" s="9" t="s">
        <v>103</v>
      </c>
      <c r="E204" s="9" t="s">
        <v>1304</v>
      </c>
      <c r="F204" s="10" t="s">
        <v>960</v>
      </c>
      <c r="G204" s="10" t="s">
        <v>1261</v>
      </c>
      <c r="H204" s="10"/>
    </row>
    <row r="205" spans="1:8" ht="17.100000000000001" customHeight="1" x14ac:dyDescent="0.25">
      <c r="A205" s="9" t="s">
        <v>970</v>
      </c>
      <c r="B205" s="9" t="s">
        <v>1222</v>
      </c>
      <c r="C205" s="9" t="s">
        <v>88</v>
      </c>
      <c r="D205" s="9" t="s">
        <v>103</v>
      </c>
      <c r="E205" s="9" t="s">
        <v>1304</v>
      </c>
      <c r="F205" s="10" t="s">
        <v>974</v>
      </c>
      <c r="G205" s="10" t="s">
        <v>1261</v>
      </c>
      <c r="H205" s="10"/>
    </row>
    <row r="206" spans="1:8" ht="17.100000000000001" customHeight="1" x14ac:dyDescent="0.25">
      <c r="A206" s="9" t="s">
        <v>970</v>
      </c>
      <c r="B206" s="9" t="s">
        <v>1222</v>
      </c>
      <c r="C206" s="9" t="s">
        <v>88</v>
      </c>
      <c r="D206" s="9" t="s">
        <v>103</v>
      </c>
      <c r="E206" s="9" t="s">
        <v>1304</v>
      </c>
      <c r="F206" s="10" t="s">
        <v>969</v>
      </c>
      <c r="G206" s="10" t="s">
        <v>1261</v>
      </c>
      <c r="H206" s="10"/>
    </row>
    <row r="207" spans="1:8" ht="17.100000000000001" customHeight="1" x14ac:dyDescent="0.25">
      <c r="A207" s="9" t="s">
        <v>891</v>
      </c>
      <c r="B207" s="9" t="s">
        <v>1222</v>
      </c>
      <c r="C207" s="9" t="s">
        <v>88</v>
      </c>
      <c r="D207" s="9" t="s">
        <v>103</v>
      </c>
      <c r="E207" s="9" t="s">
        <v>1304</v>
      </c>
      <c r="F207" s="10" t="s">
        <v>890</v>
      </c>
      <c r="G207" s="10" t="s">
        <v>1261</v>
      </c>
      <c r="H207" s="10"/>
    </row>
    <row r="208" spans="1:8" ht="17.100000000000001" customHeight="1" x14ac:dyDescent="0.25">
      <c r="A208" s="9" t="s">
        <v>992</v>
      </c>
      <c r="B208" s="9" t="s">
        <v>391</v>
      </c>
      <c r="C208" s="9" t="s">
        <v>88</v>
      </c>
      <c r="D208" s="9" t="s">
        <v>103</v>
      </c>
      <c r="E208" s="9" t="s">
        <v>1304</v>
      </c>
      <c r="F208" s="10" t="s">
        <v>991</v>
      </c>
      <c r="G208" s="10" t="s">
        <v>1261</v>
      </c>
      <c r="H208" s="10"/>
    </row>
    <row r="209" spans="1:8" ht="17.100000000000001" customHeight="1" x14ac:dyDescent="0.25">
      <c r="A209" s="9" t="s">
        <v>402</v>
      </c>
      <c r="B209" s="9" t="s">
        <v>391</v>
      </c>
      <c r="C209" s="9" t="s">
        <v>88</v>
      </c>
      <c r="D209" s="9" t="s">
        <v>103</v>
      </c>
      <c r="E209" s="9" t="s">
        <v>1304</v>
      </c>
      <c r="F209" s="10" t="s">
        <v>1004</v>
      </c>
      <c r="G209" s="10" t="s">
        <v>1261</v>
      </c>
      <c r="H209" s="10"/>
    </row>
    <row r="210" spans="1:8" ht="17.100000000000001" customHeight="1" x14ac:dyDescent="0.25">
      <c r="A210" s="9" t="s">
        <v>403</v>
      </c>
      <c r="B210" s="9" t="s">
        <v>399</v>
      </c>
      <c r="C210" s="9" t="s">
        <v>88</v>
      </c>
      <c r="D210" s="9" t="s">
        <v>103</v>
      </c>
      <c r="E210" s="9" t="s">
        <v>1304</v>
      </c>
      <c r="F210" s="10" t="s">
        <v>863</v>
      </c>
      <c r="G210" s="10" t="s">
        <v>1261</v>
      </c>
      <c r="H210" s="10"/>
    </row>
    <row r="211" spans="1:8" ht="17.100000000000001" customHeight="1" x14ac:dyDescent="0.25">
      <c r="A211" s="9"/>
      <c r="B211" s="9"/>
      <c r="C211" s="9"/>
      <c r="D211" s="9"/>
      <c r="E211" s="9"/>
      <c r="F211" s="10"/>
      <c r="G211" s="10"/>
      <c r="H211" s="10"/>
    </row>
    <row r="212" spans="1:8" ht="17.100000000000001" customHeight="1" x14ac:dyDescent="0.25">
      <c r="A212" s="9" t="s">
        <v>940</v>
      </c>
      <c r="B212" s="9" t="s">
        <v>1222</v>
      </c>
      <c r="C212" s="9" t="s">
        <v>88</v>
      </c>
      <c r="D212" s="9" t="s">
        <v>93</v>
      </c>
      <c r="E212" s="9" t="s">
        <v>1304</v>
      </c>
      <c r="F212" s="10" t="s">
        <v>939</v>
      </c>
      <c r="G212" s="10" t="s">
        <v>1261</v>
      </c>
      <c r="H212" s="10"/>
    </row>
    <row r="213" spans="1:8" ht="17.100000000000001" customHeight="1" x14ac:dyDescent="0.25">
      <c r="A213" s="9" t="s">
        <v>940</v>
      </c>
      <c r="B213" s="9" t="s">
        <v>1222</v>
      </c>
      <c r="C213" s="9" t="s">
        <v>88</v>
      </c>
      <c r="D213" s="9" t="s">
        <v>93</v>
      </c>
      <c r="E213" s="9" t="s">
        <v>1304</v>
      </c>
      <c r="F213" s="10" t="s">
        <v>799</v>
      </c>
      <c r="G213" s="10" t="s">
        <v>1261</v>
      </c>
      <c r="H213" s="10"/>
    </row>
    <row r="214" spans="1:8" ht="17.100000000000001" customHeight="1" x14ac:dyDescent="0.25">
      <c r="A214" s="9" t="s">
        <v>954</v>
      </c>
      <c r="B214" s="9" t="s">
        <v>1222</v>
      </c>
      <c r="C214" s="9" t="s">
        <v>88</v>
      </c>
      <c r="D214" s="9" t="s">
        <v>93</v>
      </c>
      <c r="E214" s="9" t="s">
        <v>1304</v>
      </c>
      <c r="F214" s="10" t="s">
        <v>953</v>
      </c>
      <c r="G214" s="10" t="s">
        <v>1261</v>
      </c>
      <c r="H214" s="10"/>
    </row>
    <row r="215" spans="1:8" ht="17.100000000000001" customHeight="1" x14ac:dyDescent="0.25">
      <c r="A215" s="9" t="s">
        <v>976</v>
      </c>
      <c r="B215" s="9" t="s">
        <v>1222</v>
      </c>
      <c r="C215" s="9" t="s">
        <v>88</v>
      </c>
      <c r="D215" s="9" t="s">
        <v>93</v>
      </c>
      <c r="E215" s="9" t="s">
        <v>1304</v>
      </c>
      <c r="F215" s="10" t="s">
        <v>975</v>
      </c>
      <c r="G215" s="10" t="s">
        <v>1261</v>
      </c>
      <c r="H215" s="10"/>
    </row>
    <row r="216" spans="1:8" ht="17.100000000000001" customHeight="1" x14ac:dyDescent="0.25">
      <c r="A216" s="9"/>
      <c r="B216" s="9"/>
      <c r="C216" s="9"/>
      <c r="D216" s="9"/>
      <c r="E216" s="9"/>
      <c r="F216" s="10"/>
      <c r="G216" s="10"/>
      <c r="H216" s="10"/>
    </row>
    <row r="217" spans="1:8" ht="17.100000000000001" customHeight="1" x14ac:dyDescent="0.25">
      <c r="A217" s="9" t="s">
        <v>1047</v>
      </c>
      <c r="B217" s="9" t="s">
        <v>1222</v>
      </c>
      <c r="C217" s="9" t="s">
        <v>88</v>
      </c>
      <c r="D217" s="9" t="s">
        <v>89</v>
      </c>
      <c r="E217" s="9" t="s">
        <v>1304</v>
      </c>
      <c r="F217" s="10" t="s">
        <v>734</v>
      </c>
      <c r="G217" s="10" t="s">
        <v>1261</v>
      </c>
      <c r="H217" s="10"/>
    </row>
    <row r="218" spans="1:8" ht="17.100000000000001" customHeight="1" x14ac:dyDescent="0.25">
      <c r="A218" s="9" t="s">
        <v>1049</v>
      </c>
      <c r="B218" s="9" t="s">
        <v>1222</v>
      </c>
      <c r="C218" s="9" t="s">
        <v>88</v>
      </c>
      <c r="D218" s="9" t="s">
        <v>89</v>
      </c>
      <c r="E218" s="9" t="s">
        <v>1304</v>
      </c>
      <c r="F218" s="10" t="s">
        <v>736</v>
      </c>
      <c r="G218" s="10" t="s">
        <v>1261</v>
      </c>
      <c r="H218" s="10"/>
    </row>
    <row r="219" spans="1:8" ht="17.100000000000001" customHeight="1" x14ac:dyDescent="0.25">
      <c r="A219" s="9" t="s">
        <v>1046</v>
      </c>
      <c r="B219" s="9" t="s">
        <v>1222</v>
      </c>
      <c r="C219" s="9" t="s">
        <v>88</v>
      </c>
      <c r="D219" s="9" t="s">
        <v>89</v>
      </c>
      <c r="E219" s="9" t="s">
        <v>1304</v>
      </c>
      <c r="F219" s="10" t="s">
        <v>204</v>
      </c>
      <c r="G219" s="10" t="s">
        <v>1261</v>
      </c>
      <c r="H219" s="10"/>
    </row>
    <row r="220" spans="1:8" ht="17.100000000000001" customHeight="1" x14ac:dyDescent="0.25">
      <c r="A220" s="9" t="s">
        <v>983</v>
      </c>
      <c r="B220" s="9" t="s">
        <v>19</v>
      </c>
      <c r="C220" s="9" t="s">
        <v>88</v>
      </c>
      <c r="D220" s="9" t="s">
        <v>89</v>
      </c>
      <c r="E220" s="9" t="s">
        <v>1304</v>
      </c>
      <c r="F220" s="10" t="s">
        <v>982</v>
      </c>
      <c r="G220" s="10" t="s">
        <v>1261</v>
      </c>
      <c r="H220" s="10"/>
    </row>
    <row r="221" spans="1:8" ht="17.100000000000001" customHeight="1" x14ac:dyDescent="0.25">
      <c r="A221" s="9" t="s">
        <v>1045</v>
      </c>
      <c r="B221" s="9" t="s">
        <v>19</v>
      </c>
      <c r="C221" s="9" t="s">
        <v>88</v>
      </c>
      <c r="D221" s="9" t="s">
        <v>89</v>
      </c>
      <c r="E221" s="9" t="s">
        <v>1304</v>
      </c>
      <c r="F221" s="10" t="s">
        <v>727</v>
      </c>
      <c r="G221" s="10" t="s">
        <v>1261</v>
      </c>
      <c r="H221" s="10"/>
    </row>
    <row r="222" spans="1:8" ht="17.100000000000001" customHeight="1" x14ac:dyDescent="0.25">
      <c r="A222" s="9"/>
      <c r="B222" s="9"/>
      <c r="C222" s="9"/>
      <c r="D222" s="9"/>
      <c r="E222" s="9"/>
      <c r="F222" s="10"/>
      <c r="G222" s="10"/>
      <c r="H222" s="10"/>
    </row>
    <row r="223" spans="1:8" ht="17.100000000000001" customHeight="1" x14ac:dyDescent="0.25">
      <c r="A223" s="9" t="s">
        <v>987</v>
      </c>
      <c r="B223" s="9" t="s">
        <v>19</v>
      </c>
      <c r="C223" s="9" t="s">
        <v>88</v>
      </c>
      <c r="D223" s="9" t="s">
        <v>202</v>
      </c>
      <c r="E223" s="9" t="s">
        <v>1304</v>
      </c>
      <c r="F223" s="10" t="s">
        <v>986</v>
      </c>
      <c r="G223" s="10" t="s">
        <v>1261</v>
      </c>
      <c r="H223" s="10"/>
    </row>
  </sheetData>
  <sortState xmlns:xlrd2="http://schemas.microsoft.com/office/spreadsheetml/2017/richdata2" ref="A57:F89">
    <sortCondition descending="1" ref="D57:D89"/>
    <sortCondition ref="B57:B89"/>
    <sortCondition ref="A57:A8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31:D144 F131:H144 A145:H145 A146:D160 F146:H160 A161:H161 A162:D183 F162:H183">
    <cfRule type="containsText" dxfId="16" priority="1" operator="containsText" text=":A2">
      <formula>NOT(ISERROR(SEARCH(":A2",A131)))</formula>
    </cfRule>
    <cfRule type="containsText" dxfId="15" priority="2" operator="containsText" text=":A1">
      <formula>NOT(ISERROR(SEARCH(":A1",A131)))</formula>
    </cfRule>
  </conditionalFormatting>
  <conditionalFormatting sqref="A29:H91 A105:H106">
    <cfRule type="containsText" dxfId="14" priority="3" operator="containsText" text=":A2">
      <formula>NOT(ISERROR(SEARCH(":A2",A29)))</formula>
    </cfRule>
    <cfRule type="containsText" dxfId="13" priority="4" operator="containsText" text=":A1">
      <formula>NOT(ISERROR(SEARCH(":A1",A29)))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E6E1-B32B-4C60-9BF6-8A7CE63F7DFB}">
  <sheetPr>
    <tabColor rgb="FF7030A0"/>
  </sheetPr>
  <dimension ref="A1:H95"/>
  <sheetViews>
    <sheetView showGridLines="0" workbookViewId="0">
      <selection activeCell="E27" sqref="E27"/>
    </sheetView>
  </sheetViews>
  <sheetFormatPr defaultRowHeight="17.100000000000001" customHeight="1" x14ac:dyDescent="0.25"/>
  <cols>
    <col min="1" max="1" width="13.42578125" style="5" bestFit="1" customWidth="1"/>
    <col min="2" max="2" width="11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2.42578125" style="5" bestFit="1" customWidth="1"/>
    <col min="7" max="7" width="8" bestFit="1" customWidth="1"/>
    <col min="8" max="8" width="11.7109375" bestFit="1" customWidth="1"/>
  </cols>
  <sheetData>
    <row r="1" spans="1:8" ht="18" customHeight="1" x14ac:dyDescent="0.25">
      <c r="A1" s="33" t="s">
        <v>24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2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2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2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43.5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10" t="s">
        <v>820</v>
      </c>
      <c r="B14" s="9" t="s">
        <v>1235</v>
      </c>
      <c r="C14" s="9" t="s">
        <v>88</v>
      </c>
      <c r="D14" s="9" t="s">
        <v>103</v>
      </c>
      <c r="E14" s="9" t="s">
        <v>1273</v>
      </c>
      <c r="F14" s="9" t="s">
        <v>819</v>
      </c>
      <c r="G14" s="10" t="s">
        <v>1261</v>
      </c>
      <c r="H14" s="10" t="s">
        <v>1297</v>
      </c>
    </row>
    <row r="15" spans="1:8" ht="17.100000000000001" customHeight="1" x14ac:dyDescent="0.25">
      <c r="A15" s="10" t="s">
        <v>822</v>
      </c>
      <c r="B15" s="9" t="s">
        <v>1236</v>
      </c>
      <c r="C15" s="9" t="s">
        <v>88</v>
      </c>
      <c r="D15" s="9" t="s">
        <v>103</v>
      </c>
      <c r="E15" s="9" t="s">
        <v>1273</v>
      </c>
      <c r="F15" s="9" t="s">
        <v>821</v>
      </c>
      <c r="G15" s="10" t="s">
        <v>1261</v>
      </c>
      <c r="H15" s="10"/>
    </row>
    <row r="16" spans="1:8" ht="17.100000000000001" customHeight="1" x14ac:dyDescent="0.25">
      <c r="A16" s="10" t="s">
        <v>826</v>
      </c>
      <c r="B16" s="9" t="s">
        <v>1237</v>
      </c>
      <c r="C16" s="9" t="s">
        <v>88</v>
      </c>
      <c r="D16" s="9" t="s">
        <v>103</v>
      </c>
      <c r="E16" s="9" t="s">
        <v>1273</v>
      </c>
      <c r="F16" s="9" t="s">
        <v>825</v>
      </c>
      <c r="G16" s="10" t="s">
        <v>1261</v>
      </c>
      <c r="H16" s="10"/>
    </row>
    <row r="17" spans="1:8" ht="17.100000000000001" customHeight="1" x14ac:dyDescent="0.25">
      <c r="A17" s="24"/>
      <c r="B17" s="23"/>
      <c r="C17" s="23"/>
      <c r="D17" s="23"/>
      <c r="E17" s="23"/>
      <c r="F17" s="23"/>
      <c r="G17" s="24"/>
      <c r="H17" s="24"/>
    </row>
    <row r="18" spans="1:8" ht="17.100000000000001" customHeight="1" x14ac:dyDescent="0.25">
      <c r="A18" s="9" t="s">
        <v>738</v>
      </c>
      <c r="B18" s="9" t="s">
        <v>1222</v>
      </c>
      <c r="C18" s="9" t="s">
        <v>88</v>
      </c>
      <c r="D18" s="9" t="s">
        <v>93</v>
      </c>
      <c r="E18" s="9" t="s">
        <v>1256</v>
      </c>
      <c r="F18" s="10" t="s">
        <v>731</v>
      </c>
      <c r="G18" s="10" t="s">
        <v>1261</v>
      </c>
      <c r="H18" s="10" t="s">
        <v>1296</v>
      </c>
    </row>
    <row r="19" spans="1:8" ht="17.100000000000001" customHeight="1" x14ac:dyDescent="0.25">
      <c r="A19" s="9" t="s">
        <v>747</v>
      </c>
      <c r="B19" s="9" t="s">
        <v>1222</v>
      </c>
      <c r="C19" s="9" t="s">
        <v>88</v>
      </c>
      <c r="D19" s="9" t="s">
        <v>93</v>
      </c>
      <c r="E19" s="9" t="s">
        <v>1273</v>
      </c>
      <c r="F19" s="10" t="s">
        <v>732</v>
      </c>
      <c r="G19" s="10" t="s">
        <v>1261</v>
      </c>
      <c r="H19" s="10"/>
    </row>
    <row r="20" spans="1:8" ht="17.100000000000001" customHeight="1" x14ac:dyDescent="0.25">
      <c r="A20" s="9" t="s">
        <v>762</v>
      </c>
      <c r="B20" s="9" t="s">
        <v>1222</v>
      </c>
      <c r="C20" s="9" t="s">
        <v>88</v>
      </c>
      <c r="D20" s="9" t="s">
        <v>93</v>
      </c>
      <c r="E20" s="9" t="s">
        <v>1273</v>
      </c>
      <c r="F20" s="10" t="s">
        <v>732</v>
      </c>
      <c r="G20" s="10" t="s">
        <v>1261</v>
      </c>
      <c r="H20" s="10"/>
    </row>
    <row r="21" spans="1:8" ht="17.100000000000001" customHeight="1" x14ac:dyDescent="0.25">
      <c r="A21" s="9" t="s">
        <v>752</v>
      </c>
      <c r="B21" s="9" t="s">
        <v>1222</v>
      </c>
      <c r="C21" s="9" t="s">
        <v>88</v>
      </c>
      <c r="D21" s="9" t="s">
        <v>93</v>
      </c>
      <c r="E21" s="9" t="s">
        <v>1256</v>
      </c>
      <c r="F21" s="10" t="s">
        <v>731</v>
      </c>
      <c r="G21" s="10" t="s">
        <v>1261</v>
      </c>
      <c r="H21" s="10"/>
    </row>
    <row r="22" spans="1:8" ht="17.100000000000001" customHeight="1" x14ac:dyDescent="0.25">
      <c r="A22" s="9" t="s">
        <v>756</v>
      </c>
      <c r="B22" s="9" t="s">
        <v>758</v>
      </c>
      <c r="C22" s="9" t="s">
        <v>88</v>
      </c>
      <c r="D22" s="9" t="s">
        <v>93</v>
      </c>
      <c r="E22" s="9" t="s">
        <v>1256</v>
      </c>
      <c r="F22" s="10" t="s">
        <v>759</v>
      </c>
      <c r="G22" s="10" t="s">
        <v>1261</v>
      </c>
      <c r="H22" s="10"/>
    </row>
    <row r="23" spans="1:8" ht="17.100000000000001" customHeight="1" x14ac:dyDescent="0.25">
      <c r="A23" s="9" t="s">
        <v>757</v>
      </c>
      <c r="B23" s="9" t="s">
        <v>760</v>
      </c>
      <c r="C23" s="9" t="s">
        <v>88</v>
      </c>
      <c r="D23" s="9" t="s">
        <v>93</v>
      </c>
      <c r="E23" s="9" t="s">
        <v>1256</v>
      </c>
      <c r="F23" s="10" t="s">
        <v>761</v>
      </c>
      <c r="G23" s="10" t="s">
        <v>1261</v>
      </c>
      <c r="H23" s="10"/>
    </row>
    <row r="24" spans="1:8" ht="17.100000000000001" customHeight="1" x14ac:dyDescent="0.25">
      <c r="A24" s="9" t="s">
        <v>750</v>
      </c>
      <c r="B24" s="9" t="s">
        <v>751</v>
      </c>
      <c r="C24" s="9" t="s">
        <v>88</v>
      </c>
      <c r="D24" s="9" t="s">
        <v>93</v>
      </c>
      <c r="E24" s="9" t="s">
        <v>1256</v>
      </c>
      <c r="F24" s="10" t="s">
        <v>752</v>
      </c>
      <c r="G24" s="10" t="s">
        <v>1261</v>
      </c>
      <c r="H24" s="10"/>
    </row>
    <row r="25" spans="1:8" ht="17.100000000000001" customHeight="1" x14ac:dyDescent="0.25">
      <c r="A25" s="9" t="s">
        <v>753</v>
      </c>
      <c r="B25" s="9" t="s">
        <v>754</v>
      </c>
      <c r="C25" s="9" t="s">
        <v>88</v>
      </c>
      <c r="D25" s="9" t="s">
        <v>93</v>
      </c>
      <c r="E25" s="9" t="s">
        <v>1256</v>
      </c>
      <c r="F25" s="10" t="s">
        <v>755</v>
      </c>
      <c r="G25" s="10" t="s">
        <v>1261</v>
      </c>
      <c r="H25" s="10"/>
    </row>
    <row r="26" spans="1:8" ht="17.100000000000001" customHeight="1" x14ac:dyDescent="0.25">
      <c r="A26" s="9" t="s">
        <v>755</v>
      </c>
      <c r="B26" s="9" t="s">
        <v>29</v>
      </c>
      <c r="C26" s="9" t="s">
        <v>88</v>
      </c>
      <c r="D26" s="9" t="s">
        <v>93</v>
      </c>
      <c r="E26" s="9" t="s">
        <v>1256</v>
      </c>
      <c r="F26" s="10" t="s">
        <v>844</v>
      </c>
      <c r="G26" s="10" t="s">
        <v>1261</v>
      </c>
      <c r="H26" s="10"/>
    </row>
    <row r="27" spans="1:8" ht="17.100000000000001" customHeight="1" x14ac:dyDescent="0.25">
      <c r="A27" s="9" t="s">
        <v>739</v>
      </c>
      <c r="B27" s="9" t="s">
        <v>30</v>
      </c>
      <c r="C27" s="9" t="s">
        <v>88</v>
      </c>
      <c r="D27" s="9" t="s">
        <v>93</v>
      </c>
      <c r="E27" s="9" t="s">
        <v>1256</v>
      </c>
      <c r="F27" s="10" t="s">
        <v>740</v>
      </c>
      <c r="G27" s="10" t="s">
        <v>1261</v>
      </c>
      <c r="H27" s="10"/>
    </row>
    <row r="28" spans="1:8" ht="17.100000000000001" customHeight="1" x14ac:dyDescent="0.25">
      <c r="A28" s="9" t="s">
        <v>748</v>
      </c>
      <c r="B28" s="9" t="s">
        <v>31</v>
      </c>
      <c r="C28" s="9" t="s">
        <v>88</v>
      </c>
      <c r="D28" s="9" t="s">
        <v>93</v>
      </c>
      <c r="E28" s="9" t="s">
        <v>1256</v>
      </c>
      <c r="F28" s="10" t="s">
        <v>749</v>
      </c>
      <c r="G28" s="10" t="s">
        <v>1261</v>
      </c>
      <c r="H28" s="10"/>
    </row>
    <row r="29" spans="1:8" ht="17.100000000000001" customHeight="1" x14ac:dyDescent="0.25">
      <c r="A29" s="9" t="s">
        <v>763</v>
      </c>
      <c r="B29" s="9" t="s">
        <v>32</v>
      </c>
      <c r="C29" s="9" t="s">
        <v>88</v>
      </c>
      <c r="D29" s="9" t="s">
        <v>93</v>
      </c>
      <c r="E29" s="9" t="s">
        <v>1256</v>
      </c>
      <c r="F29" s="10" t="s">
        <v>764</v>
      </c>
      <c r="G29" s="10" t="s">
        <v>1261</v>
      </c>
      <c r="H29" s="10"/>
    </row>
    <row r="30" spans="1:8" ht="17.100000000000001" customHeight="1" x14ac:dyDescent="0.25">
      <c r="A30" s="23"/>
      <c r="B30" s="23"/>
      <c r="C30" s="23"/>
      <c r="D30" s="23"/>
      <c r="E30" s="23"/>
      <c r="F30" s="24"/>
      <c r="G30" s="24"/>
      <c r="H30" s="24"/>
    </row>
    <row r="31" spans="1:8" ht="17.100000000000001" customHeight="1" x14ac:dyDescent="0.25">
      <c r="A31" s="9" t="s">
        <v>793</v>
      </c>
      <c r="B31" s="9" t="s">
        <v>1222</v>
      </c>
      <c r="C31" s="9" t="s">
        <v>88</v>
      </c>
      <c r="D31" s="9" t="s">
        <v>93</v>
      </c>
      <c r="E31" s="9" t="s">
        <v>1273</v>
      </c>
      <c r="F31" s="10" t="s">
        <v>733</v>
      </c>
      <c r="G31" s="10" t="s">
        <v>1261</v>
      </c>
      <c r="H31" s="10" t="s">
        <v>1295</v>
      </c>
    </row>
    <row r="32" spans="1:8" ht="17.100000000000001" customHeight="1" x14ac:dyDescent="0.25">
      <c r="A32" s="9" t="s">
        <v>765</v>
      </c>
      <c r="B32" s="9" t="s">
        <v>1222</v>
      </c>
      <c r="C32" s="9" t="s">
        <v>88</v>
      </c>
      <c r="D32" s="9" t="s">
        <v>93</v>
      </c>
      <c r="E32" s="9" t="s">
        <v>1256</v>
      </c>
      <c r="F32" s="10" t="s">
        <v>733</v>
      </c>
      <c r="G32" s="10" t="s">
        <v>1261</v>
      </c>
      <c r="H32" s="10"/>
    </row>
    <row r="33" spans="1:8" ht="17.100000000000001" customHeight="1" x14ac:dyDescent="0.25">
      <c r="A33" s="9" t="s">
        <v>767</v>
      </c>
      <c r="B33" s="9" t="s">
        <v>769</v>
      </c>
      <c r="C33" s="9" t="s">
        <v>88</v>
      </c>
      <c r="D33" s="9" t="s">
        <v>93</v>
      </c>
      <c r="E33" s="9" t="s">
        <v>1256</v>
      </c>
      <c r="F33" s="10" t="s">
        <v>770</v>
      </c>
      <c r="G33" s="10" t="s">
        <v>1261</v>
      </c>
      <c r="H33" s="10"/>
    </row>
    <row r="34" spans="1:8" ht="17.100000000000001" customHeight="1" x14ac:dyDescent="0.25">
      <c r="A34" s="9" t="s">
        <v>768</v>
      </c>
      <c r="B34" s="9" t="s">
        <v>771</v>
      </c>
      <c r="C34" s="9" t="s">
        <v>88</v>
      </c>
      <c r="D34" s="9" t="s">
        <v>93</v>
      </c>
      <c r="E34" s="9" t="s">
        <v>1256</v>
      </c>
      <c r="F34" s="10" t="s">
        <v>772</v>
      </c>
      <c r="G34" s="10" t="s">
        <v>1261</v>
      </c>
      <c r="H34" s="10"/>
    </row>
    <row r="35" spans="1:8" ht="17.100000000000001" customHeight="1" x14ac:dyDescent="0.25">
      <c r="A35" s="9" t="s">
        <v>766</v>
      </c>
      <c r="B35" s="9" t="s">
        <v>33</v>
      </c>
      <c r="C35" s="9" t="s">
        <v>88</v>
      </c>
      <c r="D35" s="9" t="s">
        <v>93</v>
      </c>
      <c r="E35" s="9" t="s">
        <v>1256</v>
      </c>
      <c r="F35" s="10" t="s">
        <v>845</v>
      </c>
      <c r="G35" s="10" t="s">
        <v>1261</v>
      </c>
      <c r="H35" s="10"/>
    </row>
    <row r="36" spans="1:8" ht="17.100000000000001" customHeight="1" x14ac:dyDescent="0.25">
      <c r="A36" s="9" t="s">
        <v>794</v>
      </c>
      <c r="B36" s="9" t="s">
        <v>34</v>
      </c>
      <c r="C36" s="9" t="s">
        <v>88</v>
      </c>
      <c r="D36" s="9" t="s">
        <v>93</v>
      </c>
      <c r="E36" s="9" t="s">
        <v>1256</v>
      </c>
      <c r="F36" s="10" t="s">
        <v>795</v>
      </c>
      <c r="G36" s="10" t="s">
        <v>1261</v>
      </c>
      <c r="H36" s="10"/>
    </row>
    <row r="37" spans="1:8" ht="17.100000000000001" customHeight="1" x14ac:dyDescent="0.25">
      <c r="A37" s="23"/>
      <c r="B37" s="23"/>
      <c r="C37" s="23"/>
      <c r="D37" s="23"/>
      <c r="E37" s="23"/>
      <c r="F37" s="24"/>
      <c r="G37" s="24"/>
      <c r="H37" s="24"/>
    </row>
    <row r="38" spans="1:8" ht="17.100000000000001" customHeight="1" x14ac:dyDescent="0.25">
      <c r="A38" s="9" t="s">
        <v>796</v>
      </c>
      <c r="B38" s="9" t="s">
        <v>797</v>
      </c>
      <c r="C38" s="9" t="s">
        <v>88</v>
      </c>
      <c r="D38" s="9" t="s">
        <v>93</v>
      </c>
      <c r="E38" s="9" t="s">
        <v>1256</v>
      </c>
      <c r="F38" s="10" t="s">
        <v>798</v>
      </c>
      <c r="G38" s="10" t="s">
        <v>1261</v>
      </c>
      <c r="H38" s="10" t="s">
        <v>1294</v>
      </c>
    </row>
    <row r="39" spans="1:8" ht="17.100000000000001" customHeight="1" x14ac:dyDescent="0.25">
      <c r="A39" s="9" t="s">
        <v>800</v>
      </c>
      <c r="B39" s="9" t="s">
        <v>801</v>
      </c>
      <c r="C39" s="9" t="s">
        <v>88</v>
      </c>
      <c r="D39" s="9" t="s">
        <v>93</v>
      </c>
      <c r="E39" s="9" t="s">
        <v>1256</v>
      </c>
      <c r="F39" s="10" t="s">
        <v>802</v>
      </c>
      <c r="G39" s="10" t="s">
        <v>1261</v>
      </c>
      <c r="H39" s="10"/>
    </row>
    <row r="40" spans="1:8" ht="17.100000000000001" customHeight="1" x14ac:dyDescent="0.25">
      <c r="A40" s="23"/>
      <c r="B40" s="23"/>
      <c r="C40" s="23"/>
      <c r="D40" s="23"/>
      <c r="E40" s="23"/>
      <c r="F40" s="24"/>
      <c r="G40" s="24"/>
      <c r="H40" s="24"/>
    </row>
    <row r="41" spans="1:8" ht="17.100000000000001" customHeight="1" x14ac:dyDescent="0.25">
      <c r="A41" s="9" t="s">
        <v>829</v>
      </c>
      <c r="B41" s="9" t="s">
        <v>1222</v>
      </c>
      <c r="C41" s="9" t="s">
        <v>88</v>
      </c>
      <c r="D41" s="9" t="s">
        <v>93</v>
      </c>
      <c r="E41" s="9" t="s">
        <v>1256</v>
      </c>
      <c r="F41" s="10" t="s">
        <v>737</v>
      </c>
      <c r="G41" s="10" t="s">
        <v>1261</v>
      </c>
      <c r="H41" s="10" t="s">
        <v>1293</v>
      </c>
    </row>
    <row r="42" spans="1:8" ht="17.100000000000001" customHeight="1" x14ac:dyDescent="0.25">
      <c r="A42" s="9" t="s">
        <v>830</v>
      </c>
      <c r="B42" s="9" t="s">
        <v>1222</v>
      </c>
      <c r="C42" s="9" t="s">
        <v>88</v>
      </c>
      <c r="D42" s="9" t="s">
        <v>93</v>
      </c>
      <c r="E42" s="9" t="s">
        <v>1256</v>
      </c>
      <c r="F42" s="10" t="s">
        <v>831</v>
      </c>
      <c r="G42" s="10" t="s">
        <v>1261</v>
      </c>
      <c r="H42" s="10"/>
    </row>
    <row r="43" spans="1:8" ht="17.100000000000001" customHeight="1" x14ac:dyDescent="0.25">
      <c r="A43" s="9" t="s">
        <v>836</v>
      </c>
      <c r="B43" s="9" t="s">
        <v>1222</v>
      </c>
      <c r="C43" s="9" t="s">
        <v>88</v>
      </c>
      <c r="D43" s="9" t="s">
        <v>93</v>
      </c>
      <c r="E43" s="9" t="s">
        <v>1256</v>
      </c>
      <c r="F43" s="10" t="s">
        <v>837</v>
      </c>
      <c r="G43" s="10" t="s">
        <v>1261</v>
      </c>
      <c r="H43" s="10"/>
    </row>
    <row r="44" spans="1:8" ht="17.100000000000001" customHeight="1" x14ac:dyDescent="0.25">
      <c r="A44" s="9" t="s">
        <v>840</v>
      </c>
      <c r="B44" s="9" t="s">
        <v>1222</v>
      </c>
      <c r="C44" s="9" t="s">
        <v>88</v>
      </c>
      <c r="D44" s="9" t="s">
        <v>93</v>
      </c>
      <c r="E44" s="9" t="s">
        <v>1256</v>
      </c>
      <c r="F44" s="10" t="s">
        <v>841</v>
      </c>
      <c r="G44" s="10" t="s">
        <v>1261</v>
      </c>
      <c r="H44" s="10"/>
    </row>
    <row r="45" spans="1:8" ht="17.100000000000001" customHeight="1" x14ac:dyDescent="0.25">
      <c r="A45" s="9" t="s">
        <v>832</v>
      </c>
      <c r="B45" s="9" t="s">
        <v>38</v>
      </c>
      <c r="C45" s="9" t="s">
        <v>88</v>
      </c>
      <c r="D45" s="9" t="s">
        <v>93</v>
      </c>
      <c r="E45" s="9" t="s">
        <v>1310</v>
      </c>
      <c r="F45" s="10" t="s">
        <v>833</v>
      </c>
      <c r="G45" s="10" t="s">
        <v>1261</v>
      </c>
      <c r="H45" s="10"/>
    </row>
    <row r="46" spans="1:8" ht="17.100000000000001" customHeight="1" x14ac:dyDescent="0.25">
      <c r="A46" s="9" t="s">
        <v>834</v>
      </c>
      <c r="B46" s="9" t="s">
        <v>38</v>
      </c>
      <c r="C46" s="9" t="s">
        <v>88</v>
      </c>
      <c r="D46" s="9" t="s">
        <v>93</v>
      </c>
      <c r="E46" s="9" t="s">
        <v>1256</v>
      </c>
      <c r="F46" s="10" t="s">
        <v>835</v>
      </c>
      <c r="G46" s="10" t="s">
        <v>1261</v>
      </c>
      <c r="H46" s="10"/>
    </row>
    <row r="47" spans="1:8" ht="17.100000000000001" customHeight="1" x14ac:dyDescent="0.25">
      <c r="A47" s="9" t="s">
        <v>838</v>
      </c>
      <c r="B47" s="9" t="s">
        <v>38</v>
      </c>
      <c r="C47" s="9" t="s">
        <v>88</v>
      </c>
      <c r="D47" s="9" t="s">
        <v>93</v>
      </c>
      <c r="E47" s="9" t="s">
        <v>1256</v>
      </c>
      <c r="F47" s="10" t="s">
        <v>839</v>
      </c>
      <c r="G47" s="10" t="s">
        <v>1261</v>
      </c>
      <c r="H47" s="10"/>
    </row>
    <row r="48" spans="1:8" ht="17.100000000000001" customHeight="1" x14ac:dyDescent="0.25">
      <c r="A48" s="9" t="s">
        <v>842</v>
      </c>
      <c r="B48" s="9" t="s">
        <v>38</v>
      </c>
      <c r="C48" s="9" t="s">
        <v>88</v>
      </c>
      <c r="D48" s="9" t="s">
        <v>93</v>
      </c>
      <c r="E48" s="9" t="s">
        <v>1256</v>
      </c>
      <c r="F48" s="10" t="s">
        <v>843</v>
      </c>
      <c r="G48" s="10" t="s">
        <v>1261</v>
      </c>
      <c r="H48" s="10"/>
    </row>
    <row r="49" spans="1:8" ht="17.100000000000001" customHeight="1" x14ac:dyDescent="0.25">
      <c r="A49" s="23"/>
      <c r="B49" s="23"/>
      <c r="C49" s="23"/>
      <c r="D49" s="23"/>
      <c r="E49" s="23"/>
      <c r="F49" s="24"/>
      <c r="G49" s="24"/>
      <c r="H49" s="24"/>
    </row>
    <row r="50" spans="1:8" ht="17.100000000000001" customHeight="1" x14ac:dyDescent="0.25">
      <c r="A50" s="9" t="s">
        <v>846</v>
      </c>
      <c r="B50" s="9" t="s">
        <v>19</v>
      </c>
      <c r="C50" s="9" t="s">
        <v>88</v>
      </c>
      <c r="D50" s="9" t="s">
        <v>93</v>
      </c>
      <c r="E50" s="9" t="s">
        <v>1256</v>
      </c>
      <c r="F50" s="10" t="s">
        <v>727</v>
      </c>
      <c r="G50" s="10" t="s">
        <v>1261</v>
      </c>
      <c r="H50" s="10" t="s">
        <v>1289</v>
      </c>
    </row>
    <row r="51" spans="1:8" ht="17.100000000000001" customHeight="1" x14ac:dyDescent="0.25">
      <c r="A51" s="9" t="s">
        <v>847</v>
      </c>
      <c r="B51" s="9" t="s">
        <v>19</v>
      </c>
      <c r="C51" s="9" t="s">
        <v>88</v>
      </c>
      <c r="D51" s="9" t="s">
        <v>93</v>
      </c>
      <c r="E51" s="9" t="s">
        <v>1256</v>
      </c>
      <c r="F51" s="10" t="s">
        <v>728</v>
      </c>
      <c r="G51" s="10" t="s">
        <v>1261</v>
      </c>
      <c r="H51" s="10"/>
    </row>
    <row r="52" spans="1:8" ht="17.100000000000001" customHeight="1" x14ac:dyDescent="0.25">
      <c r="A52" s="9" t="s">
        <v>848</v>
      </c>
      <c r="B52" s="9" t="s">
        <v>19</v>
      </c>
      <c r="C52" s="9" t="s">
        <v>88</v>
      </c>
      <c r="D52" s="9" t="s">
        <v>93</v>
      </c>
      <c r="E52" s="9" t="s">
        <v>1256</v>
      </c>
      <c r="F52" s="10" t="s">
        <v>729</v>
      </c>
      <c r="G52" s="10" t="s">
        <v>1261</v>
      </c>
      <c r="H52" s="10"/>
    </row>
    <row r="53" spans="1:8" ht="17.100000000000001" customHeight="1" x14ac:dyDescent="0.25">
      <c r="A53" s="9" t="s">
        <v>857</v>
      </c>
      <c r="B53" s="9" t="s">
        <v>19</v>
      </c>
      <c r="C53" s="9" t="s">
        <v>88</v>
      </c>
      <c r="D53" s="9" t="s">
        <v>93</v>
      </c>
      <c r="E53" s="9" t="s">
        <v>1256</v>
      </c>
      <c r="F53" s="10" t="s">
        <v>728</v>
      </c>
      <c r="G53" s="10" t="s">
        <v>1261</v>
      </c>
      <c r="H53" s="10"/>
    </row>
    <row r="54" spans="1:8" ht="17.100000000000001" customHeight="1" x14ac:dyDescent="0.25">
      <c r="A54" s="9"/>
      <c r="B54" s="9"/>
      <c r="C54" s="9"/>
      <c r="D54" s="9"/>
      <c r="E54" s="9"/>
      <c r="F54" s="10"/>
      <c r="G54" s="10"/>
      <c r="H54" s="10"/>
    </row>
    <row r="55" spans="1:8" ht="17.100000000000001" customHeight="1" x14ac:dyDescent="0.25">
      <c r="A55" s="9" t="s">
        <v>730</v>
      </c>
      <c r="B55" s="9" t="s">
        <v>1222</v>
      </c>
      <c r="C55" s="9" t="s">
        <v>88</v>
      </c>
      <c r="D55" s="9" t="s">
        <v>89</v>
      </c>
      <c r="E55" s="9" t="s">
        <v>1273</v>
      </c>
      <c r="F55" s="10" t="s">
        <v>735</v>
      </c>
      <c r="G55" s="10" t="s">
        <v>1261</v>
      </c>
      <c r="H55" s="10"/>
    </row>
    <row r="56" spans="1:8" ht="17.100000000000001" customHeight="1" x14ac:dyDescent="0.25">
      <c r="A56" s="9" t="s">
        <v>852</v>
      </c>
      <c r="B56" s="9" t="s">
        <v>28</v>
      </c>
      <c r="C56" s="9" t="s">
        <v>88</v>
      </c>
      <c r="D56" s="9" t="s">
        <v>89</v>
      </c>
      <c r="E56" s="9" t="s">
        <v>1256</v>
      </c>
      <c r="F56" s="10" t="s">
        <v>853</v>
      </c>
      <c r="G56" s="10" t="s">
        <v>1261</v>
      </c>
      <c r="H56" s="10"/>
    </row>
    <row r="57" spans="1:8" ht="17.100000000000001" customHeight="1" x14ac:dyDescent="0.25">
      <c r="A57" s="9" t="s">
        <v>854</v>
      </c>
      <c r="B57" s="9" t="s">
        <v>28</v>
      </c>
      <c r="C57" s="9" t="s">
        <v>88</v>
      </c>
      <c r="D57" s="9" t="s">
        <v>89</v>
      </c>
      <c r="E57" s="9" t="s">
        <v>1309</v>
      </c>
      <c r="F57" s="10" t="s">
        <v>855</v>
      </c>
      <c r="G57" s="10" t="s">
        <v>1261</v>
      </c>
      <c r="H57" s="10"/>
    </row>
    <row r="58" spans="1:8" ht="17.100000000000001" customHeight="1" x14ac:dyDescent="0.25">
      <c r="A58" s="9"/>
      <c r="B58" s="9"/>
      <c r="C58" s="9"/>
      <c r="D58" s="9"/>
      <c r="E58" s="9"/>
      <c r="F58" s="10"/>
      <c r="G58" s="10"/>
      <c r="H58" s="10"/>
    </row>
    <row r="59" spans="1:8" ht="17.100000000000001" customHeight="1" x14ac:dyDescent="0.25">
      <c r="A59" s="9" t="s">
        <v>849</v>
      </c>
      <c r="B59" s="9" t="s">
        <v>36</v>
      </c>
      <c r="C59" s="9" t="s">
        <v>88</v>
      </c>
      <c r="D59" s="9" t="s">
        <v>202</v>
      </c>
      <c r="E59" s="9" t="s">
        <v>1273</v>
      </c>
      <c r="F59" s="10" t="s">
        <v>851</v>
      </c>
      <c r="G59" s="10" t="s">
        <v>1261</v>
      </c>
      <c r="H59" s="10"/>
    </row>
    <row r="60" spans="1:8" ht="17.100000000000001" customHeight="1" x14ac:dyDescent="0.25">
      <c r="A60" s="9" t="s">
        <v>849</v>
      </c>
      <c r="B60" s="9" t="s">
        <v>36</v>
      </c>
      <c r="C60" s="9" t="s">
        <v>88</v>
      </c>
      <c r="D60" s="9" t="s">
        <v>202</v>
      </c>
      <c r="E60" s="9" t="s">
        <v>1273</v>
      </c>
      <c r="F60" s="10" t="s">
        <v>850</v>
      </c>
      <c r="G60" s="10" t="s">
        <v>1261</v>
      </c>
      <c r="H60" s="10"/>
    </row>
    <row r="61" spans="1:8" ht="17.100000000000001" customHeight="1" x14ac:dyDescent="0.25">
      <c r="A61" s="9" t="s">
        <v>851</v>
      </c>
      <c r="B61" s="9" t="s">
        <v>36</v>
      </c>
      <c r="C61" s="9" t="s">
        <v>88</v>
      </c>
      <c r="D61" s="9" t="s">
        <v>202</v>
      </c>
      <c r="E61" s="9" t="s">
        <v>1273</v>
      </c>
      <c r="F61" s="10" t="s">
        <v>856</v>
      </c>
      <c r="G61" s="10" t="s">
        <v>1261</v>
      </c>
      <c r="H61" s="10"/>
    </row>
    <row r="62" spans="1:8" ht="17.100000000000001" customHeight="1" x14ac:dyDescent="0.25">
      <c r="A62" s="23"/>
      <c r="B62" s="23"/>
      <c r="C62" s="23"/>
      <c r="D62" s="23"/>
      <c r="E62" s="23"/>
      <c r="F62" s="24"/>
      <c r="G62" s="24"/>
      <c r="H62" s="24"/>
    </row>
    <row r="63" spans="1:8" ht="17.100000000000001" customHeight="1" x14ac:dyDescent="0.25">
      <c r="A63" s="9" t="s">
        <v>777</v>
      </c>
      <c r="B63" s="9" t="s">
        <v>1241</v>
      </c>
      <c r="C63" s="9" t="s">
        <v>88</v>
      </c>
      <c r="D63" s="9" t="s">
        <v>103</v>
      </c>
      <c r="E63" s="9" t="s">
        <v>1273</v>
      </c>
      <c r="F63" s="10" t="s">
        <v>776</v>
      </c>
      <c r="G63" s="10" t="s">
        <v>1261</v>
      </c>
      <c r="H63" s="10" t="s">
        <v>1288</v>
      </c>
    </row>
    <row r="64" spans="1:8" ht="17.100000000000001" customHeight="1" x14ac:dyDescent="0.25">
      <c r="A64" s="9" t="s">
        <v>779</v>
      </c>
      <c r="B64" s="9" t="s">
        <v>1245</v>
      </c>
      <c r="C64" s="9" t="s">
        <v>88</v>
      </c>
      <c r="D64" s="9" t="s">
        <v>103</v>
      </c>
      <c r="E64" s="9" t="s">
        <v>1273</v>
      </c>
      <c r="F64" s="10" t="s">
        <v>778</v>
      </c>
      <c r="G64" s="10" t="s">
        <v>1261</v>
      </c>
      <c r="H64" s="10"/>
    </row>
    <row r="65" spans="1:8" ht="17.100000000000001" customHeight="1" x14ac:dyDescent="0.25">
      <c r="A65" s="9" t="s">
        <v>862</v>
      </c>
      <c r="B65" s="9" t="s">
        <v>399</v>
      </c>
      <c r="C65" s="9" t="s">
        <v>88</v>
      </c>
      <c r="D65" s="9" t="s">
        <v>103</v>
      </c>
      <c r="E65" s="9" t="s">
        <v>1256</v>
      </c>
      <c r="F65" s="10" t="s">
        <v>863</v>
      </c>
      <c r="G65" s="10" t="s">
        <v>1261</v>
      </c>
      <c r="H65" s="10"/>
    </row>
    <row r="66" spans="1:8" ht="17.100000000000001" customHeight="1" x14ac:dyDescent="0.25">
      <c r="A66" s="9" t="s">
        <v>806</v>
      </c>
      <c r="B66" s="9" t="s">
        <v>805</v>
      </c>
      <c r="C66" s="9" t="s">
        <v>88</v>
      </c>
      <c r="D66" s="9" t="s">
        <v>103</v>
      </c>
      <c r="E66" s="9" t="s">
        <v>1256</v>
      </c>
      <c r="F66" s="10" t="s">
        <v>804</v>
      </c>
      <c r="G66" s="10" t="s">
        <v>1261</v>
      </c>
      <c r="H66" s="10"/>
    </row>
    <row r="67" spans="1:8" ht="17.100000000000001" customHeight="1" x14ac:dyDescent="0.25">
      <c r="A67" s="9" t="s">
        <v>809</v>
      </c>
      <c r="B67" s="9" t="s">
        <v>808</v>
      </c>
      <c r="C67" s="9" t="s">
        <v>88</v>
      </c>
      <c r="D67" s="9" t="s">
        <v>103</v>
      </c>
      <c r="E67" s="9" t="s">
        <v>1256</v>
      </c>
      <c r="F67" s="10" t="s">
        <v>807</v>
      </c>
      <c r="G67" s="10" t="s">
        <v>1261</v>
      </c>
      <c r="H67" s="10"/>
    </row>
    <row r="68" spans="1:8" ht="17.100000000000001" customHeight="1" x14ac:dyDescent="0.25">
      <c r="A68" s="23"/>
      <c r="B68" s="23"/>
      <c r="C68" s="23"/>
      <c r="D68" s="23"/>
      <c r="E68" s="23"/>
      <c r="F68" s="24"/>
      <c r="G68" s="24"/>
      <c r="H68" s="24"/>
    </row>
    <row r="69" spans="1:8" ht="17.100000000000001" customHeight="1" x14ac:dyDescent="0.25">
      <c r="A69" s="9" t="s">
        <v>787</v>
      </c>
      <c r="B69" s="9" t="s">
        <v>1242</v>
      </c>
      <c r="C69" s="9" t="s">
        <v>88</v>
      </c>
      <c r="D69" s="9" t="s">
        <v>103</v>
      </c>
      <c r="E69" s="9" t="s">
        <v>1273</v>
      </c>
      <c r="F69" s="10" t="s">
        <v>786</v>
      </c>
      <c r="G69" s="10" t="s">
        <v>1261</v>
      </c>
      <c r="H69" s="10" t="s">
        <v>1287</v>
      </c>
    </row>
    <row r="70" spans="1:8" ht="17.100000000000001" customHeight="1" x14ac:dyDescent="0.25">
      <c r="A70" s="9" t="s">
        <v>789</v>
      </c>
      <c r="B70" s="9" t="s">
        <v>1246</v>
      </c>
      <c r="C70" s="9" t="s">
        <v>88</v>
      </c>
      <c r="D70" s="9" t="s">
        <v>103</v>
      </c>
      <c r="E70" s="9" t="s">
        <v>1273</v>
      </c>
      <c r="F70" s="10" t="s">
        <v>788</v>
      </c>
      <c r="G70" s="10" t="s">
        <v>1261</v>
      </c>
      <c r="H70" s="10"/>
    </row>
    <row r="71" spans="1:8" ht="17.100000000000001" customHeight="1" x14ac:dyDescent="0.25">
      <c r="A71" s="9" t="s">
        <v>864</v>
      </c>
      <c r="B71" s="9" t="s">
        <v>865</v>
      </c>
      <c r="C71" s="9" t="s">
        <v>88</v>
      </c>
      <c r="D71" s="9" t="s">
        <v>103</v>
      </c>
      <c r="E71" s="9" t="s">
        <v>1256</v>
      </c>
      <c r="F71" s="10" t="s">
        <v>866</v>
      </c>
      <c r="G71" s="10" t="s">
        <v>1261</v>
      </c>
      <c r="H71" s="10"/>
    </row>
    <row r="72" spans="1:8" ht="17.100000000000001" customHeight="1" x14ac:dyDescent="0.25">
      <c r="A72" s="9" t="s">
        <v>812</v>
      </c>
      <c r="B72" s="9" t="s">
        <v>811</v>
      </c>
      <c r="C72" s="9" t="s">
        <v>88</v>
      </c>
      <c r="D72" s="9" t="s">
        <v>103</v>
      </c>
      <c r="E72" s="9" t="s">
        <v>1256</v>
      </c>
      <c r="F72" s="10" t="s">
        <v>810</v>
      </c>
      <c r="G72" s="10" t="s">
        <v>1261</v>
      </c>
      <c r="H72" s="10"/>
    </row>
    <row r="73" spans="1:8" ht="17.100000000000001" customHeight="1" x14ac:dyDescent="0.25">
      <c r="A73" s="9" t="s">
        <v>815</v>
      </c>
      <c r="B73" s="9" t="s">
        <v>814</v>
      </c>
      <c r="C73" s="9" t="s">
        <v>88</v>
      </c>
      <c r="D73" s="9" t="s">
        <v>103</v>
      </c>
      <c r="E73" s="9" t="s">
        <v>1256</v>
      </c>
      <c r="F73" s="10" t="s">
        <v>813</v>
      </c>
      <c r="G73" s="10" t="s">
        <v>1261</v>
      </c>
      <c r="H73" s="10"/>
    </row>
    <row r="74" spans="1:8" ht="17.100000000000001" customHeight="1" x14ac:dyDescent="0.25">
      <c r="A74" s="23"/>
      <c r="B74" s="23"/>
      <c r="C74" s="23"/>
      <c r="D74" s="23"/>
      <c r="E74" s="23"/>
      <c r="F74" s="24"/>
      <c r="G74" s="24"/>
      <c r="H74" s="24"/>
    </row>
    <row r="75" spans="1:8" ht="17.100000000000001" customHeight="1" x14ac:dyDescent="0.25">
      <c r="A75" s="9" t="s">
        <v>742</v>
      </c>
      <c r="B75" s="9" t="s">
        <v>1244</v>
      </c>
      <c r="C75" s="9" t="s">
        <v>88</v>
      </c>
      <c r="D75" s="9" t="s">
        <v>103</v>
      </c>
      <c r="E75" s="9" t="s">
        <v>1273</v>
      </c>
      <c r="F75" s="10" t="s">
        <v>741</v>
      </c>
      <c r="G75" s="10" t="s">
        <v>1261</v>
      </c>
      <c r="H75" s="10" t="s">
        <v>1286</v>
      </c>
    </row>
    <row r="76" spans="1:8" ht="17.100000000000001" customHeight="1" x14ac:dyDescent="0.25">
      <c r="A76" s="9" t="s">
        <v>744</v>
      </c>
      <c r="B76" s="9" t="s">
        <v>1247</v>
      </c>
      <c r="C76" s="9" t="s">
        <v>88</v>
      </c>
      <c r="D76" s="9" t="s">
        <v>103</v>
      </c>
      <c r="E76" s="9" t="s">
        <v>1273</v>
      </c>
      <c r="F76" s="10" t="s">
        <v>743</v>
      </c>
      <c r="G76" s="10" t="s">
        <v>1261</v>
      </c>
      <c r="H76" s="10"/>
    </row>
    <row r="77" spans="1:8" ht="17.100000000000001" customHeight="1" x14ac:dyDescent="0.25">
      <c r="A77" s="9" t="s">
        <v>746</v>
      </c>
      <c r="B77" s="9" t="s">
        <v>1248</v>
      </c>
      <c r="C77" s="9" t="s">
        <v>88</v>
      </c>
      <c r="D77" s="9" t="s">
        <v>103</v>
      </c>
      <c r="E77" s="9" t="s">
        <v>1273</v>
      </c>
      <c r="F77" s="10" t="s">
        <v>745</v>
      </c>
      <c r="G77" s="10" t="s">
        <v>1261</v>
      </c>
      <c r="H77" s="10"/>
    </row>
    <row r="78" spans="1:8" ht="17.100000000000001" customHeight="1" x14ac:dyDescent="0.25">
      <c r="A78" s="9" t="s">
        <v>824</v>
      </c>
      <c r="B78" s="9" t="s">
        <v>1238</v>
      </c>
      <c r="C78" s="9" t="s">
        <v>88</v>
      </c>
      <c r="D78" s="9" t="s">
        <v>103</v>
      </c>
      <c r="E78" s="9" t="s">
        <v>1256</v>
      </c>
      <c r="F78" s="10" t="s">
        <v>823</v>
      </c>
      <c r="G78" s="10" t="s">
        <v>1261</v>
      </c>
      <c r="H78" s="10"/>
    </row>
    <row r="79" spans="1:8" ht="17.100000000000001" customHeight="1" x14ac:dyDescent="0.25">
      <c r="A79" s="9" t="s">
        <v>828</v>
      </c>
      <c r="B79" s="9" t="s">
        <v>1240</v>
      </c>
      <c r="C79" s="9" t="s">
        <v>88</v>
      </c>
      <c r="D79" s="9" t="s">
        <v>103</v>
      </c>
      <c r="E79" s="9" t="s">
        <v>1273</v>
      </c>
      <c r="F79" s="10" t="s">
        <v>827</v>
      </c>
      <c r="G79" s="10" t="s">
        <v>1261</v>
      </c>
      <c r="H79" s="10"/>
    </row>
    <row r="80" spans="1:8" ht="17.100000000000001" customHeight="1" x14ac:dyDescent="0.25">
      <c r="A80" s="9" t="s">
        <v>858</v>
      </c>
      <c r="B80" s="9" t="s">
        <v>1239</v>
      </c>
      <c r="C80" s="9" t="s">
        <v>88</v>
      </c>
      <c r="D80" s="9" t="s">
        <v>103</v>
      </c>
      <c r="E80" s="9" t="s">
        <v>1256</v>
      </c>
      <c r="F80" s="10" t="s">
        <v>859</v>
      </c>
      <c r="G80" s="10" t="s">
        <v>1261</v>
      </c>
      <c r="H80" s="10"/>
    </row>
    <row r="81" spans="1:8" ht="17.100000000000001" customHeight="1" x14ac:dyDescent="0.25">
      <c r="A81" s="9" t="s">
        <v>860</v>
      </c>
      <c r="B81" s="9" t="s">
        <v>1243</v>
      </c>
      <c r="C81" s="9" t="s">
        <v>88</v>
      </c>
      <c r="D81" s="9" t="s">
        <v>103</v>
      </c>
      <c r="E81" s="9" t="s">
        <v>1256</v>
      </c>
      <c r="F81" s="10" t="s">
        <v>861</v>
      </c>
      <c r="G81" s="10" t="s">
        <v>1261</v>
      </c>
      <c r="H81" s="10"/>
    </row>
    <row r="82" spans="1:8" ht="17.100000000000001" customHeight="1" x14ac:dyDescent="0.25">
      <c r="A82" s="9" t="s">
        <v>818</v>
      </c>
      <c r="B82" s="9" t="s">
        <v>817</v>
      </c>
      <c r="C82" s="9" t="s">
        <v>88</v>
      </c>
      <c r="D82" s="9" t="s">
        <v>103</v>
      </c>
      <c r="E82" s="9" t="s">
        <v>1256</v>
      </c>
      <c r="F82" s="10" t="s">
        <v>816</v>
      </c>
      <c r="G82" s="10" t="s">
        <v>1261</v>
      </c>
      <c r="H82" s="10"/>
    </row>
    <row r="83" spans="1:8" ht="17.100000000000001" customHeight="1" x14ac:dyDescent="0.25">
      <c r="A83" s="9" t="s">
        <v>775</v>
      </c>
      <c r="B83" s="9" t="s">
        <v>774</v>
      </c>
      <c r="C83" s="9" t="s">
        <v>88</v>
      </c>
      <c r="D83" s="9" t="s">
        <v>103</v>
      </c>
      <c r="E83" s="9"/>
      <c r="F83" s="10" t="s">
        <v>773</v>
      </c>
      <c r="G83" s="10" t="s">
        <v>1261</v>
      </c>
      <c r="H83" s="10"/>
    </row>
    <row r="84" spans="1:8" ht="17.100000000000001" customHeight="1" x14ac:dyDescent="0.25">
      <c r="A84" s="23"/>
      <c r="B84" s="23"/>
      <c r="C84" s="23"/>
      <c r="D84" s="23"/>
      <c r="E84" s="23"/>
      <c r="F84" s="24"/>
      <c r="G84" s="24"/>
      <c r="H84" s="24"/>
    </row>
    <row r="85" spans="1:8" ht="17.100000000000001" customHeight="1" x14ac:dyDescent="0.25">
      <c r="A85" s="9" t="s">
        <v>878</v>
      </c>
      <c r="B85" s="9" t="s">
        <v>1222</v>
      </c>
      <c r="C85" s="9" t="s">
        <v>88</v>
      </c>
      <c r="D85" s="9" t="s">
        <v>103</v>
      </c>
      <c r="E85" s="9" t="s">
        <v>1256</v>
      </c>
      <c r="F85" s="10" t="s">
        <v>881</v>
      </c>
      <c r="G85" s="10" t="s">
        <v>1261</v>
      </c>
      <c r="H85" s="10" t="s">
        <v>1291</v>
      </c>
    </row>
    <row r="86" spans="1:8" ht="17.100000000000001" customHeight="1" x14ac:dyDescent="0.25">
      <c r="A86" s="9" t="s">
        <v>882</v>
      </c>
      <c r="B86" s="9" t="s">
        <v>883</v>
      </c>
      <c r="C86" s="9" t="s">
        <v>88</v>
      </c>
      <c r="D86" s="9" t="s">
        <v>103</v>
      </c>
      <c r="E86" s="9" t="s">
        <v>1256</v>
      </c>
      <c r="F86" s="10" t="s">
        <v>884</v>
      </c>
      <c r="G86" s="10" t="s">
        <v>1261</v>
      </c>
      <c r="H86" s="10"/>
    </row>
    <row r="87" spans="1:8" ht="17.100000000000001" customHeight="1" x14ac:dyDescent="0.25">
      <c r="A87" s="9" t="s">
        <v>867</v>
      </c>
      <c r="B87" s="9" t="s">
        <v>868</v>
      </c>
      <c r="C87" s="9" t="s">
        <v>88</v>
      </c>
      <c r="D87" s="9" t="s">
        <v>103</v>
      </c>
      <c r="E87" s="9" t="s">
        <v>1256</v>
      </c>
      <c r="F87" s="10" t="s">
        <v>869</v>
      </c>
      <c r="G87" s="10" t="s">
        <v>1261</v>
      </c>
      <c r="H87" s="10"/>
    </row>
    <row r="88" spans="1:8" ht="17.100000000000001" customHeight="1" x14ac:dyDescent="0.25">
      <c r="A88" s="9" t="s">
        <v>792</v>
      </c>
      <c r="B88" s="9" t="s">
        <v>791</v>
      </c>
      <c r="C88" s="9" t="s">
        <v>88</v>
      </c>
      <c r="D88" s="9" t="s">
        <v>103</v>
      </c>
      <c r="E88" s="9" t="s">
        <v>1256</v>
      </c>
      <c r="F88" s="10" t="s">
        <v>790</v>
      </c>
      <c r="G88" s="10" t="s">
        <v>1261</v>
      </c>
      <c r="H88" s="10"/>
    </row>
    <row r="89" spans="1:8" ht="17.100000000000001" customHeight="1" x14ac:dyDescent="0.25">
      <c r="A89" s="23"/>
      <c r="B89" s="23"/>
      <c r="C89" s="23"/>
      <c r="D89" s="23"/>
      <c r="E89" s="23"/>
      <c r="F89" s="24"/>
      <c r="G89" s="24"/>
      <c r="H89" s="24"/>
    </row>
    <row r="90" spans="1:8" ht="17.100000000000001" customHeight="1" x14ac:dyDescent="0.25">
      <c r="A90" s="9" t="s">
        <v>879</v>
      </c>
      <c r="B90" s="9" t="s">
        <v>21</v>
      </c>
      <c r="C90" s="9" t="s">
        <v>88</v>
      </c>
      <c r="D90" s="9" t="s">
        <v>103</v>
      </c>
      <c r="E90" s="9" t="s">
        <v>1256</v>
      </c>
      <c r="F90" s="10" t="s">
        <v>880</v>
      </c>
      <c r="G90" s="10" t="s">
        <v>1261</v>
      </c>
      <c r="H90" s="10" t="s">
        <v>1292</v>
      </c>
    </row>
    <row r="91" spans="1:8" ht="17.100000000000001" customHeight="1" x14ac:dyDescent="0.25">
      <c r="A91" s="9" t="s">
        <v>870</v>
      </c>
      <c r="B91" s="9" t="s">
        <v>871</v>
      </c>
      <c r="C91" s="9" t="s">
        <v>88</v>
      </c>
      <c r="D91" s="9" t="s">
        <v>103</v>
      </c>
      <c r="E91" s="9" t="s">
        <v>1256</v>
      </c>
      <c r="F91" s="10" t="s">
        <v>872</v>
      </c>
      <c r="G91" s="10" t="s">
        <v>1261</v>
      </c>
      <c r="H91" s="10"/>
    </row>
    <row r="92" spans="1:8" ht="17.100000000000001" customHeight="1" x14ac:dyDescent="0.25">
      <c r="A92" s="9" t="s">
        <v>874</v>
      </c>
      <c r="B92" s="9" t="s">
        <v>875</v>
      </c>
      <c r="C92" s="9" t="s">
        <v>88</v>
      </c>
      <c r="D92" s="9" t="s">
        <v>103</v>
      </c>
      <c r="E92" s="9" t="s">
        <v>1256</v>
      </c>
      <c r="F92" s="10" t="s">
        <v>877</v>
      </c>
      <c r="G92" s="10" t="s">
        <v>1261</v>
      </c>
      <c r="H92" s="10"/>
    </row>
    <row r="93" spans="1:8" ht="17.100000000000001" customHeight="1" x14ac:dyDescent="0.25">
      <c r="A93" s="9" t="s">
        <v>874</v>
      </c>
      <c r="B93" s="9" t="s">
        <v>875</v>
      </c>
      <c r="C93" s="9" t="s">
        <v>88</v>
      </c>
      <c r="D93" s="9" t="s">
        <v>103</v>
      </c>
      <c r="E93" s="9" t="s">
        <v>1256</v>
      </c>
      <c r="F93" s="10" t="s">
        <v>876</v>
      </c>
      <c r="G93" s="10" t="s">
        <v>1261</v>
      </c>
      <c r="H93" s="10"/>
    </row>
    <row r="94" spans="1:8" ht="17.100000000000001" customHeight="1" x14ac:dyDescent="0.25">
      <c r="A94" s="9" t="s">
        <v>782</v>
      </c>
      <c r="B94" s="9" t="s">
        <v>781</v>
      </c>
      <c r="C94" s="9" t="s">
        <v>88</v>
      </c>
      <c r="D94" s="9" t="s">
        <v>103</v>
      </c>
      <c r="E94" s="9" t="s">
        <v>1309</v>
      </c>
      <c r="F94" s="10" t="s">
        <v>780</v>
      </c>
      <c r="G94" s="10" t="s">
        <v>1261</v>
      </c>
      <c r="H94" s="10"/>
    </row>
    <row r="95" spans="1:8" ht="17.100000000000001" customHeight="1" x14ac:dyDescent="0.25">
      <c r="A95" s="9" t="s">
        <v>785</v>
      </c>
      <c r="B95" s="9" t="s">
        <v>784</v>
      </c>
      <c r="C95" s="9" t="s">
        <v>88</v>
      </c>
      <c r="D95" s="9" t="s">
        <v>103</v>
      </c>
      <c r="E95" s="9" t="s">
        <v>1309</v>
      </c>
      <c r="F95" s="10" t="s">
        <v>783</v>
      </c>
      <c r="G95" s="10" t="s">
        <v>1261</v>
      </c>
      <c r="H95" s="10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2:H83">
    <cfRule type="containsText" dxfId="12" priority="1" operator="containsText" text=":A2">
      <formula>NOT(ISERROR(SEARCH(":A2",A62)))</formula>
    </cfRule>
  </conditionalFormatting>
  <conditionalFormatting sqref="A62:H95">
    <cfRule type="containsText" dxfId="11" priority="2" operator="containsText" text=":A1">
      <formula>NOT(ISERROR(SEARCH(":A1",A62)))</formula>
    </cfRule>
  </conditionalFormatting>
  <conditionalFormatting sqref="A84:H95">
    <cfRule type="containsText" dxfId="10" priority="5" operator="containsText" text=":B1">
      <formula>NOT(ISERROR(SEARCH(":B1",A84)))</formula>
    </cfRule>
    <cfRule type="containsText" dxfId="9" priority="6" operator="containsText" text=":15">
      <formula>NOT(ISERROR(SEARCH(":15",A84)))</formula>
    </cfRule>
    <cfRule type="containsText" dxfId="8" priority="8" operator="containsText" text=":18">
      <formula>NOT(ISERROR(SEARCH(":18",A84)))</formula>
    </cfRule>
    <cfRule type="containsText" dxfId="7" priority="9" operator="containsText" text=":16">
      <formula>NOT(ISERROR(SEARCH(":16",A84)))</formula>
    </cfRule>
    <cfRule type="containsText" dxfId="6" priority="10" operator="containsText" text=":A2">
      <formula>NOT(ISERROR(SEARCH(":A2",A84)))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587F-8E63-42E7-8324-7285FB25C74E}">
  <sheetPr>
    <tabColor rgb="FF7030A0"/>
  </sheetPr>
  <dimension ref="A1:H29"/>
  <sheetViews>
    <sheetView showGridLines="0" workbookViewId="0">
      <selection activeCell="N28" sqref="N28"/>
    </sheetView>
  </sheetViews>
  <sheetFormatPr defaultRowHeight="17.100000000000001" customHeight="1" x14ac:dyDescent="0.25"/>
  <cols>
    <col min="1" max="1" width="12.7109375" style="5" bestFit="1" customWidth="1"/>
    <col min="2" max="2" width="11.4257812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1" style="5" bestFit="1" customWidth="1"/>
    <col min="7" max="7" width="10.28515625" bestFit="1" customWidth="1"/>
    <col min="8" max="8" width="9.5703125" bestFit="1" customWidth="1"/>
  </cols>
  <sheetData>
    <row r="1" spans="1:8" ht="18" customHeight="1" x14ac:dyDescent="0.25">
      <c r="A1" s="33" t="s">
        <v>51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5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5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5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36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9" t="s">
        <v>662</v>
      </c>
      <c r="B14" s="9" t="s">
        <v>496</v>
      </c>
      <c r="C14" s="9" t="s">
        <v>88</v>
      </c>
      <c r="D14" s="9" t="s">
        <v>103</v>
      </c>
      <c r="E14" s="9" t="s">
        <v>1303</v>
      </c>
      <c r="F14" s="10" t="s">
        <v>497</v>
      </c>
      <c r="G14" s="10" t="s">
        <v>56</v>
      </c>
      <c r="H14" s="10" t="s">
        <v>50</v>
      </c>
    </row>
    <row r="15" spans="1:8" ht="17.100000000000001" customHeight="1" x14ac:dyDescent="0.25">
      <c r="A15" s="9" t="s">
        <v>657</v>
      </c>
      <c r="B15" s="9" t="s">
        <v>625</v>
      </c>
      <c r="C15" s="9" t="s">
        <v>88</v>
      </c>
      <c r="D15" s="9" t="s">
        <v>103</v>
      </c>
      <c r="E15" s="9" t="s">
        <v>1303</v>
      </c>
      <c r="F15" s="10" t="s">
        <v>626</v>
      </c>
      <c r="G15" s="10" t="s">
        <v>56</v>
      </c>
      <c r="H15" s="10"/>
    </row>
    <row r="16" spans="1:8" ht="17.100000000000001" customHeight="1" x14ac:dyDescent="0.25">
      <c r="A16" s="22"/>
      <c r="B16" s="22"/>
      <c r="C16" s="22"/>
      <c r="D16" s="22"/>
      <c r="E16" s="22"/>
      <c r="F16" s="20"/>
      <c r="G16" s="20"/>
      <c r="H16" s="20"/>
    </row>
    <row r="17" spans="1:8" ht="17.100000000000001" customHeight="1" x14ac:dyDescent="0.25">
      <c r="A17" s="9" t="s">
        <v>664</v>
      </c>
      <c r="B17" s="9" t="s">
        <v>508</v>
      </c>
      <c r="C17" s="9" t="s">
        <v>88</v>
      </c>
      <c r="D17" s="9" t="s">
        <v>103</v>
      </c>
      <c r="E17" s="9" t="s">
        <v>1303</v>
      </c>
      <c r="F17" s="10" t="s">
        <v>509</v>
      </c>
      <c r="G17" s="10" t="s">
        <v>56</v>
      </c>
      <c r="H17" s="10" t="s">
        <v>52</v>
      </c>
    </row>
    <row r="18" spans="1:8" ht="17.100000000000001" customHeight="1" x14ac:dyDescent="0.25">
      <c r="A18" s="9" t="s">
        <v>663</v>
      </c>
      <c r="B18" s="9" t="s">
        <v>629</v>
      </c>
      <c r="C18" s="9" t="s">
        <v>88</v>
      </c>
      <c r="D18" s="9" t="s">
        <v>103</v>
      </c>
      <c r="E18" s="9" t="s">
        <v>1303</v>
      </c>
      <c r="F18" s="10" t="s">
        <v>630</v>
      </c>
      <c r="G18" s="10" t="s">
        <v>56</v>
      </c>
      <c r="H18" s="10"/>
    </row>
    <row r="19" spans="1:8" ht="17.100000000000001" customHeight="1" x14ac:dyDescent="0.25">
      <c r="A19" s="22"/>
      <c r="B19" s="22"/>
      <c r="C19" s="22"/>
      <c r="D19" s="22"/>
      <c r="E19" s="22"/>
      <c r="F19" s="20"/>
      <c r="G19" s="20"/>
      <c r="H19" s="20"/>
    </row>
    <row r="20" spans="1:8" ht="17.100000000000001" customHeight="1" x14ac:dyDescent="0.25">
      <c r="A20" s="9" t="s">
        <v>666</v>
      </c>
      <c r="B20" s="9" t="s">
        <v>514</v>
      </c>
      <c r="C20" s="9" t="s">
        <v>88</v>
      </c>
      <c r="D20" s="9" t="s">
        <v>103</v>
      </c>
      <c r="E20" s="9" t="s">
        <v>1303</v>
      </c>
      <c r="F20" s="10" t="s">
        <v>515</v>
      </c>
      <c r="G20" s="10" t="s">
        <v>56</v>
      </c>
      <c r="H20" s="10" t="s">
        <v>53</v>
      </c>
    </row>
    <row r="21" spans="1:8" ht="17.100000000000001" customHeight="1" x14ac:dyDescent="0.25">
      <c r="A21" s="9" t="s">
        <v>665</v>
      </c>
      <c r="B21" s="9" t="s">
        <v>633</v>
      </c>
      <c r="C21" s="9" t="s">
        <v>88</v>
      </c>
      <c r="D21" s="9" t="s">
        <v>103</v>
      </c>
      <c r="E21" s="9" t="s">
        <v>1303</v>
      </c>
      <c r="F21" s="10" t="s">
        <v>634</v>
      </c>
      <c r="G21" s="10" t="s">
        <v>56</v>
      </c>
      <c r="H21" s="10"/>
    </row>
    <row r="22" spans="1:8" ht="17.100000000000001" customHeight="1" x14ac:dyDescent="0.25">
      <c r="A22" s="22"/>
      <c r="B22" s="22"/>
      <c r="C22" s="22"/>
      <c r="D22" s="22"/>
      <c r="E22" s="22"/>
      <c r="F22" s="20"/>
      <c r="G22" s="20"/>
      <c r="H22" s="20"/>
    </row>
    <row r="23" spans="1:8" ht="17.100000000000001" customHeight="1" x14ac:dyDescent="0.25">
      <c r="A23" s="9" t="s">
        <v>653</v>
      </c>
      <c r="B23" s="9" t="s">
        <v>652</v>
      </c>
      <c r="C23" s="9" t="s">
        <v>88</v>
      </c>
      <c r="D23" s="9" t="s">
        <v>103</v>
      </c>
      <c r="E23" s="9" t="s">
        <v>1268</v>
      </c>
      <c r="F23" s="10" t="s">
        <v>651</v>
      </c>
      <c r="G23" s="10" t="s">
        <v>56</v>
      </c>
      <c r="H23" s="10" t="s">
        <v>54</v>
      </c>
    </row>
    <row r="24" spans="1:8" ht="17.100000000000001" customHeight="1" x14ac:dyDescent="0.25">
      <c r="A24" s="9" t="s">
        <v>656</v>
      </c>
      <c r="B24" s="9" t="s">
        <v>655</v>
      </c>
      <c r="C24" s="9" t="s">
        <v>88</v>
      </c>
      <c r="D24" s="9" t="s">
        <v>103</v>
      </c>
      <c r="E24" s="9" t="s">
        <v>1268</v>
      </c>
      <c r="F24" s="10" t="s">
        <v>654</v>
      </c>
      <c r="G24" s="10" t="s">
        <v>56</v>
      </c>
      <c r="H24" s="10"/>
    </row>
    <row r="25" spans="1:8" ht="17.100000000000001" customHeight="1" x14ac:dyDescent="0.25">
      <c r="A25" s="9" t="s">
        <v>658</v>
      </c>
      <c r="B25" s="9" t="s">
        <v>455</v>
      </c>
      <c r="C25" s="9" t="s">
        <v>88</v>
      </c>
      <c r="D25" s="9" t="s">
        <v>103</v>
      </c>
      <c r="E25" s="9" t="s">
        <v>1303</v>
      </c>
      <c r="F25" s="10" t="s">
        <v>456</v>
      </c>
      <c r="G25" s="10" t="s">
        <v>56</v>
      </c>
      <c r="H25" s="10"/>
    </row>
    <row r="26" spans="1:8" ht="17.100000000000001" customHeight="1" x14ac:dyDescent="0.25">
      <c r="A26" s="9" t="s">
        <v>659</v>
      </c>
      <c r="B26" s="9" t="s">
        <v>458</v>
      </c>
      <c r="C26" s="9" t="s">
        <v>88</v>
      </c>
      <c r="D26" s="9" t="s">
        <v>103</v>
      </c>
      <c r="E26" s="9" t="s">
        <v>1303</v>
      </c>
      <c r="F26" s="10" t="s">
        <v>459</v>
      </c>
      <c r="G26" s="10" t="s">
        <v>56</v>
      </c>
      <c r="H26" s="10"/>
    </row>
    <row r="27" spans="1:8" ht="17.100000000000001" customHeight="1" x14ac:dyDescent="0.25">
      <c r="A27" s="22"/>
      <c r="B27" s="22"/>
      <c r="C27" s="22"/>
      <c r="D27" s="22"/>
      <c r="E27" s="22"/>
      <c r="F27" s="20"/>
      <c r="G27" s="20"/>
      <c r="H27" s="20"/>
    </row>
    <row r="28" spans="1:8" ht="17.100000000000001" customHeight="1" x14ac:dyDescent="0.25">
      <c r="A28" s="9" t="s">
        <v>660</v>
      </c>
      <c r="B28" s="9" t="s">
        <v>502</v>
      </c>
      <c r="C28" s="9" t="s">
        <v>88</v>
      </c>
      <c r="D28" s="9" t="s">
        <v>103</v>
      </c>
      <c r="E28" s="9" t="s">
        <v>1303</v>
      </c>
      <c r="F28" s="10" t="s">
        <v>503</v>
      </c>
      <c r="G28" s="10" t="s">
        <v>56</v>
      </c>
      <c r="H28" s="10" t="s">
        <v>55</v>
      </c>
    </row>
    <row r="29" spans="1:8" ht="17.100000000000001" customHeight="1" x14ac:dyDescent="0.25">
      <c r="A29" s="9" t="s">
        <v>661</v>
      </c>
      <c r="B29" s="9" t="s">
        <v>520</v>
      </c>
      <c r="C29" s="9" t="s">
        <v>88</v>
      </c>
      <c r="D29" s="9" t="s">
        <v>103</v>
      </c>
      <c r="E29" s="9" t="s">
        <v>1303</v>
      </c>
      <c r="F29" s="10" t="s">
        <v>521</v>
      </c>
      <c r="G29" s="10" t="s">
        <v>56</v>
      </c>
      <c r="H29" s="10"/>
    </row>
  </sheetData>
  <sortState xmlns:xlrd2="http://schemas.microsoft.com/office/spreadsheetml/2017/richdata2" ref="A14:H29">
    <sortCondition ref="A14:A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3662-297F-4832-8A23-B640D26CC11F}">
  <sheetPr>
    <tabColor rgb="FF7030A0"/>
  </sheetPr>
  <dimension ref="A1:H147"/>
  <sheetViews>
    <sheetView showGridLines="0" topLeftCell="A119" workbookViewId="0">
      <selection activeCell="E27" sqref="E27"/>
    </sheetView>
  </sheetViews>
  <sheetFormatPr defaultRowHeight="17.100000000000001" customHeight="1" x14ac:dyDescent="0.25"/>
  <cols>
    <col min="1" max="1" width="18.42578125" style="5" bestFit="1" customWidth="1"/>
    <col min="2" max="2" width="11.42578125" style="5" bestFit="1" customWidth="1"/>
    <col min="3" max="3" width="6.85546875" style="5" bestFit="1" customWidth="1"/>
    <col min="4" max="4" width="6.140625" style="5" customWidth="1"/>
    <col min="5" max="5" width="6.5703125" style="5" bestFit="1" customWidth="1"/>
    <col min="6" max="6" width="17.28515625" style="5" bestFit="1" customWidth="1"/>
    <col min="7" max="7" width="10.28515625" bestFit="1" customWidth="1"/>
    <col min="8" max="8" width="10.7109375" bestFit="1" customWidth="1"/>
  </cols>
  <sheetData>
    <row r="1" spans="1:8" ht="18" customHeight="1" x14ac:dyDescent="0.25">
      <c r="A1" s="33" t="s">
        <v>56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2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2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2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43.5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9" t="s">
        <v>434</v>
      </c>
      <c r="B14" s="9" t="s">
        <v>1231</v>
      </c>
      <c r="C14" s="9" t="s">
        <v>88</v>
      </c>
      <c r="D14" s="9" t="s">
        <v>103</v>
      </c>
      <c r="E14" s="9" t="s">
        <v>1256</v>
      </c>
      <c r="F14" s="10" t="s">
        <v>435</v>
      </c>
      <c r="G14" s="10" t="s">
        <v>56</v>
      </c>
      <c r="H14" s="10" t="s">
        <v>1318</v>
      </c>
    </row>
    <row r="15" spans="1:8" ht="17.100000000000001" customHeight="1" x14ac:dyDescent="0.25">
      <c r="A15" s="9"/>
      <c r="B15" s="9"/>
      <c r="C15" s="9"/>
      <c r="D15" s="9"/>
      <c r="E15" s="9"/>
      <c r="F15" s="10"/>
      <c r="G15" s="10"/>
      <c r="H15" s="10"/>
    </row>
    <row r="16" spans="1:8" ht="17.100000000000001" customHeight="1" x14ac:dyDescent="0.25">
      <c r="A16" s="9" t="s">
        <v>436</v>
      </c>
      <c r="B16" s="9" t="s">
        <v>1222</v>
      </c>
      <c r="C16" s="9" t="s">
        <v>88</v>
      </c>
      <c r="D16" s="9" t="s">
        <v>93</v>
      </c>
      <c r="E16" s="9" t="s">
        <v>1256</v>
      </c>
      <c r="F16" s="10" t="s">
        <v>406</v>
      </c>
      <c r="G16" s="10" t="s">
        <v>56</v>
      </c>
      <c r="H16" s="10"/>
    </row>
    <row r="17" spans="1:8" ht="17.100000000000001" customHeight="1" x14ac:dyDescent="0.25">
      <c r="A17" s="9" t="s">
        <v>447</v>
      </c>
      <c r="B17" s="9" t="s">
        <v>1222</v>
      </c>
      <c r="C17" s="9" t="s">
        <v>88</v>
      </c>
      <c r="D17" s="9" t="s">
        <v>93</v>
      </c>
      <c r="E17" s="9" t="s">
        <v>1256</v>
      </c>
      <c r="F17" s="10" t="s">
        <v>406</v>
      </c>
      <c r="G17" s="10" t="s">
        <v>56</v>
      </c>
      <c r="H17" s="10"/>
    </row>
    <row r="18" spans="1:8" ht="17.100000000000001" customHeight="1" x14ac:dyDescent="0.25">
      <c r="A18" s="9" t="s">
        <v>445</v>
      </c>
      <c r="B18" s="9" t="s">
        <v>446</v>
      </c>
      <c r="C18" s="9" t="s">
        <v>88</v>
      </c>
      <c r="D18" s="9" t="s">
        <v>93</v>
      </c>
      <c r="E18" s="9" t="s">
        <v>1256</v>
      </c>
      <c r="F18" s="10" t="s">
        <v>447</v>
      </c>
      <c r="G18" s="10" t="s">
        <v>56</v>
      </c>
      <c r="H18" s="10"/>
    </row>
    <row r="19" spans="1:8" ht="17.100000000000001" customHeight="1" x14ac:dyDescent="0.25">
      <c r="A19" s="9" t="s">
        <v>448</v>
      </c>
      <c r="B19" s="9" t="s">
        <v>449</v>
      </c>
      <c r="C19" s="9" t="s">
        <v>88</v>
      </c>
      <c r="D19" s="9" t="s">
        <v>93</v>
      </c>
      <c r="E19" s="9" t="s">
        <v>1256</v>
      </c>
      <c r="F19" s="10" t="s">
        <v>450</v>
      </c>
      <c r="G19" s="10" t="s">
        <v>56</v>
      </c>
      <c r="H19" s="10"/>
    </row>
    <row r="20" spans="1:8" ht="17.100000000000001" customHeight="1" x14ac:dyDescent="0.25">
      <c r="A20" s="9" t="s">
        <v>450</v>
      </c>
      <c r="B20" s="9" t="s">
        <v>60</v>
      </c>
      <c r="C20" s="9" t="s">
        <v>88</v>
      </c>
      <c r="D20" s="9" t="s">
        <v>93</v>
      </c>
      <c r="E20" s="9" t="s">
        <v>1256</v>
      </c>
      <c r="F20" s="10" t="s">
        <v>569</v>
      </c>
      <c r="G20" s="10" t="s">
        <v>56</v>
      </c>
      <c r="H20" s="10"/>
    </row>
    <row r="21" spans="1:8" ht="17.100000000000001" customHeight="1" x14ac:dyDescent="0.25">
      <c r="A21" s="9" t="s">
        <v>437</v>
      </c>
      <c r="B21" s="9" t="s">
        <v>61</v>
      </c>
      <c r="C21" s="9" t="s">
        <v>88</v>
      </c>
      <c r="D21" s="9" t="s">
        <v>93</v>
      </c>
      <c r="E21" s="9" t="s">
        <v>1256</v>
      </c>
      <c r="F21" s="10" t="s">
        <v>438</v>
      </c>
      <c r="G21" s="10" t="s">
        <v>56</v>
      </c>
      <c r="H21" s="10"/>
    </row>
    <row r="22" spans="1:8" ht="17.100000000000001" customHeight="1" x14ac:dyDescent="0.25">
      <c r="A22" s="23"/>
      <c r="B22" s="23"/>
      <c r="C22" s="23"/>
      <c r="D22" s="23"/>
      <c r="E22" s="23"/>
      <c r="F22" s="24"/>
      <c r="G22" s="24"/>
      <c r="H22" s="24"/>
    </row>
    <row r="23" spans="1:8" ht="17.100000000000001" customHeight="1" x14ac:dyDescent="0.25">
      <c r="A23" s="9" t="s">
        <v>487</v>
      </c>
      <c r="B23" s="9" t="s">
        <v>488</v>
      </c>
      <c r="C23" s="9" t="s">
        <v>88</v>
      </c>
      <c r="D23" s="9" t="s">
        <v>103</v>
      </c>
      <c r="E23" s="9" t="s">
        <v>1256</v>
      </c>
      <c r="F23" s="10" t="s">
        <v>489</v>
      </c>
      <c r="G23" s="10" t="s">
        <v>56</v>
      </c>
      <c r="H23" s="10" t="s">
        <v>1314</v>
      </c>
    </row>
    <row r="24" spans="1:8" ht="17.100000000000001" customHeight="1" x14ac:dyDescent="0.25">
      <c r="A24" s="9" t="s">
        <v>490</v>
      </c>
      <c r="B24" s="9" t="s">
        <v>491</v>
      </c>
      <c r="C24" s="9" t="s">
        <v>88</v>
      </c>
      <c r="D24" s="9" t="s">
        <v>103</v>
      </c>
      <c r="E24" s="9" t="s">
        <v>1256</v>
      </c>
      <c r="F24" s="10" t="s">
        <v>489</v>
      </c>
      <c r="G24" s="10" t="s">
        <v>56</v>
      </c>
      <c r="H24" s="10"/>
    </row>
    <row r="25" spans="1:8" ht="17.100000000000001" customHeight="1" x14ac:dyDescent="0.25">
      <c r="A25" s="9" t="s">
        <v>492</v>
      </c>
      <c r="B25" s="9" t="s">
        <v>493</v>
      </c>
      <c r="C25" s="9" t="s">
        <v>88</v>
      </c>
      <c r="D25" s="9" t="s">
        <v>103</v>
      </c>
      <c r="E25" s="9" t="s">
        <v>1256</v>
      </c>
      <c r="F25" s="10" t="s">
        <v>494</v>
      </c>
      <c r="G25" s="10" t="s">
        <v>56</v>
      </c>
      <c r="H25" s="10"/>
    </row>
    <row r="26" spans="1:8" ht="17.100000000000001" customHeight="1" x14ac:dyDescent="0.25">
      <c r="A26" s="9" t="s">
        <v>504</v>
      </c>
      <c r="B26" s="9" t="s">
        <v>505</v>
      </c>
      <c r="C26" s="9" t="s">
        <v>88</v>
      </c>
      <c r="D26" s="9" t="s">
        <v>103</v>
      </c>
      <c r="E26" s="9" t="s">
        <v>1256</v>
      </c>
      <c r="F26" s="10" t="s">
        <v>506</v>
      </c>
      <c r="G26" s="10" t="s">
        <v>56</v>
      </c>
      <c r="H26" s="10"/>
    </row>
    <row r="27" spans="1:8" ht="17.100000000000001" customHeight="1" x14ac:dyDescent="0.25">
      <c r="A27" s="9" t="s">
        <v>510</v>
      </c>
      <c r="B27" s="9" t="s">
        <v>511</v>
      </c>
      <c r="C27" s="9" t="s">
        <v>88</v>
      </c>
      <c r="D27" s="9" t="s">
        <v>103</v>
      </c>
      <c r="E27" s="9" t="s">
        <v>1256</v>
      </c>
      <c r="F27" s="10" t="s">
        <v>512</v>
      </c>
      <c r="G27" s="10" t="s">
        <v>56</v>
      </c>
      <c r="H27" s="10"/>
    </row>
    <row r="28" spans="1:8" ht="17.100000000000001" customHeight="1" x14ac:dyDescent="0.25">
      <c r="A28" s="9" t="s">
        <v>563</v>
      </c>
      <c r="B28" s="9" t="s">
        <v>564</v>
      </c>
      <c r="C28" s="9" t="s">
        <v>88</v>
      </c>
      <c r="D28" s="9" t="s">
        <v>103</v>
      </c>
      <c r="E28" s="9" t="s">
        <v>1256</v>
      </c>
      <c r="F28" s="10" t="s">
        <v>565</v>
      </c>
      <c r="G28" s="10" t="s">
        <v>56</v>
      </c>
      <c r="H28" s="10"/>
    </row>
    <row r="29" spans="1:8" ht="17.100000000000001" customHeight="1" x14ac:dyDescent="0.25">
      <c r="A29" s="9" t="s">
        <v>566</v>
      </c>
      <c r="B29" s="9" t="s">
        <v>567</v>
      </c>
      <c r="C29" s="9" t="s">
        <v>88</v>
      </c>
      <c r="D29" s="9" t="s">
        <v>103</v>
      </c>
      <c r="E29" s="9" t="s">
        <v>1256</v>
      </c>
      <c r="F29" s="10" t="s">
        <v>568</v>
      </c>
      <c r="G29" s="10" t="s">
        <v>56</v>
      </c>
      <c r="H29" s="10"/>
    </row>
    <row r="30" spans="1:8" ht="17.100000000000001" customHeight="1" x14ac:dyDescent="0.25">
      <c r="A30" s="9" t="s">
        <v>463</v>
      </c>
      <c r="B30" s="9" t="s">
        <v>59</v>
      </c>
      <c r="C30" s="9" t="s">
        <v>88</v>
      </c>
      <c r="D30" s="9" t="s">
        <v>103</v>
      </c>
      <c r="E30" s="9" t="s">
        <v>1256</v>
      </c>
      <c r="F30" s="10" t="s">
        <v>464</v>
      </c>
      <c r="G30" s="10" t="s">
        <v>56</v>
      </c>
      <c r="H30" s="10"/>
    </row>
    <row r="31" spans="1:8" ht="17.100000000000001" customHeight="1" x14ac:dyDescent="0.25">
      <c r="A31" s="9" t="s">
        <v>474</v>
      </c>
      <c r="B31" s="9" t="s">
        <v>59</v>
      </c>
      <c r="C31" s="9" t="s">
        <v>88</v>
      </c>
      <c r="D31" s="9" t="s">
        <v>103</v>
      </c>
      <c r="E31" s="9" t="s">
        <v>1256</v>
      </c>
      <c r="F31" s="10" t="s">
        <v>464</v>
      </c>
      <c r="G31" s="10" t="s">
        <v>56</v>
      </c>
      <c r="H31" s="10"/>
    </row>
    <row r="32" spans="1:8" ht="17.100000000000001" customHeight="1" x14ac:dyDescent="0.25">
      <c r="A32" s="9" t="s">
        <v>495</v>
      </c>
      <c r="B32" s="9" t="s">
        <v>496</v>
      </c>
      <c r="C32" s="9" t="s">
        <v>88</v>
      </c>
      <c r="D32" s="9" t="s">
        <v>103</v>
      </c>
      <c r="E32" s="9" t="s">
        <v>1256</v>
      </c>
      <c r="F32" s="10" t="s">
        <v>497</v>
      </c>
      <c r="G32" s="10" t="s">
        <v>56</v>
      </c>
      <c r="H32" s="10"/>
    </row>
    <row r="33" spans="1:8" ht="17.100000000000001" customHeight="1" x14ac:dyDescent="0.25">
      <c r="A33" s="9" t="s">
        <v>507</v>
      </c>
      <c r="B33" s="9" t="s">
        <v>508</v>
      </c>
      <c r="C33" s="9" t="s">
        <v>88</v>
      </c>
      <c r="D33" s="9" t="s">
        <v>103</v>
      </c>
      <c r="E33" s="9" t="s">
        <v>1256</v>
      </c>
      <c r="F33" s="10" t="s">
        <v>509</v>
      </c>
      <c r="G33" s="10" t="s">
        <v>56</v>
      </c>
      <c r="H33" s="10"/>
    </row>
    <row r="34" spans="1:8" ht="17.100000000000001" customHeight="1" x14ac:dyDescent="0.25">
      <c r="A34" s="9" t="s">
        <v>513</v>
      </c>
      <c r="B34" s="9" t="s">
        <v>514</v>
      </c>
      <c r="C34" s="9" t="s">
        <v>88</v>
      </c>
      <c r="D34" s="9" t="s">
        <v>103</v>
      </c>
      <c r="E34" s="9" t="s">
        <v>1256</v>
      </c>
      <c r="F34" s="10" t="s">
        <v>515</v>
      </c>
      <c r="G34" s="10" t="s">
        <v>56</v>
      </c>
      <c r="H34" s="10"/>
    </row>
    <row r="35" spans="1:8" ht="17.100000000000001" customHeight="1" x14ac:dyDescent="0.25">
      <c r="A35" s="9" t="s">
        <v>468</v>
      </c>
      <c r="B35" s="9" t="s">
        <v>469</v>
      </c>
      <c r="C35" s="9" t="s">
        <v>88</v>
      </c>
      <c r="D35" s="9" t="s">
        <v>103</v>
      </c>
      <c r="E35" s="9" t="s">
        <v>1273</v>
      </c>
      <c r="F35" s="10" t="s">
        <v>470</v>
      </c>
      <c r="G35" s="10" t="s">
        <v>56</v>
      </c>
      <c r="H35" s="10"/>
    </row>
    <row r="36" spans="1:8" ht="17.100000000000001" customHeight="1" x14ac:dyDescent="0.25">
      <c r="A36" s="9" t="s">
        <v>478</v>
      </c>
      <c r="B36" s="9" t="s">
        <v>479</v>
      </c>
      <c r="C36" s="9" t="s">
        <v>88</v>
      </c>
      <c r="D36" s="9" t="s">
        <v>103</v>
      </c>
      <c r="E36" s="9" t="s">
        <v>1273</v>
      </c>
      <c r="F36" s="10" t="s">
        <v>480</v>
      </c>
      <c r="G36" s="10" t="s">
        <v>56</v>
      </c>
      <c r="H36" s="10"/>
    </row>
    <row r="37" spans="1:8" ht="17.100000000000001" customHeight="1" x14ac:dyDescent="0.25">
      <c r="A37" s="9" t="s">
        <v>454</v>
      </c>
      <c r="B37" s="9" t="s">
        <v>455</v>
      </c>
      <c r="C37" s="9" t="s">
        <v>88</v>
      </c>
      <c r="D37" s="9" t="s">
        <v>103</v>
      </c>
      <c r="E37" s="9" t="s">
        <v>1273</v>
      </c>
      <c r="F37" s="10" t="s">
        <v>456</v>
      </c>
      <c r="G37" s="10" t="s">
        <v>56</v>
      </c>
      <c r="H37" s="10"/>
    </row>
    <row r="38" spans="1:8" ht="17.100000000000001" customHeight="1" x14ac:dyDescent="0.25">
      <c r="A38" s="9" t="s">
        <v>457</v>
      </c>
      <c r="B38" s="9" t="s">
        <v>458</v>
      </c>
      <c r="C38" s="9" t="s">
        <v>88</v>
      </c>
      <c r="D38" s="9" t="s">
        <v>103</v>
      </c>
      <c r="E38" s="9" t="s">
        <v>1273</v>
      </c>
      <c r="F38" s="10" t="s">
        <v>459</v>
      </c>
      <c r="G38" s="10" t="s">
        <v>56</v>
      </c>
      <c r="H38" s="10"/>
    </row>
    <row r="39" spans="1:8" ht="17.100000000000001" customHeight="1" x14ac:dyDescent="0.25">
      <c r="A39" s="9" t="s">
        <v>501</v>
      </c>
      <c r="B39" s="9" t="s">
        <v>502</v>
      </c>
      <c r="C39" s="9" t="s">
        <v>88</v>
      </c>
      <c r="D39" s="9" t="s">
        <v>103</v>
      </c>
      <c r="E39" s="9" t="s">
        <v>1256</v>
      </c>
      <c r="F39" s="10" t="s">
        <v>503</v>
      </c>
      <c r="G39" s="10" t="s">
        <v>56</v>
      </c>
      <c r="H39" s="10"/>
    </row>
    <row r="40" spans="1:8" ht="17.100000000000001" customHeight="1" x14ac:dyDescent="0.25">
      <c r="A40" s="9" t="s">
        <v>519</v>
      </c>
      <c r="B40" s="9" t="s">
        <v>520</v>
      </c>
      <c r="C40" s="9" t="s">
        <v>88</v>
      </c>
      <c r="D40" s="9" t="s">
        <v>103</v>
      </c>
      <c r="E40" s="9" t="s">
        <v>1256</v>
      </c>
      <c r="F40" s="10" t="s">
        <v>521</v>
      </c>
      <c r="G40" s="10" t="s">
        <v>56</v>
      </c>
      <c r="H40" s="10"/>
    </row>
    <row r="41" spans="1:8" ht="17.100000000000001" customHeight="1" x14ac:dyDescent="0.25">
      <c r="A41" s="9"/>
      <c r="B41" s="9"/>
      <c r="C41" s="9"/>
      <c r="D41" s="9"/>
      <c r="E41" s="9"/>
      <c r="F41" s="10"/>
      <c r="G41" s="10"/>
      <c r="H41" s="10"/>
    </row>
    <row r="42" spans="1:8" ht="17.100000000000001" customHeight="1" x14ac:dyDescent="0.25">
      <c r="A42" s="9" t="s">
        <v>525</v>
      </c>
      <c r="B42" s="9" t="s">
        <v>526</v>
      </c>
      <c r="C42" s="9" t="s">
        <v>88</v>
      </c>
      <c r="D42" s="9" t="s">
        <v>93</v>
      </c>
      <c r="E42" s="9" t="s">
        <v>1256</v>
      </c>
      <c r="F42" s="10" t="s">
        <v>527</v>
      </c>
      <c r="G42" s="10" t="s">
        <v>56</v>
      </c>
      <c r="H42" s="10"/>
    </row>
    <row r="43" spans="1:8" ht="17.100000000000001" customHeight="1" x14ac:dyDescent="0.25">
      <c r="A43" s="9" t="s">
        <v>528</v>
      </c>
      <c r="B43" s="9" t="s">
        <v>529</v>
      </c>
      <c r="C43" s="9" t="s">
        <v>88</v>
      </c>
      <c r="D43" s="9" t="s">
        <v>93</v>
      </c>
      <c r="E43" s="9" t="s">
        <v>1256</v>
      </c>
      <c r="F43" s="10" t="s">
        <v>527</v>
      </c>
      <c r="G43" s="10" t="s">
        <v>56</v>
      </c>
      <c r="H43" s="10"/>
    </row>
    <row r="44" spans="1:8" ht="17.100000000000001" customHeight="1" x14ac:dyDescent="0.25">
      <c r="A44" s="9" t="s">
        <v>530</v>
      </c>
      <c r="B44" s="9" t="s">
        <v>531</v>
      </c>
      <c r="C44" s="9" t="s">
        <v>88</v>
      </c>
      <c r="D44" s="9" t="s">
        <v>93</v>
      </c>
      <c r="E44" s="9" t="s">
        <v>1256</v>
      </c>
      <c r="F44" s="10" t="s">
        <v>532</v>
      </c>
      <c r="G44" s="10" t="s">
        <v>56</v>
      </c>
      <c r="H44" s="10"/>
    </row>
    <row r="45" spans="1:8" ht="17.100000000000001" customHeight="1" x14ac:dyDescent="0.25">
      <c r="A45" s="9" t="s">
        <v>533</v>
      </c>
      <c r="B45" s="9" t="s">
        <v>534</v>
      </c>
      <c r="C45" s="9" t="s">
        <v>88</v>
      </c>
      <c r="D45" s="9" t="s">
        <v>93</v>
      </c>
      <c r="E45" s="9" t="s">
        <v>1256</v>
      </c>
      <c r="F45" s="10" t="s">
        <v>532</v>
      </c>
      <c r="G45" s="10" t="s">
        <v>56</v>
      </c>
      <c r="H45" s="10"/>
    </row>
    <row r="46" spans="1:8" ht="17.100000000000001" customHeight="1" x14ac:dyDescent="0.25">
      <c r="A46" s="9" t="s">
        <v>535</v>
      </c>
      <c r="B46" s="9" t="s">
        <v>536</v>
      </c>
      <c r="C46" s="9" t="s">
        <v>88</v>
      </c>
      <c r="D46" s="9" t="s">
        <v>93</v>
      </c>
      <c r="E46" s="9" t="s">
        <v>1256</v>
      </c>
      <c r="F46" s="10" t="s">
        <v>537</v>
      </c>
      <c r="G46" s="10" t="s">
        <v>56</v>
      </c>
      <c r="H46" s="10"/>
    </row>
    <row r="47" spans="1:8" ht="17.100000000000001" customHeight="1" x14ac:dyDescent="0.25">
      <c r="A47" s="9" t="s">
        <v>538</v>
      </c>
      <c r="B47" s="9" t="s">
        <v>539</v>
      </c>
      <c r="C47" s="9" t="s">
        <v>88</v>
      </c>
      <c r="D47" s="9" t="s">
        <v>93</v>
      </c>
      <c r="E47" s="9" t="s">
        <v>1256</v>
      </c>
      <c r="F47" s="10" t="s">
        <v>537</v>
      </c>
      <c r="G47" s="10" t="s">
        <v>56</v>
      </c>
      <c r="H47" s="10"/>
    </row>
    <row r="48" spans="1:8" ht="17.100000000000001" customHeight="1" x14ac:dyDescent="0.25">
      <c r="A48" s="9" t="s">
        <v>543</v>
      </c>
      <c r="B48" s="9" t="s">
        <v>544</v>
      </c>
      <c r="C48" s="9" t="s">
        <v>88</v>
      </c>
      <c r="D48" s="9" t="s">
        <v>93</v>
      </c>
      <c r="E48" s="9" t="s">
        <v>1256</v>
      </c>
      <c r="F48" s="10" t="s">
        <v>545</v>
      </c>
      <c r="G48" s="10" t="s">
        <v>56</v>
      </c>
      <c r="H48" s="10"/>
    </row>
    <row r="49" spans="1:8" ht="17.100000000000001" customHeight="1" x14ac:dyDescent="0.25">
      <c r="A49" s="9" t="s">
        <v>546</v>
      </c>
      <c r="B49" s="9" t="s">
        <v>547</v>
      </c>
      <c r="C49" s="9" t="s">
        <v>88</v>
      </c>
      <c r="D49" s="9" t="s">
        <v>93</v>
      </c>
      <c r="E49" s="9" t="s">
        <v>1256</v>
      </c>
      <c r="F49" s="10" t="s">
        <v>545</v>
      </c>
      <c r="G49" s="10" t="s">
        <v>56</v>
      </c>
      <c r="H49" s="10"/>
    </row>
    <row r="50" spans="1:8" ht="17.100000000000001" customHeight="1" x14ac:dyDescent="0.25">
      <c r="A50" s="9" t="s">
        <v>557</v>
      </c>
      <c r="B50" s="9" t="s">
        <v>558</v>
      </c>
      <c r="C50" s="9" t="s">
        <v>88</v>
      </c>
      <c r="D50" s="9" t="s">
        <v>93</v>
      </c>
      <c r="E50" s="9" t="s">
        <v>1256</v>
      </c>
      <c r="F50" s="10" t="s">
        <v>559</v>
      </c>
      <c r="G50" s="10" t="s">
        <v>56</v>
      </c>
      <c r="H50" s="10"/>
    </row>
    <row r="51" spans="1:8" ht="17.100000000000001" customHeight="1" x14ac:dyDescent="0.25">
      <c r="A51" s="9" t="s">
        <v>560</v>
      </c>
      <c r="B51" s="9" t="s">
        <v>561</v>
      </c>
      <c r="C51" s="9" t="s">
        <v>88</v>
      </c>
      <c r="D51" s="9" t="s">
        <v>93</v>
      </c>
      <c r="E51" s="9" t="s">
        <v>1256</v>
      </c>
      <c r="F51" s="10" t="s">
        <v>562</v>
      </c>
      <c r="G51" s="10" t="s">
        <v>56</v>
      </c>
      <c r="H51" s="10"/>
    </row>
    <row r="52" spans="1:8" ht="17.100000000000001" customHeight="1" x14ac:dyDescent="0.25">
      <c r="A52" s="9"/>
      <c r="B52" s="9"/>
      <c r="C52" s="9"/>
      <c r="D52" s="9"/>
      <c r="E52" s="9"/>
      <c r="F52" s="10"/>
      <c r="G52" s="10"/>
      <c r="H52" s="10"/>
    </row>
    <row r="53" spans="1:8" ht="17.100000000000001" customHeight="1" x14ac:dyDescent="0.25">
      <c r="A53" s="9" t="s">
        <v>551</v>
      </c>
      <c r="B53" s="9" t="s">
        <v>552</v>
      </c>
      <c r="C53" s="9" t="s">
        <v>88</v>
      </c>
      <c r="D53" s="9" t="s">
        <v>89</v>
      </c>
      <c r="E53" s="9" t="s">
        <v>1256</v>
      </c>
      <c r="F53" s="10" t="s">
        <v>553</v>
      </c>
      <c r="G53" s="10" t="s">
        <v>56</v>
      </c>
      <c r="H53" s="10"/>
    </row>
    <row r="54" spans="1:8" ht="17.100000000000001" customHeight="1" x14ac:dyDescent="0.25">
      <c r="A54" s="9" t="s">
        <v>554</v>
      </c>
      <c r="B54" s="9" t="s">
        <v>555</v>
      </c>
      <c r="C54" s="9" t="s">
        <v>88</v>
      </c>
      <c r="D54" s="9" t="s">
        <v>89</v>
      </c>
      <c r="E54" s="9" t="s">
        <v>1256</v>
      </c>
      <c r="F54" s="10" t="s">
        <v>556</v>
      </c>
      <c r="G54" s="10" t="s">
        <v>56</v>
      </c>
      <c r="H54" s="10"/>
    </row>
    <row r="55" spans="1:8" ht="17.100000000000001" customHeight="1" x14ac:dyDescent="0.25">
      <c r="A55" s="9" t="s">
        <v>516</v>
      </c>
      <c r="B55" s="9" t="s">
        <v>517</v>
      </c>
      <c r="C55" s="9" t="s">
        <v>88</v>
      </c>
      <c r="D55" s="9" t="s">
        <v>89</v>
      </c>
      <c r="E55" s="9" t="s">
        <v>1256</v>
      </c>
      <c r="F55" s="10" t="s">
        <v>518</v>
      </c>
      <c r="G55" s="10" t="s">
        <v>56</v>
      </c>
      <c r="H55" s="10"/>
    </row>
    <row r="56" spans="1:8" ht="17.100000000000001" customHeight="1" x14ac:dyDescent="0.25">
      <c r="A56" s="9" t="s">
        <v>540</v>
      </c>
      <c r="B56" s="9" t="s">
        <v>541</v>
      </c>
      <c r="C56" s="9" t="s">
        <v>88</v>
      </c>
      <c r="D56" s="9" t="s">
        <v>89</v>
      </c>
      <c r="E56" s="9" t="s">
        <v>1256</v>
      </c>
      <c r="F56" s="10" t="s">
        <v>542</v>
      </c>
      <c r="G56" s="10" t="s">
        <v>56</v>
      </c>
      <c r="H56" s="10"/>
    </row>
    <row r="57" spans="1:8" ht="17.100000000000001" customHeight="1" x14ac:dyDescent="0.25">
      <c r="A57" s="9" t="s">
        <v>548</v>
      </c>
      <c r="B57" s="9" t="s">
        <v>549</v>
      </c>
      <c r="C57" s="9" t="s">
        <v>88</v>
      </c>
      <c r="D57" s="9" t="s">
        <v>89</v>
      </c>
      <c r="E57" s="9" t="s">
        <v>1256</v>
      </c>
      <c r="F57" s="10" t="s">
        <v>550</v>
      </c>
      <c r="G57" s="10" t="s">
        <v>56</v>
      </c>
      <c r="H57" s="10"/>
    </row>
    <row r="58" spans="1:8" ht="17.100000000000001" customHeight="1" x14ac:dyDescent="0.25">
      <c r="A58" s="9" t="s">
        <v>451</v>
      </c>
      <c r="B58" s="9" t="s">
        <v>452</v>
      </c>
      <c r="C58" s="9" t="s">
        <v>88</v>
      </c>
      <c r="D58" s="9" t="s">
        <v>89</v>
      </c>
      <c r="E58" s="9" t="s">
        <v>1256</v>
      </c>
      <c r="F58" s="10" t="s">
        <v>453</v>
      </c>
      <c r="G58" s="10" t="s">
        <v>56</v>
      </c>
      <c r="H58" s="10"/>
    </row>
    <row r="59" spans="1:8" ht="17.100000000000001" customHeight="1" x14ac:dyDescent="0.25">
      <c r="A59" s="9" t="s">
        <v>460</v>
      </c>
      <c r="B59" s="9" t="s">
        <v>461</v>
      </c>
      <c r="C59" s="9" t="s">
        <v>88</v>
      </c>
      <c r="D59" s="9" t="s">
        <v>89</v>
      </c>
      <c r="E59" s="9" t="s">
        <v>1256</v>
      </c>
      <c r="F59" s="10" t="s">
        <v>462</v>
      </c>
      <c r="G59" s="10" t="s">
        <v>56</v>
      </c>
      <c r="H59" s="10"/>
    </row>
    <row r="60" spans="1:8" ht="17.100000000000001" customHeight="1" x14ac:dyDescent="0.25">
      <c r="A60" s="9" t="s">
        <v>471</v>
      </c>
      <c r="B60" s="9" t="s">
        <v>472</v>
      </c>
      <c r="C60" s="9" t="s">
        <v>88</v>
      </c>
      <c r="D60" s="9" t="s">
        <v>89</v>
      </c>
      <c r="E60" s="9" t="s">
        <v>1256</v>
      </c>
      <c r="F60" s="10" t="s">
        <v>473</v>
      </c>
      <c r="G60" s="10" t="s">
        <v>56</v>
      </c>
      <c r="H60" s="10"/>
    </row>
    <row r="61" spans="1:8" ht="17.100000000000001" customHeight="1" x14ac:dyDescent="0.25">
      <c r="A61" s="9" t="s">
        <v>481</v>
      </c>
      <c r="B61" s="9" t="s">
        <v>482</v>
      </c>
      <c r="C61" s="9" t="s">
        <v>88</v>
      </c>
      <c r="D61" s="9" t="s">
        <v>89</v>
      </c>
      <c r="E61" s="9" t="s">
        <v>1256</v>
      </c>
      <c r="F61" s="10" t="s">
        <v>483</v>
      </c>
      <c r="G61" s="10" t="s">
        <v>56</v>
      </c>
      <c r="H61" s="10"/>
    </row>
    <row r="62" spans="1:8" ht="17.100000000000001" customHeight="1" x14ac:dyDescent="0.25">
      <c r="A62" s="9" t="s">
        <v>498</v>
      </c>
      <c r="B62" s="9" t="s">
        <v>499</v>
      </c>
      <c r="C62" s="9" t="s">
        <v>88</v>
      </c>
      <c r="D62" s="9" t="s">
        <v>89</v>
      </c>
      <c r="E62" s="9" t="s">
        <v>1256</v>
      </c>
      <c r="F62" s="10" t="s">
        <v>500</v>
      </c>
      <c r="G62" s="10" t="s">
        <v>56</v>
      </c>
      <c r="H62" s="10"/>
    </row>
    <row r="63" spans="1:8" ht="17.100000000000001" customHeight="1" x14ac:dyDescent="0.25">
      <c r="A63" s="23"/>
      <c r="B63" s="23"/>
      <c r="C63" s="23"/>
      <c r="D63" s="23"/>
      <c r="E63" s="23"/>
      <c r="F63" s="24"/>
      <c r="G63" s="24"/>
      <c r="H63" s="24"/>
    </row>
    <row r="64" spans="1:8" ht="17.100000000000001" customHeight="1" x14ac:dyDescent="0.25">
      <c r="A64" s="9" t="s">
        <v>577</v>
      </c>
      <c r="B64" s="9" t="s">
        <v>59</v>
      </c>
      <c r="C64" s="9" t="s">
        <v>88</v>
      </c>
      <c r="D64" s="9" t="s">
        <v>93</v>
      </c>
      <c r="E64" s="9" t="s">
        <v>1256</v>
      </c>
      <c r="F64" s="10" t="s">
        <v>464</v>
      </c>
      <c r="G64" s="10" t="s">
        <v>56</v>
      </c>
      <c r="H64" s="10" t="s">
        <v>1289</v>
      </c>
    </row>
    <row r="65" spans="1:8" ht="17.100000000000001" customHeight="1" x14ac:dyDescent="0.25">
      <c r="A65" s="9"/>
      <c r="B65" s="9"/>
      <c r="C65" s="9"/>
      <c r="D65" s="9"/>
      <c r="E65" s="9"/>
      <c r="F65" s="10"/>
      <c r="G65" s="10"/>
      <c r="H65" s="10"/>
    </row>
    <row r="66" spans="1:8" ht="17.100000000000001" customHeight="1" x14ac:dyDescent="0.25">
      <c r="A66" s="9" t="s">
        <v>570</v>
      </c>
      <c r="B66" s="9" t="s">
        <v>57</v>
      </c>
      <c r="C66" s="9" t="s">
        <v>88</v>
      </c>
      <c r="D66" s="9" t="s">
        <v>89</v>
      </c>
      <c r="E66" s="9" t="s">
        <v>1256</v>
      </c>
      <c r="F66" s="10" t="s">
        <v>571</v>
      </c>
      <c r="G66" s="10" t="s">
        <v>56</v>
      </c>
      <c r="H66" s="10"/>
    </row>
    <row r="67" spans="1:8" ht="17.100000000000001" customHeight="1" x14ac:dyDescent="0.25">
      <c r="A67" s="9" t="s">
        <v>579</v>
      </c>
      <c r="B67" s="9" t="s">
        <v>62</v>
      </c>
      <c r="C67" s="9" t="s">
        <v>88</v>
      </c>
      <c r="D67" s="9" t="s">
        <v>89</v>
      </c>
      <c r="E67" s="9" t="s">
        <v>1256</v>
      </c>
      <c r="F67" s="10" t="s">
        <v>580</v>
      </c>
      <c r="G67" s="10" t="s">
        <v>56</v>
      </c>
      <c r="H67" s="10"/>
    </row>
    <row r="68" spans="1:8" ht="17.100000000000001" customHeight="1" x14ac:dyDescent="0.25">
      <c r="A68" s="9" t="s">
        <v>572</v>
      </c>
      <c r="B68" s="9" t="s">
        <v>63</v>
      </c>
      <c r="C68" s="9" t="s">
        <v>88</v>
      </c>
      <c r="D68" s="9" t="s">
        <v>89</v>
      </c>
      <c r="E68" s="9" t="s">
        <v>1256</v>
      </c>
      <c r="F68" s="10" t="s">
        <v>420</v>
      </c>
      <c r="G68" s="10" t="s">
        <v>56</v>
      </c>
      <c r="H68" s="10"/>
    </row>
    <row r="69" spans="1:8" ht="17.100000000000001" customHeight="1" x14ac:dyDescent="0.25">
      <c r="A69" s="9" t="s">
        <v>576</v>
      </c>
      <c r="B69" s="9" t="s">
        <v>63</v>
      </c>
      <c r="C69" s="9" t="s">
        <v>88</v>
      </c>
      <c r="D69" s="9" t="s">
        <v>89</v>
      </c>
      <c r="E69" s="9" t="s">
        <v>1256</v>
      </c>
      <c r="F69" s="10" t="s">
        <v>420</v>
      </c>
      <c r="G69" s="10" t="s">
        <v>56</v>
      </c>
      <c r="H69" s="10"/>
    </row>
    <row r="70" spans="1:8" ht="17.100000000000001" customHeight="1" x14ac:dyDescent="0.25">
      <c r="A70" s="9" t="s">
        <v>578</v>
      </c>
      <c r="B70" s="9" t="s">
        <v>63</v>
      </c>
      <c r="C70" s="9" t="s">
        <v>88</v>
      </c>
      <c r="D70" s="9" t="s">
        <v>89</v>
      </c>
      <c r="E70" s="9" t="s">
        <v>1256</v>
      </c>
      <c r="F70" s="10" t="s">
        <v>189</v>
      </c>
      <c r="G70" s="10" t="s">
        <v>56</v>
      </c>
      <c r="H70" s="10"/>
    </row>
    <row r="71" spans="1:8" ht="17.100000000000001" customHeight="1" x14ac:dyDescent="0.25">
      <c r="A71" s="9"/>
      <c r="B71" s="9"/>
      <c r="C71" s="9"/>
      <c r="D71" s="9"/>
      <c r="E71" s="9"/>
      <c r="F71" s="10"/>
      <c r="G71" s="10"/>
      <c r="H71" s="10"/>
    </row>
    <row r="72" spans="1:8" ht="17.100000000000001" customHeight="1" x14ac:dyDescent="0.25">
      <c r="A72" s="9" t="s">
        <v>581</v>
      </c>
      <c r="B72" s="9" t="s">
        <v>63</v>
      </c>
      <c r="C72" s="9" t="s">
        <v>88</v>
      </c>
      <c r="D72" s="9" t="s">
        <v>202</v>
      </c>
      <c r="E72" s="9" t="s">
        <v>1256</v>
      </c>
      <c r="F72" s="10" t="s">
        <v>425</v>
      </c>
      <c r="G72" s="10" t="s">
        <v>56</v>
      </c>
      <c r="H72" s="10"/>
    </row>
    <row r="73" spans="1:8" ht="17.100000000000001" customHeight="1" x14ac:dyDescent="0.25">
      <c r="A73" s="9" t="s">
        <v>582</v>
      </c>
      <c r="B73" s="9" t="s">
        <v>63</v>
      </c>
      <c r="C73" s="9" t="s">
        <v>88</v>
      </c>
      <c r="D73" s="9" t="s">
        <v>202</v>
      </c>
      <c r="E73" s="9" t="s">
        <v>1256</v>
      </c>
      <c r="F73" s="10" t="s">
        <v>426</v>
      </c>
      <c r="G73" s="10" t="s">
        <v>56</v>
      </c>
      <c r="H73" s="10"/>
    </row>
    <row r="74" spans="1:8" ht="17.100000000000001" customHeight="1" x14ac:dyDescent="0.25">
      <c r="A74" s="9" t="s">
        <v>583</v>
      </c>
      <c r="B74" s="9" t="s">
        <v>63</v>
      </c>
      <c r="C74" s="9" t="s">
        <v>88</v>
      </c>
      <c r="D74" s="9" t="s">
        <v>202</v>
      </c>
      <c r="E74" s="9" t="s">
        <v>1256</v>
      </c>
      <c r="F74" s="10" t="s">
        <v>423</v>
      </c>
      <c r="G74" s="10" t="s">
        <v>56</v>
      </c>
      <c r="H74" s="10"/>
    </row>
    <row r="75" spans="1:8" ht="17.100000000000001" customHeight="1" x14ac:dyDescent="0.25">
      <c r="A75" s="23"/>
      <c r="B75" s="23"/>
      <c r="C75" s="23"/>
      <c r="D75" s="23"/>
      <c r="E75" s="23"/>
      <c r="F75" s="24"/>
      <c r="G75" s="24"/>
      <c r="H75" s="24"/>
    </row>
    <row r="76" spans="1:8" ht="17.100000000000001" customHeight="1" x14ac:dyDescent="0.25">
      <c r="A76" s="9" t="s">
        <v>429</v>
      </c>
      <c r="B76" s="9" t="s">
        <v>1232</v>
      </c>
      <c r="C76" s="9" t="s">
        <v>88</v>
      </c>
      <c r="D76" s="9" t="s">
        <v>103</v>
      </c>
      <c r="E76" s="9" t="s">
        <v>1256</v>
      </c>
      <c r="F76" s="10" t="s">
        <v>428</v>
      </c>
      <c r="G76" s="10" t="s">
        <v>56</v>
      </c>
      <c r="H76" s="10" t="s">
        <v>1288</v>
      </c>
    </row>
    <row r="77" spans="1:8" ht="17.100000000000001" customHeight="1" x14ac:dyDescent="0.25">
      <c r="A77" s="9" t="s">
        <v>431</v>
      </c>
      <c r="B77" s="9" t="s">
        <v>1234</v>
      </c>
      <c r="C77" s="9" t="s">
        <v>88</v>
      </c>
      <c r="D77" s="9" t="s">
        <v>103</v>
      </c>
      <c r="E77" s="9" t="s">
        <v>1256</v>
      </c>
      <c r="F77" s="10" t="s">
        <v>430</v>
      </c>
      <c r="G77" s="10" t="s">
        <v>56</v>
      </c>
      <c r="H77" s="10"/>
    </row>
    <row r="78" spans="1:8" ht="17.100000000000001" customHeight="1" x14ac:dyDescent="0.25">
      <c r="A78" s="9" t="s">
        <v>467</v>
      </c>
      <c r="B78" s="9" t="s">
        <v>466</v>
      </c>
      <c r="C78" s="9" t="s">
        <v>88</v>
      </c>
      <c r="D78" s="9" t="s">
        <v>103</v>
      </c>
      <c r="E78" s="9" t="s">
        <v>1273</v>
      </c>
      <c r="F78" s="10" t="s">
        <v>465</v>
      </c>
      <c r="G78" s="10" t="s">
        <v>56</v>
      </c>
      <c r="H78" s="10"/>
    </row>
    <row r="79" spans="1:8" ht="17.100000000000001" customHeight="1" x14ac:dyDescent="0.25">
      <c r="A79" s="9" t="s">
        <v>477</v>
      </c>
      <c r="B79" s="9" t="s">
        <v>476</v>
      </c>
      <c r="C79" s="9" t="s">
        <v>88</v>
      </c>
      <c r="D79" s="9" t="s">
        <v>103</v>
      </c>
      <c r="E79" s="9" t="s">
        <v>1273</v>
      </c>
      <c r="F79" s="10" t="s">
        <v>475</v>
      </c>
      <c r="G79" s="10" t="s">
        <v>56</v>
      </c>
      <c r="H79" s="10"/>
    </row>
    <row r="80" spans="1:8" ht="17.100000000000001" customHeight="1" x14ac:dyDescent="0.25">
      <c r="A80" s="9" t="s">
        <v>609</v>
      </c>
      <c r="B80" s="9" t="s">
        <v>399</v>
      </c>
      <c r="C80" s="9" t="s">
        <v>88</v>
      </c>
      <c r="D80" s="9" t="s">
        <v>103</v>
      </c>
      <c r="E80" s="9" t="s">
        <v>1256</v>
      </c>
      <c r="F80" s="10" t="s">
        <v>610</v>
      </c>
      <c r="G80" s="10" t="s">
        <v>56</v>
      </c>
      <c r="H80" s="10"/>
    </row>
    <row r="81" spans="1:8" ht="17.100000000000001" customHeight="1" x14ac:dyDescent="0.25">
      <c r="A81" s="9" t="s">
        <v>591</v>
      </c>
      <c r="B81" s="9" t="s">
        <v>592</v>
      </c>
      <c r="C81" s="9" t="s">
        <v>88</v>
      </c>
      <c r="D81" s="9" t="s">
        <v>103</v>
      </c>
      <c r="E81" s="9" t="s">
        <v>1256</v>
      </c>
      <c r="F81" s="10" t="s">
        <v>593</v>
      </c>
      <c r="G81" s="10" t="s">
        <v>56</v>
      </c>
      <c r="H81" s="10"/>
    </row>
    <row r="82" spans="1:8" ht="17.100000000000001" customHeight="1" x14ac:dyDescent="0.25">
      <c r="A82" s="9" t="s">
        <v>597</v>
      </c>
      <c r="B82" s="9" t="s">
        <v>598</v>
      </c>
      <c r="C82" s="9" t="s">
        <v>88</v>
      </c>
      <c r="D82" s="9" t="s">
        <v>103</v>
      </c>
      <c r="E82" s="9" t="s">
        <v>1256</v>
      </c>
      <c r="F82" s="10" t="s">
        <v>599</v>
      </c>
      <c r="G82" s="10" t="s">
        <v>56</v>
      </c>
      <c r="H82" s="10"/>
    </row>
    <row r="83" spans="1:8" ht="17.100000000000001" customHeight="1" x14ac:dyDescent="0.25">
      <c r="A83" s="9" t="s">
        <v>604</v>
      </c>
      <c r="B83" s="9" t="s">
        <v>469</v>
      </c>
      <c r="C83" s="9" t="s">
        <v>88</v>
      </c>
      <c r="D83" s="9" t="s">
        <v>103</v>
      </c>
      <c r="E83" s="9" t="s">
        <v>1256</v>
      </c>
      <c r="F83" s="10" t="s">
        <v>605</v>
      </c>
      <c r="G83" s="10" t="s">
        <v>56</v>
      </c>
      <c r="H83" s="10"/>
    </row>
    <row r="84" spans="1:8" ht="17.100000000000001" customHeight="1" x14ac:dyDescent="0.25">
      <c r="A84" s="9" t="s">
        <v>605</v>
      </c>
      <c r="B84" s="9" t="s">
        <v>469</v>
      </c>
      <c r="C84" s="9" t="s">
        <v>88</v>
      </c>
      <c r="D84" s="9" t="s">
        <v>103</v>
      </c>
      <c r="E84" s="9" t="s">
        <v>1256</v>
      </c>
      <c r="F84" s="10" t="s">
        <v>470</v>
      </c>
      <c r="G84" s="10" t="s">
        <v>56</v>
      </c>
      <c r="H84" s="10"/>
    </row>
    <row r="85" spans="1:8" ht="17.100000000000001" customHeight="1" x14ac:dyDescent="0.25">
      <c r="A85" s="9" t="s">
        <v>608</v>
      </c>
      <c r="B85" s="9" t="s">
        <v>479</v>
      </c>
      <c r="C85" s="9" t="s">
        <v>88</v>
      </c>
      <c r="D85" s="9" t="s">
        <v>103</v>
      </c>
      <c r="E85" s="9" t="s">
        <v>1256</v>
      </c>
      <c r="F85" s="10" t="s">
        <v>480</v>
      </c>
      <c r="G85" s="10" t="s">
        <v>56</v>
      </c>
      <c r="H85" s="10"/>
    </row>
    <row r="86" spans="1:8" ht="17.100000000000001" customHeight="1" x14ac:dyDescent="0.25">
      <c r="A86" s="23"/>
      <c r="B86" s="23"/>
      <c r="C86" s="23"/>
      <c r="D86" s="23"/>
      <c r="E86" s="23"/>
      <c r="F86" s="24"/>
      <c r="G86" s="24"/>
      <c r="H86" s="24"/>
    </row>
    <row r="87" spans="1:8" ht="17.100000000000001" customHeight="1" x14ac:dyDescent="0.25">
      <c r="A87" s="9" t="s">
        <v>433</v>
      </c>
      <c r="B87" s="9" t="s">
        <v>1233</v>
      </c>
      <c r="C87" s="9" t="s">
        <v>88</v>
      </c>
      <c r="D87" s="9" t="s">
        <v>103</v>
      </c>
      <c r="E87" s="9" t="s">
        <v>1256</v>
      </c>
      <c r="F87" s="10" t="s">
        <v>432</v>
      </c>
      <c r="G87" s="10" t="s">
        <v>56</v>
      </c>
      <c r="H87" s="10" t="s">
        <v>1287</v>
      </c>
    </row>
    <row r="88" spans="1:8" ht="17.100000000000001" customHeight="1" x14ac:dyDescent="0.25">
      <c r="A88" s="9" t="s">
        <v>595</v>
      </c>
      <c r="B88" s="9" t="s">
        <v>1222</v>
      </c>
      <c r="C88" s="9" t="s">
        <v>88</v>
      </c>
      <c r="D88" s="9" t="s">
        <v>103</v>
      </c>
      <c r="E88" s="9" t="s">
        <v>1256</v>
      </c>
      <c r="F88" s="10" t="s">
        <v>422</v>
      </c>
      <c r="G88" s="10" t="s">
        <v>56</v>
      </c>
      <c r="H88" s="10"/>
    </row>
    <row r="89" spans="1:8" ht="17.100000000000001" customHeight="1" x14ac:dyDescent="0.25">
      <c r="A89" s="9" t="s">
        <v>596</v>
      </c>
      <c r="B89" s="9" t="s">
        <v>1222</v>
      </c>
      <c r="C89" s="9" t="s">
        <v>88</v>
      </c>
      <c r="D89" s="9" t="s">
        <v>103</v>
      </c>
      <c r="E89" s="9" t="s">
        <v>1256</v>
      </c>
      <c r="F89" s="10" t="s">
        <v>594</v>
      </c>
      <c r="G89" s="10" t="s">
        <v>56</v>
      </c>
      <c r="H89" s="10"/>
    </row>
    <row r="90" spans="1:8" ht="17.100000000000001" customHeight="1" x14ac:dyDescent="0.25">
      <c r="A90" s="9" t="s">
        <v>606</v>
      </c>
      <c r="B90" s="9" t="s">
        <v>1222</v>
      </c>
      <c r="C90" s="9" t="s">
        <v>88</v>
      </c>
      <c r="D90" s="9" t="s">
        <v>103</v>
      </c>
      <c r="E90" s="9" t="s">
        <v>1256</v>
      </c>
      <c r="F90" s="10" t="s">
        <v>607</v>
      </c>
      <c r="G90" s="10" t="s">
        <v>56</v>
      </c>
      <c r="H90" s="10"/>
    </row>
    <row r="91" spans="1:8" ht="17.100000000000001" customHeight="1" x14ac:dyDescent="0.25">
      <c r="A91" s="9" t="s">
        <v>600</v>
      </c>
      <c r="B91" s="9" t="s">
        <v>567</v>
      </c>
      <c r="C91" s="9" t="s">
        <v>88</v>
      </c>
      <c r="D91" s="9" t="s">
        <v>103</v>
      </c>
      <c r="E91" s="9" t="s">
        <v>1256</v>
      </c>
      <c r="F91" s="10" t="s">
        <v>568</v>
      </c>
      <c r="G91" s="10" t="s">
        <v>56</v>
      </c>
      <c r="H91" s="10"/>
    </row>
    <row r="92" spans="1:8" ht="17.100000000000001" customHeight="1" x14ac:dyDescent="0.25">
      <c r="A92" s="9" t="s">
        <v>601</v>
      </c>
      <c r="B92" s="9" t="s">
        <v>602</v>
      </c>
      <c r="C92" s="9" t="s">
        <v>88</v>
      </c>
      <c r="D92" s="9" t="s">
        <v>103</v>
      </c>
      <c r="E92" s="9" t="s">
        <v>1256</v>
      </c>
      <c r="F92" s="10" t="s">
        <v>603</v>
      </c>
      <c r="G92" s="10" t="s">
        <v>56</v>
      </c>
      <c r="H92" s="10"/>
    </row>
    <row r="93" spans="1:8" ht="17.100000000000001" customHeight="1" x14ac:dyDescent="0.25">
      <c r="A93" s="9" t="s">
        <v>524</v>
      </c>
      <c r="B93" s="9" t="s">
        <v>523</v>
      </c>
      <c r="C93" s="9" t="s">
        <v>88</v>
      </c>
      <c r="D93" s="9" t="s">
        <v>103</v>
      </c>
      <c r="E93" s="9" t="s">
        <v>1256</v>
      </c>
      <c r="F93" s="10" t="s">
        <v>522</v>
      </c>
      <c r="G93" s="10" t="s">
        <v>56</v>
      </c>
      <c r="H93" s="10"/>
    </row>
    <row r="94" spans="1:8" ht="17.100000000000001" customHeight="1" x14ac:dyDescent="0.25">
      <c r="A94" s="23"/>
      <c r="B94" s="23"/>
      <c r="C94" s="23"/>
      <c r="D94" s="23"/>
      <c r="E94" s="23"/>
      <c r="F94" s="24"/>
      <c r="G94" s="24"/>
      <c r="H94" s="24"/>
    </row>
    <row r="95" spans="1:8" ht="17.100000000000001" customHeight="1" x14ac:dyDescent="0.25">
      <c r="A95" s="9" t="s">
        <v>588</v>
      </c>
      <c r="B95" s="9" t="s">
        <v>589</v>
      </c>
      <c r="C95" s="9" t="s">
        <v>88</v>
      </c>
      <c r="D95" s="9" t="s">
        <v>103</v>
      </c>
      <c r="E95" s="9" t="s">
        <v>1256</v>
      </c>
      <c r="F95" s="10" t="s">
        <v>590</v>
      </c>
      <c r="G95" s="10" t="s">
        <v>56</v>
      </c>
      <c r="H95" s="10" t="s">
        <v>1286</v>
      </c>
    </row>
    <row r="96" spans="1:8" ht="17.100000000000001" customHeight="1" x14ac:dyDescent="0.25">
      <c r="A96" s="9" t="s">
        <v>584</v>
      </c>
      <c r="B96" s="9" t="s">
        <v>585</v>
      </c>
      <c r="C96" s="9" t="s">
        <v>88</v>
      </c>
      <c r="D96" s="9" t="s">
        <v>103</v>
      </c>
      <c r="E96" s="9" t="s">
        <v>1256</v>
      </c>
      <c r="F96" s="10" t="s">
        <v>586</v>
      </c>
      <c r="G96" s="10" t="s">
        <v>56</v>
      </c>
      <c r="H96" s="10"/>
    </row>
    <row r="97" spans="1:8" ht="17.100000000000001" customHeight="1" x14ac:dyDescent="0.25">
      <c r="A97" s="9" t="s">
        <v>584</v>
      </c>
      <c r="B97" s="9" t="s">
        <v>585</v>
      </c>
      <c r="C97" s="9" t="s">
        <v>88</v>
      </c>
      <c r="D97" s="9" t="s">
        <v>103</v>
      </c>
      <c r="E97" s="9" t="s">
        <v>1256</v>
      </c>
      <c r="F97" s="10" t="s">
        <v>587</v>
      </c>
      <c r="G97" s="10" t="s">
        <v>56</v>
      </c>
      <c r="H97" s="10"/>
    </row>
    <row r="98" spans="1:8" ht="17.100000000000001" customHeight="1" x14ac:dyDescent="0.25">
      <c r="A98" s="9" t="s">
        <v>486</v>
      </c>
      <c r="B98" s="9" t="s">
        <v>485</v>
      </c>
      <c r="C98" s="9" t="s">
        <v>88</v>
      </c>
      <c r="D98" s="9" t="s">
        <v>103</v>
      </c>
      <c r="E98" s="9" t="s">
        <v>1256</v>
      </c>
      <c r="F98" s="10" t="s">
        <v>484</v>
      </c>
      <c r="G98" s="10" t="s">
        <v>56</v>
      </c>
      <c r="H98" s="10"/>
    </row>
    <row r="99" spans="1:8" ht="17.100000000000001" customHeight="1" x14ac:dyDescent="0.25">
      <c r="A99" s="9" t="s">
        <v>444</v>
      </c>
      <c r="B99" s="9" t="s">
        <v>443</v>
      </c>
      <c r="C99" s="9" t="s">
        <v>88</v>
      </c>
      <c r="D99" s="9" t="s">
        <v>103</v>
      </c>
      <c r="E99" s="9" t="s">
        <v>1256</v>
      </c>
      <c r="F99" s="10" t="s">
        <v>442</v>
      </c>
      <c r="G99" s="10" t="s">
        <v>56</v>
      </c>
      <c r="H99" s="10"/>
    </row>
    <row r="100" spans="1:8" ht="17.100000000000001" customHeight="1" x14ac:dyDescent="0.25">
      <c r="A100" s="9" t="s">
        <v>441</v>
      </c>
      <c r="B100" s="9" t="s">
        <v>440</v>
      </c>
      <c r="C100" s="9" t="s">
        <v>88</v>
      </c>
      <c r="D100" s="9" t="s">
        <v>103</v>
      </c>
      <c r="E100" s="9" t="s">
        <v>1256</v>
      </c>
      <c r="F100" s="10" t="s">
        <v>439</v>
      </c>
      <c r="G100" s="10" t="s">
        <v>56</v>
      </c>
      <c r="H100" s="10"/>
    </row>
    <row r="101" spans="1:8" ht="17.100000000000001" customHeight="1" x14ac:dyDescent="0.25">
      <c r="A101" s="23"/>
      <c r="B101" s="23"/>
      <c r="C101" s="23"/>
      <c r="D101" s="23"/>
      <c r="E101" s="23"/>
      <c r="F101" s="24"/>
      <c r="G101" s="24"/>
      <c r="H101" s="24"/>
    </row>
    <row r="102" spans="1:8" ht="17.100000000000001" customHeight="1" x14ac:dyDescent="0.25">
      <c r="A102" s="9" t="s">
        <v>612</v>
      </c>
      <c r="B102" s="9" t="s">
        <v>493</v>
      </c>
      <c r="C102" s="9" t="s">
        <v>88</v>
      </c>
      <c r="D102" s="9" t="s">
        <v>103</v>
      </c>
      <c r="E102" s="9" t="s">
        <v>1256</v>
      </c>
      <c r="F102" s="10" t="s">
        <v>494</v>
      </c>
      <c r="G102" s="10" t="s">
        <v>56</v>
      </c>
      <c r="H102" s="10" t="s">
        <v>1285</v>
      </c>
    </row>
    <row r="103" spans="1:8" ht="17.100000000000001" customHeight="1" x14ac:dyDescent="0.25">
      <c r="A103" s="9" t="s">
        <v>613</v>
      </c>
      <c r="B103" s="9" t="s">
        <v>505</v>
      </c>
      <c r="C103" s="9" t="s">
        <v>88</v>
      </c>
      <c r="D103" s="9" t="s">
        <v>103</v>
      </c>
      <c r="E103" s="9" t="s">
        <v>1256</v>
      </c>
      <c r="F103" s="10" t="s">
        <v>506</v>
      </c>
      <c r="G103" s="10" t="s">
        <v>56</v>
      </c>
      <c r="H103" s="10"/>
    </row>
    <row r="104" spans="1:8" ht="17.100000000000001" customHeight="1" x14ac:dyDescent="0.25">
      <c r="A104" s="9" t="s">
        <v>614</v>
      </c>
      <c r="B104" s="9" t="s">
        <v>511</v>
      </c>
      <c r="C104" s="9" t="s">
        <v>88</v>
      </c>
      <c r="D104" s="9" t="s">
        <v>103</v>
      </c>
      <c r="E104" s="9" t="s">
        <v>1256</v>
      </c>
      <c r="F104" s="10" t="s">
        <v>512</v>
      </c>
      <c r="G104" s="10" t="s">
        <v>56</v>
      </c>
      <c r="H104" s="10"/>
    </row>
    <row r="105" spans="1:8" ht="17.100000000000001" customHeight="1" x14ac:dyDescent="0.25">
      <c r="A105" s="9" t="s">
        <v>615</v>
      </c>
      <c r="B105" s="9" t="s">
        <v>564</v>
      </c>
      <c r="C105" s="9" t="s">
        <v>88</v>
      </c>
      <c r="D105" s="9" t="s">
        <v>103</v>
      </c>
      <c r="E105" s="9" t="s">
        <v>1256</v>
      </c>
      <c r="F105" s="10" t="s">
        <v>565</v>
      </c>
      <c r="G105" s="10" t="s">
        <v>56</v>
      </c>
      <c r="H105" s="10"/>
    </row>
    <row r="106" spans="1:8" ht="17.100000000000001" customHeight="1" x14ac:dyDescent="0.25">
      <c r="A106" s="9" t="s">
        <v>615</v>
      </c>
      <c r="B106" s="9" t="s">
        <v>567</v>
      </c>
      <c r="C106" s="9" t="s">
        <v>88</v>
      </c>
      <c r="D106" s="9" t="s">
        <v>103</v>
      </c>
      <c r="E106" s="9" t="s">
        <v>1256</v>
      </c>
      <c r="F106" s="10" t="s">
        <v>568</v>
      </c>
      <c r="G106" s="10" t="s">
        <v>56</v>
      </c>
      <c r="H106" s="10"/>
    </row>
    <row r="107" spans="1:8" ht="17.100000000000001" customHeight="1" x14ac:dyDescent="0.25">
      <c r="A107" s="9" t="s">
        <v>612</v>
      </c>
      <c r="B107" s="9" t="s">
        <v>496</v>
      </c>
      <c r="C107" s="9" t="s">
        <v>88</v>
      </c>
      <c r="D107" s="9" t="s">
        <v>103</v>
      </c>
      <c r="E107" s="9" t="s">
        <v>1256</v>
      </c>
      <c r="F107" s="10" t="s">
        <v>497</v>
      </c>
      <c r="G107" s="10" t="s">
        <v>56</v>
      </c>
      <c r="H107" s="10"/>
    </row>
    <row r="108" spans="1:8" ht="17.100000000000001" customHeight="1" x14ac:dyDescent="0.25">
      <c r="A108" s="9" t="s">
        <v>613</v>
      </c>
      <c r="B108" s="9" t="s">
        <v>508</v>
      </c>
      <c r="C108" s="9" t="s">
        <v>88</v>
      </c>
      <c r="D108" s="9" t="s">
        <v>103</v>
      </c>
      <c r="E108" s="9" t="s">
        <v>1256</v>
      </c>
      <c r="F108" s="10" t="s">
        <v>509</v>
      </c>
      <c r="G108" s="10" t="s">
        <v>56</v>
      </c>
      <c r="H108" s="10"/>
    </row>
    <row r="109" spans="1:8" ht="17.100000000000001" customHeight="1" x14ac:dyDescent="0.25">
      <c r="A109" s="9" t="s">
        <v>614</v>
      </c>
      <c r="B109" s="9" t="s">
        <v>514</v>
      </c>
      <c r="C109" s="9" t="s">
        <v>88</v>
      </c>
      <c r="D109" s="9" t="s">
        <v>103</v>
      </c>
      <c r="E109" s="9" t="s">
        <v>1256</v>
      </c>
      <c r="F109" s="10" t="s">
        <v>515</v>
      </c>
      <c r="G109" s="10" t="s">
        <v>56</v>
      </c>
      <c r="H109" s="10"/>
    </row>
    <row r="110" spans="1:8" ht="17.100000000000001" customHeight="1" x14ac:dyDescent="0.25">
      <c r="A110" s="9" t="s">
        <v>611</v>
      </c>
      <c r="B110" s="9" t="s">
        <v>502</v>
      </c>
      <c r="C110" s="9" t="s">
        <v>88</v>
      </c>
      <c r="D110" s="9" t="s">
        <v>103</v>
      </c>
      <c r="E110" s="9" t="s">
        <v>1256</v>
      </c>
      <c r="F110" s="10" t="s">
        <v>503</v>
      </c>
      <c r="G110" s="10" t="s">
        <v>56</v>
      </c>
      <c r="H110" s="10"/>
    </row>
    <row r="111" spans="1:8" ht="17.100000000000001" customHeight="1" x14ac:dyDescent="0.25">
      <c r="A111" s="9" t="s">
        <v>611</v>
      </c>
      <c r="B111" s="9" t="s">
        <v>520</v>
      </c>
      <c r="C111" s="9" t="s">
        <v>88</v>
      </c>
      <c r="D111" s="9" t="s">
        <v>103</v>
      </c>
      <c r="E111" s="9" t="s">
        <v>1256</v>
      </c>
      <c r="F111" s="10" t="s">
        <v>521</v>
      </c>
      <c r="G111" s="10" t="s">
        <v>56</v>
      </c>
      <c r="H111" s="10"/>
    </row>
    <row r="112" spans="1:8" ht="17.100000000000001" customHeight="1" x14ac:dyDescent="0.25">
      <c r="A112" s="23"/>
      <c r="B112" s="23"/>
      <c r="C112" s="23"/>
      <c r="D112" s="23"/>
      <c r="E112" s="23"/>
      <c r="F112" s="24"/>
      <c r="G112" s="24"/>
      <c r="H112" s="24"/>
    </row>
    <row r="113" spans="1:8" ht="17.100000000000001" customHeight="1" x14ac:dyDescent="0.25">
      <c r="A113" s="9" t="s">
        <v>619</v>
      </c>
      <c r="B113" s="9" t="s">
        <v>620</v>
      </c>
      <c r="C113" s="9" t="s">
        <v>88</v>
      </c>
      <c r="D113" s="9" t="s">
        <v>93</v>
      </c>
      <c r="E113" s="9" t="s">
        <v>1256</v>
      </c>
      <c r="F113" s="10" t="s">
        <v>621</v>
      </c>
      <c r="G113" s="10" t="s">
        <v>56</v>
      </c>
      <c r="H113" s="10" t="s">
        <v>1319</v>
      </c>
    </row>
    <row r="114" spans="1:8" ht="16.5" customHeight="1" x14ac:dyDescent="0.25">
      <c r="A114" s="9" t="s">
        <v>616</v>
      </c>
      <c r="B114" s="9" t="s">
        <v>617</v>
      </c>
      <c r="C114" s="9" t="s">
        <v>88</v>
      </c>
      <c r="D114" s="9" t="s">
        <v>93</v>
      </c>
      <c r="E114" s="9" t="s">
        <v>1256</v>
      </c>
      <c r="F114" s="10" t="s">
        <v>618</v>
      </c>
      <c r="G114" s="10" t="s">
        <v>56</v>
      </c>
      <c r="H114" s="10"/>
    </row>
    <row r="115" spans="1:8" ht="16.5" customHeight="1" x14ac:dyDescent="0.25">
      <c r="A115" s="9"/>
      <c r="B115" s="9"/>
      <c r="C115" s="9"/>
      <c r="D115" s="9"/>
      <c r="E115" s="9"/>
      <c r="F115" s="10"/>
      <c r="G115" s="10"/>
      <c r="H115" s="10"/>
    </row>
    <row r="116" spans="1:8" ht="17.100000000000001" customHeight="1" x14ac:dyDescent="0.25">
      <c r="A116" s="9" t="s">
        <v>622</v>
      </c>
      <c r="B116" s="9" t="s">
        <v>1222</v>
      </c>
      <c r="C116" s="9" t="s">
        <v>88</v>
      </c>
      <c r="D116" s="9" t="s">
        <v>89</v>
      </c>
      <c r="E116" s="9" t="s">
        <v>1256</v>
      </c>
      <c r="F116" s="10" t="s">
        <v>421</v>
      </c>
      <c r="G116" s="10" t="s">
        <v>56</v>
      </c>
      <c r="H116" s="10"/>
    </row>
    <row r="117" spans="1:8" ht="17.100000000000001" customHeight="1" x14ac:dyDescent="0.25">
      <c r="A117" s="9" t="s">
        <v>623</v>
      </c>
      <c r="B117" s="9" t="s">
        <v>1222</v>
      </c>
      <c r="C117" s="9" t="s">
        <v>88</v>
      </c>
      <c r="D117" s="9" t="s">
        <v>89</v>
      </c>
      <c r="E117" s="9" t="s">
        <v>1256</v>
      </c>
      <c r="F117" s="10" t="s">
        <v>421</v>
      </c>
      <c r="G117" s="10" t="s">
        <v>56</v>
      </c>
      <c r="H117" s="10"/>
    </row>
    <row r="118" spans="1:8" ht="17.100000000000001" customHeight="1" x14ac:dyDescent="0.25">
      <c r="A118" s="10" t="s">
        <v>575</v>
      </c>
      <c r="B118" s="9" t="s">
        <v>58</v>
      </c>
      <c r="C118" s="9" t="s">
        <v>88</v>
      </c>
      <c r="D118" s="9" t="s">
        <v>89</v>
      </c>
      <c r="E118" s="9" t="s">
        <v>1256</v>
      </c>
      <c r="F118" s="9" t="s">
        <v>573</v>
      </c>
      <c r="G118" s="10" t="s">
        <v>56</v>
      </c>
      <c r="H118" s="10"/>
    </row>
    <row r="119" spans="1:8" ht="17.100000000000001" customHeight="1" x14ac:dyDescent="0.25">
      <c r="A119" s="10" t="s">
        <v>574</v>
      </c>
      <c r="B119" s="9" t="s">
        <v>58</v>
      </c>
      <c r="C119" s="9" t="s">
        <v>88</v>
      </c>
      <c r="D119" s="9" t="s">
        <v>89</v>
      </c>
      <c r="E119" s="9" t="s">
        <v>1256</v>
      </c>
      <c r="F119" s="9" t="s">
        <v>573</v>
      </c>
      <c r="G119" s="10" t="s">
        <v>56</v>
      </c>
      <c r="H119" s="10"/>
    </row>
    <row r="120" spans="1:8" ht="17.100000000000001" customHeight="1" x14ac:dyDescent="0.25">
      <c r="A120" s="23"/>
      <c r="B120" s="23"/>
      <c r="C120" s="23"/>
      <c r="D120" s="23"/>
      <c r="E120" s="23"/>
      <c r="F120" s="24"/>
      <c r="G120" s="24"/>
      <c r="H120" s="24"/>
    </row>
    <row r="121" spans="1:8" ht="17.100000000000001" customHeight="1" x14ac:dyDescent="0.25">
      <c r="A121" s="9" t="s">
        <v>627</v>
      </c>
      <c r="B121" s="9" t="s">
        <v>493</v>
      </c>
      <c r="C121" s="9" t="s">
        <v>88</v>
      </c>
      <c r="D121" s="9" t="s">
        <v>103</v>
      </c>
      <c r="E121" s="9" t="s">
        <v>1256</v>
      </c>
      <c r="F121" s="10" t="s">
        <v>494</v>
      </c>
      <c r="G121" s="10" t="s">
        <v>56</v>
      </c>
      <c r="H121" s="10" t="s">
        <v>1320</v>
      </c>
    </row>
    <row r="122" spans="1:8" ht="17.100000000000001" customHeight="1" x14ac:dyDescent="0.25">
      <c r="A122" s="9" t="s">
        <v>631</v>
      </c>
      <c r="B122" s="9" t="s">
        <v>505</v>
      </c>
      <c r="C122" s="9" t="s">
        <v>88</v>
      </c>
      <c r="D122" s="9" t="s">
        <v>103</v>
      </c>
      <c r="E122" s="9" t="s">
        <v>1256</v>
      </c>
      <c r="F122" s="10" t="s">
        <v>506</v>
      </c>
      <c r="G122" s="10" t="s">
        <v>56</v>
      </c>
      <c r="H122" s="10"/>
    </row>
    <row r="123" spans="1:8" ht="17.100000000000001" customHeight="1" x14ac:dyDescent="0.25">
      <c r="A123" s="9" t="s">
        <v>635</v>
      </c>
      <c r="B123" s="9" t="s">
        <v>511</v>
      </c>
      <c r="C123" s="9" t="s">
        <v>88</v>
      </c>
      <c r="D123" s="9" t="s">
        <v>103</v>
      </c>
      <c r="E123" s="9" t="s">
        <v>1256</v>
      </c>
      <c r="F123" s="10" t="s">
        <v>512</v>
      </c>
      <c r="G123" s="10" t="s">
        <v>56</v>
      </c>
      <c r="H123" s="10"/>
    </row>
    <row r="124" spans="1:8" ht="17.100000000000001" customHeight="1" x14ac:dyDescent="0.25">
      <c r="A124" s="9" t="s">
        <v>637</v>
      </c>
      <c r="B124" s="9" t="s">
        <v>564</v>
      </c>
      <c r="C124" s="9" t="s">
        <v>88</v>
      </c>
      <c r="D124" s="9" t="s">
        <v>103</v>
      </c>
      <c r="E124" s="9" t="s">
        <v>1256</v>
      </c>
      <c r="F124" s="10" t="s">
        <v>565</v>
      </c>
      <c r="G124" s="10" t="s">
        <v>56</v>
      </c>
      <c r="H124" s="10"/>
    </row>
    <row r="125" spans="1:8" ht="17.100000000000001" customHeight="1" x14ac:dyDescent="0.25">
      <c r="A125" s="9" t="s">
        <v>624</v>
      </c>
      <c r="B125" s="9" t="s">
        <v>625</v>
      </c>
      <c r="C125" s="9" t="s">
        <v>88</v>
      </c>
      <c r="D125" s="9" t="s">
        <v>103</v>
      </c>
      <c r="E125" s="9" t="s">
        <v>1256</v>
      </c>
      <c r="F125" s="10" t="s">
        <v>626</v>
      </c>
      <c r="G125" s="10" t="s">
        <v>56</v>
      </c>
      <c r="H125" s="10"/>
    </row>
    <row r="126" spans="1:8" ht="17.100000000000001" customHeight="1" x14ac:dyDescent="0.25">
      <c r="A126" s="9" t="s">
        <v>628</v>
      </c>
      <c r="B126" s="9" t="s">
        <v>629</v>
      </c>
      <c r="C126" s="9" t="s">
        <v>88</v>
      </c>
      <c r="D126" s="9" t="s">
        <v>103</v>
      </c>
      <c r="E126" s="9" t="s">
        <v>1256</v>
      </c>
      <c r="F126" s="10" t="s">
        <v>630</v>
      </c>
      <c r="G126" s="10" t="s">
        <v>56</v>
      </c>
      <c r="H126" s="10"/>
    </row>
    <row r="127" spans="1:8" ht="17.100000000000001" customHeight="1" x14ac:dyDescent="0.25">
      <c r="A127" s="9" t="s">
        <v>632</v>
      </c>
      <c r="B127" s="9" t="s">
        <v>633</v>
      </c>
      <c r="C127" s="9" t="s">
        <v>88</v>
      </c>
      <c r="D127" s="9" t="s">
        <v>103</v>
      </c>
      <c r="E127" s="9" t="s">
        <v>1256</v>
      </c>
      <c r="F127" s="10" t="s">
        <v>634</v>
      </c>
      <c r="G127" s="10" t="s">
        <v>56</v>
      </c>
      <c r="H127" s="10"/>
    </row>
    <row r="128" spans="1:8" ht="17.100000000000001" customHeight="1" x14ac:dyDescent="0.25">
      <c r="A128" s="9" t="s">
        <v>636</v>
      </c>
      <c r="B128" s="9" t="s">
        <v>598</v>
      </c>
      <c r="C128" s="9" t="s">
        <v>88</v>
      </c>
      <c r="D128" s="9" t="s">
        <v>103</v>
      </c>
      <c r="E128" s="9" t="s">
        <v>1256</v>
      </c>
      <c r="F128" s="10" t="s">
        <v>599</v>
      </c>
      <c r="G128" s="10" t="s">
        <v>56</v>
      </c>
      <c r="H128" s="10"/>
    </row>
    <row r="129" spans="1:8" ht="17.100000000000001" customHeight="1" x14ac:dyDescent="0.25">
      <c r="A129" s="23"/>
      <c r="B129" s="23"/>
      <c r="C129" s="23"/>
      <c r="D129" s="23"/>
      <c r="E129" s="23"/>
      <c r="F129" s="24"/>
      <c r="G129" s="24"/>
      <c r="H129" s="24"/>
    </row>
    <row r="130" spans="1:8" ht="17.100000000000001" customHeight="1" x14ac:dyDescent="0.25">
      <c r="A130" s="9" t="s">
        <v>421</v>
      </c>
      <c r="B130" s="9" t="s">
        <v>1222</v>
      </c>
      <c r="C130" s="9" t="s">
        <v>88</v>
      </c>
      <c r="D130" s="9" t="s">
        <v>89</v>
      </c>
      <c r="E130" s="9" t="s">
        <v>1256</v>
      </c>
      <c r="F130" s="10" t="s">
        <v>638</v>
      </c>
      <c r="G130" s="10" t="s">
        <v>56</v>
      </c>
      <c r="H130" s="10" t="s">
        <v>1283</v>
      </c>
    </row>
    <row r="131" spans="1:8" ht="17.100000000000001" customHeight="1" x14ac:dyDescent="0.25">
      <c r="A131" s="9" t="s">
        <v>638</v>
      </c>
      <c r="B131" s="9" t="s">
        <v>1222</v>
      </c>
      <c r="C131" s="9" t="s">
        <v>88</v>
      </c>
      <c r="D131" s="9" t="s">
        <v>89</v>
      </c>
      <c r="E131" s="9" t="s">
        <v>1256</v>
      </c>
      <c r="F131" s="10" t="s">
        <v>640</v>
      </c>
      <c r="G131" s="10" t="s">
        <v>56</v>
      </c>
      <c r="H131" s="10"/>
    </row>
    <row r="132" spans="1:8" ht="17.100000000000001" customHeight="1" x14ac:dyDescent="0.25">
      <c r="A132" s="9" t="s">
        <v>640</v>
      </c>
      <c r="B132" s="9" t="s">
        <v>1222</v>
      </c>
      <c r="C132" s="9" t="s">
        <v>88</v>
      </c>
      <c r="D132" s="9" t="s">
        <v>89</v>
      </c>
      <c r="E132" s="9" t="s">
        <v>1256</v>
      </c>
      <c r="F132" s="10" t="s">
        <v>646</v>
      </c>
      <c r="G132" s="10" t="s">
        <v>56</v>
      </c>
      <c r="H132" s="10"/>
    </row>
    <row r="133" spans="1:8" ht="17.100000000000001" customHeight="1" x14ac:dyDescent="0.25">
      <c r="A133" s="9" t="s">
        <v>427</v>
      </c>
      <c r="B133" s="9" t="s">
        <v>1222</v>
      </c>
      <c r="C133" s="9" t="s">
        <v>88</v>
      </c>
      <c r="D133" s="9" t="s">
        <v>89</v>
      </c>
      <c r="E133" s="9" t="s">
        <v>1256</v>
      </c>
      <c r="F133" s="10" t="s">
        <v>421</v>
      </c>
      <c r="G133" s="10" t="s">
        <v>56</v>
      </c>
      <c r="H133" s="10"/>
    </row>
    <row r="134" spans="1:8" ht="17.100000000000001" customHeight="1" x14ac:dyDescent="0.25">
      <c r="A134" s="9" t="s">
        <v>571</v>
      </c>
      <c r="B134" s="9" t="s">
        <v>57</v>
      </c>
      <c r="C134" s="9" t="s">
        <v>88</v>
      </c>
      <c r="D134" s="9" t="s">
        <v>89</v>
      </c>
      <c r="E134" s="9" t="s">
        <v>1256</v>
      </c>
      <c r="F134" s="10" t="s">
        <v>639</v>
      </c>
      <c r="G134" s="10" t="s">
        <v>56</v>
      </c>
      <c r="H134" s="10"/>
    </row>
    <row r="135" spans="1:8" ht="17.100000000000001" customHeight="1" x14ac:dyDescent="0.25">
      <c r="A135" s="9" t="s">
        <v>639</v>
      </c>
      <c r="B135" s="9" t="s">
        <v>57</v>
      </c>
      <c r="C135" s="9" t="s">
        <v>88</v>
      </c>
      <c r="D135" s="9" t="s">
        <v>89</v>
      </c>
      <c r="E135" s="9" t="s">
        <v>1256</v>
      </c>
      <c r="F135" s="10" t="s">
        <v>645</v>
      </c>
      <c r="G135" s="10" t="s">
        <v>56</v>
      </c>
      <c r="H135" s="10"/>
    </row>
    <row r="136" spans="1:8" ht="17.100000000000001" customHeight="1" x14ac:dyDescent="0.25">
      <c r="A136" s="9" t="s">
        <v>424</v>
      </c>
      <c r="B136" s="9" t="s">
        <v>63</v>
      </c>
      <c r="C136" s="9" t="s">
        <v>88</v>
      </c>
      <c r="D136" s="9" t="s">
        <v>89</v>
      </c>
      <c r="E136" s="9" t="s">
        <v>1256</v>
      </c>
      <c r="F136" s="10" t="s">
        <v>420</v>
      </c>
      <c r="G136" s="10" t="s">
        <v>56</v>
      </c>
      <c r="H136" s="10"/>
    </row>
    <row r="137" spans="1:8" ht="17.100000000000001" customHeight="1" x14ac:dyDescent="0.25">
      <c r="A137" s="9" t="s">
        <v>641</v>
      </c>
      <c r="B137" s="9" t="s">
        <v>642</v>
      </c>
      <c r="C137" s="9" t="s">
        <v>88</v>
      </c>
      <c r="D137" s="9" t="s">
        <v>89</v>
      </c>
      <c r="E137" s="9" t="s">
        <v>1256</v>
      </c>
      <c r="F137" s="10" t="s">
        <v>643</v>
      </c>
      <c r="G137" s="10" t="s">
        <v>56</v>
      </c>
      <c r="H137" s="10"/>
    </row>
    <row r="138" spans="1:8" ht="17.100000000000001" customHeight="1" x14ac:dyDescent="0.25">
      <c r="A138" s="9" t="s">
        <v>643</v>
      </c>
      <c r="B138" s="9" t="s">
        <v>642</v>
      </c>
      <c r="C138" s="9" t="s">
        <v>88</v>
      </c>
      <c r="D138" s="9" t="s">
        <v>89</v>
      </c>
      <c r="E138" s="9" t="s">
        <v>1256</v>
      </c>
      <c r="F138" s="10" t="s">
        <v>644</v>
      </c>
      <c r="G138" s="10" t="s">
        <v>56</v>
      </c>
      <c r="H138" s="10"/>
    </row>
    <row r="139" spans="1:8" ht="17.100000000000001" customHeight="1" x14ac:dyDescent="0.25">
      <c r="A139" s="22"/>
      <c r="B139" s="22"/>
      <c r="C139" s="22"/>
      <c r="D139" s="22"/>
      <c r="E139" s="22"/>
      <c r="F139" s="20"/>
      <c r="G139" s="20"/>
      <c r="H139" s="20"/>
    </row>
    <row r="140" spans="1:8" ht="17.100000000000001" customHeight="1" x14ac:dyDescent="0.25">
      <c r="A140" s="9" t="s">
        <v>408</v>
      </c>
      <c r="B140" s="9" t="s">
        <v>344</v>
      </c>
      <c r="C140" s="9" t="s">
        <v>88</v>
      </c>
      <c r="D140" s="9" t="s">
        <v>103</v>
      </c>
      <c r="E140" s="9" t="s">
        <v>1310</v>
      </c>
      <c r="F140" s="10" t="s">
        <v>345</v>
      </c>
      <c r="G140" s="10" t="s">
        <v>1262</v>
      </c>
      <c r="H140" s="10" t="s">
        <v>1311</v>
      </c>
    </row>
    <row r="141" spans="1:8" ht="17.100000000000001" customHeight="1" x14ac:dyDescent="0.25">
      <c r="A141" s="9" t="s">
        <v>409</v>
      </c>
      <c r="B141" s="9" t="s">
        <v>376</v>
      </c>
      <c r="C141" s="9" t="s">
        <v>88</v>
      </c>
      <c r="D141" s="9" t="s">
        <v>103</v>
      </c>
      <c r="E141" s="9" t="s">
        <v>1310</v>
      </c>
      <c r="F141" s="10" t="s">
        <v>377</v>
      </c>
      <c r="G141" s="10" t="s">
        <v>1262</v>
      </c>
      <c r="H141" s="10"/>
    </row>
    <row r="142" spans="1:8" ht="17.100000000000001" customHeight="1" x14ac:dyDescent="0.25">
      <c r="A142" s="23"/>
      <c r="B142" s="23"/>
      <c r="C142" s="23"/>
      <c r="D142" s="23"/>
      <c r="E142" s="23"/>
      <c r="F142" s="24"/>
      <c r="G142" s="24"/>
      <c r="H142" s="24"/>
    </row>
    <row r="143" spans="1:8" ht="17.100000000000001" customHeight="1" x14ac:dyDescent="0.25">
      <c r="A143" s="9" t="s">
        <v>406</v>
      </c>
      <c r="B143" s="9" t="s">
        <v>1222</v>
      </c>
      <c r="C143" s="9" t="s">
        <v>88</v>
      </c>
      <c r="D143" s="9" t="s">
        <v>89</v>
      </c>
      <c r="E143" s="9" t="s">
        <v>1273</v>
      </c>
      <c r="F143" s="10" t="s">
        <v>228</v>
      </c>
      <c r="G143" s="10" t="s">
        <v>1262</v>
      </c>
      <c r="H143" s="10" t="s">
        <v>1312</v>
      </c>
    </row>
    <row r="144" spans="1:8" ht="17.100000000000001" customHeight="1" x14ac:dyDescent="0.25">
      <c r="A144" s="9" t="s">
        <v>404</v>
      </c>
      <c r="B144" s="9" t="s">
        <v>71</v>
      </c>
      <c r="C144" s="9" t="s">
        <v>88</v>
      </c>
      <c r="D144" s="9" t="s">
        <v>89</v>
      </c>
      <c r="E144" s="9" t="s">
        <v>1273</v>
      </c>
      <c r="F144" s="10" t="s">
        <v>223</v>
      </c>
      <c r="G144" s="10" t="s">
        <v>1262</v>
      </c>
      <c r="H144" s="10"/>
    </row>
    <row r="145" spans="1:8" ht="17.100000000000001" customHeight="1" x14ac:dyDescent="0.25">
      <c r="A145" s="9"/>
      <c r="B145" s="9"/>
      <c r="C145" s="9"/>
      <c r="D145" s="9"/>
      <c r="E145" s="9"/>
      <c r="F145" s="10"/>
      <c r="G145" s="10"/>
      <c r="H145" s="10"/>
    </row>
    <row r="146" spans="1:8" ht="17.100000000000001" customHeight="1" x14ac:dyDescent="0.25">
      <c r="A146" s="9" t="s">
        <v>407</v>
      </c>
      <c r="B146" s="9" t="s">
        <v>1222</v>
      </c>
      <c r="C146" s="9" t="s">
        <v>88</v>
      </c>
      <c r="D146" s="9" t="s">
        <v>202</v>
      </c>
      <c r="E146" s="9" t="s">
        <v>1273</v>
      </c>
      <c r="F146" s="10" t="s">
        <v>232</v>
      </c>
      <c r="G146" s="10" t="s">
        <v>1262</v>
      </c>
      <c r="H146" s="10"/>
    </row>
    <row r="147" spans="1:8" ht="17.100000000000001" customHeight="1" x14ac:dyDescent="0.25">
      <c r="A147" s="9" t="s">
        <v>405</v>
      </c>
      <c r="B147" s="9" t="s">
        <v>71</v>
      </c>
      <c r="C147" s="9" t="s">
        <v>88</v>
      </c>
      <c r="D147" s="9" t="s">
        <v>202</v>
      </c>
      <c r="E147" s="9" t="s">
        <v>1273</v>
      </c>
      <c r="F147" s="10" t="s">
        <v>226</v>
      </c>
      <c r="G147" s="10" t="s">
        <v>1262</v>
      </c>
      <c r="H147" s="10"/>
    </row>
  </sheetData>
  <sortState xmlns:xlrd2="http://schemas.microsoft.com/office/spreadsheetml/2017/richdata2" ref="A143:H147">
    <sortCondition descending="1" ref="D143:D147"/>
    <sortCondition ref="B143:B14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76:H100">
    <cfRule type="containsText" dxfId="5" priority="1" operator="containsText" text=":a2">
      <formula>NOT(ISERROR(SEARCH(":a2",A76)))</formula>
    </cfRule>
    <cfRule type="containsText" dxfId="4" priority="2" operator="containsText" text=":a1">
      <formula>NOT(ISERROR(SEARCH(":a1",A76)))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D302-BE80-4137-B158-FAB7BA61FC2E}">
  <sheetPr>
    <tabColor rgb="FF7030A0"/>
  </sheetPr>
  <dimension ref="A1:H103"/>
  <sheetViews>
    <sheetView showGridLines="0" topLeftCell="A50" workbookViewId="0">
      <selection activeCell="E27" sqref="E27"/>
    </sheetView>
  </sheetViews>
  <sheetFormatPr defaultRowHeight="17.100000000000001" customHeight="1" x14ac:dyDescent="0.25"/>
  <cols>
    <col min="1" max="1" width="17.5703125" style="5" bestFit="1" customWidth="1"/>
    <col min="2" max="2" width="9.71093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6" style="5" bestFit="1" customWidth="1"/>
    <col min="7" max="7" width="10.28515625" bestFit="1" customWidth="1"/>
    <col min="8" max="8" width="10.5703125" bestFit="1" customWidth="1"/>
  </cols>
  <sheetData>
    <row r="1" spans="1:8" ht="18" customHeight="1" x14ac:dyDescent="0.25">
      <c r="A1" s="33" t="s">
        <v>67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2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2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2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43.5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9" t="s">
        <v>274</v>
      </c>
      <c r="B14" s="9" t="s">
        <v>1222</v>
      </c>
      <c r="C14" s="9" t="s">
        <v>88</v>
      </c>
      <c r="D14" s="9" t="s">
        <v>93</v>
      </c>
      <c r="E14" s="9" t="s">
        <v>1256</v>
      </c>
      <c r="F14" s="10" t="s">
        <v>275</v>
      </c>
      <c r="G14" s="10" t="s">
        <v>1262</v>
      </c>
      <c r="H14" s="10" t="s">
        <v>1313</v>
      </c>
    </row>
    <row r="15" spans="1:8" ht="17.100000000000001" customHeight="1" x14ac:dyDescent="0.25">
      <c r="A15" s="9" t="s">
        <v>294</v>
      </c>
      <c r="B15" s="9" t="s">
        <v>1222</v>
      </c>
      <c r="C15" s="9" t="s">
        <v>88</v>
      </c>
      <c r="D15" s="9" t="s">
        <v>93</v>
      </c>
      <c r="E15" s="9" t="s">
        <v>1256</v>
      </c>
      <c r="F15" s="10" t="s">
        <v>275</v>
      </c>
      <c r="G15" s="10" t="s">
        <v>1262</v>
      </c>
      <c r="H15" s="10"/>
    </row>
    <row r="16" spans="1:8" ht="17.100000000000001" customHeight="1" x14ac:dyDescent="0.25">
      <c r="A16" s="9" t="s">
        <v>292</v>
      </c>
      <c r="B16" s="9" t="s">
        <v>293</v>
      </c>
      <c r="C16" s="9" t="s">
        <v>88</v>
      </c>
      <c r="D16" s="9" t="s">
        <v>93</v>
      </c>
      <c r="E16" s="9" t="s">
        <v>1256</v>
      </c>
      <c r="F16" s="10" t="s">
        <v>294</v>
      </c>
      <c r="G16" s="10" t="s">
        <v>1262</v>
      </c>
      <c r="H16" s="10"/>
    </row>
    <row r="17" spans="1:8" ht="17.100000000000001" customHeight="1" x14ac:dyDescent="0.25">
      <c r="A17" s="9" t="s">
        <v>295</v>
      </c>
      <c r="B17" s="9" t="s">
        <v>296</v>
      </c>
      <c r="C17" s="9" t="s">
        <v>88</v>
      </c>
      <c r="D17" s="9" t="s">
        <v>93</v>
      </c>
      <c r="E17" s="9" t="s">
        <v>1256</v>
      </c>
      <c r="F17" s="10" t="s">
        <v>297</v>
      </c>
      <c r="G17" s="10" t="s">
        <v>1262</v>
      </c>
      <c r="H17" s="10"/>
    </row>
    <row r="18" spans="1:8" ht="17.100000000000001" customHeight="1" x14ac:dyDescent="0.25">
      <c r="A18" s="9" t="s">
        <v>297</v>
      </c>
      <c r="B18" s="9" t="s">
        <v>68</v>
      </c>
      <c r="C18" s="9" t="s">
        <v>88</v>
      </c>
      <c r="D18" s="9" t="s">
        <v>93</v>
      </c>
      <c r="E18" s="9" t="s">
        <v>1256</v>
      </c>
      <c r="F18" s="10" t="s">
        <v>332</v>
      </c>
      <c r="G18" s="10" t="s">
        <v>1262</v>
      </c>
      <c r="H18" s="10"/>
    </row>
    <row r="19" spans="1:8" ht="17.100000000000001" customHeight="1" x14ac:dyDescent="0.25">
      <c r="A19" s="9" t="s">
        <v>276</v>
      </c>
      <c r="B19" s="9" t="s">
        <v>69</v>
      </c>
      <c r="C19" s="9" t="s">
        <v>88</v>
      </c>
      <c r="D19" s="9" t="s">
        <v>93</v>
      </c>
      <c r="E19" s="9" t="s">
        <v>1256</v>
      </c>
      <c r="F19" s="10" t="s">
        <v>277</v>
      </c>
      <c r="G19" s="10" t="s">
        <v>1262</v>
      </c>
      <c r="H19" s="10"/>
    </row>
    <row r="20" spans="1:8" ht="17.100000000000001" customHeight="1" x14ac:dyDescent="0.25">
      <c r="A20" s="23"/>
      <c r="B20" s="23"/>
      <c r="C20" s="23"/>
      <c r="D20" s="23"/>
      <c r="E20" s="23"/>
      <c r="F20" s="24"/>
      <c r="G20" s="24"/>
      <c r="H20" s="24"/>
    </row>
    <row r="21" spans="1:8" ht="17.100000000000001" customHeight="1" x14ac:dyDescent="0.25">
      <c r="A21" s="10" t="s">
        <v>328</v>
      </c>
      <c r="B21" s="9" t="s">
        <v>329</v>
      </c>
      <c r="C21" s="9" t="s">
        <v>88</v>
      </c>
      <c r="D21" s="9" t="s">
        <v>103</v>
      </c>
      <c r="E21" s="9" t="s">
        <v>1309</v>
      </c>
      <c r="F21" s="9" t="s">
        <v>330</v>
      </c>
      <c r="G21" s="10" t="s">
        <v>1262</v>
      </c>
      <c r="H21" s="10" t="s">
        <v>1314</v>
      </c>
    </row>
    <row r="22" spans="1:8" ht="17.100000000000001" customHeight="1" x14ac:dyDescent="0.25">
      <c r="A22" s="10"/>
      <c r="B22" s="9"/>
      <c r="C22" s="9"/>
      <c r="D22" s="9"/>
      <c r="E22" s="9"/>
      <c r="F22" s="9"/>
      <c r="G22" s="10"/>
      <c r="H22" s="10"/>
    </row>
    <row r="23" spans="1:8" ht="17.100000000000001" customHeight="1" x14ac:dyDescent="0.25">
      <c r="A23" s="9" t="s">
        <v>305</v>
      </c>
      <c r="B23" s="9" t="s">
        <v>1222</v>
      </c>
      <c r="C23" s="9" t="s">
        <v>88</v>
      </c>
      <c r="D23" s="9" t="s">
        <v>93</v>
      </c>
      <c r="E23" s="9" t="s">
        <v>1256</v>
      </c>
      <c r="F23" s="10" t="s">
        <v>231</v>
      </c>
      <c r="G23" s="10" t="s">
        <v>1262</v>
      </c>
      <c r="H23" s="10"/>
    </row>
    <row r="24" spans="1:8" ht="17.100000000000001" customHeight="1" x14ac:dyDescent="0.25">
      <c r="A24" s="9" t="s">
        <v>325</v>
      </c>
      <c r="B24" s="9" t="s">
        <v>1222</v>
      </c>
      <c r="C24" s="9" t="s">
        <v>88</v>
      </c>
      <c r="D24" s="9" t="s">
        <v>93</v>
      </c>
      <c r="E24" s="9" t="s">
        <v>1256</v>
      </c>
      <c r="F24" s="10" t="s">
        <v>231</v>
      </c>
      <c r="G24" s="10" t="s">
        <v>1262</v>
      </c>
      <c r="H24" s="10"/>
    </row>
    <row r="25" spans="1:8" ht="17.100000000000001" customHeight="1" x14ac:dyDescent="0.25">
      <c r="A25" s="9" t="s">
        <v>331</v>
      </c>
      <c r="B25" s="9" t="s">
        <v>1222</v>
      </c>
      <c r="C25" s="9" t="s">
        <v>88</v>
      </c>
      <c r="D25" s="9" t="s">
        <v>93</v>
      </c>
      <c r="E25" s="9" t="s">
        <v>1256</v>
      </c>
      <c r="F25" s="10" t="s">
        <v>231</v>
      </c>
      <c r="G25" s="10" t="s">
        <v>1262</v>
      </c>
      <c r="H25" s="10"/>
    </row>
    <row r="26" spans="1:8" ht="17.100000000000001" customHeight="1" x14ac:dyDescent="0.25">
      <c r="A26" s="9" t="s">
        <v>326</v>
      </c>
      <c r="B26" s="9" t="s">
        <v>73</v>
      </c>
      <c r="C26" s="9" t="s">
        <v>88</v>
      </c>
      <c r="D26" s="9" t="s">
        <v>93</v>
      </c>
      <c r="E26" s="9" t="s">
        <v>1256</v>
      </c>
      <c r="F26" s="10" t="s">
        <v>327</v>
      </c>
      <c r="G26" s="10" t="s">
        <v>1262</v>
      </c>
      <c r="H26" s="10"/>
    </row>
    <row r="27" spans="1:8" ht="17.100000000000001" customHeight="1" x14ac:dyDescent="0.25">
      <c r="A27" s="10" t="s">
        <v>317</v>
      </c>
      <c r="B27" s="9" t="s">
        <v>318</v>
      </c>
      <c r="C27" s="9" t="s">
        <v>88</v>
      </c>
      <c r="D27" s="9" t="s">
        <v>93</v>
      </c>
      <c r="E27" s="9" t="s">
        <v>1309</v>
      </c>
      <c r="F27" s="9" t="s">
        <v>319</v>
      </c>
      <c r="G27" s="10" t="s">
        <v>1262</v>
      </c>
      <c r="H27" s="10"/>
    </row>
    <row r="28" spans="1:8" ht="17.100000000000001" customHeight="1" x14ac:dyDescent="0.25">
      <c r="A28" s="23"/>
      <c r="B28" s="23"/>
      <c r="C28" s="23"/>
      <c r="D28" s="23"/>
      <c r="E28" s="23"/>
      <c r="F28" s="24"/>
      <c r="G28" s="24"/>
      <c r="H28" s="24"/>
    </row>
    <row r="29" spans="1:8" ht="17.100000000000001" customHeight="1" x14ac:dyDescent="0.25">
      <c r="A29" s="9" t="s">
        <v>302</v>
      </c>
      <c r="B29" s="9" t="s">
        <v>233</v>
      </c>
      <c r="C29" s="9" t="s">
        <v>299</v>
      </c>
      <c r="D29" s="9" t="s">
        <v>1298</v>
      </c>
      <c r="E29" s="9" t="s">
        <v>1310</v>
      </c>
      <c r="F29" s="10" t="s">
        <v>234</v>
      </c>
      <c r="G29" s="10" t="s">
        <v>1262</v>
      </c>
      <c r="H29" s="10" t="s">
        <v>1315</v>
      </c>
    </row>
    <row r="30" spans="1:8" ht="17.100000000000001" customHeight="1" x14ac:dyDescent="0.25">
      <c r="A30" s="9" t="s">
        <v>303</v>
      </c>
      <c r="B30" s="9" t="s">
        <v>240</v>
      </c>
      <c r="C30" s="9" t="s">
        <v>299</v>
      </c>
      <c r="D30" s="9" t="s">
        <v>1298</v>
      </c>
      <c r="E30" s="9" t="s">
        <v>1310</v>
      </c>
      <c r="F30" s="10" t="s">
        <v>239</v>
      </c>
      <c r="G30" s="10" t="s">
        <v>1262</v>
      </c>
      <c r="H30" s="10"/>
    </row>
    <row r="31" spans="1:8" ht="17.100000000000001" customHeight="1" x14ac:dyDescent="0.25">
      <c r="A31" s="9" t="s">
        <v>304</v>
      </c>
      <c r="B31" s="9" t="s">
        <v>242</v>
      </c>
      <c r="C31" s="9" t="s">
        <v>299</v>
      </c>
      <c r="D31" s="9" t="s">
        <v>1298</v>
      </c>
      <c r="E31" s="9" t="s">
        <v>1310</v>
      </c>
      <c r="F31" s="10" t="s">
        <v>241</v>
      </c>
      <c r="G31" s="10" t="s">
        <v>1262</v>
      </c>
      <c r="H31" s="10"/>
    </row>
    <row r="32" spans="1:8" ht="17.100000000000001" customHeight="1" x14ac:dyDescent="0.25">
      <c r="A32" s="9" t="s">
        <v>298</v>
      </c>
      <c r="B32" s="9" t="s">
        <v>244</v>
      </c>
      <c r="C32" s="9" t="s">
        <v>299</v>
      </c>
      <c r="D32" s="9" t="s">
        <v>1298</v>
      </c>
      <c r="E32" s="9" t="s">
        <v>1310</v>
      </c>
      <c r="F32" s="10" t="s">
        <v>243</v>
      </c>
      <c r="G32" s="10" t="s">
        <v>1262</v>
      </c>
      <c r="H32" s="10"/>
    </row>
    <row r="33" spans="1:8" ht="17.100000000000001" customHeight="1" x14ac:dyDescent="0.25">
      <c r="A33" s="9" t="s">
        <v>300</v>
      </c>
      <c r="B33" s="9" t="s">
        <v>236</v>
      </c>
      <c r="C33" s="9" t="s">
        <v>299</v>
      </c>
      <c r="D33" s="9" t="s">
        <v>1298</v>
      </c>
      <c r="E33" s="9" t="s">
        <v>1310</v>
      </c>
      <c r="F33" s="10" t="s">
        <v>235</v>
      </c>
      <c r="G33" s="10" t="s">
        <v>1262</v>
      </c>
      <c r="H33" s="10"/>
    </row>
    <row r="34" spans="1:8" ht="17.100000000000001" customHeight="1" x14ac:dyDescent="0.25">
      <c r="A34" s="9" t="s">
        <v>301</v>
      </c>
      <c r="B34" s="9" t="s">
        <v>238</v>
      </c>
      <c r="C34" s="9" t="s">
        <v>299</v>
      </c>
      <c r="D34" s="9" t="s">
        <v>1298</v>
      </c>
      <c r="E34" s="9" t="s">
        <v>1310</v>
      </c>
      <c r="F34" s="10" t="s">
        <v>237</v>
      </c>
      <c r="G34" s="10" t="s">
        <v>1262</v>
      </c>
      <c r="H34" s="10"/>
    </row>
    <row r="35" spans="1:8" ht="17.100000000000001" customHeight="1" x14ac:dyDescent="0.25">
      <c r="A35" s="23"/>
      <c r="B35" s="23"/>
      <c r="C35" s="23"/>
      <c r="D35" s="23"/>
      <c r="E35" s="23"/>
      <c r="F35" s="24"/>
      <c r="G35" s="24"/>
      <c r="H35" s="24"/>
    </row>
    <row r="36" spans="1:8" ht="17.100000000000001" customHeight="1" x14ac:dyDescent="0.25">
      <c r="A36" s="9" t="s">
        <v>306</v>
      </c>
      <c r="B36" s="9" t="s">
        <v>307</v>
      </c>
      <c r="C36" s="9" t="s">
        <v>308</v>
      </c>
      <c r="D36" s="9" t="s">
        <v>1299</v>
      </c>
      <c r="E36" s="9" t="s">
        <v>1310</v>
      </c>
      <c r="F36" s="10" t="s">
        <v>309</v>
      </c>
      <c r="G36" s="10" t="s">
        <v>1262</v>
      </c>
      <c r="H36" s="10" t="s">
        <v>1316</v>
      </c>
    </row>
    <row r="37" spans="1:8" ht="17.100000000000001" customHeight="1" x14ac:dyDescent="0.25">
      <c r="A37" s="9" t="s">
        <v>310</v>
      </c>
      <c r="B37" s="9" t="s">
        <v>311</v>
      </c>
      <c r="C37" s="9" t="s">
        <v>308</v>
      </c>
      <c r="D37" s="9" t="s">
        <v>1299</v>
      </c>
      <c r="E37" s="9" t="s">
        <v>1310</v>
      </c>
      <c r="F37" s="10" t="s">
        <v>247</v>
      </c>
      <c r="G37" s="10" t="s">
        <v>1262</v>
      </c>
      <c r="H37" s="10"/>
    </row>
    <row r="38" spans="1:8" ht="17.100000000000001" customHeight="1" x14ac:dyDescent="0.25">
      <c r="A38" s="9" t="s">
        <v>312</v>
      </c>
      <c r="B38" s="9" t="s">
        <v>313</v>
      </c>
      <c r="C38" s="9" t="s">
        <v>308</v>
      </c>
      <c r="D38" s="9" t="s">
        <v>1299</v>
      </c>
      <c r="E38" s="9" t="s">
        <v>1310</v>
      </c>
      <c r="F38" s="10" t="s">
        <v>314</v>
      </c>
      <c r="G38" s="10" t="s">
        <v>1262</v>
      </c>
      <c r="H38" s="10"/>
    </row>
    <row r="39" spans="1:8" ht="17.100000000000001" customHeight="1" x14ac:dyDescent="0.25">
      <c r="A39" s="9" t="s">
        <v>315</v>
      </c>
      <c r="B39" s="9" t="s">
        <v>316</v>
      </c>
      <c r="C39" s="9" t="s">
        <v>308</v>
      </c>
      <c r="D39" s="9" t="s">
        <v>1299</v>
      </c>
      <c r="E39" s="9" t="s">
        <v>1310</v>
      </c>
      <c r="F39" s="10" t="s">
        <v>246</v>
      </c>
      <c r="G39" s="10" t="s">
        <v>1262</v>
      </c>
      <c r="H39" s="10"/>
    </row>
    <row r="40" spans="1:8" ht="17.100000000000001" customHeight="1" x14ac:dyDescent="0.25">
      <c r="A40" s="9" t="s">
        <v>320</v>
      </c>
      <c r="B40" s="9" t="s">
        <v>321</v>
      </c>
      <c r="C40" s="9" t="s">
        <v>308</v>
      </c>
      <c r="D40" s="9" t="s">
        <v>1299</v>
      </c>
      <c r="E40" s="9" t="s">
        <v>1310</v>
      </c>
      <c r="F40" s="10" t="s">
        <v>322</v>
      </c>
      <c r="G40" s="10" t="s">
        <v>1262</v>
      </c>
      <c r="H40" s="10"/>
    </row>
    <row r="41" spans="1:8" ht="17.100000000000001" customHeight="1" x14ac:dyDescent="0.25">
      <c r="A41" s="9" t="s">
        <v>323</v>
      </c>
      <c r="B41" s="9" t="s">
        <v>324</v>
      </c>
      <c r="C41" s="9" t="s">
        <v>308</v>
      </c>
      <c r="D41" s="9" t="s">
        <v>1299</v>
      </c>
      <c r="E41" s="9" t="s">
        <v>1310</v>
      </c>
      <c r="F41" s="10" t="s">
        <v>245</v>
      </c>
      <c r="G41" s="10" t="s">
        <v>1262</v>
      </c>
      <c r="H41" s="10"/>
    </row>
    <row r="42" spans="1:8" ht="17.100000000000001" customHeight="1" x14ac:dyDescent="0.25">
      <c r="A42" s="23"/>
      <c r="B42" s="23"/>
      <c r="C42" s="23"/>
      <c r="D42" s="23"/>
      <c r="E42" s="23"/>
      <c r="F42" s="24"/>
      <c r="G42" s="24"/>
      <c r="H42" s="24"/>
    </row>
    <row r="43" spans="1:8" ht="17.100000000000001" customHeight="1" x14ac:dyDescent="0.25">
      <c r="A43" s="9" t="s">
        <v>337</v>
      </c>
      <c r="B43" s="9" t="s">
        <v>72</v>
      </c>
      <c r="C43" s="9" t="s">
        <v>88</v>
      </c>
      <c r="D43" s="9" t="s">
        <v>93</v>
      </c>
      <c r="E43" s="9" t="s">
        <v>1256</v>
      </c>
      <c r="F43" s="10" t="s">
        <v>338</v>
      </c>
      <c r="G43" s="10" t="s">
        <v>1262</v>
      </c>
      <c r="H43" s="10" t="s">
        <v>1317</v>
      </c>
    </row>
    <row r="44" spans="1:8" ht="17.100000000000001" customHeight="1" x14ac:dyDescent="0.25">
      <c r="A44" s="9" t="s">
        <v>340</v>
      </c>
      <c r="B44" s="9" t="s">
        <v>73</v>
      </c>
      <c r="C44" s="9" t="s">
        <v>88</v>
      </c>
      <c r="D44" s="9" t="s">
        <v>93</v>
      </c>
      <c r="E44" s="9" t="s">
        <v>1256</v>
      </c>
      <c r="F44" s="10" t="s">
        <v>327</v>
      </c>
      <c r="G44" s="10" t="s">
        <v>1262</v>
      </c>
      <c r="H44" s="10"/>
    </row>
    <row r="45" spans="1:8" ht="17.100000000000001" customHeight="1" x14ac:dyDescent="0.25">
      <c r="A45" s="9"/>
      <c r="B45" s="9"/>
      <c r="C45" s="9"/>
      <c r="D45" s="9"/>
      <c r="E45" s="9"/>
      <c r="F45" s="10"/>
      <c r="G45" s="10"/>
      <c r="H45" s="10"/>
    </row>
    <row r="46" spans="1:8" ht="17.100000000000001" customHeight="1" x14ac:dyDescent="0.25">
      <c r="A46" s="9" t="s">
        <v>227</v>
      </c>
      <c r="B46" s="9" t="s">
        <v>1222</v>
      </c>
      <c r="C46" s="9" t="s">
        <v>88</v>
      </c>
      <c r="D46" s="9" t="s">
        <v>89</v>
      </c>
      <c r="E46" s="9" t="s">
        <v>1273</v>
      </c>
      <c r="F46" s="10" t="s">
        <v>401</v>
      </c>
      <c r="G46" s="10" t="s">
        <v>1262</v>
      </c>
      <c r="H46" s="10"/>
    </row>
    <row r="47" spans="1:8" ht="17.100000000000001" customHeight="1" x14ac:dyDescent="0.25">
      <c r="A47" s="9" t="s">
        <v>333</v>
      </c>
      <c r="B47" s="9" t="s">
        <v>70</v>
      </c>
      <c r="C47" s="9" t="s">
        <v>88</v>
      </c>
      <c r="D47" s="9" t="s">
        <v>89</v>
      </c>
      <c r="E47" s="9" t="s">
        <v>1256</v>
      </c>
      <c r="F47" s="10" t="s">
        <v>334</v>
      </c>
      <c r="G47" s="10" t="s">
        <v>1262</v>
      </c>
      <c r="H47" s="10"/>
    </row>
    <row r="48" spans="1:8" ht="17.100000000000001" customHeight="1" x14ac:dyDescent="0.25">
      <c r="A48" s="9"/>
      <c r="B48" s="9"/>
      <c r="C48" s="9"/>
      <c r="D48" s="9"/>
      <c r="E48" s="9"/>
      <c r="F48" s="10"/>
      <c r="G48" s="10"/>
      <c r="H48" s="10"/>
    </row>
    <row r="49" spans="1:8" ht="17.100000000000001" customHeight="1" x14ac:dyDescent="0.25">
      <c r="A49" s="9" t="s">
        <v>335</v>
      </c>
      <c r="B49" s="9" t="s">
        <v>71</v>
      </c>
      <c r="C49" s="9" t="s">
        <v>88</v>
      </c>
      <c r="D49" s="9" t="s">
        <v>202</v>
      </c>
      <c r="E49" s="9" t="s">
        <v>1273</v>
      </c>
      <c r="F49" s="10" t="s">
        <v>222</v>
      </c>
      <c r="G49" s="10" t="s">
        <v>1262</v>
      </c>
      <c r="H49" s="10"/>
    </row>
    <row r="50" spans="1:8" ht="17.100000000000001" customHeight="1" x14ac:dyDescent="0.25">
      <c r="A50" s="9" t="s">
        <v>336</v>
      </c>
      <c r="B50" s="9" t="s">
        <v>71</v>
      </c>
      <c r="C50" s="9" t="s">
        <v>88</v>
      </c>
      <c r="D50" s="9" t="s">
        <v>202</v>
      </c>
      <c r="E50" s="9" t="s">
        <v>1256</v>
      </c>
      <c r="F50" s="10" t="s">
        <v>221</v>
      </c>
      <c r="G50" s="10" t="s">
        <v>1262</v>
      </c>
      <c r="H50" s="10"/>
    </row>
    <row r="51" spans="1:8" ht="17.100000000000001" customHeight="1" x14ac:dyDescent="0.25">
      <c r="A51" s="9" t="s">
        <v>339</v>
      </c>
      <c r="B51" s="9" t="s">
        <v>71</v>
      </c>
      <c r="C51" s="9" t="s">
        <v>88</v>
      </c>
      <c r="D51" s="9" t="s">
        <v>202</v>
      </c>
      <c r="E51" s="9" t="s">
        <v>1273</v>
      </c>
      <c r="F51" s="10" t="s">
        <v>224</v>
      </c>
      <c r="G51" s="10" t="s">
        <v>1262</v>
      </c>
      <c r="H51" s="10"/>
    </row>
    <row r="52" spans="1:8" ht="17.100000000000001" customHeight="1" x14ac:dyDescent="0.25">
      <c r="A52" s="9" t="s">
        <v>341</v>
      </c>
      <c r="B52" s="9" t="s">
        <v>71</v>
      </c>
      <c r="C52" s="9" t="s">
        <v>88</v>
      </c>
      <c r="D52" s="9" t="s">
        <v>202</v>
      </c>
      <c r="E52" s="9" t="s">
        <v>1256</v>
      </c>
      <c r="F52" s="10" t="s">
        <v>225</v>
      </c>
      <c r="G52" s="10" t="s">
        <v>1262</v>
      </c>
      <c r="H52" s="10"/>
    </row>
    <row r="53" spans="1:8" ht="17.100000000000001" customHeight="1" x14ac:dyDescent="0.25">
      <c r="A53" s="23"/>
      <c r="B53" s="23"/>
      <c r="C53" s="23"/>
      <c r="D53" s="23"/>
      <c r="E53" s="23"/>
      <c r="F53" s="24"/>
      <c r="G53" s="24"/>
      <c r="H53" s="24"/>
    </row>
    <row r="54" spans="1:8" ht="17.100000000000001" customHeight="1" x14ac:dyDescent="0.25">
      <c r="A54" s="9" t="s">
        <v>249</v>
      </c>
      <c r="B54" s="9" t="s">
        <v>1223</v>
      </c>
      <c r="C54" s="9" t="s">
        <v>88</v>
      </c>
      <c r="D54" s="9" t="s">
        <v>103</v>
      </c>
      <c r="E54" s="9" t="s">
        <v>1256</v>
      </c>
      <c r="F54" s="10" t="s">
        <v>248</v>
      </c>
      <c r="G54" s="10" t="s">
        <v>1262</v>
      </c>
      <c r="H54" s="10" t="s">
        <v>1288</v>
      </c>
    </row>
    <row r="55" spans="1:8" ht="17.100000000000001" customHeight="1" x14ac:dyDescent="0.25">
      <c r="A55" s="9" t="s">
        <v>257</v>
      </c>
      <c r="B55" s="9" t="s">
        <v>1225</v>
      </c>
      <c r="C55" s="9" t="s">
        <v>88</v>
      </c>
      <c r="D55" s="9" t="s">
        <v>103</v>
      </c>
      <c r="E55" s="9" t="s">
        <v>1256</v>
      </c>
      <c r="F55" s="10" t="s">
        <v>256</v>
      </c>
      <c r="G55" s="10" t="s">
        <v>1262</v>
      </c>
      <c r="H55" s="10"/>
    </row>
    <row r="56" spans="1:8" ht="17.100000000000001" customHeight="1" x14ac:dyDescent="0.25">
      <c r="A56" s="9" t="s">
        <v>361</v>
      </c>
      <c r="B56" s="9" t="s">
        <v>73</v>
      </c>
      <c r="C56" s="9" t="s">
        <v>88</v>
      </c>
      <c r="D56" s="9" t="s">
        <v>103</v>
      </c>
      <c r="E56" s="9" t="s">
        <v>1273</v>
      </c>
      <c r="F56" s="10" t="s">
        <v>327</v>
      </c>
      <c r="G56" s="10" t="s">
        <v>1262</v>
      </c>
      <c r="H56" s="10"/>
    </row>
    <row r="57" spans="1:8" ht="17.100000000000001" customHeight="1" x14ac:dyDescent="0.25">
      <c r="A57" s="9" t="s">
        <v>252</v>
      </c>
      <c r="B57" s="9" t="s">
        <v>251</v>
      </c>
      <c r="C57" s="9" t="s">
        <v>88</v>
      </c>
      <c r="D57" s="9" t="s">
        <v>103</v>
      </c>
      <c r="E57" s="9" t="s">
        <v>1256</v>
      </c>
      <c r="F57" s="10" t="s">
        <v>250</v>
      </c>
      <c r="G57" s="10" t="s">
        <v>1262</v>
      </c>
      <c r="H57" s="10"/>
    </row>
    <row r="58" spans="1:8" ht="17.100000000000001" customHeight="1" x14ac:dyDescent="0.25">
      <c r="A58" s="9" t="s">
        <v>252</v>
      </c>
      <c r="B58" s="9" t="s">
        <v>251</v>
      </c>
      <c r="C58" s="9" t="s">
        <v>88</v>
      </c>
      <c r="D58" s="9" t="s">
        <v>103</v>
      </c>
      <c r="E58" s="9" t="s">
        <v>1256</v>
      </c>
      <c r="F58" s="10" t="s">
        <v>347</v>
      </c>
      <c r="G58" s="10" t="s">
        <v>1262</v>
      </c>
      <c r="H58" s="10"/>
    </row>
    <row r="59" spans="1:8" ht="17.100000000000001" customHeight="1" x14ac:dyDescent="0.25">
      <c r="A59" s="9" t="s">
        <v>362</v>
      </c>
      <c r="B59" s="9" t="s">
        <v>363</v>
      </c>
      <c r="C59" s="9" t="s">
        <v>88</v>
      </c>
      <c r="D59" s="9" t="s">
        <v>103</v>
      </c>
      <c r="E59" s="9" t="s">
        <v>1256</v>
      </c>
      <c r="F59" s="10" t="s">
        <v>364</v>
      </c>
      <c r="G59" s="10" t="s">
        <v>1262</v>
      </c>
      <c r="H59" s="10"/>
    </row>
    <row r="60" spans="1:8" ht="17.100000000000001" customHeight="1" x14ac:dyDescent="0.25">
      <c r="A60" s="9" t="s">
        <v>366</v>
      </c>
      <c r="B60" s="9" t="s">
        <v>367</v>
      </c>
      <c r="C60" s="9" t="s">
        <v>88</v>
      </c>
      <c r="D60" s="9" t="s">
        <v>103</v>
      </c>
      <c r="E60" s="9" t="s">
        <v>1256</v>
      </c>
      <c r="F60" s="10" t="s">
        <v>368</v>
      </c>
      <c r="G60" s="10" t="s">
        <v>1262</v>
      </c>
      <c r="H60" s="10"/>
    </row>
    <row r="61" spans="1:8" ht="17.100000000000001" customHeight="1" x14ac:dyDescent="0.25">
      <c r="A61" s="9" t="s">
        <v>375</v>
      </c>
      <c r="B61" s="9" t="s">
        <v>376</v>
      </c>
      <c r="C61" s="9" t="s">
        <v>88</v>
      </c>
      <c r="D61" s="9" t="s">
        <v>103</v>
      </c>
      <c r="E61" s="9" t="s">
        <v>1256</v>
      </c>
      <c r="F61" s="10" t="s">
        <v>377</v>
      </c>
      <c r="G61" s="10" t="s">
        <v>1262</v>
      </c>
      <c r="H61" s="10"/>
    </row>
    <row r="62" spans="1:8" ht="17.100000000000001" customHeight="1" x14ac:dyDescent="0.25">
      <c r="A62" s="9" t="s">
        <v>387</v>
      </c>
      <c r="B62" s="9" t="s">
        <v>358</v>
      </c>
      <c r="C62" s="9" t="s">
        <v>88</v>
      </c>
      <c r="D62" s="9" t="s">
        <v>103</v>
      </c>
      <c r="E62" s="9" t="s">
        <v>1256</v>
      </c>
      <c r="F62" s="10" t="s">
        <v>359</v>
      </c>
      <c r="G62" s="10" t="s">
        <v>1262</v>
      </c>
      <c r="H62" s="10"/>
    </row>
    <row r="63" spans="1:8" ht="17.100000000000001" customHeight="1" x14ac:dyDescent="0.25">
      <c r="A63" s="10" t="s">
        <v>397</v>
      </c>
      <c r="B63" s="9" t="s">
        <v>396</v>
      </c>
      <c r="C63" s="9" t="s">
        <v>88</v>
      </c>
      <c r="D63" s="9" t="s">
        <v>103</v>
      </c>
      <c r="E63" s="9" t="s">
        <v>1256</v>
      </c>
      <c r="F63" s="9" t="s">
        <v>395</v>
      </c>
      <c r="G63" s="10" t="s">
        <v>1262</v>
      </c>
      <c r="H63" s="10"/>
    </row>
    <row r="64" spans="1:8" ht="17.100000000000001" customHeight="1" x14ac:dyDescent="0.25">
      <c r="A64" s="9" t="s">
        <v>255</v>
      </c>
      <c r="B64" s="9" t="s">
        <v>254</v>
      </c>
      <c r="C64" s="9" t="s">
        <v>88</v>
      </c>
      <c r="D64" s="9" t="s">
        <v>103</v>
      </c>
      <c r="E64" s="9" t="s">
        <v>1256</v>
      </c>
      <c r="F64" s="10" t="s">
        <v>253</v>
      </c>
      <c r="G64" s="10" t="s">
        <v>1262</v>
      </c>
      <c r="H64" s="10"/>
    </row>
    <row r="65" spans="1:8" ht="17.100000000000001" customHeight="1" x14ac:dyDescent="0.25">
      <c r="A65" s="9"/>
      <c r="B65" s="9"/>
      <c r="C65" s="9"/>
      <c r="D65" s="9"/>
      <c r="E65" s="9"/>
      <c r="F65" s="10"/>
      <c r="G65" s="10"/>
      <c r="H65" s="10"/>
    </row>
    <row r="66" spans="1:8" ht="17.100000000000001" customHeight="1" x14ac:dyDescent="0.25">
      <c r="A66" s="9" t="s">
        <v>390</v>
      </c>
      <c r="B66" s="9" t="s">
        <v>391</v>
      </c>
      <c r="C66" s="9" t="s">
        <v>88</v>
      </c>
      <c r="D66" s="9" t="s">
        <v>93</v>
      </c>
      <c r="E66" s="9" t="s">
        <v>1256</v>
      </c>
      <c r="F66" s="10" t="s">
        <v>392</v>
      </c>
      <c r="G66" s="10" t="s">
        <v>1262</v>
      </c>
      <c r="H66" s="10"/>
    </row>
    <row r="67" spans="1:8" ht="17.100000000000001" customHeight="1" x14ac:dyDescent="0.25">
      <c r="A67" s="9" t="s">
        <v>398</v>
      </c>
      <c r="B67" s="9" t="s">
        <v>399</v>
      </c>
      <c r="C67" s="9" t="s">
        <v>88</v>
      </c>
      <c r="D67" s="9" t="s">
        <v>93</v>
      </c>
      <c r="E67" s="9" t="s">
        <v>1256</v>
      </c>
      <c r="F67" s="10" t="s">
        <v>400</v>
      </c>
      <c r="G67" s="10" t="s">
        <v>1262</v>
      </c>
      <c r="H67" s="10"/>
    </row>
    <row r="68" spans="1:8" ht="17.100000000000001" customHeight="1" x14ac:dyDescent="0.25">
      <c r="A68" s="23"/>
      <c r="B68" s="23"/>
      <c r="C68" s="23"/>
      <c r="D68" s="23"/>
      <c r="E68" s="23"/>
      <c r="F68" s="24"/>
      <c r="G68" s="24"/>
      <c r="H68" s="24"/>
    </row>
    <row r="69" spans="1:8" ht="17.100000000000001" customHeight="1" x14ac:dyDescent="0.25">
      <c r="A69" s="9" t="s">
        <v>262</v>
      </c>
      <c r="B69" s="9" t="s">
        <v>1224</v>
      </c>
      <c r="C69" s="9" t="s">
        <v>88</v>
      </c>
      <c r="D69" s="9" t="s">
        <v>103</v>
      </c>
      <c r="E69" s="9" t="s">
        <v>1256</v>
      </c>
      <c r="F69" s="10" t="s">
        <v>261</v>
      </c>
      <c r="G69" s="10" t="s">
        <v>1262</v>
      </c>
      <c r="H69" s="10" t="s">
        <v>1287</v>
      </c>
    </row>
    <row r="70" spans="1:8" ht="17.100000000000001" customHeight="1" x14ac:dyDescent="0.25">
      <c r="A70" s="9" t="s">
        <v>270</v>
      </c>
      <c r="B70" s="9" t="s">
        <v>1226</v>
      </c>
      <c r="C70" s="9" t="s">
        <v>88</v>
      </c>
      <c r="D70" s="9" t="s">
        <v>103</v>
      </c>
      <c r="E70" s="9" t="s">
        <v>1256</v>
      </c>
      <c r="F70" s="10" t="s">
        <v>269</v>
      </c>
      <c r="G70" s="10" t="s">
        <v>1262</v>
      </c>
      <c r="H70" s="10"/>
    </row>
    <row r="71" spans="1:8" ht="17.100000000000001" customHeight="1" x14ac:dyDescent="0.25">
      <c r="A71" s="9" t="s">
        <v>365</v>
      </c>
      <c r="B71" s="9" t="s">
        <v>1222</v>
      </c>
      <c r="C71" s="9" t="s">
        <v>88</v>
      </c>
      <c r="D71" s="9" t="s">
        <v>103</v>
      </c>
      <c r="E71" s="9" t="s">
        <v>1273</v>
      </c>
      <c r="F71" s="10" t="s">
        <v>230</v>
      </c>
      <c r="G71" s="10" t="s">
        <v>1262</v>
      </c>
      <c r="H71" s="10"/>
    </row>
    <row r="72" spans="1:8" ht="17.100000000000001" customHeight="1" x14ac:dyDescent="0.25">
      <c r="A72" s="9" t="s">
        <v>378</v>
      </c>
      <c r="B72" s="9" t="s">
        <v>1222</v>
      </c>
      <c r="C72" s="9" t="s">
        <v>88</v>
      </c>
      <c r="D72" s="9" t="s">
        <v>103</v>
      </c>
      <c r="E72" s="9" t="s">
        <v>1273</v>
      </c>
      <c r="F72" s="10" t="s">
        <v>229</v>
      </c>
      <c r="G72" s="10" t="s">
        <v>1262</v>
      </c>
      <c r="H72" s="10"/>
    </row>
    <row r="73" spans="1:8" ht="17.100000000000001" customHeight="1" x14ac:dyDescent="0.25">
      <c r="A73" s="9" t="s">
        <v>393</v>
      </c>
      <c r="B73" s="9" t="s">
        <v>1222</v>
      </c>
      <c r="C73" s="9" t="s">
        <v>88</v>
      </c>
      <c r="D73" s="9" t="s">
        <v>103</v>
      </c>
      <c r="E73" s="9" t="s">
        <v>1256</v>
      </c>
      <c r="F73" s="10" t="s">
        <v>394</v>
      </c>
      <c r="G73" s="10" t="s">
        <v>1262</v>
      </c>
      <c r="H73" s="10"/>
    </row>
    <row r="74" spans="1:8" ht="17.100000000000001" customHeight="1" x14ac:dyDescent="0.25">
      <c r="A74" s="9" t="s">
        <v>265</v>
      </c>
      <c r="B74" s="9" t="s">
        <v>264</v>
      </c>
      <c r="C74" s="9" t="s">
        <v>88</v>
      </c>
      <c r="D74" s="9" t="s">
        <v>103</v>
      </c>
      <c r="E74" s="9" t="s">
        <v>1256</v>
      </c>
      <c r="F74" s="10" t="s">
        <v>263</v>
      </c>
      <c r="G74" s="10" t="s">
        <v>1262</v>
      </c>
      <c r="H74" s="10"/>
    </row>
    <row r="75" spans="1:8" ht="17.100000000000001" customHeight="1" x14ac:dyDescent="0.25">
      <c r="A75" s="9" t="s">
        <v>265</v>
      </c>
      <c r="B75" s="9" t="s">
        <v>264</v>
      </c>
      <c r="C75" s="9" t="s">
        <v>88</v>
      </c>
      <c r="D75" s="9" t="s">
        <v>103</v>
      </c>
      <c r="E75" s="9" t="s">
        <v>1256</v>
      </c>
      <c r="F75" s="10" t="s">
        <v>348</v>
      </c>
      <c r="G75" s="10" t="s">
        <v>1262</v>
      </c>
      <c r="H75" s="10"/>
    </row>
    <row r="76" spans="1:8" ht="17.100000000000001" customHeight="1" x14ac:dyDescent="0.25">
      <c r="A76" s="9" t="s">
        <v>273</v>
      </c>
      <c r="B76" s="9" t="s">
        <v>272</v>
      </c>
      <c r="C76" s="9" t="s">
        <v>88</v>
      </c>
      <c r="D76" s="9" t="s">
        <v>103</v>
      </c>
      <c r="E76" s="9" t="s">
        <v>1256</v>
      </c>
      <c r="F76" s="10" t="s">
        <v>271</v>
      </c>
      <c r="G76" s="10" t="s">
        <v>1262</v>
      </c>
      <c r="H76" s="10"/>
    </row>
    <row r="77" spans="1:8" ht="17.100000000000001" customHeight="1" x14ac:dyDescent="0.25">
      <c r="A77" s="9" t="s">
        <v>268</v>
      </c>
      <c r="B77" s="9" t="s">
        <v>267</v>
      </c>
      <c r="C77" s="9" t="s">
        <v>88</v>
      </c>
      <c r="D77" s="9" t="s">
        <v>103</v>
      </c>
      <c r="E77" s="9" t="s">
        <v>1256</v>
      </c>
      <c r="F77" s="10" t="s">
        <v>266</v>
      </c>
      <c r="G77" s="10" t="s">
        <v>1262</v>
      </c>
      <c r="H77" s="10"/>
    </row>
    <row r="78" spans="1:8" ht="17.100000000000001" customHeight="1" x14ac:dyDescent="0.25">
      <c r="A78" s="23"/>
      <c r="B78" s="23"/>
      <c r="C78" s="23"/>
      <c r="D78" s="23"/>
      <c r="E78" s="23"/>
      <c r="F78" s="24"/>
      <c r="G78" s="24"/>
      <c r="H78" s="24"/>
    </row>
    <row r="79" spans="1:8" ht="17.100000000000001" customHeight="1" x14ac:dyDescent="0.25">
      <c r="A79" s="9" t="s">
        <v>279</v>
      </c>
      <c r="B79" s="9" t="s">
        <v>1227</v>
      </c>
      <c r="C79" s="9" t="s">
        <v>88</v>
      </c>
      <c r="D79" s="9" t="s">
        <v>103</v>
      </c>
      <c r="E79" s="9" t="s">
        <v>1256</v>
      </c>
      <c r="F79" s="10" t="s">
        <v>278</v>
      </c>
      <c r="G79" s="10" t="s">
        <v>1262</v>
      </c>
      <c r="H79" s="10" t="s">
        <v>1286</v>
      </c>
    </row>
    <row r="80" spans="1:8" ht="17.100000000000001" customHeight="1" x14ac:dyDescent="0.25">
      <c r="A80" s="9" t="s">
        <v>281</v>
      </c>
      <c r="B80" s="9" t="s">
        <v>1229</v>
      </c>
      <c r="C80" s="9" t="s">
        <v>88</v>
      </c>
      <c r="D80" s="9" t="s">
        <v>103</v>
      </c>
      <c r="E80" s="9" t="s">
        <v>1256</v>
      </c>
      <c r="F80" s="10" t="s">
        <v>280</v>
      </c>
      <c r="G80" s="10" t="s">
        <v>1262</v>
      </c>
      <c r="H80" s="10"/>
    </row>
    <row r="81" spans="1:8" ht="17.100000000000001" customHeight="1" x14ac:dyDescent="0.25">
      <c r="A81" s="9" t="s">
        <v>286</v>
      </c>
      <c r="B81" s="9" t="s">
        <v>1228</v>
      </c>
      <c r="C81" s="9" t="s">
        <v>88</v>
      </c>
      <c r="D81" s="9" t="s">
        <v>103</v>
      </c>
      <c r="E81" s="9" t="s">
        <v>1256</v>
      </c>
      <c r="F81" s="10" t="s">
        <v>285</v>
      </c>
      <c r="G81" s="10" t="s">
        <v>1262</v>
      </c>
      <c r="H81" s="10"/>
    </row>
    <row r="82" spans="1:8" ht="17.100000000000001" customHeight="1" x14ac:dyDescent="0.25">
      <c r="A82" s="9" t="s">
        <v>288</v>
      </c>
      <c r="B82" s="9" t="s">
        <v>1230</v>
      </c>
      <c r="C82" s="9" t="s">
        <v>88</v>
      </c>
      <c r="D82" s="9" t="s">
        <v>103</v>
      </c>
      <c r="E82" s="9" t="s">
        <v>1256</v>
      </c>
      <c r="F82" s="10" t="s">
        <v>287</v>
      </c>
      <c r="G82" s="10" t="s">
        <v>1262</v>
      </c>
      <c r="H82" s="10"/>
    </row>
    <row r="83" spans="1:8" ht="17.100000000000001" customHeight="1" x14ac:dyDescent="0.25">
      <c r="A83" s="9" t="s">
        <v>342</v>
      </c>
      <c r="B83" s="9" t="s">
        <v>72</v>
      </c>
      <c r="C83" s="9" t="s">
        <v>88</v>
      </c>
      <c r="D83" s="9" t="s">
        <v>103</v>
      </c>
      <c r="E83" s="9" t="s">
        <v>1256</v>
      </c>
      <c r="F83" s="10" t="s">
        <v>338</v>
      </c>
      <c r="G83" s="10" t="s">
        <v>1262</v>
      </c>
      <c r="H83" s="10"/>
    </row>
    <row r="84" spans="1:8" ht="17.100000000000001" customHeight="1" x14ac:dyDescent="0.25">
      <c r="A84" s="9" t="s">
        <v>349</v>
      </c>
      <c r="B84" s="9" t="s">
        <v>72</v>
      </c>
      <c r="C84" s="9" t="s">
        <v>88</v>
      </c>
      <c r="D84" s="9" t="s">
        <v>103</v>
      </c>
      <c r="E84" s="9" t="s">
        <v>1256</v>
      </c>
      <c r="F84" s="10" t="s">
        <v>350</v>
      </c>
      <c r="G84" s="10" t="s">
        <v>1262</v>
      </c>
      <c r="H84" s="10"/>
    </row>
    <row r="85" spans="1:8" ht="17.100000000000001" customHeight="1" x14ac:dyDescent="0.25">
      <c r="A85" s="9" t="s">
        <v>349</v>
      </c>
      <c r="B85" s="9" t="s">
        <v>72</v>
      </c>
      <c r="C85" s="9" t="s">
        <v>88</v>
      </c>
      <c r="D85" s="9" t="s">
        <v>103</v>
      </c>
      <c r="E85" s="9" t="s">
        <v>1256</v>
      </c>
      <c r="F85" s="10" t="s">
        <v>338</v>
      </c>
      <c r="G85" s="10" t="s">
        <v>1262</v>
      </c>
      <c r="H85" s="10"/>
    </row>
    <row r="86" spans="1:8" ht="17.100000000000001" customHeight="1" x14ac:dyDescent="0.25">
      <c r="A86" s="9" t="s">
        <v>350</v>
      </c>
      <c r="B86" s="9" t="s">
        <v>72</v>
      </c>
      <c r="C86" s="9" t="s">
        <v>88</v>
      </c>
      <c r="D86" s="9" t="s">
        <v>103</v>
      </c>
      <c r="E86" s="9" t="s">
        <v>1256</v>
      </c>
      <c r="F86" s="10" t="s">
        <v>388</v>
      </c>
      <c r="G86" s="10" t="s">
        <v>1262</v>
      </c>
      <c r="H86" s="10"/>
    </row>
    <row r="87" spans="1:8" ht="17.100000000000001" customHeight="1" x14ac:dyDescent="0.25">
      <c r="A87" s="9" t="s">
        <v>351</v>
      </c>
      <c r="B87" s="9" t="s">
        <v>352</v>
      </c>
      <c r="C87" s="9" t="s">
        <v>88</v>
      </c>
      <c r="D87" s="9" t="s">
        <v>103</v>
      </c>
      <c r="E87" s="9" t="s">
        <v>1256</v>
      </c>
      <c r="F87" s="10" t="s">
        <v>353</v>
      </c>
      <c r="G87" s="10" t="s">
        <v>1262</v>
      </c>
      <c r="H87" s="10"/>
    </row>
    <row r="88" spans="1:8" ht="17.100000000000001" customHeight="1" x14ac:dyDescent="0.25">
      <c r="A88" s="9" t="s">
        <v>354</v>
      </c>
      <c r="B88" s="9" t="s">
        <v>355</v>
      </c>
      <c r="C88" s="9" t="s">
        <v>88</v>
      </c>
      <c r="D88" s="9" t="s">
        <v>103</v>
      </c>
      <c r="E88" s="9" t="s">
        <v>1256</v>
      </c>
      <c r="F88" s="10" t="s">
        <v>356</v>
      </c>
      <c r="G88" s="10" t="s">
        <v>1262</v>
      </c>
      <c r="H88" s="10"/>
    </row>
    <row r="89" spans="1:8" ht="17.100000000000001" customHeight="1" x14ac:dyDescent="0.25">
      <c r="A89" s="9" t="s">
        <v>343</v>
      </c>
      <c r="B89" s="9" t="s">
        <v>344</v>
      </c>
      <c r="C89" s="9" t="s">
        <v>88</v>
      </c>
      <c r="D89" s="9" t="s">
        <v>103</v>
      </c>
      <c r="E89" s="9" t="s">
        <v>1256</v>
      </c>
      <c r="F89" s="10" t="s">
        <v>345</v>
      </c>
      <c r="G89" s="10" t="s">
        <v>1262</v>
      </c>
      <c r="H89" s="10"/>
    </row>
    <row r="90" spans="1:8" ht="17.100000000000001" customHeight="1" x14ac:dyDescent="0.25">
      <c r="A90" s="9" t="s">
        <v>284</v>
      </c>
      <c r="B90" s="9" t="s">
        <v>283</v>
      </c>
      <c r="C90" s="9" t="s">
        <v>88</v>
      </c>
      <c r="D90" s="9" t="s">
        <v>103</v>
      </c>
      <c r="E90" s="9" t="s">
        <v>1256</v>
      </c>
      <c r="F90" s="10" t="s">
        <v>282</v>
      </c>
      <c r="G90" s="10" t="s">
        <v>1262</v>
      </c>
      <c r="H90" s="10"/>
    </row>
    <row r="91" spans="1:8" ht="17.100000000000001" customHeight="1" x14ac:dyDescent="0.25">
      <c r="A91" s="9" t="s">
        <v>291</v>
      </c>
      <c r="B91" s="9" t="s">
        <v>290</v>
      </c>
      <c r="C91" s="9" t="s">
        <v>88</v>
      </c>
      <c r="D91" s="9" t="s">
        <v>103</v>
      </c>
      <c r="E91" s="9" t="s">
        <v>1256</v>
      </c>
      <c r="F91" s="10" t="s">
        <v>289</v>
      </c>
      <c r="G91" s="10" t="s">
        <v>1262</v>
      </c>
      <c r="H91" s="10"/>
    </row>
    <row r="92" spans="1:8" ht="17.100000000000001" customHeight="1" x14ac:dyDescent="0.25">
      <c r="A92" s="9" t="s">
        <v>369</v>
      </c>
      <c r="B92" s="9" t="s">
        <v>370</v>
      </c>
      <c r="C92" s="9" t="s">
        <v>88</v>
      </c>
      <c r="D92" s="9" t="s">
        <v>103</v>
      </c>
      <c r="E92" s="9" t="s">
        <v>1256</v>
      </c>
      <c r="F92" s="10" t="s">
        <v>371</v>
      </c>
      <c r="G92" s="10" t="s">
        <v>1262</v>
      </c>
      <c r="H92" s="10"/>
    </row>
    <row r="93" spans="1:8" ht="17.100000000000001" customHeight="1" x14ac:dyDescent="0.25">
      <c r="A93" s="9" t="s">
        <v>372</v>
      </c>
      <c r="B93" s="9" t="s">
        <v>373</v>
      </c>
      <c r="C93" s="9" t="s">
        <v>88</v>
      </c>
      <c r="D93" s="9" t="s">
        <v>103</v>
      </c>
      <c r="E93" s="9" t="s">
        <v>1256</v>
      </c>
      <c r="F93" s="10" t="s">
        <v>374</v>
      </c>
      <c r="G93" s="10" t="s">
        <v>1262</v>
      </c>
      <c r="H93" s="10"/>
    </row>
    <row r="94" spans="1:8" ht="17.100000000000001" customHeight="1" x14ac:dyDescent="0.25">
      <c r="A94" s="9" t="s">
        <v>379</v>
      </c>
      <c r="B94" s="9" t="s">
        <v>380</v>
      </c>
      <c r="C94" s="9" t="s">
        <v>88</v>
      </c>
      <c r="D94" s="9" t="s">
        <v>103</v>
      </c>
      <c r="E94" s="9" t="s">
        <v>1256</v>
      </c>
      <c r="F94" s="10" t="s">
        <v>381</v>
      </c>
      <c r="G94" s="10" t="s">
        <v>1262</v>
      </c>
      <c r="H94" s="10"/>
    </row>
    <row r="95" spans="1:8" ht="17.100000000000001" customHeight="1" x14ac:dyDescent="0.25">
      <c r="A95" s="9" t="s">
        <v>379</v>
      </c>
      <c r="B95" s="9" t="s">
        <v>380</v>
      </c>
      <c r="C95" s="9" t="s">
        <v>88</v>
      </c>
      <c r="D95" s="9" t="s">
        <v>103</v>
      </c>
      <c r="E95" s="9" t="s">
        <v>1256</v>
      </c>
      <c r="F95" s="10" t="s">
        <v>382</v>
      </c>
      <c r="G95" s="10" t="s">
        <v>1262</v>
      </c>
      <c r="H95" s="10"/>
    </row>
    <row r="96" spans="1:8" ht="17.100000000000001" customHeight="1" x14ac:dyDescent="0.25">
      <c r="A96" s="9" t="s">
        <v>383</v>
      </c>
      <c r="B96" s="9" t="s">
        <v>384</v>
      </c>
      <c r="C96" s="9" t="s">
        <v>88</v>
      </c>
      <c r="D96" s="9" t="s">
        <v>103</v>
      </c>
      <c r="E96" s="9" t="s">
        <v>1256</v>
      </c>
      <c r="F96" s="10" t="s">
        <v>385</v>
      </c>
      <c r="G96" s="10" t="s">
        <v>1262</v>
      </c>
      <c r="H96" s="10"/>
    </row>
    <row r="97" spans="1:8" ht="17.100000000000001" customHeight="1" x14ac:dyDescent="0.25">
      <c r="A97" s="9" t="s">
        <v>383</v>
      </c>
      <c r="B97" s="9" t="s">
        <v>384</v>
      </c>
      <c r="C97" s="9" t="s">
        <v>88</v>
      </c>
      <c r="D97" s="9" t="s">
        <v>103</v>
      </c>
      <c r="E97" s="9" t="s">
        <v>1256</v>
      </c>
      <c r="F97" s="10" t="s">
        <v>386</v>
      </c>
      <c r="G97" s="10" t="s">
        <v>1262</v>
      </c>
      <c r="H97" s="10"/>
    </row>
    <row r="98" spans="1:8" ht="17.100000000000001" customHeight="1" x14ac:dyDescent="0.25">
      <c r="A98" s="9" t="s">
        <v>357</v>
      </c>
      <c r="B98" s="9" t="s">
        <v>358</v>
      </c>
      <c r="C98" s="9" t="s">
        <v>88</v>
      </c>
      <c r="D98" s="9" t="s">
        <v>103</v>
      </c>
      <c r="E98" s="9" t="s">
        <v>1256</v>
      </c>
      <c r="F98" s="10" t="s">
        <v>360</v>
      </c>
      <c r="G98" s="10" t="s">
        <v>1262</v>
      </c>
      <c r="H98" s="10"/>
    </row>
    <row r="99" spans="1:8" ht="17.100000000000001" customHeight="1" x14ac:dyDescent="0.25">
      <c r="A99" s="9" t="s">
        <v>357</v>
      </c>
      <c r="B99" s="9" t="s">
        <v>358</v>
      </c>
      <c r="C99" s="9" t="s">
        <v>88</v>
      </c>
      <c r="D99" s="9" t="s">
        <v>103</v>
      </c>
      <c r="E99" s="9" t="s">
        <v>1256</v>
      </c>
      <c r="F99" s="10" t="s">
        <v>359</v>
      </c>
      <c r="G99" s="10" t="s">
        <v>1262</v>
      </c>
      <c r="H99" s="10"/>
    </row>
    <row r="100" spans="1:8" ht="17.100000000000001" customHeight="1" x14ac:dyDescent="0.25">
      <c r="A100" s="9" t="s">
        <v>360</v>
      </c>
      <c r="B100" s="9" t="s">
        <v>358</v>
      </c>
      <c r="C100" s="9" t="s">
        <v>88</v>
      </c>
      <c r="D100" s="9" t="s">
        <v>103</v>
      </c>
      <c r="E100" s="9" t="s">
        <v>1256</v>
      </c>
      <c r="F100" s="10" t="s">
        <v>389</v>
      </c>
      <c r="G100" s="10" t="s">
        <v>1262</v>
      </c>
      <c r="H100" s="10"/>
    </row>
    <row r="101" spans="1:8" ht="17.100000000000001" customHeight="1" x14ac:dyDescent="0.25">
      <c r="A101" s="9" t="s">
        <v>260</v>
      </c>
      <c r="B101" s="9" t="s">
        <v>259</v>
      </c>
      <c r="C101" s="9" t="s">
        <v>88</v>
      </c>
      <c r="D101" s="9" t="s">
        <v>103</v>
      </c>
      <c r="E101" s="9" t="s">
        <v>1273</v>
      </c>
      <c r="F101" s="10" t="s">
        <v>258</v>
      </c>
      <c r="G101" s="10" t="s">
        <v>1262</v>
      </c>
      <c r="H101" s="10"/>
    </row>
    <row r="102" spans="1:8" ht="17.100000000000001" customHeight="1" x14ac:dyDescent="0.25">
      <c r="A102" s="9"/>
      <c r="B102" s="9"/>
      <c r="C102" s="9"/>
      <c r="D102" s="9"/>
      <c r="E102" s="9"/>
      <c r="F102" s="10"/>
      <c r="G102" s="10"/>
      <c r="H102" s="10"/>
    </row>
    <row r="103" spans="1:8" ht="17.100000000000001" customHeight="1" x14ac:dyDescent="0.25">
      <c r="A103" s="9" t="s">
        <v>346</v>
      </c>
      <c r="B103" s="9" t="s">
        <v>73</v>
      </c>
      <c r="C103" s="9" t="s">
        <v>88</v>
      </c>
      <c r="D103" s="9" t="s">
        <v>93</v>
      </c>
      <c r="E103" s="9" t="s">
        <v>1273</v>
      </c>
      <c r="F103" s="10" t="s">
        <v>327</v>
      </c>
      <c r="G103" s="10" t="s">
        <v>1262</v>
      </c>
      <c r="H103" s="10"/>
    </row>
  </sheetData>
  <sortState xmlns:xlrd2="http://schemas.microsoft.com/office/spreadsheetml/2017/richdata2" ref="A43:G52">
    <sortCondition descending="1" ref="D43:D52"/>
    <sortCondition ref="B43:B5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6:H27 A54:H103">
    <cfRule type="containsText" dxfId="3" priority="1" operator="containsText" text=":A2">
      <formula>NOT(ISERROR(SEARCH(":A2",A26)))</formula>
    </cfRule>
    <cfRule type="containsText" dxfId="2" priority="2" operator="containsText" text=":A1">
      <formula>NOT(ISERROR(SEARCH(":A1",A26)))</formula>
    </cfRule>
  </conditionalFormatting>
  <conditionalFormatting sqref="C1:C1048576">
    <cfRule type="containsText" dxfId="1" priority="3" operator="containsText" text="BLU">
      <formula>NOT(ISERROR(SEARCH("BLU",C1)))</formula>
    </cfRule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2440-93EC-44E4-94BF-0DC37279D33C}">
  <sheetPr>
    <tabColor rgb="FF7030A0"/>
  </sheetPr>
  <dimension ref="A1:H20"/>
  <sheetViews>
    <sheetView showGridLines="0" workbookViewId="0">
      <selection activeCell="E27" sqref="E27"/>
    </sheetView>
  </sheetViews>
  <sheetFormatPr defaultRowHeight="17.100000000000001" customHeight="1" x14ac:dyDescent="0.25"/>
  <cols>
    <col min="1" max="1" width="12.7109375" style="5" bestFit="1" customWidth="1"/>
    <col min="2" max="2" width="7.85546875" style="5" bestFit="1" customWidth="1"/>
    <col min="3" max="3" width="6.85546875" style="5" bestFit="1" customWidth="1"/>
    <col min="4" max="4" width="10" style="5" bestFit="1" customWidth="1"/>
    <col min="5" max="5" width="6.5703125" style="5" bestFit="1" customWidth="1"/>
    <col min="6" max="6" width="10" style="5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33" t="s">
        <v>64</v>
      </c>
      <c r="B1" s="33"/>
      <c r="C1" s="33"/>
      <c r="D1" s="33"/>
    </row>
    <row r="2" spans="1:8" ht="12" customHeight="1" x14ac:dyDescent="0.25">
      <c r="A2" s="34"/>
      <c r="B2" s="34"/>
      <c r="C2" s="34"/>
      <c r="D2" s="34"/>
    </row>
    <row r="3" spans="1:8" ht="12.75" customHeight="1" x14ac:dyDescent="0.25">
      <c r="A3" s="2" t="s">
        <v>1</v>
      </c>
      <c r="B3" s="29" t="s">
        <v>2</v>
      </c>
      <c r="C3" s="29"/>
      <c r="D3" s="29"/>
    </row>
    <row r="4" spans="1:8" ht="15" customHeight="1" x14ac:dyDescent="0.25">
      <c r="A4" s="2" t="s">
        <v>3</v>
      </c>
      <c r="B4" s="29" t="s">
        <v>4</v>
      </c>
      <c r="C4" s="29"/>
      <c r="D4" s="29"/>
    </row>
    <row r="5" spans="1:8" ht="12.75" customHeight="1" x14ac:dyDescent="0.25">
      <c r="A5" s="2" t="s">
        <v>5</v>
      </c>
      <c r="B5" s="29" t="s">
        <v>6</v>
      </c>
      <c r="C5" s="29"/>
      <c r="D5" s="29"/>
    </row>
    <row r="6" spans="1:8" ht="5.25" customHeight="1" x14ac:dyDescent="0.25"/>
    <row r="7" spans="1:8" ht="15" customHeight="1" x14ac:dyDescent="0.25">
      <c r="A7" s="2" t="s">
        <v>7</v>
      </c>
      <c r="B7" s="29"/>
      <c r="C7" s="29"/>
      <c r="D7" s="29"/>
    </row>
    <row r="8" spans="1:8" ht="12.75" customHeight="1" x14ac:dyDescent="0.25">
      <c r="A8" s="2" t="s">
        <v>8</v>
      </c>
      <c r="B8" s="29"/>
      <c r="C8" s="29"/>
      <c r="D8" s="29"/>
    </row>
    <row r="9" spans="1:8" ht="15" customHeight="1" x14ac:dyDescent="0.25">
      <c r="A9" s="2" t="s">
        <v>9</v>
      </c>
      <c r="B9" s="29"/>
      <c r="C9" s="29"/>
      <c r="D9" s="29"/>
    </row>
    <row r="10" spans="1:8" ht="12.75" customHeight="1" x14ac:dyDescent="0.25">
      <c r="A10" s="2" t="s">
        <v>8</v>
      </c>
      <c r="B10" s="29"/>
      <c r="C10" s="29"/>
      <c r="D10" s="29"/>
    </row>
    <row r="11" spans="1:8" ht="10.5" customHeight="1" x14ac:dyDescent="0.25"/>
    <row r="12" spans="1:8" ht="16.5" customHeight="1" x14ac:dyDescent="0.25">
      <c r="A12" s="35" t="s">
        <v>80</v>
      </c>
      <c r="B12" s="35"/>
      <c r="C12" s="35"/>
      <c r="D12" s="35"/>
      <c r="E12" s="35"/>
      <c r="F12" s="35"/>
      <c r="G12" s="35" t="s">
        <v>81</v>
      </c>
      <c r="H12" s="35"/>
    </row>
    <row r="13" spans="1:8" ht="36" customHeight="1" x14ac:dyDescent="0.25">
      <c r="A13" s="6" t="s">
        <v>10</v>
      </c>
      <c r="B13" s="7" t="s">
        <v>84</v>
      </c>
      <c r="C13" s="7" t="s">
        <v>83</v>
      </c>
      <c r="D13" s="7" t="s">
        <v>85</v>
      </c>
      <c r="E13" s="7" t="s">
        <v>1220</v>
      </c>
      <c r="F13" s="8" t="s">
        <v>10</v>
      </c>
      <c r="G13" s="8" t="s">
        <v>11</v>
      </c>
      <c r="H13" s="8" t="s">
        <v>1221</v>
      </c>
    </row>
    <row r="14" spans="1:8" ht="17.100000000000001" customHeight="1" x14ac:dyDescent="0.25">
      <c r="A14" s="9" t="s">
        <v>410</v>
      </c>
      <c r="B14" s="9" t="s">
        <v>1222</v>
      </c>
      <c r="C14" s="9" t="s">
        <v>88</v>
      </c>
      <c r="D14" s="9" t="s">
        <v>93</v>
      </c>
      <c r="E14" s="9" t="s">
        <v>1256</v>
      </c>
      <c r="F14" s="10" t="s">
        <v>411</v>
      </c>
      <c r="G14" s="10" t="s">
        <v>1263</v>
      </c>
      <c r="H14" s="10" t="s">
        <v>1274</v>
      </c>
    </row>
    <row r="15" spans="1:8" ht="17.100000000000001" customHeight="1" x14ac:dyDescent="0.25">
      <c r="A15" s="9" t="s">
        <v>414</v>
      </c>
      <c r="B15" s="9" t="s">
        <v>1222</v>
      </c>
      <c r="C15" s="9" t="s">
        <v>88</v>
      </c>
      <c r="D15" s="9" t="s">
        <v>93</v>
      </c>
      <c r="E15" s="9" t="s">
        <v>1256</v>
      </c>
      <c r="F15" s="10" t="s">
        <v>411</v>
      </c>
      <c r="G15" s="10" t="s">
        <v>1263</v>
      </c>
      <c r="H15" s="10"/>
    </row>
    <row r="16" spans="1:8" ht="17.100000000000001" customHeight="1" x14ac:dyDescent="0.25">
      <c r="A16" s="9" t="s">
        <v>412</v>
      </c>
      <c r="B16" s="9" t="s">
        <v>65</v>
      </c>
      <c r="C16" s="9" t="s">
        <v>88</v>
      </c>
      <c r="D16" s="9" t="s">
        <v>93</v>
      </c>
      <c r="E16" s="9" t="s">
        <v>1256</v>
      </c>
      <c r="F16" s="10" t="s">
        <v>413</v>
      </c>
      <c r="G16" s="10" t="s">
        <v>1263</v>
      </c>
      <c r="H16" s="10"/>
    </row>
    <row r="17" spans="1:8" ht="17.100000000000001" customHeight="1" x14ac:dyDescent="0.25">
      <c r="A17" s="9" t="s">
        <v>415</v>
      </c>
      <c r="B17" s="9" t="s">
        <v>66</v>
      </c>
      <c r="C17" s="9" t="s">
        <v>88</v>
      </c>
      <c r="D17" s="9" t="s">
        <v>93</v>
      </c>
      <c r="E17" s="9" t="s">
        <v>1256</v>
      </c>
      <c r="F17" s="10" t="s">
        <v>416</v>
      </c>
      <c r="G17" s="10" t="s">
        <v>1263</v>
      </c>
      <c r="H17" s="10"/>
    </row>
    <row r="18" spans="1:8" ht="17.100000000000001" customHeight="1" x14ac:dyDescent="0.25">
      <c r="A18" s="9"/>
      <c r="B18" s="9"/>
      <c r="C18" s="9"/>
      <c r="D18" s="9"/>
      <c r="E18" s="9"/>
      <c r="F18" s="10"/>
      <c r="G18" s="10"/>
      <c r="H18" s="10"/>
    </row>
    <row r="19" spans="1:8" ht="17.100000000000001" customHeight="1" x14ac:dyDescent="0.25">
      <c r="A19" s="9" t="s">
        <v>417</v>
      </c>
      <c r="B19" s="9" t="s">
        <v>39</v>
      </c>
      <c r="C19" s="9" t="s">
        <v>88</v>
      </c>
      <c r="D19" s="9" t="s">
        <v>93</v>
      </c>
      <c r="E19" s="9" t="s">
        <v>1256</v>
      </c>
      <c r="F19" s="10" t="s">
        <v>418</v>
      </c>
      <c r="G19" s="10" t="s">
        <v>1263</v>
      </c>
      <c r="H19" s="10"/>
    </row>
    <row r="20" spans="1:8" ht="17.100000000000001" customHeight="1" x14ac:dyDescent="0.25">
      <c r="A20" s="9" t="s">
        <v>419</v>
      </c>
      <c r="B20" s="9" t="s">
        <v>39</v>
      </c>
      <c r="C20" s="9" t="s">
        <v>88</v>
      </c>
      <c r="D20" s="9" t="s">
        <v>93</v>
      </c>
      <c r="E20" s="9" t="s">
        <v>1256</v>
      </c>
      <c r="F20" s="10" t="s">
        <v>418</v>
      </c>
      <c r="G20" s="10" t="s">
        <v>1263</v>
      </c>
      <c r="H20" s="10"/>
    </row>
  </sheetData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FC5A-08F3-406F-A802-36AB4A0E60B4}">
  <dimension ref="A1:AD50"/>
  <sheetViews>
    <sheetView workbookViewId="0">
      <selection activeCell="J7" sqref="J7"/>
    </sheetView>
  </sheetViews>
  <sheetFormatPr defaultRowHeight="15" x14ac:dyDescent="0.25"/>
  <cols>
    <col min="1" max="30" width="13.28515625" customWidth="1"/>
  </cols>
  <sheetData>
    <row r="1" spans="1:30" x14ac:dyDescent="0.25">
      <c r="A1" s="37" t="s">
        <v>1305</v>
      </c>
      <c r="B1" s="37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25">
      <c r="A2" s="13" t="s">
        <v>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x14ac:dyDescent="0.25">
      <c r="A3" s="13" t="s">
        <v>1306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 x14ac:dyDescent="0.25">
      <c r="A6" s="14" t="s">
        <v>1257</v>
      </c>
      <c r="B6" s="14" t="s">
        <v>74</v>
      </c>
      <c r="C6" s="14" t="s">
        <v>1258</v>
      </c>
      <c r="D6" s="14" t="s">
        <v>77</v>
      </c>
      <c r="E6" s="14" t="s">
        <v>1260</v>
      </c>
      <c r="F6" s="14" t="s">
        <v>1261</v>
      </c>
      <c r="G6" s="14" t="s">
        <v>1307</v>
      </c>
      <c r="H6" s="14" t="s">
        <v>1308</v>
      </c>
      <c r="I6" s="14" t="s">
        <v>1262</v>
      </c>
      <c r="J6" s="14" t="s">
        <v>1263</v>
      </c>
      <c r="K6" s="14" t="s">
        <v>1255</v>
      </c>
      <c r="L6" s="14" t="s">
        <v>1255</v>
      </c>
      <c r="M6" s="14" t="s">
        <v>1255</v>
      </c>
      <c r="N6" s="14" t="s">
        <v>1255</v>
      </c>
      <c r="O6" s="14" t="s">
        <v>1255</v>
      </c>
      <c r="P6" s="14" t="s">
        <v>1255</v>
      </c>
      <c r="Q6" s="14" t="s">
        <v>1255</v>
      </c>
      <c r="R6" s="14" t="s">
        <v>1255</v>
      </c>
      <c r="S6" s="14" t="s">
        <v>1255</v>
      </c>
      <c r="T6" s="14" t="s">
        <v>1255</v>
      </c>
      <c r="U6" s="14" t="s">
        <v>1255</v>
      </c>
      <c r="V6" s="14" t="s">
        <v>1255</v>
      </c>
      <c r="W6" s="14" t="s">
        <v>1255</v>
      </c>
      <c r="X6" s="14" t="s">
        <v>1255</v>
      </c>
      <c r="Y6" s="14" t="s">
        <v>1255</v>
      </c>
      <c r="Z6" s="14" t="s">
        <v>1255</v>
      </c>
      <c r="AA6" s="14" t="s">
        <v>1255</v>
      </c>
      <c r="AB6" s="14" t="s">
        <v>1255</v>
      </c>
      <c r="AC6" s="14" t="s">
        <v>1255</v>
      </c>
      <c r="AD6" s="14" t="s">
        <v>1255</v>
      </c>
    </row>
    <row r="7" spans="1:30" x14ac:dyDescent="0.25">
      <c r="A7" s="14" t="s">
        <v>75</v>
      </c>
      <c r="B7" s="14" t="s">
        <v>1300</v>
      </c>
      <c r="C7" s="14" t="s">
        <v>1302</v>
      </c>
      <c r="D7" s="14" t="s">
        <v>1269</v>
      </c>
      <c r="E7" s="14" t="s">
        <v>1290</v>
      </c>
      <c r="F7" s="14" t="s">
        <v>1297</v>
      </c>
      <c r="G7" s="14" t="s">
        <v>50</v>
      </c>
      <c r="H7" s="14" t="s">
        <v>1318</v>
      </c>
      <c r="I7" s="14" t="s">
        <v>1313</v>
      </c>
      <c r="J7" s="14" t="s">
        <v>1274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x14ac:dyDescent="0.25">
      <c r="A8" s="14" t="s">
        <v>40</v>
      </c>
      <c r="B8" s="14"/>
      <c r="C8" s="14" t="s">
        <v>1301</v>
      </c>
      <c r="D8" s="14" t="s">
        <v>1270</v>
      </c>
      <c r="E8" s="14" t="s">
        <v>1289</v>
      </c>
      <c r="F8" s="14" t="s">
        <v>1296</v>
      </c>
      <c r="G8" s="14" t="s">
        <v>52</v>
      </c>
      <c r="H8" s="14" t="s">
        <v>1314</v>
      </c>
      <c r="I8" s="14" t="s">
        <v>1314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5">
      <c r="A9" s="14" t="s">
        <v>41</v>
      </c>
      <c r="B9" s="14"/>
      <c r="C9" s="14" t="s">
        <v>1276</v>
      </c>
      <c r="D9" s="14" t="s">
        <v>1271</v>
      </c>
      <c r="E9" s="14" t="s">
        <v>1288</v>
      </c>
      <c r="F9" s="14" t="s">
        <v>1295</v>
      </c>
      <c r="G9" s="14" t="s">
        <v>53</v>
      </c>
      <c r="H9" s="14" t="s">
        <v>1289</v>
      </c>
      <c r="I9" s="14" t="s">
        <v>1315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A10" s="14" t="s">
        <v>42</v>
      </c>
      <c r="B10" s="14"/>
      <c r="C10" s="14"/>
      <c r="D10" s="14" t="s">
        <v>1272</v>
      </c>
      <c r="E10" s="14" t="s">
        <v>1287</v>
      </c>
      <c r="F10" s="14" t="s">
        <v>1294</v>
      </c>
      <c r="G10" s="14" t="s">
        <v>54</v>
      </c>
      <c r="H10" s="14" t="s">
        <v>1288</v>
      </c>
      <c r="I10" s="14" t="s">
        <v>1316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A11" s="14" t="s">
        <v>43</v>
      </c>
      <c r="B11" s="14"/>
      <c r="C11" s="14"/>
      <c r="D11" s="14"/>
      <c r="E11" s="14" t="s">
        <v>1286</v>
      </c>
      <c r="F11" s="14" t="s">
        <v>1293</v>
      </c>
      <c r="G11" s="14" t="s">
        <v>55</v>
      </c>
      <c r="H11" s="14" t="s">
        <v>1287</v>
      </c>
      <c r="I11" s="14" t="s">
        <v>1317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A12" s="14" t="s">
        <v>44</v>
      </c>
      <c r="B12" s="14"/>
      <c r="C12" s="14"/>
      <c r="D12" s="14"/>
      <c r="E12" s="14" t="s">
        <v>1285</v>
      </c>
      <c r="F12" s="14" t="s">
        <v>1289</v>
      </c>
      <c r="G12" s="14"/>
      <c r="H12" s="14" t="s">
        <v>1286</v>
      </c>
      <c r="I12" s="14" t="s">
        <v>1288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A13" s="14" t="s">
        <v>45</v>
      </c>
      <c r="B13" s="14"/>
      <c r="C13" s="14"/>
      <c r="D13" s="14"/>
      <c r="E13" s="14" t="s">
        <v>1284</v>
      </c>
      <c r="F13" s="14" t="s">
        <v>1288</v>
      </c>
      <c r="G13" s="14"/>
      <c r="H13" s="14" t="s">
        <v>1285</v>
      </c>
      <c r="I13" s="14" t="s">
        <v>1287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A14" s="14" t="s">
        <v>46</v>
      </c>
      <c r="B14" s="14"/>
      <c r="C14" s="14"/>
      <c r="D14" s="14"/>
      <c r="E14" s="14" t="s">
        <v>1275</v>
      </c>
      <c r="F14" s="14" t="s">
        <v>1287</v>
      </c>
      <c r="G14" s="14"/>
      <c r="H14" s="14" t="s">
        <v>1319</v>
      </c>
      <c r="I14" s="14" t="s">
        <v>1286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A15" s="14" t="s">
        <v>47</v>
      </c>
      <c r="B15" s="14"/>
      <c r="C15" s="14"/>
      <c r="D15" s="14"/>
      <c r="E15" s="14" t="s">
        <v>1283</v>
      </c>
      <c r="F15" s="14" t="s">
        <v>1286</v>
      </c>
      <c r="G15" s="14"/>
      <c r="H15" s="14" t="s">
        <v>1320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A16" s="14" t="s">
        <v>48</v>
      </c>
      <c r="B16" s="14"/>
      <c r="C16" s="14"/>
      <c r="D16" s="14"/>
      <c r="E16" s="14" t="s">
        <v>1282</v>
      </c>
      <c r="F16" s="14" t="s">
        <v>1291</v>
      </c>
      <c r="G16" s="14"/>
      <c r="H16" s="14" t="s">
        <v>1283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x14ac:dyDescent="0.25">
      <c r="A17" s="14" t="s">
        <v>49</v>
      </c>
      <c r="B17" s="14"/>
      <c r="C17" s="14"/>
      <c r="D17" s="14"/>
      <c r="E17" s="14" t="s">
        <v>1281</v>
      </c>
      <c r="F17" s="14" t="s">
        <v>1292</v>
      </c>
      <c r="G17" s="14"/>
      <c r="H17" s="14" t="s">
        <v>1311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x14ac:dyDescent="0.25">
      <c r="A18" s="14"/>
      <c r="B18" s="14"/>
      <c r="C18" s="14"/>
      <c r="D18" s="14"/>
      <c r="E18" s="14" t="s">
        <v>1280</v>
      </c>
      <c r="F18" s="14"/>
      <c r="G18" s="14"/>
      <c r="H18" s="14" t="s">
        <v>1312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x14ac:dyDescent="0.25">
      <c r="A19" s="14"/>
      <c r="B19" s="14"/>
      <c r="C19" s="14"/>
      <c r="D19" s="14"/>
      <c r="E19" s="14" t="s">
        <v>1279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x14ac:dyDescent="0.25">
      <c r="A20" s="14"/>
      <c r="B20" s="14"/>
      <c r="C20" s="14"/>
      <c r="D20" s="14"/>
      <c r="E20" s="14" t="s">
        <v>1278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x14ac:dyDescent="0.25">
      <c r="A21" s="14"/>
      <c r="B21" s="14"/>
      <c r="C21" s="14"/>
      <c r="D21" s="14"/>
      <c r="E21" s="14" t="s">
        <v>1277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x14ac:dyDescent="0.25">
      <c r="A22" s="14"/>
      <c r="B22" s="14"/>
      <c r="C22" s="14"/>
      <c r="D22" s="14"/>
      <c r="E22" s="14" t="s">
        <v>1276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1:3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2E93-AE84-4F4D-87BA-86AD27B6E819}">
  <dimension ref="A1:AD31"/>
  <sheetViews>
    <sheetView workbookViewId="0">
      <selection activeCell="A2"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5" t="str">
        <f>IF('Bundle Tag Info'!A6&lt;&gt;"Panel Name",'Bundle Tag Info'!A6,"")</f>
        <v>JB70 DOOR</v>
      </c>
      <c r="B1" s="15" t="str">
        <f>IF('Bundle Tag Info'!B6&lt;&gt;"Panel Name",'Bundle Tag Info'!B6,"")</f>
        <v>HMI-S PWR</v>
      </c>
      <c r="C1" s="15" t="str">
        <f>IF('Bundle Tag Info'!C6&lt;&gt;"Panel Name",'Bundle Tag Info'!C6,"")</f>
        <v>JB70 R RAIL</v>
      </c>
      <c r="D1" s="15" t="str">
        <f>IF('Bundle Tag Info'!D6&lt;&gt;"Panel Name",'Bundle Tag Info'!D6,"")</f>
        <v>PLC</v>
      </c>
      <c r="E1" s="15" t="str">
        <f>IF('Bundle Tag Info'!E6&lt;&gt;"Panel Name",'Bundle Tag Info'!E6,"")</f>
        <v>A</v>
      </c>
      <c r="F1" s="15" t="str">
        <f>IF('Bundle Tag Info'!F6&lt;&gt;"Panel Name",'Bundle Tag Info'!F6,"")</f>
        <v>B</v>
      </c>
      <c r="G1" s="15" t="str">
        <f>IF('Bundle Tag Info'!G6&lt;&gt;"Panel Name",'Bundle Tag Info'!G6,"")</f>
        <v>JB72 DOOR</v>
      </c>
      <c r="H1" s="15" t="str">
        <f>IF('Bundle Tag Info'!H6&lt;&gt;"Panel Name",'Bundle Tag Info'!H6,"")</f>
        <v>FG&amp;E</v>
      </c>
      <c r="I1" s="15" t="str">
        <f>IF('Bundle Tag Info'!I6&lt;&gt;"Panel Name",'Bundle Tag Info'!I6,"")</f>
        <v>GEN</v>
      </c>
      <c r="J1" s="15" t="str">
        <f>IF('Bundle Tag Info'!J6&lt;&gt;"Panel Name",'Bundle Tag Info'!J6,"")</f>
        <v>VFD</v>
      </c>
      <c r="K1" s="15" t="str">
        <f>IF('Bundle Tag Info'!K6&lt;&gt;"Panel Name",'Bundle Tag Info'!K6,"")</f>
        <v/>
      </c>
      <c r="L1" s="15" t="str">
        <f>IF('Bundle Tag Info'!L6&lt;&gt;"Panel Name",'Bundle Tag Info'!L6,"")</f>
        <v/>
      </c>
      <c r="M1" s="15" t="str">
        <f>IF('Bundle Tag Info'!M6&lt;&gt;"Panel Name",'Bundle Tag Info'!M6,"")</f>
        <v/>
      </c>
      <c r="N1" s="15" t="str">
        <f>IF('Bundle Tag Info'!N6&lt;&gt;"Panel Name",'Bundle Tag Info'!N6,"")</f>
        <v/>
      </c>
      <c r="O1" s="15" t="str">
        <f>IF('Bundle Tag Info'!O6&lt;&gt;"Panel Name",'Bundle Tag Info'!O6,"")</f>
        <v/>
      </c>
      <c r="P1" s="15" t="str">
        <f>IF('Bundle Tag Info'!P6&lt;&gt;"Panel Name",'Bundle Tag Info'!P6,"")</f>
        <v/>
      </c>
      <c r="Q1" s="15" t="str">
        <f>IF('Bundle Tag Info'!Q6&lt;&gt;"Panel Name",'Bundle Tag Info'!Q6,"")</f>
        <v/>
      </c>
      <c r="R1" s="15" t="str">
        <f>IF('Bundle Tag Info'!R6&lt;&gt;"Panel Name",'Bundle Tag Info'!R6,"")</f>
        <v/>
      </c>
      <c r="S1" s="15" t="str">
        <f>IF('Bundle Tag Info'!S6&lt;&gt;"Panel Name",'Bundle Tag Info'!S6,"")</f>
        <v/>
      </c>
      <c r="T1" s="15" t="str">
        <f>IF('Bundle Tag Info'!T6&lt;&gt;"Panel Name",'Bundle Tag Info'!T6,"")</f>
        <v/>
      </c>
      <c r="U1" s="15" t="str">
        <f>IF('Bundle Tag Info'!U6&lt;&gt;"Panel Name",'Bundle Tag Info'!U6,"")</f>
        <v/>
      </c>
      <c r="V1" s="15" t="str">
        <f>IF('Bundle Tag Info'!V6&lt;&gt;"Panel Name",'Bundle Tag Info'!V6,"")</f>
        <v/>
      </c>
      <c r="W1" s="15" t="str">
        <f>IF('Bundle Tag Info'!W6&lt;&gt;"Panel Name",'Bundle Tag Info'!W6,"")</f>
        <v/>
      </c>
      <c r="X1" s="15" t="str">
        <f>IF('Bundle Tag Info'!X6&lt;&gt;"Panel Name",'Bundle Tag Info'!X6,"")</f>
        <v/>
      </c>
      <c r="Y1" s="15" t="str">
        <f>IF('Bundle Tag Info'!Y6&lt;&gt;"Panel Name",'Bundle Tag Info'!Y6,"")</f>
        <v/>
      </c>
      <c r="Z1" s="15" t="str">
        <f>IF('Bundle Tag Info'!Z6&lt;&gt;"Panel Name",'Bundle Tag Info'!Z6,"")</f>
        <v/>
      </c>
      <c r="AA1" s="15" t="str">
        <f>IF('Bundle Tag Info'!AA6&lt;&gt;"Panel Name",'Bundle Tag Info'!AA6,"")</f>
        <v/>
      </c>
      <c r="AB1" s="15" t="str">
        <f>IF('Bundle Tag Info'!AB6&lt;&gt;"Panel Name",'Bundle Tag Info'!AB6,"")</f>
        <v/>
      </c>
      <c r="AC1" s="15" t="str">
        <f>IF('Bundle Tag Info'!AC6&lt;&gt;"Panel Name",'Bundle Tag Info'!AC6,"")</f>
        <v/>
      </c>
      <c r="AD1" s="15" t="str">
        <f>IF('Bundle Tag Info'!AD6&lt;&gt;"Panel Name",'Bundle Tag Info'!AD6,"")</f>
        <v/>
      </c>
    </row>
    <row r="2" spans="1:30" ht="63.95" customHeight="1" x14ac:dyDescent="0.25">
      <c r="A2" s="16" t="str">
        <f>IF('Bundle Tag Info'!A$7&lt;&gt;"",CONCATENATE('Bundle Tag Info'!$A$1," ",CHAR(10),'Bundle Tag Info'!$A$2," ",'Bundle Tag Info'!$A$3,CHAR(10),'Bundle Tag Info'!A$6,CHAR(10),'Bundle Tag Info'!A$7),"")</f>
        <v>KOC-JPF #1 
4P101 C.1
JB70 DOOR
AT1100</v>
      </c>
      <c r="B2" s="16" t="str">
        <f>IF('Bundle Tag Info'!B$7&lt;&gt;"",CONCATENATE('Bundle Tag Info'!$A$1," ",CHAR(10),'Bundle Tag Info'!$A$2," ",'Bundle Tag Info'!$A$3,CHAR(10),'Bundle Tag Info'!B$6,CHAR(10),'Bundle Tag Info'!B$7),"")</f>
        <v>KOC-JPF #1 
4P101 C.1
HMI-S PWR
BA</v>
      </c>
      <c r="C2" s="16" t="str">
        <f>IF('Bundle Tag Info'!C$7&lt;&gt;"",CONCATENATE('Bundle Tag Info'!$A$1," ",CHAR(10),'Bundle Tag Info'!$A$2," ",'Bundle Tag Info'!$A$3,CHAR(10),'Bundle Tag Info'!C$6,CHAR(10),'Bundle Tag Info'!C$7),"")</f>
        <v>KOC-JPF #1 
4P101 C.1
JB70 R RAIL
XT-HMI</v>
      </c>
      <c r="D2" s="16" t="str">
        <f>IF('Bundle Tag Info'!D$7&lt;&gt;"",CONCATENATE('Bundle Tag Info'!$A$1," ",CHAR(10),'Bundle Tag Info'!$A$2," ",'Bundle Tag Info'!$A$3,CHAR(10),'Bundle Tag Info'!D$6,CHAR(10),'Bundle Tag Info'!D$7),"")</f>
        <v>KOC-JPF #1 
4P101 C.1
PLC
FU/AT</v>
      </c>
      <c r="E2" s="16" t="str">
        <f>IF('Bundle Tag Info'!E$7&lt;&gt;"",CONCATENATE('Bundle Tag Info'!$A$1," ",CHAR(10),'Bundle Tag Info'!$A$2," ",'Bundle Tag Info'!$A$3,CHAR(10),'Bundle Tag Info'!E$6,CHAR(10),'Bundle Tag Info'!E$7),"")</f>
        <v>KOC-JPF #1 
4P101 C.1
A
AF</v>
      </c>
      <c r="F2" s="16" t="str">
        <f>IF('Bundle Tag Info'!F$7&lt;&gt;"",CONCATENATE('Bundle Tag Info'!$A$1," ",CHAR(10),'Bundle Tag Info'!$A$2," ",'Bundle Tag Info'!$A$3,CHAR(10),'Bundle Tag Info'!F$6,CHAR(10),'Bundle Tag Info'!F$7),"")</f>
        <v>KOC-JPF #1 
4P101 C.1
B
PC</v>
      </c>
      <c r="G2" s="16" t="str">
        <f>IF('Bundle Tag Info'!G$7&lt;&gt;"",CONCATENATE('Bundle Tag Info'!$A$1," ",CHAR(10),'Bundle Tag Info'!$A$2," ",'Bundle Tag Info'!$A$3,CHAR(10),'Bundle Tag Info'!G$6,CHAR(10),'Bundle Tag Info'!G$7),"")</f>
        <v>KOC-JPF #1 
4P101 C.1
JB72 DOOR
HL0171</v>
      </c>
      <c r="H2" s="16" t="str">
        <f>IF('Bundle Tag Info'!H$7&lt;&gt;"",CONCATENATE('Bundle Tag Info'!$A$1," ",CHAR(10),'Bundle Tag Info'!$A$2," ",'Bundle Tag Info'!$A$3,CHAR(10),'Bundle Tag Info'!H$6,CHAR(10),'Bundle Tag Info'!H$7),"")</f>
        <v>KOC-JPF #1 
4P101 C.1
FG&amp;E
AF/AU180s</v>
      </c>
      <c r="I2" s="16" t="str">
        <f>IF('Bundle Tag Info'!I$7&lt;&gt;"",CONCATENATE('Bundle Tag Info'!$A$1," ",CHAR(10),'Bundle Tag Info'!$A$2," ",'Bundle Tag Info'!$A$3,CHAR(10),'Bundle Tag Info'!I$6,CHAR(10),'Bundle Tag Info'!I$7),"")</f>
        <v>KOC-JPF #1 
4P101 C.1
GEN
AF/AU120s</v>
      </c>
      <c r="J2" s="16" t="str">
        <f>IF('Bundle Tag Info'!J$7&lt;&gt;"",CONCATENATE('Bundle Tag Info'!$A$1," ",CHAR(10),'Bundle Tag Info'!$A$2," ",'Bundle Tag Info'!$A$3,CHAR(10),'Bundle Tag Info'!J$6,CHAR(10),'Bundle Tag Info'!J$7),"")</f>
        <v>KOC-JPF #1 
4P101 C.1
VFD
FU/BA</v>
      </c>
      <c r="K2" s="16" t="str">
        <f>IF('Bundle Tag Info'!K$7&lt;&gt;"",CONCATENATE('Bundle Tag Info'!$A$1," ",CHAR(10),'Bundle Tag Info'!$A$2," ",'Bundle Tag Info'!$A$3,CHAR(10),'Bundle Tag Info'!K$6,CHAR(10),'Bundle Tag Info'!K$7),"")</f>
        <v/>
      </c>
      <c r="L2" s="16" t="str">
        <f>IF('Bundle Tag Info'!L$7&lt;&gt;"",CONCATENATE('Bundle Tag Info'!$A$1," ",CHAR(10),'Bundle Tag Info'!$A$2," ",'Bundle Tag Info'!$A$3,CHAR(10),'Bundle Tag Info'!L$6,CHAR(10),'Bundle Tag Info'!L$7),"")</f>
        <v/>
      </c>
      <c r="M2" s="16" t="str">
        <f>IF('Bundle Tag Info'!M$7&lt;&gt;"",CONCATENATE('Bundle Tag Info'!$A$1," ",CHAR(10),'Bundle Tag Info'!$A$2," ",'Bundle Tag Info'!$A$3,CHAR(10),'Bundle Tag Info'!M$6,CHAR(10),'Bundle Tag Info'!M$7),"")</f>
        <v/>
      </c>
      <c r="N2" s="16" t="str">
        <f>IF('Bundle Tag Info'!N$7&lt;&gt;"",CONCATENATE('Bundle Tag Info'!$A$1," ",CHAR(10),'Bundle Tag Info'!$A$2," ",'Bundle Tag Info'!$A$3,CHAR(10),'Bundle Tag Info'!N$6,CHAR(10),'Bundle Tag Info'!N$7),"")</f>
        <v/>
      </c>
      <c r="O2" s="16" t="str">
        <f>IF('Bundle Tag Info'!O$7&lt;&gt;"",CONCATENATE('Bundle Tag Info'!$A$1," ",CHAR(10),'Bundle Tag Info'!$A$2," ",'Bundle Tag Info'!$A$3,CHAR(10),'Bundle Tag Info'!O$6,CHAR(10),'Bundle Tag Info'!O$7),"")</f>
        <v/>
      </c>
      <c r="P2" s="16" t="str">
        <f>IF('Bundle Tag Info'!P$7&lt;&gt;"",CONCATENATE('Bundle Tag Info'!$A$1," ",CHAR(10),'Bundle Tag Info'!$A$2," ",'Bundle Tag Info'!$A$3,CHAR(10),'Bundle Tag Info'!P$6,CHAR(10),'Bundle Tag Info'!P$7),"")</f>
        <v/>
      </c>
      <c r="Q2" s="16" t="str">
        <f>IF('Bundle Tag Info'!Q$7&lt;&gt;"",CONCATENATE('Bundle Tag Info'!$A$1," ",CHAR(10),'Bundle Tag Info'!$A$2," ",'Bundle Tag Info'!$A$3,CHAR(10),'Bundle Tag Info'!Q$6,CHAR(10),'Bundle Tag Info'!Q$7),"")</f>
        <v/>
      </c>
      <c r="R2" s="16" t="str">
        <f>IF('Bundle Tag Info'!R$7&lt;&gt;"",CONCATENATE('Bundle Tag Info'!$A$1," ",CHAR(10),'Bundle Tag Info'!$A$2," ",'Bundle Tag Info'!$A$3,CHAR(10),'Bundle Tag Info'!R$6,CHAR(10),'Bundle Tag Info'!R$7),"")</f>
        <v/>
      </c>
      <c r="S2" s="16" t="str">
        <f>IF('Bundle Tag Info'!S$7&lt;&gt;"",CONCATENATE('Bundle Tag Info'!$A$1," ",CHAR(10),'Bundle Tag Info'!$A$2," ",'Bundle Tag Info'!$A$3,CHAR(10),'Bundle Tag Info'!S$6,CHAR(10),'Bundle Tag Info'!S$7),"")</f>
        <v/>
      </c>
      <c r="T2" s="16" t="str">
        <f>IF('Bundle Tag Info'!T$7&lt;&gt;"",CONCATENATE('Bundle Tag Info'!$A$1," ",CHAR(10),'Bundle Tag Info'!$A$2," ",'Bundle Tag Info'!$A$3,CHAR(10),'Bundle Tag Info'!T$6,CHAR(10),'Bundle Tag Info'!T$7),"")</f>
        <v/>
      </c>
      <c r="U2" s="16" t="str">
        <f>IF('Bundle Tag Info'!U$7&lt;&gt;"",CONCATENATE('Bundle Tag Info'!$A$1," ",CHAR(10),'Bundle Tag Info'!$A$2," ",'Bundle Tag Info'!$A$3,CHAR(10),'Bundle Tag Info'!U$6,CHAR(10),'Bundle Tag Info'!U$7),"")</f>
        <v/>
      </c>
      <c r="V2" s="16" t="str">
        <f>IF('Bundle Tag Info'!V$7&lt;&gt;"",CONCATENATE('Bundle Tag Info'!$A$1," ",CHAR(10),'Bundle Tag Info'!$A$2," ",'Bundle Tag Info'!$A$3,CHAR(10),'Bundle Tag Info'!V$6,CHAR(10),'Bundle Tag Info'!V$7),"")</f>
        <v/>
      </c>
      <c r="W2" s="16" t="str">
        <f>IF('Bundle Tag Info'!W$7&lt;&gt;"",CONCATENATE('Bundle Tag Info'!$A$1," ",CHAR(10),'Bundle Tag Info'!$A$2," ",'Bundle Tag Info'!$A$3,CHAR(10),'Bundle Tag Info'!W$6,CHAR(10),'Bundle Tag Info'!W$7),"")</f>
        <v/>
      </c>
      <c r="X2" s="16" t="str">
        <f>IF('Bundle Tag Info'!X$7&lt;&gt;"",CONCATENATE('Bundle Tag Info'!$A$1," ",CHAR(10),'Bundle Tag Info'!$A$2," ",'Bundle Tag Info'!$A$3,CHAR(10),'Bundle Tag Info'!X$6,CHAR(10),'Bundle Tag Info'!X$7),"")</f>
        <v/>
      </c>
      <c r="Y2" s="16" t="str">
        <f>IF('Bundle Tag Info'!Y$7&lt;&gt;"",CONCATENATE('Bundle Tag Info'!$A$1," ",CHAR(10),'Bundle Tag Info'!$A$2," ",'Bundle Tag Info'!$A$3,CHAR(10),'Bundle Tag Info'!Y$6,CHAR(10),'Bundle Tag Info'!Y$7),"")</f>
        <v/>
      </c>
      <c r="Z2" s="16" t="str">
        <f>IF('Bundle Tag Info'!Z$7&lt;&gt;"",CONCATENATE('Bundle Tag Info'!$A$1," ",CHAR(10),'Bundle Tag Info'!$A$2," ",'Bundle Tag Info'!$A$3,CHAR(10),'Bundle Tag Info'!Z$6,CHAR(10),'Bundle Tag Info'!Z$7),"")</f>
        <v/>
      </c>
      <c r="AA2" s="16" t="str">
        <f>IF('Bundle Tag Info'!AA$7&lt;&gt;"",CONCATENATE('Bundle Tag Info'!$A$1," ",CHAR(10),'Bundle Tag Info'!$A$2," ",'Bundle Tag Info'!$A$3,CHAR(10),'Bundle Tag Info'!AA$6,CHAR(10),'Bundle Tag Info'!AA$7),"")</f>
        <v/>
      </c>
      <c r="AB2" s="16" t="str">
        <f>IF('Bundle Tag Info'!AB$7&lt;&gt;"",CONCATENATE('Bundle Tag Info'!$A$1," ",CHAR(10),'Bundle Tag Info'!$A$2," ",'Bundle Tag Info'!$A$3,CHAR(10),'Bundle Tag Info'!AB$6,CHAR(10),'Bundle Tag Info'!AB$7),"")</f>
        <v/>
      </c>
      <c r="AC2" s="16" t="str">
        <f>IF('Bundle Tag Info'!AC$7&lt;&gt;"",CONCATENATE('Bundle Tag Info'!$A$1," ",CHAR(10),'Bundle Tag Info'!$A$2," ",'Bundle Tag Info'!$A$3,CHAR(10),'Bundle Tag Info'!AC$6,CHAR(10),'Bundle Tag Info'!AC$7),"")</f>
        <v/>
      </c>
      <c r="AD2" s="16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6" t="str">
        <f>IF('Bundle Tag Info'!A$8&lt;&gt;"",CONCATENATE('Bundle Tag Info'!$A$1," ",CHAR(10),'Bundle Tag Info'!$A$2," ",'Bundle Tag Info'!$A$3,CHAR(10),'Bundle Tag Info'!A$6,CHAR(10),'Bundle Tag Info'!A$8),"")</f>
        <v>KOC-JPF #1 
4P101 C.1
JB70 DOOR
SA0471</v>
      </c>
      <c r="B3" s="16" t="str">
        <f>IF('Bundle Tag Info'!B$8&lt;&gt;"",CONCATENATE('Bundle Tag Info'!$A$1," ",CHAR(10),'Bundle Tag Info'!$A$2," ",'Bundle Tag Info'!$A$3,CHAR(10),'Bundle Tag Info'!B$6,CHAR(10),'Bundle Tag Info'!B$8),"")</f>
        <v/>
      </c>
      <c r="C3" s="16" t="str">
        <f>IF('Bundle Tag Info'!C$8&lt;&gt;"",CONCATENATE('Bundle Tag Info'!$A$1," ",CHAR(10),'Bundle Tag Info'!$A$2," ",'Bundle Tag Info'!$A$3,CHAR(10),'Bundle Tag Info'!C$6,CHAR(10),'Bundle Tag Info'!C$8),"")</f>
        <v>KOC-JPF #1 
4P101 C.1
JB70 R RAIL
XT-A</v>
      </c>
      <c r="D3" s="16" t="str">
        <f>IF('Bundle Tag Info'!D$8&lt;&gt;"",CONCATENATE('Bundle Tag Info'!$A$1," ",CHAR(10),'Bundle Tag Info'!$A$2," ",'Bundle Tag Info'!$A$3,CHAR(10),'Bundle Tag Info'!D$6,CHAR(10),'Bundle Tag Info'!D$8),"")</f>
        <v>KOC-JPF #1 
4P101 C.1
PLC
FU/UV-A</v>
      </c>
      <c r="E3" s="16" t="str">
        <f>IF('Bundle Tag Info'!E$8&lt;&gt;"",CONCATENATE('Bundle Tag Info'!$A$1," ",CHAR(10),'Bundle Tag Info'!$A$2," ",'Bundle Tag Info'!$A$3,CHAR(10),'Bundle Tag Info'!E$6,CHAR(10),'Bundle Tag Info'!E$8),"")</f>
        <v>KOC-JPF #1 
4P101 C.1
A
FU</v>
      </c>
      <c r="F3" s="16" t="str">
        <f>IF('Bundle Tag Info'!F$8&lt;&gt;"",CONCATENATE('Bundle Tag Info'!$A$1," ",CHAR(10),'Bundle Tag Info'!$A$2," ",'Bundle Tag Info'!$A$3,CHAR(10),'Bundle Tag Info'!F$6,CHAR(10),'Bundle Tag Info'!F$8),"")</f>
        <v>KOC-JPF #1 
4P101 C.1
B
AF/AU060s</v>
      </c>
      <c r="G3" s="16" t="str">
        <f>IF('Bundle Tag Info'!G$8&lt;&gt;"",CONCATENATE('Bundle Tag Info'!$A$1," ",CHAR(10),'Bundle Tag Info'!$A$2," ",'Bundle Tag Info'!$A$3,CHAR(10),'Bundle Tag Info'!G$6,CHAR(10),'Bundle Tag Info'!G$8),"")</f>
        <v>KOC-JPF #1 
4P101 C.1
JB72 DOOR
HL0172</v>
      </c>
      <c r="H3" s="16" t="str">
        <f>IF('Bundle Tag Info'!H$8&lt;&gt;"",CONCATENATE('Bundle Tag Info'!$A$1," ",CHAR(10),'Bundle Tag Info'!$A$2," ",'Bundle Tag Info'!$A$3,CHAR(10),'Bundle Tag Info'!H$6,CHAR(10),'Bundle Tag Info'!H$8),"")</f>
        <v>KOC-JPF #1 
4P101 C.1
FG&amp;E
AT</v>
      </c>
      <c r="I3" s="16" t="str">
        <f>IF('Bundle Tag Info'!I$8&lt;&gt;"",CONCATENATE('Bundle Tag Info'!$A$1," ",CHAR(10),'Bundle Tag Info'!$A$2," ",'Bundle Tag Info'!$A$3,CHAR(10),'Bundle Tag Info'!I$6,CHAR(10),'Bundle Tag Info'!I$8),"")</f>
        <v>KOC-JPF #1 
4P101 C.1
GEN
AT</v>
      </c>
      <c r="J3" s="16" t="str">
        <f>IF('Bundle Tag Info'!J$8&lt;&gt;"",CONCATENATE('Bundle Tag Info'!$A$1," ",CHAR(10),'Bundle Tag Info'!$A$2," ",'Bundle Tag Info'!$A$3,CHAR(10),'Bundle Tag Info'!J$6,CHAR(10),'Bundle Tag Info'!J$8),"")</f>
        <v/>
      </c>
      <c r="K3" s="16" t="str">
        <f>IF('Bundle Tag Info'!K$8&lt;&gt;"",CONCATENATE('Bundle Tag Info'!$A$1," ",CHAR(10),'Bundle Tag Info'!$A$2," ",'Bundle Tag Info'!$A$3,CHAR(10),'Bundle Tag Info'!K$6,CHAR(10),'Bundle Tag Info'!K$8),"")</f>
        <v/>
      </c>
      <c r="L3" s="16" t="str">
        <f>IF('Bundle Tag Info'!L$8&lt;&gt;"",CONCATENATE('Bundle Tag Info'!$A$1," ",CHAR(10),'Bundle Tag Info'!$A$2," ",'Bundle Tag Info'!$A$3,CHAR(10),'Bundle Tag Info'!L$6,CHAR(10),'Bundle Tag Info'!L$8),"")</f>
        <v/>
      </c>
      <c r="M3" s="16" t="str">
        <f>IF('Bundle Tag Info'!M$8&lt;&gt;"",CONCATENATE('Bundle Tag Info'!$A$1," ",CHAR(10),'Bundle Tag Info'!$A$2," ",'Bundle Tag Info'!$A$3,CHAR(10),'Bundle Tag Info'!M$6,CHAR(10),'Bundle Tag Info'!M$8),"")</f>
        <v/>
      </c>
      <c r="N3" s="16" t="str">
        <f>IF('Bundle Tag Info'!N$8&lt;&gt;"",CONCATENATE('Bundle Tag Info'!$A$1," ",CHAR(10),'Bundle Tag Info'!$A$2," ",'Bundle Tag Info'!$A$3,CHAR(10),'Bundle Tag Info'!N$6,CHAR(10),'Bundle Tag Info'!N$8),"")</f>
        <v/>
      </c>
      <c r="O3" s="16" t="str">
        <f>IF('Bundle Tag Info'!O$8&lt;&gt;"",CONCATENATE('Bundle Tag Info'!$A$1," ",CHAR(10),'Bundle Tag Info'!$A$2," ",'Bundle Tag Info'!$A$3,CHAR(10),'Bundle Tag Info'!O$6,CHAR(10),'Bundle Tag Info'!O$8),"")</f>
        <v/>
      </c>
      <c r="P3" s="16" t="str">
        <f>IF('Bundle Tag Info'!P$8&lt;&gt;"",CONCATENATE('Bundle Tag Info'!$A$1," ",CHAR(10),'Bundle Tag Info'!$A$2," ",'Bundle Tag Info'!$A$3,CHAR(10),'Bundle Tag Info'!P$6,CHAR(10),'Bundle Tag Info'!P$8),"")</f>
        <v/>
      </c>
      <c r="Q3" s="16" t="str">
        <f>IF('Bundle Tag Info'!Q$8&lt;&gt;"",CONCATENATE('Bundle Tag Info'!$A$1," ",CHAR(10),'Bundle Tag Info'!$A$2," ",'Bundle Tag Info'!$A$3,CHAR(10),'Bundle Tag Info'!Q$6,CHAR(10),'Bundle Tag Info'!Q$8),"")</f>
        <v/>
      </c>
      <c r="R3" s="16" t="str">
        <f>IF('Bundle Tag Info'!R$8&lt;&gt;"",CONCATENATE('Bundle Tag Info'!$A$1," ",CHAR(10),'Bundle Tag Info'!$A$2," ",'Bundle Tag Info'!$A$3,CHAR(10),'Bundle Tag Info'!R$6,CHAR(10),'Bundle Tag Info'!R$8),"")</f>
        <v/>
      </c>
      <c r="S3" s="16" t="str">
        <f>IF('Bundle Tag Info'!S$8&lt;&gt;"",CONCATENATE('Bundle Tag Info'!$A$1," ",CHAR(10),'Bundle Tag Info'!$A$2," ",'Bundle Tag Info'!$A$3,CHAR(10),'Bundle Tag Info'!S$6,CHAR(10),'Bundle Tag Info'!S$8),"")</f>
        <v/>
      </c>
      <c r="T3" s="16" t="str">
        <f>IF('Bundle Tag Info'!T$8&lt;&gt;"",CONCATENATE('Bundle Tag Info'!$A$1," ",CHAR(10),'Bundle Tag Info'!$A$2," ",'Bundle Tag Info'!$A$3,CHAR(10),'Bundle Tag Info'!T$6,CHAR(10),'Bundle Tag Info'!T$8),"")</f>
        <v/>
      </c>
      <c r="U3" s="16" t="str">
        <f>IF('Bundle Tag Info'!U$8&lt;&gt;"",CONCATENATE('Bundle Tag Info'!$A$1," ",CHAR(10),'Bundle Tag Info'!$A$2," ",'Bundle Tag Info'!$A$3,CHAR(10),'Bundle Tag Info'!U$6,CHAR(10),'Bundle Tag Info'!U$8),"")</f>
        <v/>
      </c>
      <c r="V3" s="16" t="str">
        <f>IF('Bundle Tag Info'!V$8&lt;&gt;"",CONCATENATE('Bundle Tag Info'!$A$1," ",CHAR(10),'Bundle Tag Info'!$A$2," ",'Bundle Tag Info'!$A$3,CHAR(10),'Bundle Tag Info'!V$6,CHAR(10),'Bundle Tag Info'!V$8),"")</f>
        <v/>
      </c>
      <c r="W3" s="16" t="str">
        <f>IF('Bundle Tag Info'!W$8&lt;&gt;"",CONCATENATE('Bundle Tag Info'!$A$1," ",CHAR(10),'Bundle Tag Info'!$A$2," ",'Bundle Tag Info'!$A$3,CHAR(10),'Bundle Tag Info'!W$6,CHAR(10),'Bundle Tag Info'!W$8),"")</f>
        <v/>
      </c>
      <c r="X3" s="16" t="str">
        <f>IF('Bundle Tag Info'!X$8&lt;&gt;"",CONCATENATE('Bundle Tag Info'!$A$1," ",CHAR(10),'Bundle Tag Info'!$A$2," ",'Bundle Tag Info'!$A$3,CHAR(10),'Bundle Tag Info'!X$6,CHAR(10),'Bundle Tag Info'!X$8),"")</f>
        <v/>
      </c>
      <c r="Y3" s="16" t="str">
        <f>IF('Bundle Tag Info'!Y$8&lt;&gt;"",CONCATENATE('Bundle Tag Info'!$A$1," ",CHAR(10),'Bundle Tag Info'!$A$2," ",'Bundle Tag Info'!$A$3,CHAR(10),'Bundle Tag Info'!Y$6,CHAR(10),'Bundle Tag Info'!Y$8),"")</f>
        <v/>
      </c>
      <c r="Z3" s="16" t="str">
        <f>IF('Bundle Tag Info'!Z$8&lt;&gt;"",CONCATENATE('Bundle Tag Info'!$A$1," ",CHAR(10),'Bundle Tag Info'!$A$2," ",'Bundle Tag Info'!$A$3,CHAR(10),'Bundle Tag Info'!Z$6,CHAR(10),'Bundle Tag Info'!Z$8),"")</f>
        <v/>
      </c>
      <c r="AA3" s="16" t="str">
        <f>IF('Bundle Tag Info'!AA$8&lt;&gt;"",CONCATENATE('Bundle Tag Info'!$A$1," ",CHAR(10),'Bundle Tag Info'!$A$2," ",'Bundle Tag Info'!$A$3,CHAR(10),'Bundle Tag Info'!AA$6,CHAR(10),'Bundle Tag Info'!AA$8),"")</f>
        <v/>
      </c>
      <c r="AB3" s="16" t="str">
        <f>IF('Bundle Tag Info'!AB$8&lt;&gt;"",CONCATENATE('Bundle Tag Info'!$A$1," ",CHAR(10),'Bundle Tag Info'!$A$2," ",'Bundle Tag Info'!$A$3,CHAR(10),'Bundle Tag Info'!AB$6,CHAR(10),'Bundle Tag Info'!AB$8),"")</f>
        <v/>
      </c>
      <c r="AC3" s="16" t="str">
        <f>IF('Bundle Tag Info'!AC$8&lt;&gt;"",CONCATENATE('Bundle Tag Info'!$A$1," ",CHAR(10),'Bundle Tag Info'!$A$2," ",'Bundle Tag Info'!$A$3,CHAR(10),'Bundle Tag Info'!AC$6,CHAR(10),'Bundle Tag Info'!AC$8),"")</f>
        <v/>
      </c>
      <c r="AD3" s="16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6" t="str">
        <f>IF('Bundle Tag Info'!A$9&lt;&gt;"",CONCATENATE('Bundle Tag Info'!$A$1," ",CHAR(10),'Bundle Tag Info'!$A$2," ",'Bundle Tag Info'!$A$3,CHAR(10),'Bundle Tag Info'!A$6,CHAR(10),'Bundle Tag Info'!A$9),"")</f>
        <v>KOC-JPF #1 
4P101 C.1
JB70 DOOR
SA0472</v>
      </c>
      <c r="B4" s="16" t="str">
        <f>IF('Bundle Tag Info'!B$9&lt;&gt;"",CONCATENATE('Bundle Tag Info'!$A$1," ",CHAR(10),'Bundle Tag Info'!$A$2," ",'Bundle Tag Info'!$A$3,CHAR(10),'Bundle Tag Info'!B$6,CHAR(10),'Bundle Tag Info'!B$9),"")</f>
        <v/>
      </c>
      <c r="C4" s="16" t="str">
        <f>IF('Bundle Tag Info'!C$9&lt;&gt;"",CONCATENATE('Bundle Tag Info'!$A$1," ",CHAR(10),'Bundle Tag Info'!$A$2," ",'Bundle Tag Info'!$A$3,CHAR(10),'Bundle Tag Info'!C$6,CHAR(10),'Bundle Tag Info'!C$9),"")</f>
        <v>KOC-JPF #1 
4P101 C.1
JB70 R RAIL
XT-B</v>
      </c>
      <c r="D4" s="16" t="str">
        <f>IF('Bundle Tag Info'!D$9&lt;&gt;"",CONCATENATE('Bundle Tag Info'!$A$1," ",CHAR(10),'Bundle Tag Info'!$A$2," ",'Bundle Tag Info'!$A$3,CHAR(10),'Bundle Tag Info'!D$6,CHAR(10),'Bundle Tag Info'!D$9),"")</f>
        <v>KOC-JPF #1 
4P101 C.1
PLC
BA-B</v>
      </c>
      <c r="E4" s="16" t="str">
        <f>IF('Bundle Tag Info'!E$9&lt;&gt;"",CONCATENATE('Bundle Tag Info'!$A$1," ",CHAR(10),'Bundle Tag Info'!$A$2," ",'Bundle Tag Info'!$A$3,CHAR(10),'Bundle Tag Info'!E$6,CHAR(10),'Bundle Tag Info'!E$9),"")</f>
        <v>KOC-JPF #1 
4P101 C.1
A
KA A1</v>
      </c>
      <c r="F4" s="16" t="str">
        <f>IF('Bundle Tag Info'!F$9&lt;&gt;"",CONCATENATE('Bundle Tag Info'!$A$1," ",CHAR(10),'Bundle Tag Info'!$A$2," ",'Bundle Tag Info'!$A$3,CHAR(10),'Bundle Tag Info'!F$6,CHAR(10),'Bundle Tag Info'!F$9),"")</f>
        <v>KOC-JPF #1 
4P101 C.1
B
AF/AU070s</v>
      </c>
      <c r="G4" s="16" t="str">
        <f>IF('Bundle Tag Info'!G$9&lt;&gt;"",CONCATENATE('Bundle Tag Info'!$A$1," ",CHAR(10),'Bundle Tag Info'!$A$2," ",'Bundle Tag Info'!$A$3,CHAR(10),'Bundle Tag Info'!G$6,CHAR(10),'Bundle Tag Info'!G$9),"")</f>
        <v>KOC-JPF #1 
4P101 C.1
JB72 DOOR
HL0173</v>
      </c>
      <c r="H4" s="16" t="str">
        <f>IF('Bundle Tag Info'!H$9&lt;&gt;"",CONCATENATE('Bundle Tag Info'!$A$1," ",CHAR(10),'Bundle Tag Info'!$A$2," ",'Bundle Tag Info'!$A$3,CHAR(10),'Bundle Tag Info'!H$6,CHAR(10),'Bundle Tag Info'!H$9),"")</f>
        <v>KOC-JPF #1 
4P101 C.1
FG&amp;E
FU</v>
      </c>
      <c r="I4" s="16" t="str">
        <f>IF('Bundle Tag Info'!I$9&lt;&gt;"",CONCATENATE('Bundle Tag Info'!$A$1," ",CHAR(10),'Bundle Tag Info'!$A$2," ",'Bundle Tag Info'!$A$3,CHAR(10),'Bundle Tag Info'!I$6,CHAR(10),'Bundle Tag Info'!I$9),"")</f>
        <v>KOC-JPF #1 
4P101 C.1
GEN
AT RED</v>
      </c>
      <c r="J4" s="16" t="str">
        <f>IF('Bundle Tag Info'!J$9&lt;&gt;"",CONCATENATE('Bundle Tag Info'!$A$1," ",CHAR(10),'Bundle Tag Info'!$A$2," ",'Bundle Tag Info'!$A$3,CHAR(10),'Bundle Tag Info'!J$6,CHAR(10),'Bundle Tag Info'!J$9),"")</f>
        <v/>
      </c>
      <c r="K4" s="16" t="str">
        <f>IF('Bundle Tag Info'!K$9&lt;&gt;"",CONCATENATE('Bundle Tag Info'!$A$1," ",CHAR(10),'Bundle Tag Info'!$A$2," ",'Bundle Tag Info'!$A$3,CHAR(10),'Bundle Tag Info'!K$6,CHAR(10),'Bundle Tag Info'!K$9),"")</f>
        <v/>
      </c>
      <c r="L4" s="16" t="str">
        <f>IF('Bundle Tag Info'!L$9&lt;&gt;"",CONCATENATE('Bundle Tag Info'!$A$1," ",CHAR(10),'Bundle Tag Info'!$A$2," ",'Bundle Tag Info'!$A$3,CHAR(10),'Bundle Tag Info'!L$6,CHAR(10),'Bundle Tag Info'!L$9),"")</f>
        <v/>
      </c>
      <c r="M4" s="16" t="str">
        <f>IF('Bundle Tag Info'!M$9&lt;&gt;"",CONCATENATE('Bundle Tag Info'!$A$1," ",CHAR(10),'Bundle Tag Info'!$A$2," ",'Bundle Tag Info'!$A$3,CHAR(10),'Bundle Tag Info'!M$6,CHAR(10),'Bundle Tag Info'!M$9),"")</f>
        <v/>
      </c>
      <c r="N4" s="16" t="str">
        <f>IF('Bundle Tag Info'!N$9&lt;&gt;"",CONCATENATE('Bundle Tag Info'!$A$1," ",CHAR(10),'Bundle Tag Info'!$A$2," ",'Bundle Tag Info'!$A$3,CHAR(10),'Bundle Tag Info'!N$6,CHAR(10),'Bundle Tag Info'!N$9),"")</f>
        <v/>
      </c>
      <c r="O4" s="16" t="str">
        <f>IF('Bundle Tag Info'!O$9&lt;&gt;"",CONCATENATE('Bundle Tag Info'!$A$1," ",CHAR(10),'Bundle Tag Info'!$A$2," ",'Bundle Tag Info'!$A$3,CHAR(10),'Bundle Tag Info'!O$6,CHAR(10),'Bundle Tag Info'!O$9),"")</f>
        <v/>
      </c>
      <c r="P4" s="16" t="str">
        <f>IF('Bundle Tag Info'!P$9&lt;&gt;"",CONCATENATE('Bundle Tag Info'!$A$1," ",CHAR(10),'Bundle Tag Info'!$A$2," ",'Bundle Tag Info'!$A$3,CHAR(10),'Bundle Tag Info'!P$6,CHAR(10),'Bundle Tag Info'!P$9),"")</f>
        <v/>
      </c>
      <c r="Q4" s="16" t="str">
        <f>IF('Bundle Tag Info'!Q$9&lt;&gt;"",CONCATENATE('Bundle Tag Info'!$A$1," ",CHAR(10),'Bundle Tag Info'!$A$2," ",'Bundle Tag Info'!$A$3,CHAR(10),'Bundle Tag Info'!Q$6,CHAR(10),'Bundle Tag Info'!Q$9),"")</f>
        <v/>
      </c>
      <c r="R4" s="16" t="str">
        <f>IF('Bundle Tag Info'!R$9&lt;&gt;"",CONCATENATE('Bundle Tag Info'!$A$1," ",CHAR(10),'Bundle Tag Info'!$A$2," ",'Bundle Tag Info'!$A$3,CHAR(10),'Bundle Tag Info'!R$6,CHAR(10),'Bundle Tag Info'!R$9),"")</f>
        <v/>
      </c>
      <c r="S4" s="16" t="str">
        <f>IF('Bundle Tag Info'!S$9&lt;&gt;"",CONCATENATE('Bundle Tag Info'!$A$1," ",CHAR(10),'Bundle Tag Info'!$A$2," ",'Bundle Tag Info'!$A$3,CHAR(10),'Bundle Tag Info'!S$6,CHAR(10),'Bundle Tag Info'!S$9),"")</f>
        <v/>
      </c>
      <c r="T4" s="16" t="str">
        <f>IF('Bundle Tag Info'!T$9&lt;&gt;"",CONCATENATE('Bundle Tag Info'!$A$1," ",CHAR(10),'Bundle Tag Info'!$A$2," ",'Bundle Tag Info'!$A$3,CHAR(10),'Bundle Tag Info'!T$6,CHAR(10),'Bundle Tag Info'!T$9),"")</f>
        <v/>
      </c>
      <c r="U4" s="16" t="str">
        <f>IF('Bundle Tag Info'!U$9&lt;&gt;"",CONCATENATE('Bundle Tag Info'!$A$1," ",CHAR(10),'Bundle Tag Info'!$A$2," ",'Bundle Tag Info'!$A$3,CHAR(10),'Bundle Tag Info'!U$6,CHAR(10),'Bundle Tag Info'!U$9),"")</f>
        <v/>
      </c>
      <c r="V4" s="16" t="str">
        <f>IF('Bundle Tag Info'!V$9&lt;&gt;"",CONCATENATE('Bundle Tag Info'!$A$1," ",CHAR(10),'Bundle Tag Info'!$A$2," ",'Bundle Tag Info'!$A$3,CHAR(10),'Bundle Tag Info'!V$6,CHAR(10),'Bundle Tag Info'!V$9),"")</f>
        <v/>
      </c>
      <c r="W4" s="16" t="str">
        <f>IF('Bundle Tag Info'!W$9&lt;&gt;"",CONCATENATE('Bundle Tag Info'!$A$1," ",CHAR(10),'Bundle Tag Info'!$A$2," ",'Bundle Tag Info'!$A$3,CHAR(10),'Bundle Tag Info'!W$6,CHAR(10),'Bundle Tag Info'!W$9),"")</f>
        <v/>
      </c>
      <c r="X4" s="16" t="str">
        <f>IF('Bundle Tag Info'!X$9&lt;&gt;"",CONCATENATE('Bundle Tag Info'!$A$1," ",CHAR(10),'Bundle Tag Info'!$A$2," ",'Bundle Tag Info'!$A$3,CHAR(10),'Bundle Tag Info'!X$6,CHAR(10),'Bundle Tag Info'!X$9),"")</f>
        <v/>
      </c>
      <c r="Y4" s="16" t="str">
        <f>IF('Bundle Tag Info'!Y$9&lt;&gt;"",CONCATENATE('Bundle Tag Info'!$A$1," ",CHAR(10),'Bundle Tag Info'!$A$2," ",'Bundle Tag Info'!$A$3,CHAR(10),'Bundle Tag Info'!Y$6,CHAR(10),'Bundle Tag Info'!Y$9),"")</f>
        <v/>
      </c>
      <c r="Z4" s="16" t="str">
        <f>IF('Bundle Tag Info'!Z$9&lt;&gt;"",CONCATENATE('Bundle Tag Info'!$A$1," ",CHAR(10),'Bundle Tag Info'!$A$2," ",'Bundle Tag Info'!$A$3,CHAR(10),'Bundle Tag Info'!Z$6,CHAR(10),'Bundle Tag Info'!Z$9),"")</f>
        <v/>
      </c>
      <c r="AA4" s="16" t="str">
        <f>IF('Bundle Tag Info'!AA$9&lt;&gt;"",CONCATENATE('Bundle Tag Info'!$A$1," ",CHAR(10),'Bundle Tag Info'!$A$2," ",'Bundle Tag Info'!$A$3,CHAR(10),'Bundle Tag Info'!AA$6,CHAR(10),'Bundle Tag Info'!AA$9),"")</f>
        <v/>
      </c>
      <c r="AB4" s="16" t="str">
        <f>IF('Bundle Tag Info'!AB$9&lt;&gt;"",CONCATENATE('Bundle Tag Info'!$A$1," ",CHAR(10),'Bundle Tag Info'!$A$2," ",'Bundle Tag Info'!$A$3,CHAR(10),'Bundle Tag Info'!AB$6,CHAR(10),'Bundle Tag Info'!AB$9),"")</f>
        <v/>
      </c>
      <c r="AC4" s="16" t="str">
        <f>IF('Bundle Tag Info'!AC$9&lt;&gt;"",CONCATENATE('Bundle Tag Info'!$A$1," ",CHAR(10),'Bundle Tag Info'!$A$2," ",'Bundle Tag Info'!$A$3,CHAR(10),'Bundle Tag Info'!AC$6,CHAR(10),'Bundle Tag Info'!AC$9),"")</f>
        <v/>
      </c>
      <c r="AD4" s="16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6" t="str">
        <f>IF('Bundle Tag Info'!A$10&lt;&gt;"",CONCATENATE('Bundle Tag Info'!$A$1," ",CHAR(10),'Bundle Tag Info'!$A$2," ",'Bundle Tag Info'!$A$3,CHAR(10),'Bundle Tag Info'!A$6,CHAR(10),'Bundle Tag Info'!A$10),"")</f>
        <v>KOC-JPF #1 
4P101 C.1
JB70 DOOR
SA0473</v>
      </c>
      <c r="B5" s="16" t="str">
        <f>IF('Bundle Tag Info'!B$10&lt;&gt;"",CONCATENATE('Bundle Tag Info'!$A$1," ",CHAR(10),'Bundle Tag Info'!$A$2," ",'Bundle Tag Info'!$A$3,CHAR(10),'Bundle Tag Info'!B$6,CHAR(10),'Bundle Tag Info'!B$10),"")</f>
        <v/>
      </c>
      <c r="C5" s="16" t="str">
        <f>IF('Bundle Tag Info'!C$10&lt;&gt;"",CONCATENATE('Bundle Tag Info'!$A$1," ",CHAR(10),'Bundle Tag Info'!$A$2," ",'Bundle Tag Info'!$A$3,CHAR(10),'Bundle Tag Info'!C$6,CHAR(10),'Bundle Tag Info'!C$10),"")</f>
        <v/>
      </c>
      <c r="D5" s="16" t="str">
        <f>IF('Bundle Tag Info'!D$10&lt;&gt;"",CONCATENATE('Bundle Tag Info'!$A$1," ",CHAR(10),'Bundle Tag Info'!$A$2," ",'Bundle Tag Info'!$A$3,CHAR(10),'Bundle Tag Info'!D$6,CHAR(10),'Bundle Tag Info'!D$10),"")</f>
        <v>KOC-JPF #1 
4P101 C.1
PLC
FU/XT-B</v>
      </c>
      <c r="E5" s="16" t="str">
        <f>IF('Bundle Tag Info'!E$10&lt;&gt;"",CONCATENATE('Bundle Tag Info'!$A$1," ",CHAR(10),'Bundle Tag Info'!$A$2," ",'Bundle Tag Info'!$A$3,CHAR(10),'Bundle Tag Info'!E$6,CHAR(10),'Bundle Tag Info'!E$10),"")</f>
        <v>KOC-JPF #1 
4P101 C.1
A
KA A2</v>
      </c>
      <c r="F5" s="16" t="str">
        <f>IF('Bundle Tag Info'!F$10&lt;&gt;"",CONCATENATE('Bundle Tag Info'!$A$1," ",CHAR(10),'Bundle Tag Info'!$A$2," ",'Bundle Tag Info'!$A$3,CHAR(10),'Bundle Tag Info'!F$6,CHAR(10),'Bundle Tag Info'!F$10),"")</f>
        <v>KOC-JPF #1 
4P101 C.1
B
AF090s</v>
      </c>
      <c r="G5" s="16" t="str">
        <f>IF('Bundle Tag Info'!G$10&lt;&gt;"",CONCATENATE('Bundle Tag Info'!$A$1," ",CHAR(10),'Bundle Tag Info'!$A$2," ",'Bundle Tag Info'!$A$3,CHAR(10),'Bundle Tag Info'!G$6,CHAR(10),'Bundle Tag Info'!G$10),"")</f>
        <v>KOC-JPF #1 
4P101 C.1
JB72 DOOR
SA0170</v>
      </c>
      <c r="H5" s="16" t="str">
        <f>IF('Bundle Tag Info'!H$10&lt;&gt;"",CONCATENATE('Bundle Tag Info'!$A$1," ",CHAR(10),'Bundle Tag Info'!$A$2," ",'Bundle Tag Info'!$A$3,CHAR(10),'Bundle Tag Info'!H$6,CHAR(10),'Bundle Tag Info'!H$10),"")</f>
        <v>KOC-JPF #1 
4P101 C.1
FG&amp;E
KA A1</v>
      </c>
      <c r="I5" s="16" t="str">
        <f>IF('Bundle Tag Info'!I$10&lt;&gt;"",CONCATENATE('Bundle Tag Info'!$A$1," ",CHAR(10),'Bundle Tag Info'!$A$2," ",'Bundle Tag Info'!$A$3,CHAR(10),'Bundle Tag Info'!I$6,CHAR(10),'Bundle Tag Info'!I$10),"")</f>
        <v>KOC-JPF #1 
4P101 C.1
GEN
AT BLU</v>
      </c>
      <c r="J5" s="16" t="str">
        <f>IF('Bundle Tag Info'!J$10&lt;&gt;"",CONCATENATE('Bundle Tag Info'!$A$1," ",CHAR(10),'Bundle Tag Info'!$A$2," ",'Bundle Tag Info'!$A$3,CHAR(10),'Bundle Tag Info'!J$6,CHAR(10),'Bundle Tag Info'!J$10),"")</f>
        <v/>
      </c>
      <c r="K5" s="16" t="str">
        <f>IF('Bundle Tag Info'!K$10&lt;&gt;"",CONCATENATE('Bundle Tag Info'!$A$1," ",CHAR(10),'Bundle Tag Info'!$A$2," ",'Bundle Tag Info'!$A$3,CHAR(10),'Bundle Tag Info'!K$6,CHAR(10),'Bundle Tag Info'!K$10),"")</f>
        <v/>
      </c>
      <c r="L5" s="16" t="str">
        <f>IF('Bundle Tag Info'!L$10&lt;&gt;"",CONCATENATE('Bundle Tag Info'!$A$1," ",CHAR(10),'Bundle Tag Info'!$A$2," ",'Bundle Tag Info'!$A$3,CHAR(10),'Bundle Tag Info'!L$6,CHAR(10),'Bundle Tag Info'!L$10),"")</f>
        <v/>
      </c>
      <c r="M5" s="16" t="str">
        <f>IF('Bundle Tag Info'!M$10&lt;&gt;"",CONCATENATE('Bundle Tag Info'!$A$1," ",CHAR(10),'Bundle Tag Info'!$A$2," ",'Bundle Tag Info'!$A$3,CHAR(10),'Bundle Tag Info'!M$6,CHAR(10),'Bundle Tag Info'!M$10),"")</f>
        <v/>
      </c>
      <c r="N5" s="16" t="str">
        <f>IF('Bundle Tag Info'!N$10&lt;&gt;"",CONCATENATE('Bundle Tag Info'!$A$1," ",CHAR(10),'Bundle Tag Info'!$A$2," ",'Bundle Tag Info'!$A$3,CHAR(10),'Bundle Tag Info'!N$6,CHAR(10),'Bundle Tag Info'!N$10),"")</f>
        <v/>
      </c>
      <c r="O5" s="16" t="str">
        <f>IF('Bundle Tag Info'!O$10&lt;&gt;"",CONCATENATE('Bundle Tag Info'!$A$1," ",CHAR(10),'Bundle Tag Info'!$A$2," ",'Bundle Tag Info'!$A$3,CHAR(10),'Bundle Tag Info'!O$6,CHAR(10),'Bundle Tag Info'!O$10),"")</f>
        <v/>
      </c>
      <c r="P5" s="16" t="str">
        <f>IF('Bundle Tag Info'!P$10&lt;&gt;"",CONCATENATE('Bundle Tag Info'!$A$1," ",CHAR(10),'Bundle Tag Info'!$A$2," ",'Bundle Tag Info'!$A$3,CHAR(10),'Bundle Tag Info'!P$6,CHAR(10),'Bundle Tag Info'!P$10),"")</f>
        <v/>
      </c>
      <c r="Q5" s="16" t="str">
        <f>IF('Bundle Tag Info'!Q$10&lt;&gt;"",CONCATENATE('Bundle Tag Info'!$A$1," ",CHAR(10),'Bundle Tag Info'!$A$2," ",'Bundle Tag Info'!$A$3,CHAR(10),'Bundle Tag Info'!Q$6,CHAR(10),'Bundle Tag Info'!Q$10),"")</f>
        <v/>
      </c>
      <c r="R5" s="16" t="str">
        <f>IF('Bundle Tag Info'!R$10&lt;&gt;"",CONCATENATE('Bundle Tag Info'!$A$1," ",CHAR(10),'Bundle Tag Info'!$A$2," ",'Bundle Tag Info'!$A$3,CHAR(10),'Bundle Tag Info'!R$6,CHAR(10),'Bundle Tag Info'!R$10),"")</f>
        <v/>
      </c>
      <c r="S5" s="16" t="str">
        <f>IF('Bundle Tag Info'!S$10&lt;&gt;"",CONCATENATE('Bundle Tag Info'!$A$1," ",CHAR(10),'Bundle Tag Info'!$A$2," ",'Bundle Tag Info'!$A$3,CHAR(10),'Bundle Tag Info'!S$6,CHAR(10),'Bundle Tag Info'!S$10),"")</f>
        <v/>
      </c>
      <c r="T5" s="16" t="str">
        <f>IF('Bundle Tag Info'!T$10&lt;&gt;"",CONCATENATE('Bundle Tag Info'!$A$1," ",CHAR(10),'Bundle Tag Info'!$A$2," ",'Bundle Tag Info'!$A$3,CHAR(10),'Bundle Tag Info'!T$6,CHAR(10),'Bundle Tag Info'!T$10),"")</f>
        <v/>
      </c>
      <c r="U5" s="16" t="str">
        <f>IF('Bundle Tag Info'!U$10&lt;&gt;"",CONCATENATE('Bundle Tag Info'!$A$1," ",CHAR(10),'Bundle Tag Info'!$A$2," ",'Bundle Tag Info'!$A$3,CHAR(10),'Bundle Tag Info'!U$6,CHAR(10),'Bundle Tag Info'!U$10),"")</f>
        <v/>
      </c>
      <c r="V5" s="16" t="str">
        <f>IF('Bundle Tag Info'!V$10&lt;&gt;"",CONCATENATE('Bundle Tag Info'!$A$1," ",CHAR(10),'Bundle Tag Info'!$A$2," ",'Bundle Tag Info'!$A$3,CHAR(10),'Bundle Tag Info'!V$6,CHAR(10),'Bundle Tag Info'!V$10),"")</f>
        <v/>
      </c>
      <c r="W5" s="16" t="str">
        <f>IF('Bundle Tag Info'!W$10&lt;&gt;"",CONCATENATE('Bundle Tag Info'!$A$1," ",CHAR(10),'Bundle Tag Info'!$A$2," ",'Bundle Tag Info'!$A$3,CHAR(10),'Bundle Tag Info'!W$6,CHAR(10),'Bundle Tag Info'!W$10),"")</f>
        <v/>
      </c>
      <c r="X5" s="16" t="str">
        <f>IF('Bundle Tag Info'!X$10&lt;&gt;"",CONCATENATE('Bundle Tag Info'!$A$1," ",CHAR(10),'Bundle Tag Info'!$A$2," ",'Bundle Tag Info'!$A$3,CHAR(10),'Bundle Tag Info'!X$6,CHAR(10),'Bundle Tag Info'!X$10),"")</f>
        <v/>
      </c>
      <c r="Y5" s="16" t="str">
        <f>IF('Bundle Tag Info'!Y$10&lt;&gt;"",CONCATENATE('Bundle Tag Info'!$A$1," ",CHAR(10),'Bundle Tag Info'!$A$2," ",'Bundle Tag Info'!$A$3,CHAR(10),'Bundle Tag Info'!Y$6,CHAR(10),'Bundle Tag Info'!Y$10),"")</f>
        <v/>
      </c>
      <c r="Z5" s="16" t="str">
        <f>IF('Bundle Tag Info'!Z$10&lt;&gt;"",CONCATENATE('Bundle Tag Info'!$A$1," ",CHAR(10),'Bundle Tag Info'!$A$2," ",'Bundle Tag Info'!$A$3,CHAR(10),'Bundle Tag Info'!Z$6,CHAR(10),'Bundle Tag Info'!Z$10),"")</f>
        <v/>
      </c>
      <c r="AA5" s="16" t="str">
        <f>IF('Bundle Tag Info'!AA$10&lt;&gt;"",CONCATENATE('Bundle Tag Info'!$A$1," ",CHAR(10),'Bundle Tag Info'!$A$2," ",'Bundle Tag Info'!$A$3,CHAR(10),'Bundle Tag Info'!AA$6,CHAR(10),'Bundle Tag Info'!AA$10),"")</f>
        <v/>
      </c>
      <c r="AB5" s="16" t="str">
        <f>IF('Bundle Tag Info'!AB$10&lt;&gt;"",CONCATENATE('Bundle Tag Info'!$A$1," ",CHAR(10),'Bundle Tag Info'!$A$2," ",'Bundle Tag Info'!$A$3,CHAR(10),'Bundle Tag Info'!AB$6,CHAR(10),'Bundle Tag Info'!AB$10),"")</f>
        <v/>
      </c>
      <c r="AC5" s="16" t="str">
        <f>IF('Bundle Tag Info'!AC$10&lt;&gt;"",CONCATENATE('Bundle Tag Info'!$A$1," ",CHAR(10),'Bundle Tag Info'!$A$2," ",'Bundle Tag Info'!$A$3,CHAR(10),'Bundle Tag Info'!AC$6,CHAR(10),'Bundle Tag Info'!AC$10),"")</f>
        <v/>
      </c>
      <c r="AD5" s="16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6" t="str">
        <f>IF('Bundle Tag Info'!A$11&lt;&gt;"",CONCATENATE('Bundle Tag Info'!$A$1," ",CHAR(10),'Bundle Tag Info'!$A$2," ",'Bundle Tag Info'!$A$3,CHAR(10),'Bundle Tag Info'!A$6,CHAR(10),'Bundle Tag Info'!A$11),"")</f>
        <v>KOC-JPF #1 
4P101 C.1
JB70 DOOR
SB0471</v>
      </c>
      <c r="B6" s="16" t="str">
        <f>IF('Bundle Tag Info'!B$11&lt;&gt;"",CONCATENATE('Bundle Tag Info'!$A$1," ",CHAR(10),'Bundle Tag Info'!$A$2," ",'Bundle Tag Info'!$A$3,CHAR(10),'Bundle Tag Info'!B$6,CHAR(10),'Bundle Tag Info'!B$11),"")</f>
        <v/>
      </c>
      <c r="C6" s="16" t="str">
        <f>IF('Bundle Tag Info'!C$11&lt;&gt;"",CONCATENATE('Bundle Tag Info'!$A$1," ",CHAR(10),'Bundle Tag Info'!$A$2," ",'Bundle Tag Info'!$A$3,CHAR(10),'Bundle Tag Info'!C$6,CHAR(10),'Bundle Tag Info'!C$11),"")</f>
        <v/>
      </c>
      <c r="D6" s="16" t="str">
        <f>IF('Bundle Tag Info'!D$11&lt;&gt;"",CONCATENATE('Bundle Tag Info'!$A$1," ",CHAR(10),'Bundle Tag Info'!$A$2," ",'Bundle Tag Info'!$A$3,CHAR(10),'Bundle Tag Info'!D$6,CHAR(10),'Bundle Tag Info'!D$11),"")</f>
        <v/>
      </c>
      <c r="E6" s="16" t="str">
        <f>IF('Bundle Tag Info'!E$11&lt;&gt;"",CONCATENATE('Bundle Tag Info'!$A$1," ",CHAR(10),'Bundle Tag Info'!$A$2," ",'Bundle Tag Info'!$A$3,CHAR(10),'Bundle Tag Info'!E$6,CHAR(10),'Bundle Tag Info'!E$11),"")</f>
        <v>KOC-JPF #1 
4P101 C.1
A
KA</v>
      </c>
      <c r="F6" s="16" t="str">
        <f>IF('Bundle Tag Info'!F$11&lt;&gt;"",CONCATENATE('Bundle Tag Info'!$A$1," ",CHAR(10),'Bundle Tag Info'!$A$2," ",'Bundle Tag Info'!$A$3,CHAR(10),'Bundle Tag Info'!F$6,CHAR(10),'Bundle Tag Info'!F$11),"")</f>
        <v>KOC-JPF #1 
4P101 C.1
B
1444s</v>
      </c>
      <c r="G6" s="16" t="str">
        <f>IF('Bundle Tag Info'!G$11&lt;&gt;"",CONCATENATE('Bundle Tag Info'!$A$1," ",CHAR(10),'Bundle Tag Info'!$A$2," ",'Bundle Tag Info'!$A$3,CHAR(10),'Bundle Tag Info'!G$6,CHAR(10),'Bundle Tag Info'!G$11),"")</f>
        <v>KOC-JPF #1 
4P101 C.1
JB72 DOOR
SB0170</v>
      </c>
      <c r="H6" s="16" t="str">
        <f>IF('Bundle Tag Info'!H$11&lt;&gt;"",CONCATENATE('Bundle Tag Info'!$A$1," ",CHAR(10),'Bundle Tag Info'!$A$2," ",'Bundle Tag Info'!$A$3,CHAR(10),'Bundle Tag Info'!H$6,CHAR(10),'Bundle Tag Info'!H$11),"")</f>
        <v>KOC-JPF #1 
4P101 C.1
FG&amp;E
KA A2</v>
      </c>
      <c r="I6" s="16" t="str">
        <f>IF('Bundle Tag Info'!I$11&lt;&gt;"",CONCATENATE('Bundle Tag Info'!$A$1," ",CHAR(10),'Bundle Tag Info'!$A$2," ",'Bundle Tag Info'!$A$3,CHAR(10),'Bundle Tag Info'!I$6,CHAR(10),'Bundle Tag Info'!I$11),"")</f>
        <v>KOC-JPF #1 
4P101 C.1
GEN
FU/XT</v>
      </c>
      <c r="J6" s="16" t="str">
        <f>IF('Bundle Tag Info'!J$11&lt;&gt;"",CONCATENATE('Bundle Tag Info'!$A$1," ",CHAR(10),'Bundle Tag Info'!$A$2," ",'Bundle Tag Info'!$A$3,CHAR(10),'Bundle Tag Info'!J$6,CHAR(10),'Bundle Tag Info'!J$11),"")</f>
        <v/>
      </c>
      <c r="K6" s="16" t="str">
        <f>IF('Bundle Tag Info'!K$11&lt;&gt;"",CONCATENATE('Bundle Tag Info'!$A$1," ",CHAR(10),'Bundle Tag Info'!$A$2," ",'Bundle Tag Info'!$A$3,CHAR(10),'Bundle Tag Info'!K$6,CHAR(10),'Bundle Tag Info'!K$11),"")</f>
        <v/>
      </c>
      <c r="L6" s="16" t="str">
        <f>IF('Bundle Tag Info'!L$11&lt;&gt;"",CONCATENATE('Bundle Tag Info'!$A$1," ",CHAR(10),'Bundle Tag Info'!$A$2," ",'Bundle Tag Info'!$A$3,CHAR(10),'Bundle Tag Info'!L$6,CHAR(10),'Bundle Tag Info'!L$11),"")</f>
        <v/>
      </c>
      <c r="M6" s="16" t="str">
        <f>IF('Bundle Tag Info'!M$11&lt;&gt;"",CONCATENATE('Bundle Tag Info'!$A$1," ",CHAR(10),'Bundle Tag Info'!$A$2," ",'Bundle Tag Info'!$A$3,CHAR(10),'Bundle Tag Info'!M$6,CHAR(10),'Bundle Tag Info'!M$11),"")</f>
        <v/>
      </c>
      <c r="N6" s="16" t="str">
        <f>IF('Bundle Tag Info'!N$11&lt;&gt;"",CONCATENATE('Bundle Tag Info'!$A$1," ",CHAR(10),'Bundle Tag Info'!$A$2," ",'Bundle Tag Info'!$A$3,CHAR(10),'Bundle Tag Info'!N$6,CHAR(10),'Bundle Tag Info'!N$11),"")</f>
        <v/>
      </c>
      <c r="O6" s="16" t="str">
        <f>IF('Bundle Tag Info'!O$11&lt;&gt;"",CONCATENATE('Bundle Tag Info'!$A$1," ",CHAR(10),'Bundle Tag Info'!$A$2," ",'Bundle Tag Info'!$A$3,CHAR(10),'Bundle Tag Info'!O$6,CHAR(10),'Bundle Tag Info'!O$11),"")</f>
        <v/>
      </c>
      <c r="P6" s="16" t="str">
        <f>IF('Bundle Tag Info'!P$11&lt;&gt;"",CONCATENATE('Bundle Tag Info'!$A$1," ",CHAR(10),'Bundle Tag Info'!$A$2," ",'Bundle Tag Info'!$A$3,CHAR(10),'Bundle Tag Info'!P$6,CHAR(10),'Bundle Tag Info'!P$11),"")</f>
        <v/>
      </c>
      <c r="Q6" s="16" t="str">
        <f>IF('Bundle Tag Info'!Q$11&lt;&gt;"",CONCATENATE('Bundle Tag Info'!$A$1," ",CHAR(10),'Bundle Tag Info'!$A$2," ",'Bundle Tag Info'!$A$3,CHAR(10),'Bundle Tag Info'!Q$6,CHAR(10),'Bundle Tag Info'!Q$11),"")</f>
        <v/>
      </c>
      <c r="R6" s="16" t="str">
        <f>IF('Bundle Tag Info'!R$11&lt;&gt;"",CONCATENATE('Bundle Tag Info'!$A$1," ",CHAR(10),'Bundle Tag Info'!$A$2," ",'Bundle Tag Info'!$A$3,CHAR(10),'Bundle Tag Info'!R$6,CHAR(10),'Bundle Tag Info'!R$11),"")</f>
        <v/>
      </c>
      <c r="S6" s="16" t="str">
        <f>IF('Bundle Tag Info'!S$11&lt;&gt;"",CONCATENATE('Bundle Tag Info'!$A$1," ",CHAR(10),'Bundle Tag Info'!$A$2," ",'Bundle Tag Info'!$A$3,CHAR(10),'Bundle Tag Info'!S$6,CHAR(10),'Bundle Tag Info'!S$11),"")</f>
        <v/>
      </c>
      <c r="T6" s="16" t="str">
        <f>IF('Bundle Tag Info'!T$11&lt;&gt;"",CONCATENATE('Bundle Tag Info'!$A$1," ",CHAR(10),'Bundle Tag Info'!$A$2," ",'Bundle Tag Info'!$A$3,CHAR(10),'Bundle Tag Info'!T$6,CHAR(10),'Bundle Tag Info'!T$11),"")</f>
        <v/>
      </c>
      <c r="U6" s="16" t="str">
        <f>IF('Bundle Tag Info'!U$11&lt;&gt;"",CONCATENATE('Bundle Tag Info'!$A$1," ",CHAR(10),'Bundle Tag Info'!$A$2," ",'Bundle Tag Info'!$A$3,CHAR(10),'Bundle Tag Info'!U$6,CHAR(10),'Bundle Tag Info'!U$11),"")</f>
        <v/>
      </c>
      <c r="V6" s="16" t="str">
        <f>IF('Bundle Tag Info'!V$11&lt;&gt;"",CONCATENATE('Bundle Tag Info'!$A$1," ",CHAR(10),'Bundle Tag Info'!$A$2," ",'Bundle Tag Info'!$A$3,CHAR(10),'Bundle Tag Info'!V$6,CHAR(10),'Bundle Tag Info'!V$11),"")</f>
        <v/>
      </c>
      <c r="W6" s="16" t="str">
        <f>IF('Bundle Tag Info'!W$11&lt;&gt;"",CONCATENATE('Bundle Tag Info'!$A$1," ",CHAR(10),'Bundle Tag Info'!$A$2," ",'Bundle Tag Info'!$A$3,CHAR(10),'Bundle Tag Info'!W$6,CHAR(10),'Bundle Tag Info'!W$11),"")</f>
        <v/>
      </c>
      <c r="X6" s="16" t="str">
        <f>IF('Bundle Tag Info'!X$11&lt;&gt;"",CONCATENATE('Bundle Tag Info'!$A$1," ",CHAR(10),'Bundle Tag Info'!$A$2," ",'Bundle Tag Info'!$A$3,CHAR(10),'Bundle Tag Info'!X$6,CHAR(10),'Bundle Tag Info'!X$11),"")</f>
        <v/>
      </c>
      <c r="Y6" s="16" t="str">
        <f>IF('Bundle Tag Info'!Y$11&lt;&gt;"",CONCATENATE('Bundle Tag Info'!$A$1," ",CHAR(10),'Bundle Tag Info'!$A$2," ",'Bundle Tag Info'!$A$3,CHAR(10),'Bundle Tag Info'!Y$6,CHAR(10),'Bundle Tag Info'!Y$11),"")</f>
        <v/>
      </c>
      <c r="Z6" s="16" t="str">
        <f>IF('Bundle Tag Info'!Z$11&lt;&gt;"",CONCATENATE('Bundle Tag Info'!$A$1," ",CHAR(10),'Bundle Tag Info'!$A$2," ",'Bundle Tag Info'!$A$3,CHAR(10),'Bundle Tag Info'!Z$6,CHAR(10),'Bundle Tag Info'!Z$11),"")</f>
        <v/>
      </c>
      <c r="AA6" s="16" t="str">
        <f>IF('Bundle Tag Info'!AA$11&lt;&gt;"",CONCATENATE('Bundle Tag Info'!$A$1," ",CHAR(10),'Bundle Tag Info'!$A$2," ",'Bundle Tag Info'!$A$3,CHAR(10),'Bundle Tag Info'!AA$6,CHAR(10),'Bundle Tag Info'!AA$11),"")</f>
        <v/>
      </c>
      <c r="AB6" s="16" t="str">
        <f>IF('Bundle Tag Info'!AB$11&lt;&gt;"",CONCATENATE('Bundle Tag Info'!$A$1," ",CHAR(10),'Bundle Tag Info'!$A$2," ",'Bundle Tag Info'!$A$3,CHAR(10),'Bundle Tag Info'!AB$6,CHAR(10),'Bundle Tag Info'!AB$11),"")</f>
        <v/>
      </c>
      <c r="AC6" s="16" t="str">
        <f>IF('Bundle Tag Info'!AC$11&lt;&gt;"",CONCATENATE('Bundle Tag Info'!$A$1," ",CHAR(10),'Bundle Tag Info'!$A$2," ",'Bundle Tag Info'!$A$3,CHAR(10),'Bundle Tag Info'!AC$6,CHAR(10),'Bundle Tag Info'!AC$11),"")</f>
        <v/>
      </c>
      <c r="AD6" s="16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6" t="str">
        <f>IF('Bundle Tag Info'!A$12&lt;&gt;"",CONCATENATE('Bundle Tag Info'!$A$1," ",CHAR(10),'Bundle Tag Info'!$A$2," ",'Bundle Tag Info'!$A$3,CHAR(10),'Bundle Tag Info'!A$6,CHAR(10),'Bundle Tag Info'!A$12),"")</f>
        <v>KOC-JPF #1 
4P101 C.1
JB70 DOOR
SB0472</v>
      </c>
      <c r="B7" s="16" t="str">
        <f>IF('Bundle Tag Info'!B$12&lt;&gt;"",CONCATENATE('Bundle Tag Info'!$A$1," ",CHAR(10),'Bundle Tag Info'!$A$2," ",'Bundle Tag Info'!$A$3,CHAR(10),'Bundle Tag Info'!B$6,CHAR(10),'Bundle Tag Info'!B$12),"")</f>
        <v/>
      </c>
      <c r="C7" s="16" t="str">
        <f>IF('Bundle Tag Info'!C$12&lt;&gt;"",CONCATENATE('Bundle Tag Info'!$A$1," ",CHAR(10),'Bundle Tag Info'!$A$2," ",'Bundle Tag Info'!$A$3,CHAR(10),'Bundle Tag Info'!C$6,CHAR(10),'Bundle Tag Info'!C$12),"")</f>
        <v/>
      </c>
      <c r="D7" s="16" t="str">
        <f>IF('Bundle Tag Info'!D$12&lt;&gt;"",CONCATENATE('Bundle Tag Info'!$A$1," ",CHAR(10),'Bundle Tag Info'!$A$2," ",'Bundle Tag Info'!$A$3,CHAR(10),'Bundle Tag Info'!D$6,CHAR(10),'Bundle Tag Info'!D$12),"")</f>
        <v/>
      </c>
      <c r="E7" s="16" t="str">
        <f>IF('Bundle Tag Info'!E$12&lt;&gt;"",CONCATENATE('Bundle Tag Info'!$A$1," ",CHAR(10),'Bundle Tag Info'!$A$2," ",'Bundle Tag Info'!$A$3,CHAR(10),'Bundle Tag Info'!E$6,CHAR(10),'Bundle Tag Info'!E$12),"")</f>
        <v>KOC-JPF #1 
4P101 C.1
A
RR</v>
      </c>
      <c r="F7" s="16" t="str">
        <f>IF('Bundle Tag Info'!F$12&lt;&gt;"",CONCATENATE('Bundle Tag Info'!$A$1," ",CHAR(10),'Bundle Tag Info'!$A$2," ",'Bundle Tag Info'!$A$3,CHAR(10),'Bundle Tag Info'!F$6,CHAR(10),'Bundle Tag Info'!F$12),"")</f>
        <v>KOC-JPF #1 
4P101 C.1
B
FU</v>
      </c>
      <c r="G7" s="16" t="str">
        <f>IF('Bundle Tag Info'!G$12&lt;&gt;"",CONCATENATE('Bundle Tag Info'!$A$1," ",CHAR(10),'Bundle Tag Info'!$A$2," ",'Bundle Tag Info'!$A$3,CHAR(10),'Bundle Tag Info'!G$6,CHAR(10),'Bundle Tag Info'!G$12),"")</f>
        <v/>
      </c>
      <c r="H7" s="16" t="str">
        <f>IF('Bundle Tag Info'!H$12&lt;&gt;"",CONCATENATE('Bundle Tag Info'!$A$1," ",CHAR(10),'Bundle Tag Info'!$A$2," ",'Bundle Tag Info'!$A$3,CHAR(10),'Bundle Tag Info'!H$6,CHAR(10),'Bundle Tag Info'!H$12),"")</f>
        <v>KOC-JPF #1 
4P101 C.1
FG&amp;E
KA</v>
      </c>
      <c r="I7" s="16" t="str">
        <f>IF('Bundle Tag Info'!I$12&lt;&gt;"",CONCATENATE('Bundle Tag Info'!$A$1," ",CHAR(10),'Bundle Tag Info'!$A$2," ",'Bundle Tag Info'!$A$3,CHAR(10),'Bundle Tag Info'!I$6,CHAR(10),'Bundle Tag Info'!I$12),"")</f>
        <v>KOC-JPF #1 
4P101 C.1
GEN
KA A1</v>
      </c>
      <c r="J7" s="16" t="str">
        <f>IF('Bundle Tag Info'!J$12&lt;&gt;"",CONCATENATE('Bundle Tag Info'!$A$1," ",CHAR(10),'Bundle Tag Info'!$A$2," ",'Bundle Tag Info'!$A$3,CHAR(10),'Bundle Tag Info'!J$6,CHAR(10),'Bundle Tag Info'!J$12),"")</f>
        <v/>
      </c>
      <c r="K7" s="16" t="str">
        <f>IF('Bundle Tag Info'!K$12&lt;&gt;"",CONCATENATE('Bundle Tag Info'!$A$1," ",CHAR(10),'Bundle Tag Info'!$A$2," ",'Bundle Tag Info'!$A$3,CHAR(10),'Bundle Tag Info'!K$6,CHAR(10),'Bundle Tag Info'!K$12),"")</f>
        <v/>
      </c>
      <c r="L7" s="16" t="str">
        <f>IF('Bundle Tag Info'!L$12&lt;&gt;"",CONCATENATE('Bundle Tag Info'!$A$1," ",CHAR(10),'Bundle Tag Info'!$A$2," ",'Bundle Tag Info'!$A$3,CHAR(10),'Bundle Tag Info'!L$6,CHAR(10),'Bundle Tag Info'!L$12),"")</f>
        <v/>
      </c>
      <c r="M7" s="16" t="str">
        <f>IF('Bundle Tag Info'!M$12&lt;&gt;"",CONCATENATE('Bundle Tag Info'!$A$1," ",CHAR(10),'Bundle Tag Info'!$A$2," ",'Bundle Tag Info'!$A$3,CHAR(10),'Bundle Tag Info'!M$6,CHAR(10),'Bundle Tag Info'!M$12),"")</f>
        <v/>
      </c>
      <c r="N7" s="16" t="str">
        <f>IF('Bundle Tag Info'!N$12&lt;&gt;"",CONCATENATE('Bundle Tag Info'!$A$1," ",CHAR(10),'Bundle Tag Info'!$A$2," ",'Bundle Tag Info'!$A$3,CHAR(10),'Bundle Tag Info'!N$6,CHAR(10),'Bundle Tag Info'!N$12),"")</f>
        <v/>
      </c>
      <c r="O7" s="16" t="str">
        <f>IF('Bundle Tag Info'!O$12&lt;&gt;"",CONCATENATE('Bundle Tag Info'!$A$1," ",CHAR(10),'Bundle Tag Info'!$A$2," ",'Bundle Tag Info'!$A$3,CHAR(10),'Bundle Tag Info'!O$6,CHAR(10),'Bundle Tag Info'!O$12),"")</f>
        <v/>
      </c>
      <c r="P7" s="16" t="str">
        <f>IF('Bundle Tag Info'!P$12&lt;&gt;"",CONCATENATE('Bundle Tag Info'!$A$1," ",CHAR(10),'Bundle Tag Info'!$A$2," ",'Bundle Tag Info'!$A$3,CHAR(10),'Bundle Tag Info'!P$6,CHAR(10),'Bundle Tag Info'!P$12),"")</f>
        <v/>
      </c>
      <c r="Q7" s="16" t="str">
        <f>IF('Bundle Tag Info'!Q$12&lt;&gt;"",CONCATENATE('Bundle Tag Info'!$A$1," ",CHAR(10),'Bundle Tag Info'!$A$2," ",'Bundle Tag Info'!$A$3,CHAR(10),'Bundle Tag Info'!Q$6,CHAR(10),'Bundle Tag Info'!Q$12),"")</f>
        <v/>
      </c>
      <c r="R7" s="16" t="str">
        <f>IF('Bundle Tag Info'!R$12&lt;&gt;"",CONCATENATE('Bundle Tag Info'!$A$1," ",CHAR(10),'Bundle Tag Info'!$A$2," ",'Bundle Tag Info'!$A$3,CHAR(10),'Bundle Tag Info'!R$6,CHAR(10),'Bundle Tag Info'!R$12),"")</f>
        <v/>
      </c>
      <c r="S7" s="16" t="str">
        <f>IF('Bundle Tag Info'!S$12&lt;&gt;"",CONCATENATE('Bundle Tag Info'!$A$1," ",CHAR(10),'Bundle Tag Info'!$A$2," ",'Bundle Tag Info'!$A$3,CHAR(10),'Bundle Tag Info'!S$6,CHAR(10),'Bundle Tag Info'!S$12),"")</f>
        <v/>
      </c>
      <c r="T7" s="16" t="str">
        <f>IF('Bundle Tag Info'!T$12&lt;&gt;"",CONCATENATE('Bundle Tag Info'!$A$1," ",CHAR(10),'Bundle Tag Info'!$A$2," ",'Bundle Tag Info'!$A$3,CHAR(10),'Bundle Tag Info'!T$6,CHAR(10),'Bundle Tag Info'!T$12),"")</f>
        <v/>
      </c>
      <c r="U7" s="16" t="str">
        <f>IF('Bundle Tag Info'!U$12&lt;&gt;"",CONCATENATE('Bundle Tag Info'!$A$1," ",CHAR(10),'Bundle Tag Info'!$A$2," ",'Bundle Tag Info'!$A$3,CHAR(10),'Bundle Tag Info'!U$6,CHAR(10),'Bundle Tag Info'!U$12),"")</f>
        <v/>
      </c>
      <c r="V7" s="16" t="str">
        <f>IF('Bundle Tag Info'!V$12&lt;&gt;"",CONCATENATE('Bundle Tag Info'!$A$1," ",CHAR(10),'Bundle Tag Info'!$A$2," ",'Bundle Tag Info'!$A$3,CHAR(10),'Bundle Tag Info'!V$6,CHAR(10),'Bundle Tag Info'!V$12),"")</f>
        <v/>
      </c>
      <c r="W7" s="16" t="str">
        <f>IF('Bundle Tag Info'!W$12&lt;&gt;"",CONCATENATE('Bundle Tag Info'!$A$1," ",CHAR(10),'Bundle Tag Info'!$A$2," ",'Bundle Tag Info'!$A$3,CHAR(10),'Bundle Tag Info'!W$6,CHAR(10),'Bundle Tag Info'!W$12),"")</f>
        <v/>
      </c>
      <c r="X7" s="16" t="str">
        <f>IF('Bundle Tag Info'!X$12&lt;&gt;"",CONCATENATE('Bundle Tag Info'!$A$1," ",CHAR(10),'Bundle Tag Info'!$A$2," ",'Bundle Tag Info'!$A$3,CHAR(10),'Bundle Tag Info'!X$6,CHAR(10),'Bundle Tag Info'!X$12),"")</f>
        <v/>
      </c>
      <c r="Y7" s="16" t="str">
        <f>IF('Bundle Tag Info'!Y$12&lt;&gt;"",CONCATENATE('Bundle Tag Info'!$A$1," ",CHAR(10),'Bundle Tag Info'!$A$2," ",'Bundle Tag Info'!$A$3,CHAR(10),'Bundle Tag Info'!Y$6,CHAR(10),'Bundle Tag Info'!Y$12),"")</f>
        <v/>
      </c>
      <c r="Z7" s="16" t="str">
        <f>IF('Bundle Tag Info'!Z$12&lt;&gt;"",CONCATENATE('Bundle Tag Info'!$A$1," ",CHAR(10),'Bundle Tag Info'!$A$2," ",'Bundle Tag Info'!$A$3,CHAR(10),'Bundle Tag Info'!Z$6,CHAR(10),'Bundle Tag Info'!Z$12),"")</f>
        <v/>
      </c>
      <c r="AA7" s="16" t="str">
        <f>IF('Bundle Tag Info'!AA$12&lt;&gt;"",CONCATENATE('Bundle Tag Info'!$A$1," ",CHAR(10),'Bundle Tag Info'!$A$2," ",'Bundle Tag Info'!$A$3,CHAR(10),'Bundle Tag Info'!AA$6,CHAR(10),'Bundle Tag Info'!AA$12),"")</f>
        <v/>
      </c>
      <c r="AB7" s="16" t="str">
        <f>IF('Bundle Tag Info'!AB$12&lt;&gt;"",CONCATENATE('Bundle Tag Info'!$A$1," ",CHAR(10),'Bundle Tag Info'!$A$2," ",'Bundle Tag Info'!$A$3,CHAR(10),'Bundle Tag Info'!AB$6,CHAR(10),'Bundle Tag Info'!AB$12),"")</f>
        <v/>
      </c>
      <c r="AC7" s="16" t="str">
        <f>IF('Bundle Tag Info'!AC$12&lt;&gt;"",CONCATENATE('Bundle Tag Info'!$A$1," ",CHAR(10),'Bundle Tag Info'!$A$2," ",'Bundle Tag Info'!$A$3,CHAR(10),'Bundle Tag Info'!AC$6,CHAR(10),'Bundle Tag Info'!AC$12),"")</f>
        <v/>
      </c>
      <c r="AD7" s="16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6" t="str">
        <f>IF('Bundle Tag Info'!A$13&lt;&gt;"",CONCATENATE('Bundle Tag Info'!$A$1," ",CHAR(10),'Bundle Tag Info'!$A$2," ",'Bundle Tag Info'!$A$3,CHAR(10),'Bundle Tag Info'!A$6,CHAR(10),'Bundle Tag Info'!A$13),"")</f>
        <v>KOC-JPF #1 
4P101 C.1
JB70 DOOR
SB0473</v>
      </c>
      <c r="B8" s="16" t="str">
        <f>IF('Bundle Tag Info'!B$13&lt;&gt;"",CONCATENATE('Bundle Tag Info'!$A$1," ",CHAR(10),'Bundle Tag Info'!$A$2," ",'Bundle Tag Info'!$A$3,CHAR(10),'Bundle Tag Info'!B$6,CHAR(10),'Bundle Tag Info'!B$13),"")</f>
        <v/>
      </c>
      <c r="C8" s="16" t="str">
        <f>IF('Bundle Tag Info'!C$13&lt;&gt;"",CONCATENATE('Bundle Tag Info'!$A$1," ",CHAR(10),'Bundle Tag Info'!$A$2," ",'Bundle Tag Info'!$A$3,CHAR(10),'Bundle Tag Info'!C$6,CHAR(10),'Bundle Tag Info'!C$13),"")</f>
        <v/>
      </c>
      <c r="D8" s="16" t="str">
        <f>IF('Bundle Tag Info'!D$13&lt;&gt;"",CONCATENATE('Bundle Tag Info'!$A$1," ",CHAR(10),'Bundle Tag Info'!$A$2," ",'Bundle Tag Info'!$A$3,CHAR(10),'Bundle Tag Info'!D$6,CHAR(10),'Bundle Tag Info'!D$13),"")</f>
        <v/>
      </c>
      <c r="E8" s="16" t="str">
        <f>IF('Bundle Tag Info'!E$13&lt;&gt;"",CONCATENATE('Bundle Tag Info'!$A$1," ",CHAR(10),'Bundle Tag Info'!$A$2," ",'Bundle Tag Info'!$A$3,CHAR(10),'Bundle Tag Info'!E$6,CHAR(10),'Bundle Tag Info'!E$13),"")</f>
        <v>KOC-JPF #1 
4P101 C.1
A
UA</v>
      </c>
      <c r="F8" s="16" t="str">
        <f>IF('Bundle Tag Info'!F$13&lt;&gt;"",CONCATENATE('Bundle Tag Info'!$A$1," ",CHAR(10),'Bundle Tag Info'!$A$2," ",'Bundle Tag Info'!$A$3,CHAR(10),'Bundle Tag Info'!F$6,CHAR(10),'Bundle Tag Info'!F$13),"")</f>
        <v>KOC-JPF #1 
4P101 C.1
B
KA A1</v>
      </c>
      <c r="G8" s="16" t="str">
        <f>IF('Bundle Tag Info'!G$13&lt;&gt;"",CONCATENATE('Bundle Tag Info'!$A$1," ",CHAR(10),'Bundle Tag Info'!$A$2," ",'Bundle Tag Info'!$A$3,CHAR(10),'Bundle Tag Info'!G$6,CHAR(10),'Bundle Tag Info'!G$13),"")</f>
        <v/>
      </c>
      <c r="H8" s="16" t="str">
        <f>IF('Bundle Tag Info'!H$13&lt;&gt;"",CONCATENATE('Bundle Tag Info'!$A$1," ",CHAR(10),'Bundle Tag Info'!$A$2," ",'Bundle Tag Info'!$A$3,CHAR(10),'Bundle Tag Info'!H$6,CHAR(10),'Bundle Tag Info'!H$13),"")</f>
        <v>KOC-JPF #1 
4P101 C.1
FG&amp;E
RR</v>
      </c>
      <c r="I8" s="16" t="str">
        <f>IF('Bundle Tag Info'!I$13&lt;&gt;"",CONCATENATE('Bundle Tag Info'!$A$1," ",CHAR(10),'Bundle Tag Info'!$A$2," ",'Bundle Tag Info'!$A$3,CHAR(10),'Bundle Tag Info'!I$6,CHAR(10),'Bundle Tag Info'!I$13),"")</f>
        <v>KOC-JPF #1 
4P101 C.1
GEN
KA A2</v>
      </c>
      <c r="J8" s="16" t="str">
        <f>IF('Bundle Tag Info'!J$13&lt;&gt;"",CONCATENATE('Bundle Tag Info'!$A$1," ",CHAR(10),'Bundle Tag Info'!$A$2," ",'Bundle Tag Info'!$A$3,CHAR(10),'Bundle Tag Info'!J$6,CHAR(10),'Bundle Tag Info'!J$13),"")</f>
        <v/>
      </c>
      <c r="K8" s="16" t="str">
        <f>IF('Bundle Tag Info'!K$13&lt;&gt;"",CONCATENATE('Bundle Tag Info'!$A$1," ",CHAR(10),'Bundle Tag Info'!$A$2," ",'Bundle Tag Info'!$A$3,CHAR(10),'Bundle Tag Info'!K$6,CHAR(10),'Bundle Tag Info'!K$13),"")</f>
        <v/>
      </c>
      <c r="L8" s="16" t="str">
        <f>IF('Bundle Tag Info'!L$13&lt;&gt;"",CONCATENATE('Bundle Tag Info'!$A$1," ",CHAR(10),'Bundle Tag Info'!$A$2," ",'Bundle Tag Info'!$A$3,CHAR(10),'Bundle Tag Info'!L$6,CHAR(10),'Bundle Tag Info'!L$13),"")</f>
        <v/>
      </c>
      <c r="M8" s="16" t="str">
        <f>IF('Bundle Tag Info'!M$13&lt;&gt;"",CONCATENATE('Bundle Tag Info'!$A$1," ",CHAR(10),'Bundle Tag Info'!$A$2," ",'Bundle Tag Info'!$A$3,CHAR(10),'Bundle Tag Info'!M$6,CHAR(10),'Bundle Tag Info'!M$13),"")</f>
        <v/>
      </c>
      <c r="N8" s="16" t="str">
        <f>IF('Bundle Tag Info'!N$13&lt;&gt;"",CONCATENATE('Bundle Tag Info'!$A$1," ",CHAR(10),'Bundle Tag Info'!$A$2," ",'Bundle Tag Info'!$A$3,CHAR(10),'Bundle Tag Info'!N$6,CHAR(10),'Bundle Tag Info'!N$13),"")</f>
        <v/>
      </c>
      <c r="O8" s="16" t="str">
        <f>IF('Bundle Tag Info'!O$13&lt;&gt;"",CONCATENATE('Bundle Tag Info'!$A$1," ",CHAR(10),'Bundle Tag Info'!$A$2," ",'Bundle Tag Info'!$A$3,CHAR(10),'Bundle Tag Info'!O$6,CHAR(10),'Bundle Tag Info'!O$13),"")</f>
        <v/>
      </c>
      <c r="P8" s="16" t="str">
        <f>IF('Bundle Tag Info'!P$13&lt;&gt;"",CONCATENATE('Bundle Tag Info'!$A$1," ",CHAR(10),'Bundle Tag Info'!$A$2," ",'Bundle Tag Info'!$A$3,CHAR(10),'Bundle Tag Info'!P$6,CHAR(10),'Bundle Tag Info'!P$13),"")</f>
        <v/>
      </c>
      <c r="Q8" s="16" t="str">
        <f>IF('Bundle Tag Info'!Q$13&lt;&gt;"",CONCATENATE('Bundle Tag Info'!$A$1," ",CHAR(10),'Bundle Tag Info'!$A$2," ",'Bundle Tag Info'!$A$3,CHAR(10),'Bundle Tag Info'!Q$6,CHAR(10),'Bundle Tag Info'!Q$13),"")</f>
        <v/>
      </c>
      <c r="R8" s="16" t="str">
        <f>IF('Bundle Tag Info'!R$13&lt;&gt;"",CONCATENATE('Bundle Tag Info'!$A$1," ",CHAR(10),'Bundle Tag Info'!$A$2," ",'Bundle Tag Info'!$A$3,CHAR(10),'Bundle Tag Info'!R$6,CHAR(10),'Bundle Tag Info'!R$13),"")</f>
        <v/>
      </c>
      <c r="S8" s="16" t="str">
        <f>IF('Bundle Tag Info'!S$13&lt;&gt;"",CONCATENATE('Bundle Tag Info'!$A$1," ",CHAR(10),'Bundle Tag Info'!$A$2," ",'Bundle Tag Info'!$A$3,CHAR(10),'Bundle Tag Info'!S$6,CHAR(10),'Bundle Tag Info'!S$13),"")</f>
        <v/>
      </c>
      <c r="T8" s="16" t="str">
        <f>IF('Bundle Tag Info'!T$13&lt;&gt;"",CONCATENATE('Bundle Tag Info'!$A$1," ",CHAR(10),'Bundle Tag Info'!$A$2," ",'Bundle Tag Info'!$A$3,CHAR(10),'Bundle Tag Info'!T$6,CHAR(10),'Bundle Tag Info'!T$13),"")</f>
        <v/>
      </c>
      <c r="U8" s="16" t="str">
        <f>IF('Bundle Tag Info'!U$13&lt;&gt;"",CONCATENATE('Bundle Tag Info'!$A$1," ",CHAR(10),'Bundle Tag Info'!$A$2," ",'Bundle Tag Info'!$A$3,CHAR(10),'Bundle Tag Info'!U$6,CHAR(10),'Bundle Tag Info'!U$13),"")</f>
        <v/>
      </c>
      <c r="V8" s="16" t="str">
        <f>IF('Bundle Tag Info'!V$13&lt;&gt;"",CONCATENATE('Bundle Tag Info'!$A$1," ",CHAR(10),'Bundle Tag Info'!$A$2," ",'Bundle Tag Info'!$A$3,CHAR(10),'Bundle Tag Info'!V$6,CHAR(10),'Bundle Tag Info'!V$13),"")</f>
        <v/>
      </c>
      <c r="W8" s="16" t="str">
        <f>IF('Bundle Tag Info'!W$13&lt;&gt;"",CONCATENATE('Bundle Tag Info'!$A$1," ",CHAR(10),'Bundle Tag Info'!$A$2," ",'Bundle Tag Info'!$A$3,CHAR(10),'Bundle Tag Info'!W$6,CHAR(10),'Bundle Tag Info'!W$13),"")</f>
        <v/>
      </c>
      <c r="X8" s="16" t="str">
        <f>IF('Bundle Tag Info'!X$13&lt;&gt;"",CONCATENATE('Bundle Tag Info'!$A$1," ",CHAR(10),'Bundle Tag Info'!$A$2," ",'Bundle Tag Info'!$A$3,CHAR(10),'Bundle Tag Info'!X$6,CHAR(10),'Bundle Tag Info'!X$13),"")</f>
        <v/>
      </c>
      <c r="Y8" s="16" t="str">
        <f>IF('Bundle Tag Info'!Y$13&lt;&gt;"",CONCATENATE('Bundle Tag Info'!$A$1," ",CHAR(10),'Bundle Tag Info'!$A$2," ",'Bundle Tag Info'!$A$3,CHAR(10),'Bundle Tag Info'!Y$6,CHAR(10),'Bundle Tag Info'!Y$13),"")</f>
        <v/>
      </c>
      <c r="Z8" s="16" t="str">
        <f>IF('Bundle Tag Info'!Z$13&lt;&gt;"",CONCATENATE('Bundle Tag Info'!$A$1," ",CHAR(10),'Bundle Tag Info'!$A$2," ",'Bundle Tag Info'!$A$3,CHAR(10),'Bundle Tag Info'!Z$6,CHAR(10),'Bundle Tag Info'!Z$13),"")</f>
        <v/>
      </c>
      <c r="AA8" s="16" t="str">
        <f>IF('Bundle Tag Info'!AA$13&lt;&gt;"",CONCATENATE('Bundle Tag Info'!$A$1," ",CHAR(10),'Bundle Tag Info'!$A$2," ",'Bundle Tag Info'!$A$3,CHAR(10),'Bundle Tag Info'!AA$6,CHAR(10),'Bundle Tag Info'!AA$13),"")</f>
        <v/>
      </c>
      <c r="AB8" s="16" t="str">
        <f>IF('Bundle Tag Info'!AB$13&lt;&gt;"",CONCATENATE('Bundle Tag Info'!$A$1," ",CHAR(10),'Bundle Tag Info'!$A$2," ",'Bundle Tag Info'!$A$3,CHAR(10),'Bundle Tag Info'!AB$6,CHAR(10),'Bundle Tag Info'!AB$13),"")</f>
        <v/>
      </c>
      <c r="AC8" s="16" t="str">
        <f>IF('Bundle Tag Info'!AC$13&lt;&gt;"",CONCATENATE('Bundle Tag Info'!$A$1," ",CHAR(10),'Bundle Tag Info'!$A$2," ",'Bundle Tag Info'!$A$3,CHAR(10),'Bundle Tag Info'!AC$6,CHAR(10),'Bundle Tag Info'!AC$13),"")</f>
        <v/>
      </c>
      <c r="AD8" s="16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6" t="str">
        <f>IF('Bundle Tag Info'!A$14&lt;&gt;"",CONCATENATE('Bundle Tag Info'!$A$1," ",CHAR(10),'Bundle Tag Info'!$A$2," ",'Bundle Tag Info'!$A$3,CHAR(10),'Bundle Tag Info'!A$6,CHAR(10),'Bundle Tag Info'!A$14),"")</f>
        <v>KOC-JPF #1 
4P101 C.1
JB70 DOOR
SB0474</v>
      </c>
      <c r="B9" s="16" t="str">
        <f>IF('Bundle Tag Info'!B$14&lt;&gt;"",CONCATENATE('Bundle Tag Info'!$A$1," ",CHAR(10),'Bundle Tag Info'!$A$2," ",'Bundle Tag Info'!$A$3,CHAR(10),'Bundle Tag Info'!B$6,CHAR(10),'Bundle Tag Info'!B$14),"")</f>
        <v/>
      </c>
      <c r="C9" s="16" t="str">
        <f>IF('Bundle Tag Info'!C$14&lt;&gt;"",CONCATENATE('Bundle Tag Info'!$A$1," ",CHAR(10),'Bundle Tag Info'!$A$2," ",'Bundle Tag Info'!$A$3,CHAR(10),'Bundle Tag Info'!C$6,CHAR(10),'Bundle Tag Info'!C$14),"")</f>
        <v/>
      </c>
      <c r="D9" s="16" t="str">
        <f>IF('Bundle Tag Info'!D$14&lt;&gt;"",CONCATENATE('Bundle Tag Info'!$A$1," ",CHAR(10),'Bundle Tag Info'!$A$2," ",'Bundle Tag Info'!$A$3,CHAR(10),'Bundle Tag Info'!D$6,CHAR(10),'Bundle Tag Info'!D$14),"")</f>
        <v/>
      </c>
      <c r="E9" s="16" t="str">
        <f>IF('Bundle Tag Info'!E$14&lt;&gt;"",CONCATENATE('Bundle Tag Info'!$A$1," ",CHAR(10),'Bundle Tag Info'!$A$2," ",'Bundle Tag Info'!$A$3,CHAR(10),'Bundle Tag Info'!E$6,CHAR(10),'Bundle Tag Info'!E$14),"")</f>
        <v>KOC-JPF #1 
4P101 C.1
A
UJ</v>
      </c>
      <c r="F9" s="16" t="str">
        <f>IF('Bundle Tag Info'!F$14&lt;&gt;"",CONCATENATE('Bundle Tag Info'!$A$1," ",CHAR(10),'Bundle Tag Info'!$A$2," ",'Bundle Tag Info'!$A$3,CHAR(10),'Bundle Tag Info'!F$6,CHAR(10),'Bundle Tag Info'!F$14),"")</f>
        <v>KOC-JPF #1 
4P101 C.1
B
KA A2</v>
      </c>
      <c r="G9" s="16" t="str">
        <f>IF('Bundle Tag Info'!G$14&lt;&gt;"",CONCATENATE('Bundle Tag Info'!$A$1," ",CHAR(10),'Bundle Tag Info'!$A$2," ",'Bundle Tag Info'!$A$3,CHAR(10),'Bundle Tag Info'!G$6,CHAR(10),'Bundle Tag Info'!G$14),"")</f>
        <v/>
      </c>
      <c r="H9" s="16" t="str">
        <f>IF('Bundle Tag Info'!H$14&lt;&gt;"",CONCATENATE('Bundle Tag Info'!$A$1," ",CHAR(10),'Bundle Tag Info'!$A$2," ",'Bundle Tag Info'!$A$3,CHAR(10),'Bundle Tag Info'!H$6,CHAR(10),'Bundle Tag Info'!H$14),"")</f>
        <v>KOC-JPF #1 
4P101 C.1
FG&amp;E
UV</v>
      </c>
      <c r="I9" s="16" t="str">
        <f>IF('Bundle Tag Info'!I$14&lt;&gt;"",CONCATENATE('Bundle Tag Info'!$A$1," ",CHAR(10),'Bundle Tag Info'!$A$2," ",'Bundle Tag Info'!$A$3,CHAR(10),'Bundle Tag Info'!I$6,CHAR(10),'Bundle Tag Info'!I$14),"")</f>
        <v>KOC-JPF #1 
4P101 C.1
GEN
KA</v>
      </c>
      <c r="J9" s="16" t="str">
        <f>IF('Bundle Tag Info'!J$14&lt;&gt;"",CONCATENATE('Bundle Tag Info'!$A$1," ",CHAR(10),'Bundle Tag Info'!$A$2," ",'Bundle Tag Info'!$A$3,CHAR(10),'Bundle Tag Info'!J$6,CHAR(10),'Bundle Tag Info'!J$14),"")</f>
        <v/>
      </c>
      <c r="K9" s="16" t="str">
        <f>IF('Bundle Tag Info'!K$14&lt;&gt;"",CONCATENATE('Bundle Tag Info'!$A$1," ",CHAR(10),'Bundle Tag Info'!$A$2," ",'Bundle Tag Info'!$A$3,CHAR(10),'Bundle Tag Info'!K$6,CHAR(10),'Bundle Tag Info'!K$14),"")</f>
        <v/>
      </c>
      <c r="L9" s="16" t="str">
        <f>IF('Bundle Tag Info'!L$14&lt;&gt;"",CONCATENATE('Bundle Tag Info'!$A$1," ",CHAR(10),'Bundle Tag Info'!$A$2," ",'Bundle Tag Info'!$A$3,CHAR(10),'Bundle Tag Info'!L$6,CHAR(10),'Bundle Tag Info'!L$14),"")</f>
        <v/>
      </c>
      <c r="M9" s="16" t="str">
        <f>IF('Bundle Tag Info'!M$14&lt;&gt;"",CONCATENATE('Bundle Tag Info'!$A$1," ",CHAR(10),'Bundle Tag Info'!$A$2," ",'Bundle Tag Info'!$A$3,CHAR(10),'Bundle Tag Info'!M$6,CHAR(10),'Bundle Tag Info'!M$14),"")</f>
        <v/>
      </c>
      <c r="N9" s="16" t="str">
        <f>IF('Bundle Tag Info'!N$14&lt;&gt;"",CONCATENATE('Bundle Tag Info'!$A$1," ",CHAR(10),'Bundle Tag Info'!$A$2," ",'Bundle Tag Info'!$A$3,CHAR(10),'Bundle Tag Info'!N$6,CHAR(10),'Bundle Tag Info'!N$14),"")</f>
        <v/>
      </c>
      <c r="O9" s="16" t="str">
        <f>IF('Bundle Tag Info'!O$14&lt;&gt;"",CONCATENATE('Bundle Tag Info'!$A$1," ",CHAR(10),'Bundle Tag Info'!$A$2," ",'Bundle Tag Info'!$A$3,CHAR(10),'Bundle Tag Info'!O$6,CHAR(10),'Bundle Tag Info'!O$14),"")</f>
        <v/>
      </c>
      <c r="P9" s="16" t="str">
        <f>IF('Bundle Tag Info'!P$14&lt;&gt;"",CONCATENATE('Bundle Tag Info'!$A$1," ",CHAR(10),'Bundle Tag Info'!$A$2," ",'Bundle Tag Info'!$A$3,CHAR(10),'Bundle Tag Info'!P$6,CHAR(10),'Bundle Tag Info'!P$14),"")</f>
        <v/>
      </c>
      <c r="Q9" s="16" t="str">
        <f>IF('Bundle Tag Info'!Q$14&lt;&gt;"",CONCATENATE('Bundle Tag Info'!$A$1," ",CHAR(10),'Bundle Tag Info'!$A$2," ",'Bundle Tag Info'!$A$3,CHAR(10),'Bundle Tag Info'!Q$6,CHAR(10),'Bundle Tag Info'!Q$14),"")</f>
        <v/>
      </c>
      <c r="R9" s="16" t="str">
        <f>IF('Bundle Tag Info'!R$14&lt;&gt;"",CONCATENATE('Bundle Tag Info'!$A$1," ",CHAR(10),'Bundle Tag Info'!$A$2," ",'Bundle Tag Info'!$A$3,CHAR(10),'Bundle Tag Info'!R$6,CHAR(10),'Bundle Tag Info'!R$14),"")</f>
        <v/>
      </c>
      <c r="S9" s="16" t="str">
        <f>IF('Bundle Tag Info'!S$14&lt;&gt;"",CONCATENATE('Bundle Tag Info'!$A$1," ",CHAR(10),'Bundle Tag Info'!$A$2," ",'Bundle Tag Info'!$A$3,CHAR(10),'Bundle Tag Info'!S$6,CHAR(10),'Bundle Tag Info'!S$14),"")</f>
        <v/>
      </c>
      <c r="T9" s="16" t="str">
        <f>IF('Bundle Tag Info'!T$14&lt;&gt;"",CONCATENATE('Bundle Tag Info'!$A$1," ",CHAR(10),'Bundle Tag Info'!$A$2," ",'Bundle Tag Info'!$A$3,CHAR(10),'Bundle Tag Info'!T$6,CHAR(10),'Bundle Tag Info'!T$14),"")</f>
        <v/>
      </c>
      <c r="U9" s="16" t="str">
        <f>IF('Bundle Tag Info'!U$14&lt;&gt;"",CONCATENATE('Bundle Tag Info'!$A$1," ",CHAR(10),'Bundle Tag Info'!$A$2," ",'Bundle Tag Info'!$A$3,CHAR(10),'Bundle Tag Info'!U$6,CHAR(10),'Bundle Tag Info'!U$14),"")</f>
        <v/>
      </c>
      <c r="V9" s="16" t="str">
        <f>IF('Bundle Tag Info'!V$14&lt;&gt;"",CONCATENATE('Bundle Tag Info'!$A$1," ",CHAR(10),'Bundle Tag Info'!$A$2," ",'Bundle Tag Info'!$A$3,CHAR(10),'Bundle Tag Info'!V$6,CHAR(10),'Bundle Tag Info'!V$14),"")</f>
        <v/>
      </c>
      <c r="W9" s="16" t="str">
        <f>IF('Bundle Tag Info'!W$14&lt;&gt;"",CONCATENATE('Bundle Tag Info'!$A$1," ",CHAR(10),'Bundle Tag Info'!$A$2," ",'Bundle Tag Info'!$A$3,CHAR(10),'Bundle Tag Info'!W$6,CHAR(10),'Bundle Tag Info'!W$14),"")</f>
        <v/>
      </c>
      <c r="X9" s="16" t="str">
        <f>IF('Bundle Tag Info'!X$14&lt;&gt;"",CONCATENATE('Bundle Tag Info'!$A$1," ",CHAR(10),'Bundle Tag Info'!$A$2," ",'Bundle Tag Info'!$A$3,CHAR(10),'Bundle Tag Info'!X$6,CHAR(10),'Bundle Tag Info'!X$14),"")</f>
        <v/>
      </c>
      <c r="Y9" s="16" t="str">
        <f>IF('Bundle Tag Info'!Y$14&lt;&gt;"",CONCATENATE('Bundle Tag Info'!$A$1," ",CHAR(10),'Bundle Tag Info'!$A$2," ",'Bundle Tag Info'!$A$3,CHAR(10),'Bundle Tag Info'!Y$6,CHAR(10),'Bundle Tag Info'!Y$14),"")</f>
        <v/>
      </c>
      <c r="Z9" s="16" t="str">
        <f>IF('Bundle Tag Info'!Z$14&lt;&gt;"",CONCATENATE('Bundle Tag Info'!$A$1," ",CHAR(10),'Bundle Tag Info'!$A$2," ",'Bundle Tag Info'!$A$3,CHAR(10),'Bundle Tag Info'!Z$6,CHAR(10),'Bundle Tag Info'!Z$14),"")</f>
        <v/>
      </c>
      <c r="AA9" s="16" t="str">
        <f>IF('Bundle Tag Info'!AA$14&lt;&gt;"",CONCATENATE('Bundle Tag Info'!$A$1," ",CHAR(10),'Bundle Tag Info'!$A$2," ",'Bundle Tag Info'!$A$3,CHAR(10),'Bundle Tag Info'!AA$6,CHAR(10),'Bundle Tag Info'!AA$14),"")</f>
        <v/>
      </c>
      <c r="AB9" s="16" t="str">
        <f>IF('Bundle Tag Info'!AB$14&lt;&gt;"",CONCATENATE('Bundle Tag Info'!$A$1," ",CHAR(10),'Bundle Tag Info'!$A$2," ",'Bundle Tag Info'!$A$3,CHAR(10),'Bundle Tag Info'!AB$6,CHAR(10),'Bundle Tag Info'!AB$14),"")</f>
        <v/>
      </c>
      <c r="AC9" s="16" t="str">
        <f>IF('Bundle Tag Info'!AC$14&lt;&gt;"",CONCATENATE('Bundle Tag Info'!$A$1," ",CHAR(10),'Bundle Tag Info'!$A$2," ",'Bundle Tag Info'!$A$3,CHAR(10),'Bundle Tag Info'!AC$6,CHAR(10),'Bundle Tag Info'!AC$14),"")</f>
        <v/>
      </c>
      <c r="AD9" s="16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6" t="str">
        <f>IF('Bundle Tag Info'!A$15&lt;&gt;"",CONCATENATE('Bundle Tag Info'!$A$1," ",CHAR(10),'Bundle Tag Info'!$A$2," ",'Bundle Tag Info'!$A$3,CHAR(10),'Bundle Tag Info'!A$6,CHAR(10),'Bundle Tag Info'!A$15),"")</f>
        <v>KOC-JPF #1 
4P101 C.1
JB70 DOOR
SH0470</v>
      </c>
      <c r="B10" s="16" t="str">
        <f>IF('Bundle Tag Info'!B$15&lt;&gt;"",CONCATENATE('Bundle Tag Info'!$A$1," ",CHAR(10),'Bundle Tag Info'!$A$2," ",'Bundle Tag Info'!$A$3,CHAR(10),'Bundle Tag Info'!B$6,CHAR(10),'Bundle Tag Info'!B$15),"")</f>
        <v/>
      </c>
      <c r="C10" s="16" t="str">
        <f>IF('Bundle Tag Info'!C$15&lt;&gt;"",CONCATENATE('Bundle Tag Info'!$A$1," ",CHAR(10),'Bundle Tag Info'!$A$2," ",'Bundle Tag Info'!$A$3,CHAR(10),'Bundle Tag Info'!C$6,CHAR(10),'Bundle Tag Info'!C$15),"")</f>
        <v/>
      </c>
      <c r="D10" s="16" t="str">
        <f>IF('Bundle Tag Info'!D$15&lt;&gt;"",CONCATENATE('Bundle Tag Info'!$A$1," ",CHAR(10),'Bundle Tag Info'!$A$2," ",'Bundle Tag Info'!$A$3,CHAR(10),'Bundle Tag Info'!D$6,CHAR(10),'Bundle Tag Info'!D$15),"")</f>
        <v/>
      </c>
      <c r="E10" s="16" t="str">
        <f>IF('Bundle Tag Info'!E$15&lt;&gt;"",CONCATENATE('Bundle Tag Info'!$A$1," ",CHAR(10),'Bundle Tag Info'!$A$2," ",'Bundle Tag Info'!$A$3,CHAR(10),'Bundle Tag Info'!E$6,CHAR(10),'Bundle Tag Info'!E$15),"")</f>
        <v>KOC-JPF #1 
4P101 C.1
A
XT</v>
      </c>
      <c r="F10" s="16" t="str">
        <f>IF('Bundle Tag Info'!F$15&lt;&gt;"",CONCATENATE('Bundle Tag Info'!$A$1," ",CHAR(10),'Bundle Tag Info'!$A$2," ",'Bundle Tag Info'!$A$3,CHAR(10),'Bundle Tag Info'!F$6,CHAR(10),'Bundle Tag Info'!F$15),"")</f>
        <v>KOC-JPF #1 
4P101 C.1
B
KA</v>
      </c>
      <c r="G10" s="16" t="str">
        <f>IF('Bundle Tag Info'!G$15&lt;&gt;"",CONCATENATE('Bundle Tag Info'!$A$1," ",CHAR(10),'Bundle Tag Info'!$A$2," ",'Bundle Tag Info'!$A$3,CHAR(10),'Bundle Tag Info'!G$6,CHAR(10),'Bundle Tag Info'!G$15),"")</f>
        <v/>
      </c>
      <c r="H10" s="16" t="str">
        <f>IF('Bundle Tag Info'!H$15&lt;&gt;"",CONCATENATE('Bundle Tag Info'!$A$1," ",CHAR(10),'Bundle Tag Info'!$A$2," ",'Bundle Tag Info'!$A$3,CHAR(10),'Bundle Tag Info'!H$6,CHAR(10),'Bundle Tag Info'!H$15),"")</f>
        <v>KOC-JPF #1 
4P101 C.1
FG&amp;E
VD</v>
      </c>
      <c r="I10" s="16" t="str">
        <f>IF('Bundle Tag Info'!I$15&lt;&gt;"",CONCATENATE('Bundle Tag Info'!$A$1," ",CHAR(10),'Bundle Tag Info'!$A$2," ",'Bundle Tag Info'!$A$3,CHAR(10),'Bundle Tag Info'!I$6,CHAR(10),'Bundle Tag Info'!I$15),"")</f>
        <v/>
      </c>
      <c r="J10" s="16" t="str">
        <f>IF('Bundle Tag Info'!J$15&lt;&gt;"",CONCATENATE('Bundle Tag Info'!$A$1," ",CHAR(10),'Bundle Tag Info'!$A$2," ",'Bundle Tag Info'!$A$3,CHAR(10),'Bundle Tag Info'!J$6,CHAR(10),'Bundle Tag Info'!J$15),"")</f>
        <v/>
      </c>
      <c r="K10" s="16" t="str">
        <f>IF('Bundle Tag Info'!K$15&lt;&gt;"",CONCATENATE('Bundle Tag Info'!$A$1," ",CHAR(10),'Bundle Tag Info'!$A$2," ",'Bundle Tag Info'!$A$3,CHAR(10),'Bundle Tag Info'!K$6,CHAR(10),'Bundle Tag Info'!K$15),"")</f>
        <v/>
      </c>
      <c r="L10" s="16" t="str">
        <f>IF('Bundle Tag Info'!L$15&lt;&gt;"",CONCATENATE('Bundle Tag Info'!$A$1," ",CHAR(10),'Bundle Tag Info'!$A$2," ",'Bundle Tag Info'!$A$3,CHAR(10),'Bundle Tag Info'!L$6,CHAR(10),'Bundle Tag Info'!L$15),"")</f>
        <v/>
      </c>
      <c r="M10" s="16" t="str">
        <f>IF('Bundle Tag Info'!M$15&lt;&gt;"",CONCATENATE('Bundle Tag Info'!$A$1," ",CHAR(10),'Bundle Tag Info'!$A$2," ",'Bundle Tag Info'!$A$3,CHAR(10),'Bundle Tag Info'!M$6,CHAR(10),'Bundle Tag Info'!M$15),"")</f>
        <v/>
      </c>
      <c r="N10" s="16" t="str">
        <f>IF('Bundle Tag Info'!N$15&lt;&gt;"",CONCATENATE('Bundle Tag Info'!$A$1," ",CHAR(10),'Bundle Tag Info'!$A$2," ",'Bundle Tag Info'!$A$3,CHAR(10),'Bundle Tag Info'!N$6,CHAR(10),'Bundle Tag Info'!N$15),"")</f>
        <v/>
      </c>
      <c r="O10" s="16" t="str">
        <f>IF('Bundle Tag Info'!O$15&lt;&gt;"",CONCATENATE('Bundle Tag Info'!$A$1," ",CHAR(10),'Bundle Tag Info'!$A$2," ",'Bundle Tag Info'!$A$3,CHAR(10),'Bundle Tag Info'!O$6,CHAR(10),'Bundle Tag Info'!O$15),"")</f>
        <v/>
      </c>
      <c r="P10" s="16" t="str">
        <f>IF('Bundle Tag Info'!P$15&lt;&gt;"",CONCATENATE('Bundle Tag Info'!$A$1," ",CHAR(10),'Bundle Tag Info'!$A$2," ",'Bundle Tag Info'!$A$3,CHAR(10),'Bundle Tag Info'!P$6,CHAR(10),'Bundle Tag Info'!P$15),"")</f>
        <v/>
      </c>
      <c r="Q10" s="16" t="str">
        <f>IF('Bundle Tag Info'!Q$15&lt;&gt;"",CONCATENATE('Bundle Tag Info'!$A$1," ",CHAR(10),'Bundle Tag Info'!$A$2," ",'Bundle Tag Info'!$A$3,CHAR(10),'Bundle Tag Info'!Q$6,CHAR(10),'Bundle Tag Info'!Q$15),"")</f>
        <v/>
      </c>
      <c r="R10" s="16" t="str">
        <f>IF('Bundle Tag Info'!R$15&lt;&gt;"",CONCATENATE('Bundle Tag Info'!$A$1," ",CHAR(10),'Bundle Tag Info'!$A$2," ",'Bundle Tag Info'!$A$3,CHAR(10),'Bundle Tag Info'!R$6,CHAR(10),'Bundle Tag Info'!R$15),"")</f>
        <v/>
      </c>
      <c r="S10" s="16" t="str">
        <f>IF('Bundle Tag Info'!S$15&lt;&gt;"",CONCATENATE('Bundle Tag Info'!$A$1," ",CHAR(10),'Bundle Tag Info'!$A$2," ",'Bundle Tag Info'!$A$3,CHAR(10),'Bundle Tag Info'!S$6,CHAR(10),'Bundle Tag Info'!S$15),"")</f>
        <v/>
      </c>
      <c r="T10" s="16" t="str">
        <f>IF('Bundle Tag Info'!T$15&lt;&gt;"",CONCATENATE('Bundle Tag Info'!$A$1," ",CHAR(10),'Bundle Tag Info'!$A$2," ",'Bundle Tag Info'!$A$3,CHAR(10),'Bundle Tag Info'!T$6,CHAR(10),'Bundle Tag Info'!T$15),"")</f>
        <v/>
      </c>
      <c r="U10" s="16" t="str">
        <f>IF('Bundle Tag Info'!U$15&lt;&gt;"",CONCATENATE('Bundle Tag Info'!$A$1," ",CHAR(10),'Bundle Tag Info'!$A$2," ",'Bundle Tag Info'!$A$3,CHAR(10),'Bundle Tag Info'!U$6,CHAR(10),'Bundle Tag Info'!U$15),"")</f>
        <v/>
      </c>
      <c r="V10" s="16" t="str">
        <f>IF('Bundle Tag Info'!V$15&lt;&gt;"",CONCATENATE('Bundle Tag Info'!$A$1," ",CHAR(10),'Bundle Tag Info'!$A$2," ",'Bundle Tag Info'!$A$3,CHAR(10),'Bundle Tag Info'!V$6,CHAR(10),'Bundle Tag Info'!V$15),"")</f>
        <v/>
      </c>
      <c r="W10" s="16" t="str">
        <f>IF('Bundle Tag Info'!W$15&lt;&gt;"",CONCATENATE('Bundle Tag Info'!$A$1," ",CHAR(10),'Bundle Tag Info'!$A$2," ",'Bundle Tag Info'!$A$3,CHAR(10),'Bundle Tag Info'!W$6,CHAR(10),'Bundle Tag Info'!W$15),"")</f>
        <v/>
      </c>
      <c r="X10" s="16" t="str">
        <f>IF('Bundle Tag Info'!X$15&lt;&gt;"",CONCATENATE('Bundle Tag Info'!$A$1," ",CHAR(10),'Bundle Tag Info'!$A$2," ",'Bundle Tag Info'!$A$3,CHAR(10),'Bundle Tag Info'!X$6,CHAR(10),'Bundle Tag Info'!X$15),"")</f>
        <v/>
      </c>
      <c r="Y10" s="16" t="str">
        <f>IF('Bundle Tag Info'!Y$15&lt;&gt;"",CONCATENATE('Bundle Tag Info'!$A$1," ",CHAR(10),'Bundle Tag Info'!$A$2," ",'Bundle Tag Info'!$A$3,CHAR(10),'Bundle Tag Info'!Y$6,CHAR(10),'Bundle Tag Info'!Y$15),"")</f>
        <v/>
      </c>
      <c r="Z10" s="16" t="str">
        <f>IF('Bundle Tag Info'!Z$15&lt;&gt;"",CONCATENATE('Bundle Tag Info'!$A$1," ",CHAR(10),'Bundle Tag Info'!$A$2," ",'Bundle Tag Info'!$A$3,CHAR(10),'Bundle Tag Info'!Z$6,CHAR(10),'Bundle Tag Info'!Z$15),"")</f>
        <v/>
      </c>
      <c r="AA10" s="16" t="str">
        <f>IF('Bundle Tag Info'!AA$15&lt;&gt;"",CONCATENATE('Bundle Tag Info'!$A$1," ",CHAR(10),'Bundle Tag Info'!$A$2," ",'Bundle Tag Info'!$A$3,CHAR(10),'Bundle Tag Info'!AA$6,CHAR(10),'Bundle Tag Info'!AA$15),"")</f>
        <v/>
      </c>
      <c r="AB10" s="16" t="str">
        <f>IF('Bundle Tag Info'!AB$15&lt;&gt;"",CONCATENATE('Bundle Tag Info'!$A$1," ",CHAR(10),'Bundle Tag Info'!$A$2," ",'Bundle Tag Info'!$A$3,CHAR(10),'Bundle Tag Info'!AB$6,CHAR(10),'Bundle Tag Info'!AB$15),"")</f>
        <v/>
      </c>
      <c r="AC10" s="16" t="str">
        <f>IF('Bundle Tag Info'!AC$15&lt;&gt;"",CONCATENATE('Bundle Tag Info'!$A$1," ",CHAR(10),'Bundle Tag Info'!$A$2," ",'Bundle Tag Info'!$A$3,CHAR(10),'Bundle Tag Info'!AC$6,CHAR(10),'Bundle Tag Info'!AC$15),"")</f>
        <v/>
      </c>
      <c r="AD10" s="1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6" t="str">
        <f>IF('Bundle Tag Info'!A$16&lt;&gt;"",CONCATENATE('Bundle Tag Info'!$A$1," ",CHAR(10),'Bundle Tag Info'!$A$2," ",'Bundle Tag Info'!$A$3,CHAR(10),'Bundle Tag Info'!A$6,CHAR(10),'Bundle Tag Info'!A$16),"")</f>
        <v>KOC-JPF #1 
4P101 C.1
JB70 DOOR
SH0471</v>
      </c>
      <c r="B11" s="16" t="str">
        <f>IF('Bundle Tag Info'!B$16&lt;&gt;"",CONCATENATE('Bundle Tag Info'!$A$1," ",CHAR(10),'Bundle Tag Info'!$A$2," ",'Bundle Tag Info'!$A$3,CHAR(10),'Bundle Tag Info'!B$6,CHAR(10),'Bundle Tag Info'!B$16),"")</f>
        <v/>
      </c>
      <c r="C11" s="16" t="str">
        <f>IF('Bundle Tag Info'!C$16&lt;&gt;"",CONCATENATE('Bundle Tag Info'!$A$1," ",CHAR(10),'Bundle Tag Info'!$A$2," ",'Bundle Tag Info'!$A$3,CHAR(10),'Bundle Tag Info'!C$6,CHAR(10),'Bundle Tag Info'!C$16),"")</f>
        <v/>
      </c>
      <c r="D11" s="16" t="str">
        <f>IF('Bundle Tag Info'!D$16&lt;&gt;"",CONCATENATE('Bundle Tag Info'!$A$1," ",CHAR(10),'Bundle Tag Info'!$A$2," ",'Bundle Tag Info'!$A$3,CHAR(10),'Bundle Tag Info'!D$6,CHAR(10),'Bundle Tag Info'!D$16),"")</f>
        <v/>
      </c>
      <c r="E11" s="16" t="str">
        <f>IF('Bundle Tag Info'!E$16&lt;&gt;"",CONCATENATE('Bundle Tag Info'!$A$1," ",CHAR(10),'Bundle Tag Info'!$A$2," ",'Bundle Tag Info'!$A$3,CHAR(10),'Bundle Tag Info'!E$6,CHAR(10),'Bundle Tag Info'!E$16),"")</f>
        <v>KOC-JPF #1 
4P101 C.1
A
FU/AF-B</v>
      </c>
      <c r="F11" s="16" t="str">
        <f>IF('Bundle Tag Info'!F$16&lt;&gt;"",CONCATENATE('Bundle Tag Info'!$A$1," ",CHAR(10),'Bundle Tag Info'!$A$2," ",'Bundle Tag Info'!$A$3,CHAR(10),'Bundle Tag Info'!F$6,CHAR(10),'Bundle Tag Info'!F$16),"")</f>
        <v>KOC-JPF #1 
4P101 C.1
B
KT L/S</v>
      </c>
      <c r="G11" s="16" t="str">
        <f>IF('Bundle Tag Info'!G$16&lt;&gt;"",CONCATENATE('Bundle Tag Info'!$A$1," ",CHAR(10),'Bundle Tag Info'!$A$2," ",'Bundle Tag Info'!$A$3,CHAR(10),'Bundle Tag Info'!G$6,CHAR(10),'Bundle Tag Info'!G$16),"")</f>
        <v/>
      </c>
      <c r="H11" s="16" t="str">
        <f>IF('Bundle Tag Info'!H$16&lt;&gt;"",CONCATENATE('Bundle Tag Info'!$A$1," ",CHAR(10),'Bundle Tag Info'!$A$2," ",'Bundle Tag Info'!$A$3,CHAR(10),'Bundle Tag Info'!H$6,CHAR(10),'Bundle Tag Info'!H$16),"")</f>
        <v>KOC-JPF #1 
4P101 C.1
FG&amp;E
XT</v>
      </c>
      <c r="I11" s="16" t="str">
        <f>IF('Bundle Tag Info'!I$16&lt;&gt;"",CONCATENATE('Bundle Tag Info'!$A$1," ",CHAR(10),'Bundle Tag Info'!$A$2," ",'Bundle Tag Info'!$A$3,CHAR(10),'Bundle Tag Info'!I$6,CHAR(10),'Bundle Tag Info'!I$16),"")</f>
        <v/>
      </c>
      <c r="J11" s="16" t="str">
        <f>IF('Bundle Tag Info'!J$16&lt;&gt;"",CONCATENATE('Bundle Tag Info'!$A$1," ",CHAR(10),'Bundle Tag Info'!$A$2," ",'Bundle Tag Info'!$A$3,CHAR(10),'Bundle Tag Info'!J$6,CHAR(10),'Bundle Tag Info'!J$16),"")</f>
        <v/>
      </c>
      <c r="K11" s="16" t="str">
        <f>IF('Bundle Tag Info'!K$16&lt;&gt;"",CONCATENATE('Bundle Tag Info'!$A$1," ",CHAR(10),'Bundle Tag Info'!$A$2," ",'Bundle Tag Info'!$A$3,CHAR(10),'Bundle Tag Info'!K$6,CHAR(10),'Bundle Tag Info'!K$16),"")</f>
        <v/>
      </c>
      <c r="L11" s="16" t="str">
        <f>IF('Bundle Tag Info'!L$16&lt;&gt;"",CONCATENATE('Bundle Tag Info'!$A$1," ",CHAR(10),'Bundle Tag Info'!$A$2," ",'Bundle Tag Info'!$A$3,CHAR(10),'Bundle Tag Info'!L$6,CHAR(10),'Bundle Tag Info'!L$16),"")</f>
        <v/>
      </c>
      <c r="M11" s="16" t="str">
        <f>IF('Bundle Tag Info'!M$16&lt;&gt;"",CONCATENATE('Bundle Tag Info'!$A$1," ",CHAR(10),'Bundle Tag Info'!$A$2," ",'Bundle Tag Info'!$A$3,CHAR(10),'Bundle Tag Info'!M$6,CHAR(10),'Bundle Tag Info'!M$16),"")</f>
        <v/>
      </c>
      <c r="N11" s="16" t="str">
        <f>IF('Bundle Tag Info'!N$16&lt;&gt;"",CONCATENATE('Bundle Tag Info'!$A$1," ",CHAR(10),'Bundle Tag Info'!$A$2," ",'Bundle Tag Info'!$A$3,CHAR(10),'Bundle Tag Info'!N$6,CHAR(10),'Bundle Tag Info'!N$16),"")</f>
        <v/>
      </c>
      <c r="O11" s="16" t="str">
        <f>IF('Bundle Tag Info'!O$16&lt;&gt;"",CONCATENATE('Bundle Tag Info'!$A$1," ",CHAR(10),'Bundle Tag Info'!$A$2," ",'Bundle Tag Info'!$A$3,CHAR(10),'Bundle Tag Info'!O$6,CHAR(10),'Bundle Tag Info'!O$16),"")</f>
        <v/>
      </c>
      <c r="P11" s="16" t="str">
        <f>IF('Bundle Tag Info'!P$16&lt;&gt;"",CONCATENATE('Bundle Tag Info'!$A$1," ",CHAR(10),'Bundle Tag Info'!$A$2," ",'Bundle Tag Info'!$A$3,CHAR(10),'Bundle Tag Info'!P$6,CHAR(10),'Bundle Tag Info'!P$16),"")</f>
        <v/>
      </c>
      <c r="Q11" s="16" t="str">
        <f>IF('Bundle Tag Info'!Q$16&lt;&gt;"",CONCATENATE('Bundle Tag Info'!$A$1," ",CHAR(10),'Bundle Tag Info'!$A$2," ",'Bundle Tag Info'!$A$3,CHAR(10),'Bundle Tag Info'!Q$6,CHAR(10),'Bundle Tag Info'!Q$16),"")</f>
        <v/>
      </c>
      <c r="R11" s="16" t="str">
        <f>IF('Bundle Tag Info'!R$16&lt;&gt;"",CONCATENATE('Bundle Tag Info'!$A$1," ",CHAR(10),'Bundle Tag Info'!$A$2," ",'Bundle Tag Info'!$A$3,CHAR(10),'Bundle Tag Info'!R$6,CHAR(10),'Bundle Tag Info'!R$16),"")</f>
        <v/>
      </c>
      <c r="S11" s="16" t="str">
        <f>IF('Bundle Tag Info'!S$16&lt;&gt;"",CONCATENATE('Bundle Tag Info'!$A$1," ",CHAR(10),'Bundle Tag Info'!$A$2," ",'Bundle Tag Info'!$A$3,CHAR(10),'Bundle Tag Info'!S$6,CHAR(10),'Bundle Tag Info'!S$16),"")</f>
        <v/>
      </c>
      <c r="T11" s="16" t="str">
        <f>IF('Bundle Tag Info'!T$16&lt;&gt;"",CONCATENATE('Bundle Tag Info'!$A$1," ",CHAR(10),'Bundle Tag Info'!$A$2," ",'Bundle Tag Info'!$A$3,CHAR(10),'Bundle Tag Info'!T$6,CHAR(10),'Bundle Tag Info'!T$16),"")</f>
        <v/>
      </c>
      <c r="U11" s="16" t="str">
        <f>IF('Bundle Tag Info'!U$16&lt;&gt;"",CONCATENATE('Bundle Tag Info'!$A$1," ",CHAR(10),'Bundle Tag Info'!$A$2," ",'Bundle Tag Info'!$A$3,CHAR(10),'Bundle Tag Info'!U$6,CHAR(10),'Bundle Tag Info'!U$16),"")</f>
        <v/>
      </c>
      <c r="V11" s="16" t="str">
        <f>IF('Bundle Tag Info'!V$16&lt;&gt;"",CONCATENATE('Bundle Tag Info'!$A$1," ",CHAR(10),'Bundle Tag Info'!$A$2," ",'Bundle Tag Info'!$A$3,CHAR(10),'Bundle Tag Info'!V$6,CHAR(10),'Bundle Tag Info'!V$16),"")</f>
        <v/>
      </c>
      <c r="W11" s="16" t="str">
        <f>IF('Bundle Tag Info'!W$16&lt;&gt;"",CONCATENATE('Bundle Tag Info'!$A$1," ",CHAR(10),'Bundle Tag Info'!$A$2," ",'Bundle Tag Info'!$A$3,CHAR(10),'Bundle Tag Info'!W$6,CHAR(10),'Bundle Tag Info'!W$16),"")</f>
        <v/>
      </c>
      <c r="X11" s="16" t="str">
        <f>IF('Bundle Tag Info'!X$16&lt;&gt;"",CONCATENATE('Bundle Tag Info'!$A$1," ",CHAR(10),'Bundle Tag Info'!$A$2," ",'Bundle Tag Info'!$A$3,CHAR(10),'Bundle Tag Info'!X$6,CHAR(10),'Bundle Tag Info'!X$16),"")</f>
        <v/>
      </c>
      <c r="Y11" s="16" t="str">
        <f>IF('Bundle Tag Info'!Y$16&lt;&gt;"",CONCATENATE('Bundle Tag Info'!$A$1," ",CHAR(10),'Bundle Tag Info'!$A$2," ",'Bundle Tag Info'!$A$3,CHAR(10),'Bundle Tag Info'!Y$6,CHAR(10),'Bundle Tag Info'!Y$16),"")</f>
        <v/>
      </c>
      <c r="Z11" s="16" t="str">
        <f>IF('Bundle Tag Info'!Z$16&lt;&gt;"",CONCATENATE('Bundle Tag Info'!$A$1," ",CHAR(10),'Bundle Tag Info'!$A$2," ",'Bundle Tag Info'!$A$3,CHAR(10),'Bundle Tag Info'!Z$6,CHAR(10),'Bundle Tag Info'!Z$16),"")</f>
        <v/>
      </c>
      <c r="AA11" s="16" t="str">
        <f>IF('Bundle Tag Info'!AA$16&lt;&gt;"",CONCATENATE('Bundle Tag Info'!$A$1," ",CHAR(10),'Bundle Tag Info'!$A$2," ",'Bundle Tag Info'!$A$3,CHAR(10),'Bundle Tag Info'!AA$6,CHAR(10),'Bundle Tag Info'!AA$16),"")</f>
        <v/>
      </c>
      <c r="AB11" s="16" t="str">
        <f>IF('Bundle Tag Info'!AB$16&lt;&gt;"",CONCATENATE('Bundle Tag Info'!$A$1," ",CHAR(10),'Bundle Tag Info'!$A$2," ",'Bundle Tag Info'!$A$3,CHAR(10),'Bundle Tag Info'!AB$6,CHAR(10),'Bundle Tag Info'!AB$16),"")</f>
        <v/>
      </c>
      <c r="AC11" s="16" t="str">
        <f>IF('Bundle Tag Info'!AC$16&lt;&gt;"",CONCATENATE('Bundle Tag Info'!$A$1," ",CHAR(10),'Bundle Tag Info'!$A$2," ",'Bundle Tag Info'!$A$3,CHAR(10),'Bundle Tag Info'!AC$6,CHAR(10),'Bundle Tag Info'!AC$16),"")</f>
        <v/>
      </c>
      <c r="AD11" s="1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6" t="str">
        <f>IF('Bundle Tag Info'!A$17&lt;&gt;"",CONCATENATE('Bundle Tag Info'!$A$1," ",CHAR(10),'Bundle Tag Info'!$A$2," ",'Bundle Tag Info'!$A$3,CHAR(10),'Bundle Tag Info'!A$6,CHAR(10),'Bundle Tag Info'!A$17),"")</f>
        <v>KOC-JPF #1 
4P101 C.1
JB70 DOOR
SH0472</v>
      </c>
      <c r="B12" s="16" t="str">
        <f>IF('Bundle Tag Info'!B$17&lt;&gt;"",CONCATENATE('Bundle Tag Info'!$A$1," ",CHAR(10),'Bundle Tag Info'!$A$2," ",'Bundle Tag Info'!$A$3,CHAR(10),'Bundle Tag Info'!B$6,CHAR(10),'Bundle Tag Info'!B$17),"")</f>
        <v/>
      </c>
      <c r="C12" s="16" t="str">
        <f>IF('Bundle Tag Info'!C$17&lt;&gt;"",CONCATENATE('Bundle Tag Info'!$A$1," ",CHAR(10),'Bundle Tag Info'!$A$2," ",'Bundle Tag Info'!$A$3,CHAR(10),'Bundle Tag Info'!C$6,CHAR(10),'Bundle Tag Info'!C$17),"")</f>
        <v/>
      </c>
      <c r="D12" s="16" t="str">
        <f>IF('Bundle Tag Info'!D$17&lt;&gt;"",CONCATENATE('Bundle Tag Info'!$A$1," ",CHAR(10),'Bundle Tag Info'!$A$2," ",'Bundle Tag Info'!$A$3,CHAR(10),'Bundle Tag Info'!D$6,CHAR(10),'Bundle Tag Info'!D$17),"")</f>
        <v/>
      </c>
      <c r="E12" s="16" t="str">
        <f>IF('Bundle Tag Info'!E$17&lt;&gt;"",CONCATENATE('Bundle Tag Info'!$A$1," ",CHAR(10),'Bundle Tag Info'!$A$2," ",'Bundle Tag Info'!$A$3,CHAR(10),'Bundle Tag Info'!E$6,CHAR(10),'Bundle Tag Info'!E$17),"")</f>
        <v>KOC-JPF #1 
4P101 C.1
A
KA A1-B</v>
      </c>
      <c r="F12" s="16" t="str">
        <f>IF('Bundle Tag Info'!F$17&lt;&gt;"",CONCATENATE('Bundle Tag Info'!$A$1," ",CHAR(10),'Bundle Tag Info'!$A$2," ",'Bundle Tag Info'!$A$3,CHAR(10),'Bundle Tag Info'!F$6,CHAR(10),'Bundle Tag Info'!F$17),"")</f>
        <v>KOC-JPF #1 
4P101 C.1
B
KT R/S</v>
      </c>
      <c r="G12" s="16" t="str">
        <f>IF('Bundle Tag Info'!G$17&lt;&gt;"",CONCATENATE('Bundle Tag Info'!$A$1," ",CHAR(10),'Bundle Tag Info'!$A$2," ",'Bundle Tag Info'!$A$3,CHAR(10),'Bundle Tag Info'!G$6,CHAR(10),'Bundle Tag Info'!G$17),"")</f>
        <v/>
      </c>
      <c r="H12" s="16" t="str">
        <f>IF('Bundle Tag Info'!H$17&lt;&gt;"",CONCATENATE('Bundle Tag Info'!$A$1," ",CHAR(10),'Bundle Tag Info'!$A$2," ",'Bundle Tag Info'!$A$3,CHAR(10),'Bundle Tag Info'!H$6,CHAR(10),'Bundle Tag Info'!H$17),"")</f>
        <v>KOC-JPF #1 
4P101 C.1
FG&amp;E
KA-GEN</v>
      </c>
      <c r="I12" s="16" t="str">
        <f>IF('Bundle Tag Info'!I$17&lt;&gt;"",CONCATENATE('Bundle Tag Info'!$A$1," ",CHAR(10),'Bundle Tag Info'!$A$2," ",'Bundle Tag Info'!$A$3,CHAR(10),'Bundle Tag Info'!I$6,CHAR(10),'Bundle Tag Info'!I$17),"")</f>
        <v/>
      </c>
      <c r="J12" s="16" t="str">
        <f>IF('Bundle Tag Info'!J$17&lt;&gt;"",CONCATENATE('Bundle Tag Info'!$A$1," ",CHAR(10),'Bundle Tag Info'!$A$2," ",'Bundle Tag Info'!$A$3,CHAR(10),'Bundle Tag Info'!J$6,CHAR(10),'Bundle Tag Info'!J$17),"")</f>
        <v/>
      </c>
      <c r="K12" s="16" t="str">
        <f>IF('Bundle Tag Info'!K$17&lt;&gt;"",CONCATENATE('Bundle Tag Info'!$A$1," ",CHAR(10),'Bundle Tag Info'!$A$2," ",'Bundle Tag Info'!$A$3,CHAR(10),'Bundle Tag Info'!K$6,CHAR(10),'Bundle Tag Info'!K$17),"")</f>
        <v/>
      </c>
      <c r="L12" s="16" t="str">
        <f>IF('Bundle Tag Info'!L$17&lt;&gt;"",CONCATENATE('Bundle Tag Info'!$A$1," ",CHAR(10),'Bundle Tag Info'!$A$2," ",'Bundle Tag Info'!$A$3,CHAR(10),'Bundle Tag Info'!L$6,CHAR(10),'Bundle Tag Info'!L$17),"")</f>
        <v/>
      </c>
      <c r="M12" s="16" t="str">
        <f>IF('Bundle Tag Info'!M$17&lt;&gt;"",CONCATENATE('Bundle Tag Info'!$A$1," ",CHAR(10),'Bundle Tag Info'!$A$2," ",'Bundle Tag Info'!$A$3,CHAR(10),'Bundle Tag Info'!M$6,CHAR(10),'Bundle Tag Info'!M$17),"")</f>
        <v/>
      </c>
      <c r="N12" s="16" t="str">
        <f>IF('Bundle Tag Info'!N$17&lt;&gt;"",CONCATENATE('Bundle Tag Info'!$A$1," ",CHAR(10),'Bundle Tag Info'!$A$2," ",'Bundle Tag Info'!$A$3,CHAR(10),'Bundle Tag Info'!N$6,CHAR(10),'Bundle Tag Info'!N$17),"")</f>
        <v/>
      </c>
      <c r="O12" s="16" t="str">
        <f>IF('Bundle Tag Info'!O$17&lt;&gt;"",CONCATENATE('Bundle Tag Info'!$A$1," ",CHAR(10),'Bundle Tag Info'!$A$2," ",'Bundle Tag Info'!$A$3,CHAR(10),'Bundle Tag Info'!O$6,CHAR(10),'Bundle Tag Info'!O$17),"")</f>
        <v/>
      </c>
      <c r="P12" s="16" t="str">
        <f>IF('Bundle Tag Info'!P$17&lt;&gt;"",CONCATENATE('Bundle Tag Info'!$A$1," ",CHAR(10),'Bundle Tag Info'!$A$2," ",'Bundle Tag Info'!$A$3,CHAR(10),'Bundle Tag Info'!P$6,CHAR(10),'Bundle Tag Info'!P$17),"")</f>
        <v/>
      </c>
      <c r="Q12" s="16" t="str">
        <f>IF('Bundle Tag Info'!Q$17&lt;&gt;"",CONCATENATE('Bundle Tag Info'!$A$1," ",CHAR(10),'Bundle Tag Info'!$A$2," ",'Bundle Tag Info'!$A$3,CHAR(10),'Bundle Tag Info'!Q$6,CHAR(10),'Bundle Tag Info'!Q$17),"")</f>
        <v/>
      </c>
      <c r="R12" s="16" t="str">
        <f>IF('Bundle Tag Info'!R$17&lt;&gt;"",CONCATENATE('Bundle Tag Info'!$A$1," ",CHAR(10),'Bundle Tag Info'!$A$2," ",'Bundle Tag Info'!$A$3,CHAR(10),'Bundle Tag Info'!R$6,CHAR(10),'Bundle Tag Info'!R$17),"")</f>
        <v/>
      </c>
      <c r="S12" s="16" t="str">
        <f>IF('Bundle Tag Info'!S$17&lt;&gt;"",CONCATENATE('Bundle Tag Info'!$A$1," ",CHAR(10),'Bundle Tag Info'!$A$2," ",'Bundle Tag Info'!$A$3,CHAR(10),'Bundle Tag Info'!S$6,CHAR(10),'Bundle Tag Info'!S$17),"")</f>
        <v/>
      </c>
      <c r="T12" s="16" t="str">
        <f>IF('Bundle Tag Info'!T$17&lt;&gt;"",CONCATENATE('Bundle Tag Info'!$A$1," ",CHAR(10),'Bundle Tag Info'!$A$2," ",'Bundle Tag Info'!$A$3,CHAR(10),'Bundle Tag Info'!T$6,CHAR(10),'Bundle Tag Info'!T$17),"")</f>
        <v/>
      </c>
      <c r="U12" s="16" t="str">
        <f>IF('Bundle Tag Info'!U$17&lt;&gt;"",CONCATENATE('Bundle Tag Info'!$A$1," ",CHAR(10),'Bundle Tag Info'!$A$2," ",'Bundle Tag Info'!$A$3,CHAR(10),'Bundle Tag Info'!U$6,CHAR(10),'Bundle Tag Info'!U$17),"")</f>
        <v/>
      </c>
      <c r="V12" s="16" t="str">
        <f>IF('Bundle Tag Info'!V$17&lt;&gt;"",CONCATENATE('Bundle Tag Info'!$A$1," ",CHAR(10),'Bundle Tag Info'!$A$2," ",'Bundle Tag Info'!$A$3,CHAR(10),'Bundle Tag Info'!V$6,CHAR(10),'Bundle Tag Info'!V$17),"")</f>
        <v/>
      </c>
      <c r="W12" s="16" t="str">
        <f>IF('Bundle Tag Info'!W$17&lt;&gt;"",CONCATENATE('Bundle Tag Info'!$A$1," ",CHAR(10),'Bundle Tag Info'!$A$2," ",'Bundle Tag Info'!$A$3,CHAR(10),'Bundle Tag Info'!W$6,CHAR(10),'Bundle Tag Info'!W$17),"")</f>
        <v/>
      </c>
      <c r="X12" s="16" t="str">
        <f>IF('Bundle Tag Info'!X$17&lt;&gt;"",CONCATENATE('Bundle Tag Info'!$A$1," ",CHAR(10),'Bundle Tag Info'!$A$2," ",'Bundle Tag Info'!$A$3,CHAR(10),'Bundle Tag Info'!X$6,CHAR(10),'Bundle Tag Info'!X$17),"")</f>
        <v/>
      </c>
      <c r="Y12" s="16" t="str">
        <f>IF('Bundle Tag Info'!Y$17&lt;&gt;"",CONCATENATE('Bundle Tag Info'!$A$1," ",CHAR(10),'Bundle Tag Info'!$A$2," ",'Bundle Tag Info'!$A$3,CHAR(10),'Bundle Tag Info'!Y$6,CHAR(10),'Bundle Tag Info'!Y$17),"")</f>
        <v/>
      </c>
      <c r="Z12" s="16" t="str">
        <f>IF('Bundle Tag Info'!Z$17&lt;&gt;"",CONCATENATE('Bundle Tag Info'!$A$1," ",CHAR(10),'Bundle Tag Info'!$A$2," ",'Bundle Tag Info'!$A$3,CHAR(10),'Bundle Tag Info'!Z$6,CHAR(10),'Bundle Tag Info'!Z$17),"")</f>
        <v/>
      </c>
      <c r="AA12" s="16" t="str">
        <f>IF('Bundle Tag Info'!AA$17&lt;&gt;"",CONCATENATE('Bundle Tag Info'!$A$1," ",CHAR(10),'Bundle Tag Info'!$A$2," ",'Bundle Tag Info'!$A$3,CHAR(10),'Bundle Tag Info'!AA$6,CHAR(10),'Bundle Tag Info'!AA$17),"")</f>
        <v/>
      </c>
      <c r="AB12" s="16" t="str">
        <f>IF('Bundle Tag Info'!AB$17&lt;&gt;"",CONCATENATE('Bundle Tag Info'!$A$1," ",CHAR(10),'Bundle Tag Info'!$A$2," ",'Bundle Tag Info'!$A$3,CHAR(10),'Bundle Tag Info'!AB$6,CHAR(10),'Bundle Tag Info'!AB$17),"")</f>
        <v/>
      </c>
      <c r="AC12" s="16" t="str">
        <f>IF('Bundle Tag Info'!AC$17&lt;&gt;"",CONCATENATE('Bundle Tag Info'!$A$1," ",CHAR(10),'Bundle Tag Info'!$A$2," ",'Bundle Tag Info'!$A$3,CHAR(10),'Bundle Tag Info'!AC$6,CHAR(10),'Bundle Tag Info'!AC$17),"")</f>
        <v/>
      </c>
      <c r="AD12" s="1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6" t="str">
        <f>IF('Bundle Tag Info'!A$18&lt;&gt;"",CONCATENATE('Bundle Tag Info'!$A$1," ",CHAR(10),'Bundle Tag Info'!$A$2," ",'Bundle Tag Info'!$A$3,CHAR(10),'Bundle Tag Info'!A$6,CHAR(10),'Bundle Tag Info'!A$18),"")</f>
        <v/>
      </c>
      <c r="B13" s="16" t="str">
        <f>IF('Bundle Tag Info'!B$18&lt;&gt;"",CONCATENATE('Bundle Tag Info'!$A$1," ",CHAR(10),'Bundle Tag Info'!$A$2," ",'Bundle Tag Info'!$A$3,CHAR(10),'Bundle Tag Info'!B$6,CHAR(10),'Bundle Tag Info'!B$18),"")</f>
        <v/>
      </c>
      <c r="C13" s="16" t="str">
        <f>IF('Bundle Tag Info'!C$18&lt;&gt;"",CONCATENATE('Bundle Tag Info'!$A$1," ",CHAR(10),'Bundle Tag Info'!$A$2," ",'Bundle Tag Info'!$A$3,CHAR(10),'Bundle Tag Info'!C$6,CHAR(10),'Bundle Tag Info'!C$18),"")</f>
        <v/>
      </c>
      <c r="D13" s="16" t="str">
        <f>IF('Bundle Tag Info'!D$18&lt;&gt;"",CONCATENATE('Bundle Tag Info'!$A$1," ",CHAR(10),'Bundle Tag Info'!$A$2," ",'Bundle Tag Info'!$A$3,CHAR(10),'Bundle Tag Info'!D$6,CHAR(10),'Bundle Tag Info'!D$18),"")</f>
        <v/>
      </c>
      <c r="E13" s="16" t="str">
        <f>IF('Bundle Tag Info'!E$18&lt;&gt;"",CONCATENATE('Bundle Tag Info'!$A$1," ",CHAR(10),'Bundle Tag Info'!$A$2," ",'Bundle Tag Info'!$A$3,CHAR(10),'Bundle Tag Info'!E$6,CHAR(10),'Bundle Tag Info'!E$18),"")</f>
        <v>KOC-JPF #1 
4P101 C.1
A
KA A2-B</v>
      </c>
      <c r="F13" s="16" t="str">
        <f>IF('Bundle Tag Info'!F$18&lt;&gt;"",CONCATENATE('Bundle Tag Info'!$A$1," ",CHAR(10),'Bundle Tag Info'!$A$2," ",'Bundle Tag Info'!$A$3,CHAR(10),'Bundle Tag Info'!F$6,CHAR(10),'Bundle Tag Info'!F$18),"")</f>
        <v/>
      </c>
      <c r="G13" s="16" t="str">
        <f>IF('Bundle Tag Info'!G$18&lt;&gt;"",CONCATENATE('Bundle Tag Info'!$A$1," ",CHAR(10),'Bundle Tag Info'!$A$2," ",'Bundle Tag Info'!$A$3,CHAR(10),'Bundle Tag Info'!G$6,CHAR(10),'Bundle Tag Info'!G$18),"")</f>
        <v/>
      </c>
      <c r="H13" s="16" t="str">
        <f>IF('Bundle Tag Info'!H$18&lt;&gt;"",CONCATENATE('Bundle Tag Info'!$A$1," ",CHAR(10),'Bundle Tag Info'!$A$2," ",'Bundle Tag Info'!$A$3,CHAR(10),'Bundle Tag Info'!H$6,CHAR(10),'Bundle Tag Info'!H$18),"")</f>
        <v>KOC-JPF #1 
4P101 C.1
FG&amp;E
FU/XT-GEN</v>
      </c>
      <c r="I13" s="16" t="str">
        <f>IF('Bundle Tag Info'!I$18&lt;&gt;"",CONCATENATE('Bundle Tag Info'!$A$1," ",CHAR(10),'Bundle Tag Info'!$A$2," ",'Bundle Tag Info'!$A$3,CHAR(10),'Bundle Tag Info'!I$6,CHAR(10),'Bundle Tag Info'!I$18),"")</f>
        <v/>
      </c>
      <c r="J13" s="16" t="str">
        <f>IF('Bundle Tag Info'!J$18&lt;&gt;"",CONCATENATE('Bundle Tag Info'!$A$1," ",CHAR(10),'Bundle Tag Info'!$A$2," ",'Bundle Tag Info'!$A$3,CHAR(10),'Bundle Tag Info'!J$6,CHAR(10),'Bundle Tag Info'!J$18),"")</f>
        <v/>
      </c>
      <c r="K13" s="16" t="str">
        <f>IF('Bundle Tag Info'!K$18&lt;&gt;"",CONCATENATE('Bundle Tag Info'!$A$1," ",CHAR(10),'Bundle Tag Info'!$A$2," ",'Bundle Tag Info'!$A$3,CHAR(10),'Bundle Tag Info'!K$6,CHAR(10),'Bundle Tag Info'!K$18),"")</f>
        <v/>
      </c>
      <c r="L13" s="16" t="str">
        <f>IF('Bundle Tag Info'!L$18&lt;&gt;"",CONCATENATE('Bundle Tag Info'!$A$1," ",CHAR(10),'Bundle Tag Info'!$A$2," ",'Bundle Tag Info'!$A$3,CHAR(10),'Bundle Tag Info'!L$6,CHAR(10),'Bundle Tag Info'!L$18),"")</f>
        <v/>
      </c>
      <c r="M13" s="16" t="str">
        <f>IF('Bundle Tag Info'!M$18&lt;&gt;"",CONCATENATE('Bundle Tag Info'!$A$1," ",CHAR(10),'Bundle Tag Info'!$A$2," ",'Bundle Tag Info'!$A$3,CHAR(10),'Bundle Tag Info'!M$6,CHAR(10),'Bundle Tag Info'!M$18),"")</f>
        <v/>
      </c>
      <c r="N13" s="16" t="str">
        <f>IF('Bundle Tag Info'!N$18&lt;&gt;"",CONCATENATE('Bundle Tag Info'!$A$1," ",CHAR(10),'Bundle Tag Info'!$A$2," ",'Bundle Tag Info'!$A$3,CHAR(10),'Bundle Tag Info'!N$6,CHAR(10),'Bundle Tag Info'!N$18),"")</f>
        <v/>
      </c>
      <c r="O13" s="16" t="str">
        <f>IF('Bundle Tag Info'!O$18&lt;&gt;"",CONCATENATE('Bundle Tag Info'!$A$1," ",CHAR(10),'Bundle Tag Info'!$A$2," ",'Bundle Tag Info'!$A$3,CHAR(10),'Bundle Tag Info'!O$6,CHAR(10),'Bundle Tag Info'!O$18),"")</f>
        <v/>
      </c>
      <c r="P13" s="16" t="str">
        <f>IF('Bundle Tag Info'!P$18&lt;&gt;"",CONCATENATE('Bundle Tag Info'!$A$1," ",CHAR(10),'Bundle Tag Info'!$A$2," ",'Bundle Tag Info'!$A$3,CHAR(10),'Bundle Tag Info'!P$6,CHAR(10),'Bundle Tag Info'!P$18),"")</f>
        <v/>
      </c>
      <c r="Q13" s="16" t="str">
        <f>IF('Bundle Tag Info'!Q$18&lt;&gt;"",CONCATENATE('Bundle Tag Info'!$A$1," ",CHAR(10),'Bundle Tag Info'!$A$2," ",'Bundle Tag Info'!$A$3,CHAR(10),'Bundle Tag Info'!Q$6,CHAR(10),'Bundle Tag Info'!Q$18),"")</f>
        <v/>
      </c>
      <c r="R13" s="16" t="str">
        <f>IF('Bundle Tag Info'!R$18&lt;&gt;"",CONCATENATE('Bundle Tag Info'!$A$1," ",CHAR(10),'Bundle Tag Info'!$A$2," ",'Bundle Tag Info'!$A$3,CHAR(10),'Bundle Tag Info'!R$6,CHAR(10),'Bundle Tag Info'!R$18),"")</f>
        <v/>
      </c>
      <c r="S13" s="16" t="str">
        <f>IF('Bundle Tag Info'!S$18&lt;&gt;"",CONCATENATE('Bundle Tag Info'!$A$1," ",CHAR(10),'Bundle Tag Info'!$A$2," ",'Bundle Tag Info'!$A$3,CHAR(10),'Bundle Tag Info'!S$6,CHAR(10),'Bundle Tag Info'!S$18),"")</f>
        <v/>
      </c>
      <c r="T13" s="16" t="str">
        <f>IF('Bundle Tag Info'!T$18&lt;&gt;"",CONCATENATE('Bundle Tag Info'!$A$1," ",CHAR(10),'Bundle Tag Info'!$A$2," ",'Bundle Tag Info'!$A$3,CHAR(10),'Bundle Tag Info'!T$6,CHAR(10),'Bundle Tag Info'!T$18),"")</f>
        <v/>
      </c>
      <c r="U13" s="16" t="str">
        <f>IF('Bundle Tag Info'!U$18&lt;&gt;"",CONCATENATE('Bundle Tag Info'!$A$1," ",CHAR(10),'Bundle Tag Info'!$A$2," ",'Bundle Tag Info'!$A$3,CHAR(10),'Bundle Tag Info'!U$6,CHAR(10),'Bundle Tag Info'!U$18),"")</f>
        <v/>
      </c>
      <c r="V13" s="16" t="str">
        <f>IF('Bundle Tag Info'!V$18&lt;&gt;"",CONCATENATE('Bundle Tag Info'!$A$1," ",CHAR(10),'Bundle Tag Info'!$A$2," ",'Bundle Tag Info'!$A$3,CHAR(10),'Bundle Tag Info'!V$6,CHAR(10),'Bundle Tag Info'!V$18),"")</f>
        <v/>
      </c>
      <c r="W13" s="16" t="str">
        <f>IF('Bundle Tag Info'!W$18&lt;&gt;"",CONCATENATE('Bundle Tag Info'!$A$1," ",CHAR(10),'Bundle Tag Info'!$A$2," ",'Bundle Tag Info'!$A$3,CHAR(10),'Bundle Tag Info'!W$6,CHAR(10),'Bundle Tag Info'!W$18),"")</f>
        <v/>
      </c>
      <c r="X13" s="16" t="str">
        <f>IF('Bundle Tag Info'!X$18&lt;&gt;"",CONCATENATE('Bundle Tag Info'!$A$1," ",CHAR(10),'Bundle Tag Info'!$A$2," ",'Bundle Tag Info'!$A$3,CHAR(10),'Bundle Tag Info'!X$6,CHAR(10),'Bundle Tag Info'!X$18),"")</f>
        <v/>
      </c>
      <c r="Y13" s="16" t="str">
        <f>IF('Bundle Tag Info'!Y$18&lt;&gt;"",CONCATENATE('Bundle Tag Info'!$A$1," ",CHAR(10),'Bundle Tag Info'!$A$2," ",'Bundle Tag Info'!$A$3,CHAR(10),'Bundle Tag Info'!Y$6,CHAR(10),'Bundle Tag Info'!Y$18),"")</f>
        <v/>
      </c>
      <c r="Z13" s="16" t="str">
        <f>IF('Bundle Tag Info'!Z$18&lt;&gt;"",CONCATENATE('Bundle Tag Info'!$A$1," ",CHAR(10),'Bundle Tag Info'!$A$2," ",'Bundle Tag Info'!$A$3,CHAR(10),'Bundle Tag Info'!Z$6,CHAR(10),'Bundle Tag Info'!Z$18),"")</f>
        <v/>
      </c>
      <c r="AA13" s="16" t="str">
        <f>IF('Bundle Tag Info'!AA$18&lt;&gt;"",CONCATENATE('Bundle Tag Info'!$A$1," ",CHAR(10),'Bundle Tag Info'!$A$2," ",'Bundle Tag Info'!$A$3,CHAR(10),'Bundle Tag Info'!AA$6,CHAR(10),'Bundle Tag Info'!AA$18),"")</f>
        <v/>
      </c>
      <c r="AB13" s="16" t="str">
        <f>IF('Bundle Tag Info'!AB$18&lt;&gt;"",CONCATENATE('Bundle Tag Info'!$A$1," ",CHAR(10),'Bundle Tag Info'!$A$2," ",'Bundle Tag Info'!$A$3,CHAR(10),'Bundle Tag Info'!AB$6,CHAR(10),'Bundle Tag Info'!AB$18),"")</f>
        <v/>
      </c>
      <c r="AC13" s="16" t="str">
        <f>IF('Bundle Tag Info'!AC$18&lt;&gt;"",CONCATENATE('Bundle Tag Info'!$A$1," ",CHAR(10),'Bundle Tag Info'!$A$2," ",'Bundle Tag Info'!$A$3,CHAR(10),'Bundle Tag Info'!AC$6,CHAR(10),'Bundle Tag Info'!AC$18),"")</f>
        <v/>
      </c>
      <c r="AD13" s="1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6" t="str">
        <f>IF('Bundle Tag Info'!A$19&lt;&gt;"",CONCATENATE('Bundle Tag Info'!$A$1," ",CHAR(10),'Bundle Tag Info'!$A$2," ",'Bundle Tag Info'!$A$3,CHAR(10),'Bundle Tag Info'!A$6,CHAR(10),'Bundle Tag Info'!A$19),"")</f>
        <v/>
      </c>
      <c r="B14" s="16" t="str">
        <f>IF('Bundle Tag Info'!B$19&lt;&gt;"",CONCATENATE('Bundle Tag Info'!$A$1," ",CHAR(10),'Bundle Tag Info'!$A$2," ",'Bundle Tag Info'!$A$3,CHAR(10),'Bundle Tag Info'!B$6,CHAR(10),'Bundle Tag Info'!B$19),"")</f>
        <v/>
      </c>
      <c r="C14" s="16" t="str">
        <f>IF('Bundle Tag Info'!C$19&lt;&gt;"",CONCATENATE('Bundle Tag Info'!$A$1," ",CHAR(10),'Bundle Tag Info'!$A$2," ",'Bundle Tag Info'!$A$3,CHAR(10),'Bundle Tag Info'!C$6,CHAR(10),'Bundle Tag Info'!C$19),"")</f>
        <v/>
      </c>
      <c r="D14" s="16" t="str">
        <f>IF('Bundle Tag Info'!D$19&lt;&gt;"",CONCATENATE('Bundle Tag Info'!$A$1," ",CHAR(10),'Bundle Tag Info'!$A$2," ",'Bundle Tag Info'!$A$3,CHAR(10),'Bundle Tag Info'!D$6,CHAR(10),'Bundle Tag Info'!D$19),"")</f>
        <v/>
      </c>
      <c r="E14" s="16" t="str">
        <f>IF('Bundle Tag Info'!E$19&lt;&gt;"",CONCATENATE('Bundle Tag Info'!$A$1," ",CHAR(10),'Bundle Tag Info'!$A$2," ",'Bundle Tag Info'!$A$3,CHAR(10),'Bundle Tag Info'!E$6,CHAR(10),'Bundle Tag Info'!E$19),"")</f>
        <v>KOC-JPF #1 
4P101 C.1
A
KA-B</v>
      </c>
      <c r="F14" s="16" t="str">
        <f>IF('Bundle Tag Info'!F$19&lt;&gt;"",CONCATENATE('Bundle Tag Info'!$A$1," ",CHAR(10),'Bundle Tag Info'!$A$2," ",'Bundle Tag Info'!$A$3,CHAR(10),'Bundle Tag Info'!F$6,CHAR(10),'Bundle Tag Info'!F$19),"")</f>
        <v/>
      </c>
      <c r="G14" s="16" t="str">
        <f>IF('Bundle Tag Info'!G$19&lt;&gt;"",CONCATENATE('Bundle Tag Info'!$A$1," ",CHAR(10),'Bundle Tag Info'!$A$2," ",'Bundle Tag Info'!$A$3,CHAR(10),'Bundle Tag Info'!G$6,CHAR(10),'Bundle Tag Info'!G$19),"")</f>
        <v/>
      </c>
      <c r="H14" s="16" t="str">
        <f>IF('Bundle Tag Info'!H$19&lt;&gt;"",CONCATENATE('Bundle Tag Info'!$A$1," ",CHAR(10),'Bundle Tag Info'!$A$2," ",'Bundle Tag Info'!$A$3,CHAR(10),'Bundle Tag Info'!H$6,CHAR(10),'Bundle Tag Info'!H$19),"")</f>
        <v/>
      </c>
      <c r="I14" s="16" t="str">
        <f>IF('Bundle Tag Info'!I$19&lt;&gt;"",CONCATENATE('Bundle Tag Info'!$A$1," ",CHAR(10),'Bundle Tag Info'!$A$2," ",'Bundle Tag Info'!$A$3,CHAR(10),'Bundle Tag Info'!I$6,CHAR(10),'Bundle Tag Info'!I$19),"")</f>
        <v/>
      </c>
      <c r="J14" s="16" t="str">
        <f>IF('Bundle Tag Info'!J$19&lt;&gt;"",CONCATENATE('Bundle Tag Info'!$A$1," ",CHAR(10),'Bundle Tag Info'!$A$2," ",'Bundle Tag Info'!$A$3,CHAR(10),'Bundle Tag Info'!J$6,CHAR(10),'Bundle Tag Info'!J$19),"")</f>
        <v/>
      </c>
      <c r="K14" s="16" t="str">
        <f>IF('Bundle Tag Info'!K$19&lt;&gt;"",CONCATENATE('Bundle Tag Info'!$A$1," ",CHAR(10),'Bundle Tag Info'!$A$2," ",'Bundle Tag Info'!$A$3,CHAR(10),'Bundle Tag Info'!K$6,CHAR(10),'Bundle Tag Info'!K$19),"")</f>
        <v/>
      </c>
      <c r="L14" s="16" t="str">
        <f>IF('Bundle Tag Info'!L$19&lt;&gt;"",CONCATENATE('Bundle Tag Info'!$A$1," ",CHAR(10),'Bundle Tag Info'!$A$2," ",'Bundle Tag Info'!$A$3,CHAR(10),'Bundle Tag Info'!L$6,CHAR(10),'Bundle Tag Info'!L$19),"")</f>
        <v/>
      </c>
      <c r="M14" s="16" t="str">
        <f>IF('Bundle Tag Info'!M$19&lt;&gt;"",CONCATENATE('Bundle Tag Info'!$A$1," ",CHAR(10),'Bundle Tag Info'!$A$2," ",'Bundle Tag Info'!$A$3,CHAR(10),'Bundle Tag Info'!M$6,CHAR(10),'Bundle Tag Info'!M$19),"")</f>
        <v/>
      </c>
      <c r="N14" s="16" t="str">
        <f>IF('Bundle Tag Info'!N$19&lt;&gt;"",CONCATENATE('Bundle Tag Info'!$A$1," ",CHAR(10),'Bundle Tag Info'!$A$2," ",'Bundle Tag Info'!$A$3,CHAR(10),'Bundle Tag Info'!N$6,CHAR(10),'Bundle Tag Info'!N$19),"")</f>
        <v/>
      </c>
      <c r="O14" s="16" t="str">
        <f>IF('Bundle Tag Info'!O$19&lt;&gt;"",CONCATENATE('Bundle Tag Info'!$A$1," ",CHAR(10),'Bundle Tag Info'!$A$2," ",'Bundle Tag Info'!$A$3,CHAR(10),'Bundle Tag Info'!O$6,CHAR(10),'Bundle Tag Info'!O$19),"")</f>
        <v/>
      </c>
      <c r="P14" s="16" t="str">
        <f>IF('Bundle Tag Info'!P$19&lt;&gt;"",CONCATENATE('Bundle Tag Info'!$A$1," ",CHAR(10),'Bundle Tag Info'!$A$2," ",'Bundle Tag Info'!$A$3,CHAR(10),'Bundle Tag Info'!P$6,CHAR(10),'Bundle Tag Info'!P$19),"")</f>
        <v/>
      </c>
      <c r="Q14" s="16" t="str">
        <f>IF('Bundle Tag Info'!Q$19&lt;&gt;"",CONCATENATE('Bundle Tag Info'!$A$1," ",CHAR(10),'Bundle Tag Info'!$A$2," ",'Bundle Tag Info'!$A$3,CHAR(10),'Bundle Tag Info'!Q$6,CHAR(10),'Bundle Tag Info'!Q$19),"")</f>
        <v/>
      </c>
      <c r="R14" s="16" t="str">
        <f>IF('Bundle Tag Info'!R$19&lt;&gt;"",CONCATENATE('Bundle Tag Info'!$A$1," ",CHAR(10),'Bundle Tag Info'!$A$2," ",'Bundle Tag Info'!$A$3,CHAR(10),'Bundle Tag Info'!R$6,CHAR(10),'Bundle Tag Info'!R$19),"")</f>
        <v/>
      </c>
      <c r="S14" s="16" t="str">
        <f>IF('Bundle Tag Info'!S$19&lt;&gt;"",CONCATENATE('Bundle Tag Info'!$A$1," ",CHAR(10),'Bundle Tag Info'!$A$2," ",'Bundle Tag Info'!$A$3,CHAR(10),'Bundle Tag Info'!S$6,CHAR(10),'Bundle Tag Info'!S$19),"")</f>
        <v/>
      </c>
      <c r="T14" s="16" t="str">
        <f>IF('Bundle Tag Info'!T$19&lt;&gt;"",CONCATENATE('Bundle Tag Info'!$A$1," ",CHAR(10),'Bundle Tag Info'!$A$2," ",'Bundle Tag Info'!$A$3,CHAR(10),'Bundle Tag Info'!T$6,CHAR(10),'Bundle Tag Info'!T$19),"")</f>
        <v/>
      </c>
      <c r="U14" s="16" t="str">
        <f>IF('Bundle Tag Info'!U$19&lt;&gt;"",CONCATENATE('Bundle Tag Info'!$A$1," ",CHAR(10),'Bundle Tag Info'!$A$2," ",'Bundle Tag Info'!$A$3,CHAR(10),'Bundle Tag Info'!U$6,CHAR(10),'Bundle Tag Info'!U$19),"")</f>
        <v/>
      </c>
      <c r="V14" s="16" t="str">
        <f>IF('Bundle Tag Info'!V$19&lt;&gt;"",CONCATENATE('Bundle Tag Info'!$A$1," ",CHAR(10),'Bundle Tag Info'!$A$2," ",'Bundle Tag Info'!$A$3,CHAR(10),'Bundle Tag Info'!V$6,CHAR(10),'Bundle Tag Info'!V$19),"")</f>
        <v/>
      </c>
      <c r="W14" s="16" t="str">
        <f>IF('Bundle Tag Info'!W$19&lt;&gt;"",CONCATENATE('Bundle Tag Info'!$A$1," ",CHAR(10),'Bundle Tag Info'!$A$2," ",'Bundle Tag Info'!$A$3,CHAR(10),'Bundle Tag Info'!W$6,CHAR(10),'Bundle Tag Info'!W$19),"")</f>
        <v/>
      </c>
      <c r="X14" s="16" t="str">
        <f>IF('Bundle Tag Info'!X$19&lt;&gt;"",CONCATENATE('Bundle Tag Info'!$A$1," ",CHAR(10),'Bundle Tag Info'!$A$2," ",'Bundle Tag Info'!$A$3,CHAR(10),'Bundle Tag Info'!X$6,CHAR(10),'Bundle Tag Info'!X$19),"")</f>
        <v/>
      </c>
      <c r="Y14" s="16" t="str">
        <f>IF('Bundle Tag Info'!Y$19&lt;&gt;"",CONCATENATE('Bundle Tag Info'!$A$1," ",CHAR(10),'Bundle Tag Info'!$A$2," ",'Bundle Tag Info'!$A$3,CHAR(10),'Bundle Tag Info'!Y$6,CHAR(10),'Bundle Tag Info'!Y$19),"")</f>
        <v/>
      </c>
      <c r="Z14" s="16" t="str">
        <f>IF('Bundle Tag Info'!Z$19&lt;&gt;"",CONCATENATE('Bundle Tag Info'!$A$1," ",CHAR(10),'Bundle Tag Info'!$A$2," ",'Bundle Tag Info'!$A$3,CHAR(10),'Bundle Tag Info'!Z$6,CHAR(10),'Bundle Tag Info'!Z$19),"")</f>
        <v/>
      </c>
      <c r="AA14" s="16" t="str">
        <f>IF('Bundle Tag Info'!AA$19&lt;&gt;"",CONCATENATE('Bundle Tag Info'!$A$1," ",CHAR(10),'Bundle Tag Info'!$A$2," ",'Bundle Tag Info'!$A$3,CHAR(10),'Bundle Tag Info'!AA$6,CHAR(10),'Bundle Tag Info'!AA$19),"")</f>
        <v/>
      </c>
      <c r="AB14" s="16" t="str">
        <f>IF('Bundle Tag Info'!AB$19&lt;&gt;"",CONCATENATE('Bundle Tag Info'!$A$1," ",CHAR(10),'Bundle Tag Info'!$A$2," ",'Bundle Tag Info'!$A$3,CHAR(10),'Bundle Tag Info'!AB$6,CHAR(10),'Bundle Tag Info'!AB$19),"")</f>
        <v/>
      </c>
      <c r="AC14" s="16" t="str">
        <f>IF('Bundle Tag Info'!AC$19&lt;&gt;"",CONCATENATE('Bundle Tag Info'!$A$1," ",CHAR(10),'Bundle Tag Info'!$A$2," ",'Bundle Tag Info'!$A$3,CHAR(10),'Bundle Tag Info'!AC$6,CHAR(10),'Bundle Tag Info'!AC$19),"")</f>
        <v/>
      </c>
      <c r="AD14" s="1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6" t="str">
        <f>IF('Bundle Tag Info'!A$20&lt;&gt;"",CONCATENATE('Bundle Tag Info'!$A$1," ",CHAR(10),'Bundle Tag Info'!$A$2," ",'Bundle Tag Info'!$A$3,CHAR(10),'Bundle Tag Info'!A$6,CHAR(10),'Bundle Tag Info'!A$20),"")</f>
        <v/>
      </c>
      <c r="B15" s="16" t="str">
        <f>IF('Bundle Tag Info'!B$20&lt;&gt;"",CONCATENATE('Bundle Tag Info'!$A$1," ",CHAR(10),'Bundle Tag Info'!$A$2," ",'Bundle Tag Info'!$A$3,CHAR(10),'Bundle Tag Info'!B$6,CHAR(10),'Bundle Tag Info'!B$20),"")</f>
        <v/>
      </c>
      <c r="C15" s="16" t="str">
        <f>IF('Bundle Tag Info'!C$20&lt;&gt;"",CONCATENATE('Bundle Tag Info'!$A$1," ",CHAR(10),'Bundle Tag Info'!$A$2," ",'Bundle Tag Info'!$A$3,CHAR(10),'Bundle Tag Info'!C$6,CHAR(10),'Bundle Tag Info'!C$20),"")</f>
        <v/>
      </c>
      <c r="D15" s="16" t="str">
        <f>IF('Bundle Tag Info'!D$20&lt;&gt;"",CONCATENATE('Bundle Tag Info'!$A$1," ",CHAR(10),'Bundle Tag Info'!$A$2," ",'Bundle Tag Info'!$A$3,CHAR(10),'Bundle Tag Info'!D$6,CHAR(10),'Bundle Tag Info'!D$20),"")</f>
        <v/>
      </c>
      <c r="E15" s="16" t="str">
        <f>IF('Bundle Tag Info'!E$20&lt;&gt;"",CONCATENATE('Bundle Tag Info'!$A$1," ",CHAR(10),'Bundle Tag Info'!$A$2," ",'Bundle Tag Info'!$A$3,CHAR(10),'Bundle Tag Info'!E$6,CHAR(10),'Bundle Tag Info'!E$20),"")</f>
        <v>KOC-JPF #1 
4P101 C.1
A
UA/UJ-B</v>
      </c>
      <c r="F15" s="16" t="str">
        <f>IF('Bundle Tag Info'!F$20&lt;&gt;"",CONCATENATE('Bundle Tag Info'!$A$1," ",CHAR(10),'Bundle Tag Info'!$A$2," ",'Bundle Tag Info'!$A$3,CHAR(10),'Bundle Tag Info'!F$6,CHAR(10),'Bundle Tag Info'!F$20),"")</f>
        <v/>
      </c>
      <c r="G15" s="16" t="str">
        <f>IF('Bundle Tag Info'!G$20&lt;&gt;"",CONCATENATE('Bundle Tag Info'!$A$1," ",CHAR(10),'Bundle Tag Info'!$A$2," ",'Bundle Tag Info'!$A$3,CHAR(10),'Bundle Tag Info'!G$6,CHAR(10),'Bundle Tag Info'!G$20),"")</f>
        <v/>
      </c>
      <c r="H15" s="16" t="str">
        <f>IF('Bundle Tag Info'!H$20&lt;&gt;"",CONCATENATE('Bundle Tag Info'!$A$1," ",CHAR(10),'Bundle Tag Info'!$A$2," ",'Bundle Tag Info'!$A$3,CHAR(10),'Bundle Tag Info'!H$6,CHAR(10),'Bundle Tag Info'!H$20),"")</f>
        <v/>
      </c>
      <c r="I15" s="16" t="str">
        <f>IF('Bundle Tag Info'!I$20&lt;&gt;"",CONCATENATE('Bundle Tag Info'!$A$1," ",CHAR(10),'Bundle Tag Info'!$A$2," ",'Bundle Tag Info'!$A$3,CHAR(10),'Bundle Tag Info'!I$6,CHAR(10),'Bundle Tag Info'!I$20),"")</f>
        <v/>
      </c>
      <c r="J15" s="16" t="str">
        <f>IF('Bundle Tag Info'!J$20&lt;&gt;"",CONCATENATE('Bundle Tag Info'!$A$1," ",CHAR(10),'Bundle Tag Info'!$A$2," ",'Bundle Tag Info'!$A$3,CHAR(10),'Bundle Tag Info'!J$6,CHAR(10),'Bundle Tag Info'!J$20),"")</f>
        <v/>
      </c>
      <c r="K15" s="16" t="str">
        <f>IF('Bundle Tag Info'!K$20&lt;&gt;"",CONCATENATE('Bundle Tag Info'!$A$1," ",CHAR(10),'Bundle Tag Info'!$A$2," ",'Bundle Tag Info'!$A$3,CHAR(10),'Bundle Tag Info'!K$6,CHAR(10),'Bundle Tag Info'!K$20),"")</f>
        <v/>
      </c>
      <c r="L15" s="16" t="str">
        <f>IF('Bundle Tag Info'!L$20&lt;&gt;"",CONCATENATE('Bundle Tag Info'!$A$1," ",CHAR(10),'Bundle Tag Info'!$A$2," ",'Bundle Tag Info'!$A$3,CHAR(10),'Bundle Tag Info'!L$6,CHAR(10),'Bundle Tag Info'!L$20),"")</f>
        <v/>
      </c>
      <c r="M15" s="16" t="str">
        <f>IF('Bundle Tag Info'!M$20&lt;&gt;"",CONCATENATE('Bundle Tag Info'!$A$1," ",CHAR(10),'Bundle Tag Info'!$A$2," ",'Bundle Tag Info'!$A$3,CHAR(10),'Bundle Tag Info'!M$6,CHAR(10),'Bundle Tag Info'!M$20),"")</f>
        <v/>
      </c>
      <c r="N15" s="16" t="str">
        <f>IF('Bundle Tag Info'!N$20&lt;&gt;"",CONCATENATE('Bundle Tag Info'!$A$1," ",CHAR(10),'Bundle Tag Info'!$A$2," ",'Bundle Tag Info'!$A$3,CHAR(10),'Bundle Tag Info'!N$6,CHAR(10),'Bundle Tag Info'!N$20),"")</f>
        <v/>
      </c>
      <c r="O15" s="16" t="str">
        <f>IF('Bundle Tag Info'!O$20&lt;&gt;"",CONCATENATE('Bundle Tag Info'!$A$1," ",CHAR(10),'Bundle Tag Info'!$A$2," ",'Bundle Tag Info'!$A$3,CHAR(10),'Bundle Tag Info'!O$6,CHAR(10),'Bundle Tag Info'!O$20),"")</f>
        <v/>
      </c>
      <c r="P15" s="16" t="str">
        <f>IF('Bundle Tag Info'!P$20&lt;&gt;"",CONCATENATE('Bundle Tag Info'!$A$1," ",CHAR(10),'Bundle Tag Info'!$A$2," ",'Bundle Tag Info'!$A$3,CHAR(10),'Bundle Tag Info'!P$6,CHAR(10),'Bundle Tag Info'!P$20),"")</f>
        <v/>
      </c>
      <c r="Q15" s="16" t="str">
        <f>IF('Bundle Tag Info'!Q$20&lt;&gt;"",CONCATENATE('Bundle Tag Info'!$A$1," ",CHAR(10),'Bundle Tag Info'!$A$2," ",'Bundle Tag Info'!$A$3,CHAR(10),'Bundle Tag Info'!Q$6,CHAR(10),'Bundle Tag Info'!Q$20),"")</f>
        <v/>
      </c>
      <c r="R15" s="16" t="str">
        <f>IF('Bundle Tag Info'!R$20&lt;&gt;"",CONCATENATE('Bundle Tag Info'!$A$1," ",CHAR(10),'Bundle Tag Info'!$A$2," ",'Bundle Tag Info'!$A$3,CHAR(10),'Bundle Tag Info'!R$6,CHAR(10),'Bundle Tag Info'!R$20),"")</f>
        <v/>
      </c>
      <c r="S15" s="16" t="str">
        <f>IF('Bundle Tag Info'!S$20&lt;&gt;"",CONCATENATE('Bundle Tag Info'!$A$1," ",CHAR(10),'Bundle Tag Info'!$A$2," ",'Bundle Tag Info'!$A$3,CHAR(10),'Bundle Tag Info'!S$6,CHAR(10),'Bundle Tag Info'!S$20),"")</f>
        <v/>
      </c>
      <c r="T15" s="16" t="str">
        <f>IF('Bundle Tag Info'!T$20&lt;&gt;"",CONCATENATE('Bundle Tag Info'!$A$1," ",CHAR(10),'Bundle Tag Info'!$A$2," ",'Bundle Tag Info'!$A$3,CHAR(10),'Bundle Tag Info'!T$6,CHAR(10),'Bundle Tag Info'!T$20),"")</f>
        <v/>
      </c>
      <c r="U15" s="16" t="str">
        <f>IF('Bundle Tag Info'!U$20&lt;&gt;"",CONCATENATE('Bundle Tag Info'!$A$1," ",CHAR(10),'Bundle Tag Info'!$A$2," ",'Bundle Tag Info'!$A$3,CHAR(10),'Bundle Tag Info'!U$6,CHAR(10),'Bundle Tag Info'!U$20),"")</f>
        <v/>
      </c>
      <c r="V15" s="16" t="str">
        <f>IF('Bundle Tag Info'!V$20&lt;&gt;"",CONCATENATE('Bundle Tag Info'!$A$1," ",CHAR(10),'Bundle Tag Info'!$A$2," ",'Bundle Tag Info'!$A$3,CHAR(10),'Bundle Tag Info'!V$6,CHAR(10),'Bundle Tag Info'!V$20),"")</f>
        <v/>
      </c>
      <c r="W15" s="16" t="str">
        <f>IF('Bundle Tag Info'!W$20&lt;&gt;"",CONCATENATE('Bundle Tag Info'!$A$1," ",CHAR(10),'Bundle Tag Info'!$A$2," ",'Bundle Tag Info'!$A$3,CHAR(10),'Bundle Tag Info'!W$6,CHAR(10),'Bundle Tag Info'!W$20),"")</f>
        <v/>
      </c>
      <c r="X15" s="16" t="str">
        <f>IF('Bundle Tag Info'!X$20&lt;&gt;"",CONCATENATE('Bundle Tag Info'!$A$1," ",CHAR(10),'Bundle Tag Info'!$A$2," ",'Bundle Tag Info'!$A$3,CHAR(10),'Bundle Tag Info'!X$6,CHAR(10),'Bundle Tag Info'!X$20),"")</f>
        <v/>
      </c>
      <c r="Y15" s="16" t="str">
        <f>IF('Bundle Tag Info'!Y$20&lt;&gt;"",CONCATENATE('Bundle Tag Info'!$A$1," ",CHAR(10),'Bundle Tag Info'!$A$2," ",'Bundle Tag Info'!$A$3,CHAR(10),'Bundle Tag Info'!Y$6,CHAR(10),'Bundle Tag Info'!Y$20),"")</f>
        <v/>
      </c>
      <c r="Z15" s="16" t="str">
        <f>IF('Bundle Tag Info'!Z$20&lt;&gt;"",CONCATENATE('Bundle Tag Info'!$A$1," ",CHAR(10),'Bundle Tag Info'!$A$2," ",'Bundle Tag Info'!$A$3,CHAR(10),'Bundle Tag Info'!Z$6,CHAR(10),'Bundle Tag Info'!Z$20),"")</f>
        <v/>
      </c>
      <c r="AA15" s="16" t="str">
        <f>IF('Bundle Tag Info'!AA$20&lt;&gt;"",CONCATENATE('Bundle Tag Info'!$A$1," ",CHAR(10),'Bundle Tag Info'!$A$2," ",'Bundle Tag Info'!$A$3,CHAR(10),'Bundle Tag Info'!AA$6,CHAR(10),'Bundle Tag Info'!AA$20),"")</f>
        <v/>
      </c>
      <c r="AB15" s="16" t="str">
        <f>IF('Bundle Tag Info'!AB$20&lt;&gt;"",CONCATENATE('Bundle Tag Info'!$A$1," ",CHAR(10),'Bundle Tag Info'!$A$2," ",'Bundle Tag Info'!$A$3,CHAR(10),'Bundle Tag Info'!AB$6,CHAR(10),'Bundle Tag Info'!AB$20),"")</f>
        <v/>
      </c>
      <c r="AC15" s="16" t="str">
        <f>IF('Bundle Tag Info'!AC$20&lt;&gt;"",CONCATENATE('Bundle Tag Info'!$A$1," ",CHAR(10),'Bundle Tag Info'!$A$2," ",'Bundle Tag Info'!$A$3,CHAR(10),'Bundle Tag Info'!AC$6,CHAR(10),'Bundle Tag Info'!AC$20),"")</f>
        <v/>
      </c>
      <c r="AD15" s="1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6" t="str">
        <f>IF('Bundle Tag Info'!A$21&lt;&gt;"",CONCATENATE('Bundle Tag Info'!$A$1," ",CHAR(10),'Bundle Tag Info'!$A$2," ",'Bundle Tag Info'!$A$3,CHAR(10),'Bundle Tag Info'!A$6,CHAR(10),'Bundle Tag Info'!A$21),"")</f>
        <v/>
      </c>
      <c r="B16" s="16" t="str">
        <f>IF('Bundle Tag Info'!B$21&lt;&gt;"",CONCATENATE('Bundle Tag Info'!$A$1," ",CHAR(10),'Bundle Tag Info'!$A$2," ",'Bundle Tag Info'!$A$3,CHAR(10),'Bundle Tag Info'!B$6,CHAR(10),'Bundle Tag Info'!B$21),"")</f>
        <v/>
      </c>
      <c r="C16" s="16" t="str">
        <f>IF('Bundle Tag Info'!C$21&lt;&gt;"",CONCATENATE('Bundle Tag Info'!$A$1," ",CHAR(10),'Bundle Tag Info'!$A$2," ",'Bundle Tag Info'!$A$3,CHAR(10),'Bundle Tag Info'!C$6,CHAR(10),'Bundle Tag Info'!C$21),"")</f>
        <v/>
      </c>
      <c r="D16" s="16" t="str">
        <f>IF('Bundle Tag Info'!D$21&lt;&gt;"",CONCATENATE('Bundle Tag Info'!$A$1," ",CHAR(10),'Bundle Tag Info'!$A$2," ",'Bundle Tag Info'!$A$3,CHAR(10),'Bundle Tag Info'!D$6,CHAR(10),'Bundle Tag Info'!D$21),"")</f>
        <v/>
      </c>
      <c r="E16" s="16" t="str">
        <f>IF('Bundle Tag Info'!E$21&lt;&gt;"",CONCATENATE('Bundle Tag Info'!$A$1," ",CHAR(10),'Bundle Tag Info'!$A$2," ",'Bundle Tag Info'!$A$3,CHAR(10),'Bundle Tag Info'!E$6,CHAR(10),'Bundle Tag Info'!E$21),"")</f>
        <v>KOC-JPF #1 
4P101 C.1
A
VD-B</v>
      </c>
      <c r="F16" s="16" t="str">
        <f>IF('Bundle Tag Info'!F$21&lt;&gt;"",CONCATENATE('Bundle Tag Info'!$A$1," ",CHAR(10),'Bundle Tag Info'!$A$2," ",'Bundle Tag Info'!$A$3,CHAR(10),'Bundle Tag Info'!F$6,CHAR(10),'Bundle Tag Info'!F$21),"")</f>
        <v/>
      </c>
      <c r="G16" s="16" t="str">
        <f>IF('Bundle Tag Info'!G$21&lt;&gt;"",CONCATENATE('Bundle Tag Info'!$A$1," ",CHAR(10),'Bundle Tag Info'!$A$2," ",'Bundle Tag Info'!$A$3,CHAR(10),'Bundle Tag Info'!G$6,CHAR(10),'Bundle Tag Info'!G$21),"")</f>
        <v/>
      </c>
      <c r="H16" s="16" t="str">
        <f>IF('Bundle Tag Info'!H$21&lt;&gt;"",CONCATENATE('Bundle Tag Info'!$A$1," ",CHAR(10),'Bundle Tag Info'!$A$2," ",'Bundle Tag Info'!$A$3,CHAR(10),'Bundle Tag Info'!H$6,CHAR(10),'Bundle Tag Info'!H$21),"")</f>
        <v/>
      </c>
      <c r="I16" s="16" t="str">
        <f>IF('Bundle Tag Info'!I$21&lt;&gt;"",CONCATENATE('Bundle Tag Info'!$A$1," ",CHAR(10),'Bundle Tag Info'!$A$2," ",'Bundle Tag Info'!$A$3,CHAR(10),'Bundle Tag Info'!I$6,CHAR(10),'Bundle Tag Info'!I$21),"")</f>
        <v/>
      </c>
      <c r="J16" s="16" t="str">
        <f>IF('Bundle Tag Info'!J$21&lt;&gt;"",CONCATENATE('Bundle Tag Info'!$A$1," ",CHAR(10),'Bundle Tag Info'!$A$2," ",'Bundle Tag Info'!$A$3,CHAR(10),'Bundle Tag Info'!J$6,CHAR(10),'Bundle Tag Info'!J$21),"")</f>
        <v/>
      </c>
      <c r="K16" s="16" t="str">
        <f>IF('Bundle Tag Info'!K$21&lt;&gt;"",CONCATENATE('Bundle Tag Info'!$A$1," ",CHAR(10),'Bundle Tag Info'!$A$2," ",'Bundle Tag Info'!$A$3,CHAR(10),'Bundle Tag Info'!K$6,CHAR(10),'Bundle Tag Info'!K$21),"")</f>
        <v/>
      </c>
      <c r="L16" s="16" t="str">
        <f>IF('Bundle Tag Info'!L$21&lt;&gt;"",CONCATENATE('Bundle Tag Info'!$A$1," ",CHAR(10),'Bundle Tag Info'!$A$2," ",'Bundle Tag Info'!$A$3,CHAR(10),'Bundle Tag Info'!L$6,CHAR(10),'Bundle Tag Info'!L$21),"")</f>
        <v/>
      </c>
      <c r="M16" s="16" t="str">
        <f>IF('Bundle Tag Info'!M$21&lt;&gt;"",CONCATENATE('Bundle Tag Info'!$A$1," ",CHAR(10),'Bundle Tag Info'!$A$2," ",'Bundle Tag Info'!$A$3,CHAR(10),'Bundle Tag Info'!M$6,CHAR(10),'Bundle Tag Info'!M$21),"")</f>
        <v/>
      </c>
      <c r="N16" s="16" t="str">
        <f>IF('Bundle Tag Info'!N$21&lt;&gt;"",CONCATENATE('Bundle Tag Info'!$A$1," ",CHAR(10),'Bundle Tag Info'!$A$2," ",'Bundle Tag Info'!$A$3,CHAR(10),'Bundle Tag Info'!N$6,CHAR(10),'Bundle Tag Info'!N$21),"")</f>
        <v/>
      </c>
      <c r="O16" s="16" t="str">
        <f>IF('Bundle Tag Info'!O$21&lt;&gt;"",CONCATENATE('Bundle Tag Info'!$A$1," ",CHAR(10),'Bundle Tag Info'!$A$2," ",'Bundle Tag Info'!$A$3,CHAR(10),'Bundle Tag Info'!O$6,CHAR(10),'Bundle Tag Info'!O$21),"")</f>
        <v/>
      </c>
      <c r="P16" s="16" t="str">
        <f>IF('Bundle Tag Info'!P$21&lt;&gt;"",CONCATENATE('Bundle Tag Info'!$A$1," ",CHAR(10),'Bundle Tag Info'!$A$2," ",'Bundle Tag Info'!$A$3,CHAR(10),'Bundle Tag Info'!P$6,CHAR(10),'Bundle Tag Info'!P$21),"")</f>
        <v/>
      </c>
      <c r="Q16" s="16" t="str">
        <f>IF('Bundle Tag Info'!Q$21&lt;&gt;"",CONCATENATE('Bundle Tag Info'!$A$1," ",CHAR(10),'Bundle Tag Info'!$A$2," ",'Bundle Tag Info'!$A$3,CHAR(10),'Bundle Tag Info'!Q$6,CHAR(10),'Bundle Tag Info'!Q$21),"")</f>
        <v/>
      </c>
      <c r="R16" s="16" t="str">
        <f>IF('Bundle Tag Info'!R$21&lt;&gt;"",CONCATENATE('Bundle Tag Info'!$A$1," ",CHAR(10),'Bundle Tag Info'!$A$2," ",'Bundle Tag Info'!$A$3,CHAR(10),'Bundle Tag Info'!R$6,CHAR(10),'Bundle Tag Info'!R$21),"")</f>
        <v/>
      </c>
      <c r="S16" s="16" t="str">
        <f>IF('Bundle Tag Info'!S$21&lt;&gt;"",CONCATENATE('Bundle Tag Info'!$A$1," ",CHAR(10),'Bundle Tag Info'!$A$2," ",'Bundle Tag Info'!$A$3,CHAR(10),'Bundle Tag Info'!S$6,CHAR(10),'Bundle Tag Info'!S$21),"")</f>
        <v/>
      </c>
      <c r="T16" s="16" t="str">
        <f>IF('Bundle Tag Info'!T$21&lt;&gt;"",CONCATENATE('Bundle Tag Info'!$A$1," ",CHAR(10),'Bundle Tag Info'!$A$2," ",'Bundle Tag Info'!$A$3,CHAR(10),'Bundle Tag Info'!T$6,CHAR(10),'Bundle Tag Info'!T$21),"")</f>
        <v/>
      </c>
      <c r="U16" s="16" t="str">
        <f>IF('Bundle Tag Info'!U$21&lt;&gt;"",CONCATENATE('Bundle Tag Info'!$A$1," ",CHAR(10),'Bundle Tag Info'!$A$2," ",'Bundle Tag Info'!$A$3,CHAR(10),'Bundle Tag Info'!U$6,CHAR(10),'Bundle Tag Info'!U$21),"")</f>
        <v/>
      </c>
      <c r="V16" s="16" t="str">
        <f>IF('Bundle Tag Info'!V$21&lt;&gt;"",CONCATENATE('Bundle Tag Info'!$A$1," ",CHAR(10),'Bundle Tag Info'!$A$2," ",'Bundle Tag Info'!$A$3,CHAR(10),'Bundle Tag Info'!V$6,CHAR(10),'Bundle Tag Info'!V$21),"")</f>
        <v/>
      </c>
      <c r="W16" s="16" t="str">
        <f>IF('Bundle Tag Info'!W$21&lt;&gt;"",CONCATENATE('Bundle Tag Info'!$A$1," ",CHAR(10),'Bundle Tag Info'!$A$2," ",'Bundle Tag Info'!$A$3,CHAR(10),'Bundle Tag Info'!W$6,CHAR(10),'Bundle Tag Info'!W$21),"")</f>
        <v/>
      </c>
      <c r="X16" s="16" t="str">
        <f>IF('Bundle Tag Info'!X$21&lt;&gt;"",CONCATENATE('Bundle Tag Info'!$A$1," ",CHAR(10),'Bundle Tag Info'!$A$2," ",'Bundle Tag Info'!$A$3,CHAR(10),'Bundle Tag Info'!X$6,CHAR(10),'Bundle Tag Info'!X$21),"")</f>
        <v/>
      </c>
      <c r="Y16" s="16" t="str">
        <f>IF('Bundle Tag Info'!Y$21&lt;&gt;"",CONCATENATE('Bundle Tag Info'!$A$1," ",CHAR(10),'Bundle Tag Info'!$A$2," ",'Bundle Tag Info'!$A$3,CHAR(10),'Bundle Tag Info'!Y$6,CHAR(10),'Bundle Tag Info'!Y$21),"")</f>
        <v/>
      </c>
      <c r="Z16" s="16" t="str">
        <f>IF('Bundle Tag Info'!Z$21&lt;&gt;"",CONCATENATE('Bundle Tag Info'!$A$1," ",CHAR(10),'Bundle Tag Info'!$A$2," ",'Bundle Tag Info'!$A$3,CHAR(10),'Bundle Tag Info'!Z$6,CHAR(10),'Bundle Tag Info'!Z$21),"")</f>
        <v/>
      </c>
      <c r="AA16" s="16" t="str">
        <f>IF('Bundle Tag Info'!AA$21&lt;&gt;"",CONCATENATE('Bundle Tag Info'!$A$1," ",CHAR(10),'Bundle Tag Info'!$A$2," ",'Bundle Tag Info'!$A$3,CHAR(10),'Bundle Tag Info'!AA$6,CHAR(10),'Bundle Tag Info'!AA$21),"")</f>
        <v/>
      </c>
      <c r="AB16" s="16" t="str">
        <f>IF('Bundle Tag Info'!AB$21&lt;&gt;"",CONCATENATE('Bundle Tag Info'!$A$1," ",CHAR(10),'Bundle Tag Info'!$A$2," ",'Bundle Tag Info'!$A$3,CHAR(10),'Bundle Tag Info'!AB$6,CHAR(10),'Bundle Tag Info'!AB$21),"")</f>
        <v/>
      </c>
      <c r="AC16" s="16" t="str">
        <f>IF('Bundle Tag Info'!AC$21&lt;&gt;"",CONCATENATE('Bundle Tag Info'!$A$1," ",CHAR(10),'Bundle Tag Info'!$A$2," ",'Bundle Tag Info'!$A$3,CHAR(10),'Bundle Tag Info'!AC$6,CHAR(10),'Bundle Tag Info'!AC$21),"")</f>
        <v/>
      </c>
      <c r="AD16" s="1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6" t="str">
        <f>IF('Bundle Tag Info'!A$22&lt;&gt;"",CONCATENATE('Bundle Tag Info'!$A$1," ",CHAR(10),'Bundle Tag Info'!$A$2," ",'Bundle Tag Info'!$A$3,CHAR(10),'Bundle Tag Info'!A$6,CHAR(10),'Bundle Tag Info'!A$22),"")</f>
        <v/>
      </c>
      <c r="B17" s="16" t="str">
        <f>IF('Bundle Tag Info'!B$22&lt;&gt;"",CONCATENATE('Bundle Tag Info'!$A$1," ",CHAR(10),'Bundle Tag Info'!$A$2," ",'Bundle Tag Info'!$A$3,CHAR(10),'Bundle Tag Info'!B$6,CHAR(10),'Bundle Tag Info'!B$22),"")</f>
        <v/>
      </c>
      <c r="C17" s="16" t="str">
        <f>IF('Bundle Tag Info'!C$22&lt;&gt;"",CONCATENATE('Bundle Tag Info'!$A$1," ",CHAR(10),'Bundle Tag Info'!$A$2," ",'Bundle Tag Info'!$A$3,CHAR(10),'Bundle Tag Info'!C$6,CHAR(10),'Bundle Tag Info'!C$22),"")</f>
        <v/>
      </c>
      <c r="D17" s="16" t="str">
        <f>IF('Bundle Tag Info'!D$22&lt;&gt;"",CONCATENATE('Bundle Tag Info'!$A$1," ",CHAR(10),'Bundle Tag Info'!$A$2," ",'Bundle Tag Info'!$A$3,CHAR(10),'Bundle Tag Info'!D$6,CHAR(10),'Bundle Tag Info'!D$22),"")</f>
        <v/>
      </c>
      <c r="E17" s="16" t="str">
        <f>IF('Bundle Tag Info'!E$22&lt;&gt;"",CONCATENATE('Bundle Tag Info'!$A$1," ",CHAR(10),'Bundle Tag Info'!$A$2," ",'Bundle Tag Info'!$A$3,CHAR(10),'Bundle Tag Info'!E$6,CHAR(10),'Bundle Tag Info'!E$22),"")</f>
        <v>KOC-JPF #1 
4P101 C.1
A
XT-B</v>
      </c>
      <c r="F17" s="16" t="str">
        <f>IF('Bundle Tag Info'!F$22&lt;&gt;"",CONCATENATE('Bundle Tag Info'!$A$1," ",CHAR(10),'Bundle Tag Info'!$A$2," ",'Bundle Tag Info'!$A$3,CHAR(10),'Bundle Tag Info'!F$6,CHAR(10),'Bundle Tag Info'!F$22),"")</f>
        <v/>
      </c>
      <c r="G17" s="16" t="str">
        <f>IF('Bundle Tag Info'!G$22&lt;&gt;"",CONCATENATE('Bundle Tag Info'!$A$1," ",CHAR(10),'Bundle Tag Info'!$A$2," ",'Bundle Tag Info'!$A$3,CHAR(10),'Bundle Tag Info'!G$6,CHAR(10),'Bundle Tag Info'!G$22),"")</f>
        <v/>
      </c>
      <c r="H17" s="16" t="str">
        <f>IF('Bundle Tag Info'!H$22&lt;&gt;"",CONCATENATE('Bundle Tag Info'!$A$1," ",CHAR(10),'Bundle Tag Info'!$A$2," ",'Bundle Tag Info'!$A$3,CHAR(10),'Bundle Tag Info'!H$6,CHAR(10),'Bundle Tag Info'!H$22),"")</f>
        <v/>
      </c>
      <c r="I17" s="16" t="str">
        <f>IF('Bundle Tag Info'!I$22&lt;&gt;"",CONCATENATE('Bundle Tag Info'!$A$1," ",CHAR(10),'Bundle Tag Info'!$A$2," ",'Bundle Tag Info'!$A$3,CHAR(10),'Bundle Tag Info'!I$6,CHAR(10),'Bundle Tag Info'!I$22),"")</f>
        <v/>
      </c>
      <c r="J17" s="16" t="str">
        <f>IF('Bundle Tag Info'!J$22&lt;&gt;"",CONCATENATE('Bundle Tag Info'!$A$1," ",CHAR(10),'Bundle Tag Info'!$A$2," ",'Bundle Tag Info'!$A$3,CHAR(10),'Bundle Tag Info'!J$6,CHAR(10),'Bundle Tag Info'!J$22),"")</f>
        <v/>
      </c>
      <c r="K17" s="16" t="str">
        <f>IF('Bundle Tag Info'!K$22&lt;&gt;"",CONCATENATE('Bundle Tag Info'!$A$1," ",CHAR(10),'Bundle Tag Info'!$A$2," ",'Bundle Tag Info'!$A$3,CHAR(10),'Bundle Tag Info'!K$6,CHAR(10),'Bundle Tag Info'!K$22),"")</f>
        <v/>
      </c>
      <c r="L17" s="16" t="str">
        <f>IF('Bundle Tag Info'!L$22&lt;&gt;"",CONCATENATE('Bundle Tag Info'!$A$1," ",CHAR(10),'Bundle Tag Info'!$A$2," ",'Bundle Tag Info'!$A$3,CHAR(10),'Bundle Tag Info'!L$6,CHAR(10),'Bundle Tag Info'!L$22),"")</f>
        <v/>
      </c>
      <c r="M17" s="16" t="str">
        <f>IF('Bundle Tag Info'!M$22&lt;&gt;"",CONCATENATE('Bundle Tag Info'!$A$1," ",CHAR(10),'Bundle Tag Info'!$A$2," ",'Bundle Tag Info'!$A$3,CHAR(10),'Bundle Tag Info'!M$6,CHAR(10),'Bundle Tag Info'!M$22),"")</f>
        <v/>
      </c>
      <c r="N17" s="16" t="str">
        <f>IF('Bundle Tag Info'!N$22&lt;&gt;"",CONCATENATE('Bundle Tag Info'!$A$1," ",CHAR(10),'Bundle Tag Info'!$A$2," ",'Bundle Tag Info'!$A$3,CHAR(10),'Bundle Tag Info'!N$6,CHAR(10),'Bundle Tag Info'!N$22),"")</f>
        <v/>
      </c>
      <c r="O17" s="16" t="str">
        <f>IF('Bundle Tag Info'!O$22&lt;&gt;"",CONCATENATE('Bundle Tag Info'!$A$1," ",CHAR(10),'Bundle Tag Info'!$A$2," ",'Bundle Tag Info'!$A$3,CHAR(10),'Bundle Tag Info'!O$6,CHAR(10),'Bundle Tag Info'!O$22),"")</f>
        <v/>
      </c>
      <c r="P17" s="16" t="str">
        <f>IF('Bundle Tag Info'!P$22&lt;&gt;"",CONCATENATE('Bundle Tag Info'!$A$1," ",CHAR(10),'Bundle Tag Info'!$A$2," ",'Bundle Tag Info'!$A$3,CHAR(10),'Bundle Tag Info'!P$6,CHAR(10),'Bundle Tag Info'!P$22),"")</f>
        <v/>
      </c>
      <c r="Q17" s="16" t="str">
        <f>IF('Bundle Tag Info'!Q$22&lt;&gt;"",CONCATENATE('Bundle Tag Info'!$A$1," ",CHAR(10),'Bundle Tag Info'!$A$2," ",'Bundle Tag Info'!$A$3,CHAR(10),'Bundle Tag Info'!Q$6,CHAR(10),'Bundle Tag Info'!Q$22),"")</f>
        <v/>
      </c>
      <c r="R17" s="16" t="str">
        <f>IF('Bundle Tag Info'!R$22&lt;&gt;"",CONCATENATE('Bundle Tag Info'!$A$1," ",CHAR(10),'Bundle Tag Info'!$A$2," ",'Bundle Tag Info'!$A$3,CHAR(10),'Bundle Tag Info'!R$6,CHAR(10),'Bundle Tag Info'!R$22),"")</f>
        <v/>
      </c>
      <c r="S17" s="16" t="str">
        <f>IF('Bundle Tag Info'!S$22&lt;&gt;"",CONCATENATE('Bundle Tag Info'!$A$1," ",CHAR(10),'Bundle Tag Info'!$A$2," ",'Bundle Tag Info'!$A$3,CHAR(10),'Bundle Tag Info'!S$6,CHAR(10),'Bundle Tag Info'!S$22),"")</f>
        <v/>
      </c>
      <c r="T17" s="16" t="str">
        <f>IF('Bundle Tag Info'!T$22&lt;&gt;"",CONCATENATE('Bundle Tag Info'!$A$1," ",CHAR(10),'Bundle Tag Info'!$A$2," ",'Bundle Tag Info'!$A$3,CHAR(10),'Bundle Tag Info'!T$6,CHAR(10),'Bundle Tag Info'!T$22),"")</f>
        <v/>
      </c>
      <c r="U17" s="16" t="str">
        <f>IF('Bundle Tag Info'!U$22&lt;&gt;"",CONCATENATE('Bundle Tag Info'!$A$1," ",CHAR(10),'Bundle Tag Info'!$A$2," ",'Bundle Tag Info'!$A$3,CHAR(10),'Bundle Tag Info'!U$6,CHAR(10),'Bundle Tag Info'!U$22),"")</f>
        <v/>
      </c>
      <c r="V17" s="16" t="str">
        <f>IF('Bundle Tag Info'!V$22&lt;&gt;"",CONCATENATE('Bundle Tag Info'!$A$1," ",CHAR(10),'Bundle Tag Info'!$A$2," ",'Bundle Tag Info'!$A$3,CHAR(10),'Bundle Tag Info'!V$6,CHAR(10),'Bundle Tag Info'!V$22),"")</f>
        <v/>
      </c>
      <c r="W17" s="16" t="str">
        <f>IF('Bundle Tag Info'!W$22&lt;&gt;"",CONCATENATE('Bundle Tag Info'!$A$1," ",CHAR(10),'Bundle Tag Info'!$A$2," ",'Bundle Tag Info'!$A$3,CHAR(10),'Bundle Tag Info'!W$6,CHAR(10),'Bundle Tag Info'!W$22),"")</f>
        <v/>
      </c>
      <c r="X17" s="16" t="str">
        <f>IF('Bundle Tag Info'!X$22&lt;&gt;"",CONCATENATE('Bundle Tag Info'!$A$1," ",CHAR(10),'Bundle Tag Info'!$A$2," ",'Bundle Tag Info'!$A$3,CHAR(10),'Bundle Tag Info'!X$6,CHAR(10),'Bundle Tag Info'!X$22),"")</f>
        <v/>
      </c>
      <c r="Y17" s="16" t="str">
        <f>IF('Bundle Tag Info'!Y$22&lt;&gt;"",CONCATENATE('Bundle Tag Info'!$A$1," ",CHAR(10),'Bundle Tag Info'!$A$2," ",'Bundle Tag Info'!$A$3,CHAR(10),'Bundle Tag Info'!Y$6,CHAR(10),'Bundle Tag Info'!Y$22),"")</f>
        <v/>
      </c>
      <c r="Z17" s="16" t="str">
        <f>IF('Bundle Tag Info'!Z$22&lt;&gt;"",CONCATENATE('Bundle Tag Info'!$A$1," ",CHAR(10),'Bundle Tag Info'!$A$2," ",'Bundle Tag Info'!$A$3,CHAR(10),'Bundle Tag Info'!Z$6,CHAR(10),'Bundle Tag Info'!Z$22),"")</f>
        <v/>
      </c>
      <c r="AA17" s="16" t="str">
        <f>IF('Bundle Tag Info'!AA$22&lt;&gt;"",CONCATENATE('Bundle Tag Info'!$A$1," ",CHAR(10),'Bundle Tag Info'!$A$2," ",'Bundle Tag Info'!$A$3,CHAR(10),'Bundle Tag Info'!AA$6,CHAR(10),'Bundle Tag Info'!AA$22),"")</f>
        <v/>
      </c>
      <c r="AB17" s="16" t="str">
        <f>IF('Bundle Tag Info'!AB$22&lt;&gt;"",CONCATENATE('Bundle Tag Info'!$A$1," ",CHAR(10),'Bundle Tag Info'!$A$2," ",'Bundle Tag Info'!$A$3,CHAR(10),'Bundle Tag Info'!AB$6,CHAR(10),'Bundle Tag Info'!AB$22),"")</f>
        <v/>
      </c>
      <c r="AC17" s="16" t="str">
        <f>IF('Bundle Tag Info'!AC$22&lt;&gt;"",CONCATENATE('Bundle Tag Info'!$A$1," ",CHAR(10),'Bundle Tag Info'!$A$2," ",'Bundle Tag Info'!$A$3,CHAR(10),'Bundle Tag Info'!AC$6,CHAR(10),'Bundle Tag Info'!AC$22),"")</f>
        <v/>
      </c>
      <c r="AD17" s="1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6" t="str">
        <f>IF('Bundle Tag Info'!A$23&lt;&gt;"",CONCATENATE('Bundle Tag Info'!$A$1," ",CHAR(10),'Bundle Tag Info'!$A$2," ",'Bundle Tag Info'!$A$3,CHAR(10),'Bundle Tag Info'!A$6,CHAR(10),'Bundle Tag Info'!A$23),"")</f>
        <v/>
      </c>
      <c r="B18" s="16" t="str">
        <f>IF('Bundle Tag Info'!B$23&lt;&gt;"",CONCATENATE('Bundle Tag Info'!$A$1," ",CHAR(10),'Bundle Tag Info'!$A$2," ",'Bundle Tag Info'!$A$3,CHAR(10),'Bundle Tag Info'!B$6,CHAR(10),'Bundle Tag Info'!B$23),"")</f>
        <v/>
      </c>
      <c r="C18" s="16" t="str">
        <f>IF('Bundle Tag Info'!C$23&lt;&gt;"",CONCATENATE('Bundle Tag Info'!$A$1," ",CHAR(10),'Bundle Tag Info'!$A$2," ",'Bundle Tag Info'!$A$3,CHAR(10),'Bundle Tag Info'!C$6,CHAR(10),'Bundle Tag Info'!C$23),"")</f>
        <v/>
      </c>
      <c r="D18" s="16" t="str">
        <f>IF('Bundle Tag Info'!D$23&lt;&gt;"",CONCATENATE('Bundle Tag Info'!$A$1," ",CHAR(10),'Bundle Tag Info'!$A$2," ",'Bundle Tag Info'!$A$3,CHAR(10),'Bundle Tag Info'!D$6,CHAR(10),'Bundle Tag Info'!D$23),"")</f>
        <v/>
      </c>
      <c r="E18" s="16" t="str">
        <f>IF('Bundle Tag Info'!E$23&lt;&gt;"",CONCATENATE('Bundle Tag Info'!$A$1," ",CHAR(10),'Bundle Tag Info'!$A$2," ",'Bundle Tag Info'!$A$3,CHAR(10),'Bundle Tag Info'!E$6,CHAR(10),'Bundle Tag Info'!E$23),"")</f>
        <v/>
      </c>
      <c r="F18" s="16" t="str">
        <f>IF('Bundle Tag Info'!F$23&lt;&gt;"",CONCATENATE('Bundle Tag Info'!$A$1," ",CHAR(10),'Bundle Tag Info'!$A$2," ",'Bundle Tag Info'!$A$3,CHAR(10),'Bundle Tag Info'!F$6,CHAR(10),'Bundle Tag Info'!F$23),"")</f>
        <v/>
      </c>
      <c r="G18" s="16" t="str">
        <f>IF('Bundle Tag Info'!G$23&lt;&gt;"",CONCATENATE('Bundle Tag Info'!$A$1," ",CHAR(10),'Bundle Tag Info'!$A$2," ",'Bundle Tag Info'!$A$3,CHAR(10),'Bundle Tag Info'!G$6,CHAR(10),'Bundle Tag Info'!G$23),"")</f>
        <v/>
      </c>
      <c r="H18" s="16" t="str">
        <f>IF('Bundle Tag Info'!H$23&lt;&gt;"",CONCATENATE('Bundle Tag Info'!$A$1," ",CHAR(10),'Bundle Tag Info'!$A$2," ",'Bundle Tag Info'!$A$3,CHAR(10),'Bundle Tag Info'!H$6,CHAR(10),'Bundle Tag Info'!H$23),"")</f>
        <v/>
      </c>
      <c r="I18" s="16" t="str">
        <f>IF('Bundle Tag Info'!I$23&lt;&gt;"",CONCATENATE('Bundle Tag Info'!$A$1," ",CHAR(10),'Bundle Tag Info'!$A$2," ",'Bundle Tag Info'!$A$3,CHAR(10),'Bundle Tag Info'!I$6,CHAR(10),'Bundle Tag Info'!I$23),"")</f>
        <v/>
      </c>
      <c r="J18" s="16" t="str">
        <f>IF('Bundle Tag Info'!J$23&lt;&gt;"",CONCATENATE('Bundle Tag Info'!$A$1," ",CHAR(10),'Bundle Tag Info'!$A$2," ",'Bundle Tag Info'!$A$3,CHAR(10),'Bundle Tag Info'!J$6,CHAR(10),'Bundle Tag Info'!J$23),"")</f>
        <v/>
      </c>
      <c r="K18" s="16" t="str">
        <f>IF('Bundle Tag Info'!K$23&lt;&gt;"",CONCATENATE('Bundle Tag Info'!$A$1," ",CHAR(10),'Bundle Tag Info'!$A$2," ",'Bundle Tag Info'!$A$3,CHAR(10),'Bundle Tag Info'!K$6,CHAR(10),'Bundle Tag Info'!K$23),"")</f>
        <v/>
      </c>
      <c r="L18" s="16" t="str">
        <f>IF('Bundle Tag Info'!L$23&lt;&gt;"",CONCATENATE('Bundle Tag Info'!$A$1," ",CHAR(10),'Bundle Tag Info'!$A$2," ",'Bundle Tag Info'!$A$3,CHAR(10),'Bundle Tag Info'!L$6,CHAR(10),'Bundle Tag Info'!L$23),"")</f>
        <v/>
      </c>
      <c r="M18" s="16" t="str">
        <f>IF('Bundle Tag Info'!M$23&lt;&gt;"",CONCATENATE('Bundle Tag Info'!$A$1," ",CHAR(10),'Bundle Tag Info'!$A$2," ",'Bundle Tag Info'!$A$3,CHAR(10),'Bundle Tag Info'!M$6,CHAR(10),'Bundle Tag Info'!M$23),"")</f>
        <v/>
      </c>
      <c r="N18" s="16" t="str">
        <f>IF('Bundle Tag Info'!N$23&lt;&gt;"",CONCATENATE('Bundle Tag Info'!$A$1," ",CHAR(10),'Bundle Tag Info'!$A$2," ",'Bundle Tag Info'!$A$3,CHAR(10),'Bundle Tag Info'!N$6,CHAR(10),'Bundle Tag Info'!N$23),"")</f>
        <v/>
      </c>
      <c r="O18" s="16" t="str">
        <f>IF('Bundle Tag Info'!O$23&lt;&gt;"",CONCATENATE('Bundle Tag Info'!$A$1," ",CHAR(10),'Bundle Tag Info'!$A$2," ",'Bundle Tag Info'!$A$3,CHAR(10),'Bundle Tag Info'!O$6,CHAR(10),'Bundle Tag Info'!O$23),"")</f>
        <v/>
      </c>
      <c r="P18" s="16" t="str">
        <f>IF('Bundle Tag Info'!P$23&lt;&gt;"",CONCATENATE('Bundle Tag Info'!$A$1," ",CHAR(10),'Bundle Tag Info'!$A$2," ",'Bundle Tag Info'!$A$3,CHAR(10),'Bundle Tag Info'!P$6,CHAR(10),'Bundle Tag Info'!P$23),"")</f>
        <v/>
      </c>
      <c r="Q18" s="16" t="str">
        <f>IF('Bundle Tag Info'!Q$23&lt;&gt;"",CONCATENATE('Bundle Tag Info'!$A$1," ",CHAR(10),'Bundle Tag Info'!$A$2," ",'Bundle Tag Info'!$A$3,CHAR(10),'Bundle Tag Info'!Q$6,CHAR(10),'Bundle Tag Info'!Q$23),"")</f>
        <v/>
      </c>
      <c r="R18" s="16" t="str">
        <f>IF('Bundle Tag Info'!R$23&lt;&gt;"",CONCATENATE('Bundle Tag Info'!$A$1," ",CHAR(10),'Bundle Tag Info'!$A$2," ",'Bundle Tag Info'!$A$3,CHAR(10),'Bundle Tag Info'!R$6,CHAR(10),'Bundle Tag Info'!R$23),"")</f>
        <v/>
      </c>
      <c r="S18" s="16" t="str">
        <f>IF('Bundle Tag Info'!S$23&lt;&gt;"",CONCATENATE('Bundle Tag Info'!$A$1," ",CHAR(10),'Bundle Tag Info'!$A$2," ",'Bundle Tag Info'!$A$3,CHAR(10),'Bundle Tag Info'!S$6,CHAR(10),'Bundle Tag Info'!S$23),"")</f>
        <v/>
      </c>
      <c r="T18" s="16" t="str">
        <f>IF('Bundle Tag Info'!T$23&lt;&gt;"",CONCATENATE('Bundle Tag Info'!$A$1," ",CHAR(10),'Bundle Tag Info'!$A$2," ",'Bundle Tag Info'!$A$3,CHAR(10),'Bundle Tag Info'!T$6,CHAR(10),'Bundle Tag Info'!T$23),"")</f>
        <v/>
      </c>
      <c r="U18" s="16" t="str">
        <f>IF('Bundle Tag Info'!U$23&lt;&gt;"",CONCATENATE('Bundle Tag Info'!$A$1," ",CHAR(10),'Bundle Tag Info'!$A$2," ",'Bundle Tag Info'!$A$3,CHAR(10),'Bundle Tag Info'!U$6,CHAR(10),'Bundle Tag Info'!U$23),"")</f>
        <v/>
      </c>
      <c r="V18" s="16" t="str">
        <f>IF('Bundle Tag Info'!V$23&lt;&gt;"",CONCATENATE('Bundle Tag Info'!$A$1," ",CHAR(10),'Bundle Tag Info'!$A$2," ",'Bundle Tag Info'!$A$3,CHAR(10),'Bundle Tag Info'!V$6,CHAR(10),'Bundle Tag Info'!V$23),"")</f>
        <v/>
      </c>
      <c r="W18" s="16" t="str">
        <f>IF('Bundle Tag Info'!W$23&lt;&gt;"",CONCATENATE('Bundle Tag Info'!$A$1," ",CHAR(10),'Bundle Tag Info'!$A$2," ",'Bundle Tag Info'!$A$3,CHAR(10),'Bundle Tag Info'!W$6,CHAR(10),'Bundle Tag Info'!W$23),"")</f>
        <v/>
      </c>
      <c r="X18" s="16" t="str">
        <f>IF('Bundle Tag Info'!X$23&lt;&gt;"",CONCATENATE('Bundle Tag Info'!$A$1," ",CHAR(10),'Bundle Tag Info'!$A$2," ",'Bundle Tag Info'!$A$3,CHAR(10),'Bundle Tag Info'!X$6,CHAR(10),'Bundle Tag Info'!X$23),"")</f>
        <v/>
      </c>
      <c r="Y18" s="16" t="str">
        <f>IF('Bundle Tag Info'!Y$23&lt;&gt;"",CONCATENATE('Bundle Tag Info'!$A$1," ",CHAR(10),'Bundle Tag Info'!$A$2," ",'Bundle Tag Info'!$A$3,CHAR(10),'Bundle Tag Info'!Y$6,CHAR(10),'Bundle Tag Info'!Y$23),"")</f>
        <v/>
      </c>
      <c r="Z18" s="16" t="str">
        <f>IF('Bundle Tag Info'!Z$23&lt;&gt;"",CONCATENATE('Bundle Tag Info'!$A$1," ",CHAR(10),'Bundle Tag Info'!$A$2," ",'Bundle Tag Info'!$A$3,CHAR(10),'Bundle Tag Info'!Z$6,CHAR(10),'Bundle Tag Info'!Z$23),"")</f>
        <v/>
      </c>
      <c r="AA18" s="16" t="str">
        <f>IF('Bundle Tag Info'!AA$23&lt;&gt;"",CONCATENATE('Bundle Tag Info'!$A$1," ",CHAR(10),'Bundle Tag Info'!$A$2," ",'Bundle Tag Info'!$A$3,CHAR(10),'Bundle Tag Info'!AA$6,CHAR(10),'Bundle Tag Info'!AA$23),"")</f>
        <v/>
      </c>
      <c r="AB18" s="16" t="str">
        <f>IF('Bundle Tag Info'!AB$23&lt;&gt;"",CONCATENATE('Bundle Tag Info'!$A$1," ",CHAR(10),'Bundle Tag Info'!$A$2," ",'Bundle Tag Info'!$A$3,CHAR(10),'Bundle Tag Info'!AB$6,CHAR(10),'Bundle Tag Info'!AB$23),"")</f>
        <v/>
      </c>
      <c r="AC18" s="16" t="str">
        <f>IF('Bundle Tag Info'!AC$23&lt;&gt;"",CONCATENATE('Bundle Tag Info'!$A$1," ",CHAR(10),'Bundle Tag Info'!$A$2," ",'Bundle Tag Info'!$A$3,CHAR(10),'Bundle Tag Info'!AC$6,CHAR(10),'Bundle Tag Info'!AC$23),"")</f>
        <v/>
      </c>
      <c r="AD18" s="1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6" t="str">
        <f>IF('Bundle Tag Info'!A$24&lt;&gt;"",CONCATENATE('Bundle Tag Info'!$A$1," ",CHAR(10),'Bundle Tag Info'!$A$2," ",'Bundle Tag Info'!$A$3,CHAR(10),'Bundle Tag Info'!A$6,CHAR(10),'Bundle Tag Info'!A$24),"")</f>
        <v/>
      </c>
      <c r="B19" s="16" t="str">
        <f>IF('Bundle Tag Info'!B$24&lt;&gt;"",CONCATENATE('Bundle Tag Info'!$A$1," ",CHAR(10),'Bundle Tag Info'!$A$2," ",'Bundle Tag Info'!$A$3,CHAR(10),'Bundle Tag Info'!B$6,CHAR(10),'Bundle Tag Info'!B$24),"")</f>
        <v/>
      </c>
      <c r="C19" s="16" t="str">
        <f>IF('Bundle Tag Info'!C$24&lt;&gt;"",CONCATENATE('Bundle Tag Info'!$A$1," ",CHAR(10),'Bundle Tag Info'!$A$2," ",'Bundle Tag Info'!$A$3,CHAR(10),'Bundle Tag Info'!C$6,CHAR(10),'Bundle Tag Info'!C$24),"")</f>
        <v/>
      </c>
      <c r="D19" s="16" t="str">
        <f>IF('Bundle Tag Info'!D$24&lt;&gt;"",CONCATENATE('Bundle Tag Info'!$A$1," ",CHAR(10),'Bundle Tag Info'!$A$2," ",'Bundle Tag Info'!$A$3,CHAR(10),'Bundle Tag Info'!D$6,CHAR(10),'Bundle Tag Info'!D$24),"")</f>
        <v/>
      </c>
      <c r="E19" s="16" t="str">
        <f>IF('Bundle Tag Info'!E$24&lt;&gt;"",CONCATENATE('Bundle Tag Info'!$A$1," ",CHAR(10),'Bundle Tag Info'!$A$2," ",'Bundle Tag Info'!$A$3,CHAR(10),'Bundle Tag Info'!E$6,CHAR(10),'Bundle Tag Info'!E$24),"")</f>
        <v/>
      </c>
      <c r="F19" s="16" t="str">
        <f>IF('Bundle Tag Info'!F$24&lt;&gt;"",CONCATENATE('Bundle Tag Info'!$A$1," ",CHAR(10),'Bundle Tag Info'!$A$2," ",'Bundle Tag Info'!$A$3,CHAR(10),'Bundle Tag Info'!F$6,CHAR(10),'Bundle Tag Info'!F$24),"")</f>
        <v/>
      </c>
      <c r="G19" s="16" t="str">
        <f>IF('Bundle Tag Info'!G$24&lt;&gt;"",CONCATENATE('Bundle Tag Info'!$A$1," ",CHAR(10),'Bundle Tag Info'!$A$2," ",'Bundle Tag Info'!$A$3,CHAR(10),'Bundle Tag Info'!G$6,CHAR(10),'Bundle Tag Info'!G$24),"")</f>
        <v/>
      </c>
      <c r="H19" s="16" t="str">
        <f>IF('Bundle Tag Info'!H$24&lt;&gt;"",CONCATENATE('Bundle Tag Info'!$A$1," ",CHAR(10),'Bundle Tag Info'!$A$2," ",'Bundle Tag Info'!$A$3,CHAR(10),'Bundle Tag Info'!H$6,CHAR(10),'Bundle Tag Info'!H$24),"")</f>
        <v/>
      </c>
      <c r="I19" s="16" t="str">
        <f>IF('Bundle Tag Info'!I$24&lt;&gt;"",CONCATENATE('Bundle Tag Info'!$A$1," ",CHAR(10),'Bundle Tag Info'!$A$2," ",'Bundle Tag Info'!$A$3,CHAR(10),'Bundle Tag Info'!I$6,CHAR(10),'Bundle Tag Info'!I$24),"")</f>
        <v/>
      </c>
      <c r="J19" s="16" t="str">
        <f>IF('Bundle Tag Info'!J$24&lt;&gt;"",CONCATENATE('Bundle Tag Info'!$A$1," ",CHAR(10),'Bundle Tag Info'!$A$2," ",'Bundle Tag Info'!$A$3,CHAR(10),'Bundle Tag Info'!J$6,CHAR(10),'Bundle Tag Info'!J$24),"")</f>
        <v/>
      </c>
      <c r="K19" s="16" t="str">
        <f>IF('Bundle Tag Info'!K$24&lt;&gt;"",CONCATENATE('Bundle Tag Info'!$A$1," ",CHAR(10),'Bundle Tag Info'!$A$2," ",'Bundle Tag Info'!$A$3,CHAR(10),'Bundle Tag Info'!K$6,CHAR(10),'Bundle Tag Info'!K$24),"")</f>
        <v/>
      </c>
      <c r="L19" s="16" t="str">
        <f>IF('Bundle Tag Info'!L$24&lt;&gt;"",CONCATENATE('Bundle Tag Info'!$A$1," ",CHAR(10),'Bundle Tag Info'!$A$2," ",'Bundle Tag Info'!$A$3,CHAR(10),'Bundle Tag Info'!L$6,CHAR(10),'Bundle Tag Info'!L$24),"")</f>
        <v/>
      </c>
      <c r="M19" s="16" t="str">
        <f>IF('Bundle Tag Info'!M$24&lt;&gt;"",CONCATENATE('Bundle Tag Info'!$A$1," ",CHAR(10),'Bundle Tag Info'!$A$2," ",'Bundle Tag Info'!$A$3,CHAR(10),'Bundle Tag Info'!M$6,CHAR(10),'Bundle Tag Info'!M$24),"")</f>
        <v/>
      </c>
      <c r="N19" s="16" t="str">
        <f>IF('Bundle Tag Info'!N$24&lt;&gt;"",CONCATENATE('Bundle Tag Info'!$A$1," ",CHAR(10),'Bundle Tag Info'!$A$2," ",'Bundle Tag Info'!$A$3,CHAR(10),'Bundle Tag Info'!N$6,CHAR(10),'Bundle Tag Info'!N$24),"")</f>
        <v/>
      </c>
      <c r="O19" s="16" t="str">
        <f>IF('Bundle Tag Info'!O$24&lt;&gt;"",CONCATENATE('Bundle Tag Info'!$A$1," ",CHAR(10),'Bundle Tag Info'!$A$2," ",'Bundle Tag Info'!$A$3,CHAR(10),'Bundle Tag Info'!O$6,CHAR(10),'Bundle Tag Info'!O$24),"")</f>
        <v/>
      </c>
      <c r="P19" s="16" t="str">
        <f>IF('Bundle Tag Info'!P$24&lt;&gt;"",CONCATENATE('Bundle Tag Info'!$A$1," ",CHAR(10),'Bundle Tag Info'!$A$2," ",'Bundle Tag Info'!$A$3,CHAR(10),'Bundle Tag Info'!P$6,CHAR(10),'Bundle Tag Info'!P$24),"")</f>
        <v/>
      </c>
      <c r="Q19" s="16" t="str">
        <f>IF('Bundle Tag Info'!Q$24&lt;&gt;"",CONCATENATE('Bundle Tag Info'!$A$1," ",CHAR(10),'Bundle Tag Info'!$A$2," ",'Bundle Tag Info'!$A$3,CHAR(10),'Bundle Tag Info'!Q$6,CHAR(10),'Bundle Tag Info'!Q$24),"")</f>
        <v/>
      </c>
      <c r="R19" s="16" t="str">
        <f>IF('Bundle Tag Info'!R$24&lt;&gt;"",CONCATENATE('Bundle Tag Info'!$A$1," ",CHAR(10),'Bundle Tag Info'!$A$2," ",'Bundle Tag Info'!$A$3,CHAR(10),'Bundle Tag Info'!R$6,CHAR(10),'Bundle Tag Info'!R$24),"")</f>
        <v/>
      </c>
      <c r="S19" s="16" t="str">
        <f>IF('Bundle Tag Info'!S$24&lt;&gt;"",CONCATENATE('Bundle Tag Info'!$A$1," ",CHAR(10),'Bundle Tag Info'!$A$2," ",'Bundle Tag Info'!$A$3,CHAR(10),'Bundle Tag Info'!S$6,CHAR(10),'Bundle Tag Info'!S$24),"")</f>
        <v/>
      </c>
      <c r="T19" s="16" t="str">
        <f>IF('Bundle Tag Info'!T$24&lt;&gt;"",CONCATENATE('Bundle Tag Info'!$A$1," ",CHAR(10),'Bundle Tag Info'!$A$2," ",'Bundle Tag Info'!$A$3,CHAR(10),'Bundle Tag Info'!T$6,CHAR(10),'Bundle Tag Info'!T$24),"")</f>
        <v/>
      </c>
      <c r="U19" s="16" t="str">
        <f>IF('Bundle Tag Info'!U$24&lt;&gt;"",CONCATENATE('Bundle Tag Info'!$A$1," ",CHAR(10),'Bundle Tag Info'!$A$2," ",'Bundle Tag Info'!$A$3,CHAR(10),'Bundle Tag Info'!U$6,CHAR(10),'Bundle Tag Info'!U$24),"")</f>
        <v/>
      </c>
      <c r="V19" s="16" t="str">
        <f>IF('Bundle Tag Info'!V$24&lt;&gt;"",CONCATENATE('Bundle Tag Info'!$A$1," ",CHAR(10),'Bundle Tag Info'!$A$2," ",'Bundle Tag Info'!$A$3,CHAR(10),'Bundle Tag Info'!V$6,CHAR(10),'Bundle Tag Info'!V$24),"")</f>
        <v/>
      </c>
      <c r="W19" s="16" t="str">
        <f>IF('Bundle Tag Info'!W$24&lt;&gt;"",CONCATENATE('Bundle Tag Info'!$A$1," ",CHAR(10),'Bundle Tag Info'!$A$2," ",'Bundle Tag Info'!$A$3,CHAR(10),'Bundle Tag Info'!W$6,CHAR(10),'Bundle Tag Info'!W$24),"")</f>
        <v/>
      </c>
      <c r="X19" s="16" t="str">
        <f>IF('Bundle Tag Info'!X$24&lt;&gt;"",CONCATENATE('Bundle Tag Info'!$A$1," ",CHAR(10),'Bundle Tag Info'!$A$2," ",'Bundle Tag Info'!$A$3,CHAR(10),'Bundle Tag Info'!X$6,CHAR(10),'Bundle Tag Info'!X$24),"")</f>
        <v/>
      </c>
      <c r="Y19" s="16" t="str">
        <f>IF('Bundle Tag Info'!Y$24&lt;&gt;"",CONCATENATE('Bundle Tag Info'!$A$1," ",CHAR(10),'Bundle Tag Info'!$A$2," ",'Bundle Tag Info'!$A$3,CHAR(10),'Bundle Tag Info'!Y$6,CHAR(10),'Bundle Tag Info'!Y$24),"")</f>
        <v/>
      </c>
      <c r="Z19" s="16" t="str">
        <f>IF('Bundle Tag Info'!Z$24&lt;&gt;"",CONCATENATE('Bundle Tag Info'!$A$1," ",CHAR(10),'Bundle Tag Info'!$A$2," ",'Bundle Tag Info'!$A$3,CHAR(10),'Bundle Tag Info'!Z$6,CHAR(10),'Bundle Tag Info'!Z$24),"")</f>
        <v/>
      </c>
      <c r="AA19" s="16" t="str">
        <f>IF('Bundle Tag Info'!AA$24&lt;&gt;"",CONCATENATE('Bundle Tag Info'!$A$1," ",CHAR(10),'Bundle Tag Info'!$A$2," ",'Bundle Tag Info'!$A$3,CHAR(10),'Bundle Tag Info'!AA$6,CHAR(10),'Bundle Tag Info'!AA$24),"")</f>
        <v/>
      </c>
      <c r="AB19" s="16" t="str">
        <f>IF('Bundle Tag Info'!AB$24&lt;&gt;"",CONCATENATE('Bundle Tag Info'!$A$1," ",CHAR(10),'Bundle Tag Info'!$A$2," ",'Bundle Tag Info'!$A$3,CHAR(10),'Bundle Tag Info'!AB$6,CHAR(10),'Bundle Tag Info'!AB$24),"")</f>
        <v/>
      </c>
      <c r="AC19" s="16" t="str">
        <f>IF('Bundle Tag Info'!AC$24&lt;&gt;"",CONCATENATE('Bundle Tag Info'!$A$1," ",CHAR(10),'Bundle Tag Info'!$A$2," ",'Bundle Tag Info'!$A$3,CHAR(10),'Bundle Tag Info'!AC$6,CHAR(10),'Bundle Tag Info'!AC$24),"")</f>
        <v/>
      </c>
      <c r="AD19" s="16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6" t="str">
        <f>IF('Bundle Tag Info'!A$25&lt;&gt;"",CONCATENATE('Bundle Tag Info'!$A$1," ",CHAR(10),'Bundle Tag Info'!$A$2," ",'Bundle Tag Info'!$A$3,CHAR(10),'Bundle Tag Info'!A$6,CHAR(10),'Bundle Tag Info'!A$25),"")</f>
        <v/>
      </c>
      <c r="B20" s="16" t="str">
        <f>IF('Bundle Tag Info'!B$25&lt;&gt;"",CONCATENATE('Bundle Tag Info'!$A$1," ",CHAR(10),'Bundle Tag Info'!$A$2," ",'Bundle Tag Info'!$A$3,CHAR(10),'Bundle Tag Info'!B$6,CHAR(10),'Bundle Tag Info'!B$25),"")</f>
        <v/>
      </c>
      <c r="C20" s="16" t="str">
        <f>IF('Bundle Tag Info'!C$25&lt;&gt;"",CONCATENATE('Bundle Tag Info'!$A$1," ",CHAR(10),'Bundle Tag Info'!$A$2," ",'Bundle Tag Info'!$A$3,CHAR(10),'Bundle Tag Info'!C$6,CHAR(10),'Bundle Tag Info'!C$25),"")</f>
        <v/>
      </c>
      <c r="D20" s="16" t="str">
        <f>IF('Bundle Tag Info'!D$25&lt;&gt;"",CONCATENATE('Bundle Tag Info'!$A$1," ",CHAR(10),'Bundle Tag Info'!$A$2," ",'Bundle Tag Info'!$A$3,CHAR(10),'Bundle Tag Info'!D$6,CHAR(10),'Bundle Tag Info'!D$25),"")</f>
        <v/>
      </c>
      <c r="E20" s="16" t="str">
        <f>IF('Bundle Tag Info'!E$25&lt;&gt;"",CONCATENATE('Bundle Tag Info'!$A$1," ",CHAR(10),'Bundle Tag Info'!$A$2," ",'Bundle Tag Info'!$A$3,CHAR(10),'Bundle Tag Info'!E$6,CHAR(10),'Bundle Tag Info'!E$25),"")</f>
        <v/>
      </c>
      <c r="F20" s="16" t="str">
        <f>IF('Bundle Tag Info'!F$25&lt;&gt;"",CONCATENATE('Bundle Tag Info'!$A$1," ",CHAR(10),'Bundle Tag Info'!$A$2," ",'Bundle Tag Info'!$A$3,CHAR(10),'Bundle Tag Info'!F$6,CHAR(10),'Bundle Tag Info'!F$25),"")</f>
        <v/>
      </c>
      <c r="G20" s="16" t="str">
        <f>IF('Bundle Tag Info'!G$25&lt;&gt;"",CONCATENATE('Bundle Tag Info'!$A$1," ",CHAR(10),'Bundle Tag Info'!$A$2," ",'Bundle Tag Info'!$A$3,CHAR(10),'Bundle Tag Info'!G$6,CHAR(10),'Bundle Tag Info'!G$25),"")</f>
        <v/>
      </c>
      <c r="H20" s="16" t="str">
        <f>IF('Bundle Tag Info'!H$25&lt;&gt;"",CONCATENATE('Bundle Tag Info'!$A$1," ",CHAR(10),'Bundle Tag Info'!$A$2," ",'Bundle Tag Info'!$A$3,CHAR(10),'Bundle Tag Info'!H$6,CHAR(10),'Bundle Tag Info'!H$25),"")</f>
        <v/>
      </c>
      <c r="I20" s="16" t="str">
        <f>IF('Bundle Tag Info'!I$25&lt;&gt;"",CONCATENATE('Bundle Tag Info'!$A$1," ",CHAR(10),'Bundle Tag Info'!$A$2," ",'Bundle Tag Info'!$A$3,CHAR(10),'Bundle Tag Info'!I$6,CHAR(10),'Bundle Tag Info'!I$25),"")</f>
        <v/>
      </c>
      <c r="J20" s="16" t="str">
        <f>IF('Bundle Tag Info'!J$25&lt;&gt;"",CONCATENATE('Bundle Tag Info'!$A$1," ",CHAR(10),'Bundle Tag Info'!$A$2," ",'Bundle Tag Info'!$A$3,CHAR(10),'Bundle Tag Info'!J$6,CHAR(10),'Bundle Tag Info'!J$25),"")</f>
        <v/>
      </c>
      <c r="K20" s="16" t="str">
        <f>IF('Bundle Tag Info'!K$25&lt;&gt;"",CONCATENATE('Bundle Tag Info'!$A$1," ",CHAR(10),'Bundle Tag Info'!$A$2," ",'Bundle Tag Info'!$A$3,CHAR(10),'Bundle Tag Info'!K$6,CHAR(10),'Bundle Tag Info'!K$25),"")</f>
        <v/>
      </c>
      <c r="L20" s="16" t="str">
        <f>IF('Bundle Tag Info'!L$25&lt;&gt;"",CONCATENATE('Bundle Tag Info'!$A$1," ",CHAR(10),'Bundle Tag Info'!$A$2," ",'Bundle Tag Info'!$A$3,CHAR(10),'Bundle Tag Info'!L$6,CHAR(10),'Bundle Tag Info'!L$25),"")</f>
        <v/>
      </c>
      <c r="M20" s="16" t="str">
        <f>IF('Bundle Tag Info'!M$25&lt;&gt;"",CONCATENATE('Bundle Tag Info'!$A$1," ",CHAR(10),'Bundle Tag Info'!$A$2," ",'Bundle Tag Info'!$A$3,CHAR(10),'Bundle Tag Info'!M$6,CHAR(10),'Bundle Tag Info'!M$25),"")</f>
        <v/>
      </c>
      <c r="N20" s="16" t="str">
        <f>IF('Bundle Tag Info'!N$25&lt;&gt;"",CONCATENATE('Bundle Tag Info'!$A$1," ",CHAR(10),'Bundle Tag Info'!$A$2," ",'Bundle Tag Info'!$A$3,CHAR(10),'Bundle Tag Info'!N$6,CHAR(10),'Bundle Tag Info'!N$25),"")</f>
        <v/>
      </c>
      <c r="O20" s="16" t="str">
        <f>IF('Bundle Tag Info'!O$25&lt;&gt;"",CONCATENATE('Bundle Tag Info'!$A$1," ",CHAR(10),'Bundle Tag Info'!$A$2," ",'Bundle Tag Info'!$A$3,CHAR(10),'Bundle Tag Info'!O$6,CHAR(10),'Bundle Tag Info'!O$25),"")</f>
        <v/>
      </c>
      <c r="P20" s="16" t="str">
        <f>IF('Bundle Tag Info'!P$25&lt;&gt;"",CONCATENATE('Bundle Tag Info'!$A$1," ",CHAR(10),'Bundle Tag Info'!$A$2," ",'Bundle Tag Info'!$A$3,CHAR(10),'Bundle Tag Info'!P$6,CHAR(10),'Bundle Tag Info'!P$25),"")</f>
        <v/>
      </c>
      <c r="Q20" s="16" t="str">
        <f>IF('Bundle Tag Info'!Q$25&lt;&gt;"",CONCATENATE('Bundle Tag Info'!$A$1," ",CHAR(10),'Bundle Tag Info'!$A$2," ",'Bundle Tag Info'!$A$3,CHAR(10),'Bundle Tag Info'!Q$6,CHAR(10),'Bundle Tag Info'!Q$25),"")</f>
        <v/>
      </c>
      <c r="R20" s="16" t="str">
        <f>IF('Bundle Tag Info'!R$25&lt;&gt;"",CONCATENATE('Bundle Tag Info'!$A$1," ",CHAR(10),'Bundle Tag Info'!$A$2," ",'Bundle Tag Info'!$A$3,CHAR(10),'Bundle Tag Info'!R$6,CHAR(10),'Bundle Tag Info'!R$25),"")</f>
        <v/>
      </c>
      <c r="S20" s="16" t="str">
        <f>IF('Bundle Tag Info'!S$25&lt;&gt;"",CONCATENATE('Bundle Tag Info'!$A$1," ",CHAR(10),'Bundle Tag Info'!$A$2," ",'Bundle Tag Info'!$A$3,CHAR(10),'Bundle Tag Info'!S$6,CHAR(10),'Bundle Tag Info'!S$25),"")</f>
        <v/>
      </c>
      <c r="T20" s="16" t="str">
        <f>IF('Bundle Tag Info'!T$25&lt;&gt;"",CONCATENATE('Bundle Tag Info'!$A$1," ",CHAR(10),'Bundle Tag Info'!$A$2," ",'Bundle Tag Info'!$A$3,CHAR(10),'Bundle Tag Info'!T$6,CHAR(10),'Bundle Tag Info'!T$25),"")</f>
        <v/>
      </c>
      <c r="U20" s="16" t="str">
        <f>IF('Bundle Tag Info'!U$25&lt;&gt;"",CONCATENATE('Bundle Tag Info'!$A$1," ",CHAR(10),'Bundle Tag Info'!$A$2," ",'Bundle Tag Info'!$A$3,CHAR(10),'Bundle Tag Info'!U$6,CHAR(10),'Bundle Tag Info'!U$25),"")</f>
        <v/>
      </c>
      <c r="V20" s="16" t="str">
        <f>IF('Bundle Tag Info'!V$25&lt;&gt;"",CONCATENATE('Bundle Tag Info'!$A$1," ",CHAR(10),'Bundle Tag Info'!$A$2," ",'Bundle Tag Info'!$A$3,CHAR(10),'Bundle Tag Info'!V$6,CHAR(10),'Bundle Tag Info'!V$25),"")</f>
        <v/>
      </c>
      <c r="W20" s="16" t="str">
        <f>IF('Bundle Tag Info'!W$25&lt;&gt;"",CONCATENATE('Bundle Tag Info'!$A$1," ",CHAR(10),'Bundle Tag Info'!$A$2," ",'Bundle Tag Info'!$A$3,CHAR(10),'Bundle Tag Info'!W$6,CHAR(10),'Bundle Tag Info'!W$25),"")</f>
        <v/>
      </c>
      <c r="X20" s="16" t="str">
        <f>IF('Bundle Tag Info'!X$25&lt;&gt;"",CONCATENATE('Bundle Tag Info'!$A$1," ",CHAR(10),'Bundle Tag Info'!$A$2," ",'Bundle Tag Info'!$A$3,CHAR(10),'Bundle Tag Info'!X$6,CHAR(10),'Bundle Tag Info'!X$25),"")</f>
        <v/>
      </c>
      <c r="Y20" s="16" t="str">
        <f>IF('Bundle Tag Info'!Y$25&lt;&gt;"",CONCATENATE('Bundle Tag Info'!$A$1," ",CHAR(10),'Bundle Tag Info'!$A$2," ",'Bundle Tag Info'!$A$3,CHAR(10),'Bundle Tag Info'!Y$6,CHAR(10),'Bundle Tag Info'!Y$25),"")</f>
        <v/>
      </c>
      <c r="Z20" s="16" t="str">
        <f>IF('Bundle Tag Info'!Z$25&lt;&gt;"",CONCATENATE('Bundle Tag Info'!$A$1," ",CHAR(10),'Bundle Tag Info'!$A$2," ",'Bundle Tag Info'!$A$3,CHAR(10),'Bundle Tag Info'!Z$6,CHAR(10),'Bundle Tag Info'!Z$25),"")</f>
        <v/>
      </c>
      <c r="AA20" s="16" t="str">
        <f>IF('Bundle Tag Info'!AA$25&lt;&gt;"",CONCATENATE('Bundle Tag Info'!$A$1," ",CHAR(10),'Bundle Tag Info'!$A$2," ",'Bundle Tag Info'!$A$3,CHAR(10),'Bundle Tag Info'!AA$6,CHAR(10),'Bundle Tag Info'!AA$25),"")</f>
        <v/>
      </c>
      <c r="AB20" s="16" t="str">
        <f>IF('Bundle Tag Info'!AB$25&lt;&gt;"",CONCATENATE('Bundle Tag Info'!$A$1," ",CHAR(10),'Bundle Tag Info'!$A$2," ",'Bundle Tag Info'!$A$3,CHAR(10),'Bundle Tag Info'!AB$6,CHAR(10),'Bundle Tag Info'!AB$25),"")</f>
        <v/>
      </c>
      <c r="AC20" s="16" t="str">
        <f>IF('Bundle Tag Info'!AC$25&lt;&gt;"",CONCATENATE('Bundle Tag Info'!$A$1," ",CHAR(10),'Bundle Tag Info'!$A$2," ",'Bundle Tag Info'!$A$3,CHAR(10),'Bundle Tag Info'!AC$6,CHAR(10),'Bundle Tag Info'!AC$25),"")</f>
        <v/>
      </c>
      <c r="AD20" s="1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6" t="str">
        <f>IF('Bundle Tag Info'!A$26&lt;&gt;"",CONCATENATE('Bundle Tag Info'!$A$1," ",CHAR(10),'Bundle Tag Info'!$A$2," ",'Bundle Tag Info'!$A$3,CHAR(10),'Bundle Tag Info'!A$6,CHAR(10),'Bundle Tag Info'!A$26),"")</f>
        <v/>
      </c>
      <c r="B21" s="16" t="str">
        <f>IF('Bundle Tag Info'!B$26&lt;&gt;"",CONCATENATE('Bundle Tag Info'!$A$1," ",CHAR(10),'Bundle Tag Info'!$A$2," ",'Bundle Tag Info'!$A$3,CHAR(10),'Bundle Tag Info'!B$6,CHAR(10),'Bundle Tag Info'!B$26),"")</f>
        <v/>
      </c>
      <c r="C21" s="16" t="str">
        <f>IF('Bundle Tag Info'!C$26&lt;&gt;"",CONCATENATE('Bundle Tag Info'!$A$1," ",CHAR(10),'Bundle Tag Info'!$A$2," ",'Bundle Tag Info'!$A$3,CHAR(10),'Bundle Tag Info'!C$6,CHAR(10),'Bundle Tag Info'!C$26),"")</f>
        <v/>
      </c>
      <c r="D21" s="16" t="str">
        <f>IF('Bundle Tag Info'!D$26&lt;&gt;"",CONCATENATE('Bundle Tag Info'!$A$1," ",CHAR(10),'Bundle Tag Info'!$A$2," ",'Bundle Tag Info'!$A$3,CHAR(10),'Bundle Tag Info'!D$6,CHAR(10),'Bundle Tag Info'!D$26),"")</f>
        <v/>
      </c>
      <c r="E21" s="16" t="str">
        <f>IF('Bundle Tag Info'!E$26&lt;&gt;"",CONCATENATE('Bundle Tag Info'!$A$1," ",CHAR(10),'Bundle Tag Info'!$A$2," ",'Bundle Tag Info'!$A$3,CHAR(10),'Bundle Tag Info'!E$6,CHAR(10),'Bundle Tag Info'!E$26),"")</f>
        <v/>
      </c>
      <c r="F21" s="16" t="str">
        <f>IF('Bundle Tag Info'!F$26&lt;&gt;"",CONCATENATE('Bundle Tag Info'!$A$1," ",CHAR(10),'Bundle Tag Info'!$A$2," ",'Bundle Tag Info'!$A$3,CHAR(10),'Bundle Tag Info'!F$6,CHAR(10),'Bundle Tag Info'!F$26),"")</f>
        <v/>
      </c>
      <c r="G21" s="16" t="str">
        <f>IF('Bundle Tag Info'!G$26&lt;&gt;"",CONCATENATE('Bundle Tag Info'!$A$1," ",CHAR(10),'Bundle Tag Info'!$A$2," ",'Bundle Tag Info'!$A$3,CHAR(10),'Bundle Tag Info'!G$6,CHAR(10),'Bundle Tag Info'!G$26),"")</f>
        <v/>
      </c>
      <c r="H21" s="16" t="str">
        <f>IF('Bundle Tag Info'!H$26&lt;&gt;"",CONCATENATE('Bundle Tag Info'!$A$1," ",CHAR(10),'Bundle Tag Info'!$A$2," ",'Bundle Tag Info'!$A$3,CHAR(10),'Bundle Tag Info'!H$6,CHAR(10),'Bundle Tag Info'!H$26),"")</f>
        <v/>
      </c>
      <c r="I21" s="16" t="str">
        <f>IF('Bundle Tag Info'!I$26&lt;&gt;"",CONCATENATE('Bundle Tag Info'!$A$1," ",CHAR(10),'Bundle Tag Info'!$A$2," ",'Bundle Tag Info'!$A$3,CHAR(10),'Bundle Tag Info'!I$6,CHAR(10),'Bundle Tag Info'!I$26),"")</f>
        <v/>
      </c>
      <c r="J21" s="16" t="str">
        <f>IF('Bundle Tag Info'!J$26&lt;&gt;"",CONCATENATE('Bundle Tag Info'!$A$1," ",CHAR(10),'Bundle Tag Info'!$A$2," ",'Bundle Tag Info'!$A$3,CHAR(10),'Bundle Tag Info'!J$6,CHAR(10),'Bundle Tag Info'!J$26),"")</f>
        <v/>
      </c>
      <c r="K21" s="16" t="str">
        <f>IF('Bundle Tag Info'!K$26&lt;&gt;"",CONCATENATE('Bundle Tag Info'!$A$1," ",CHAR(10),'Bundle Tag Info'!$A$2," ",'Bundle Tag Info'!$A$3,CHAR(10),'Bundle Tag Info'!K$6,CHAR(10),'Bundle Tag Info'!K$26),"")</f>
        <v/>
      </c>
      <c r="L21" s="16" t="str">
        <f>IF('Bundle Tag Info'!L$26&lt;&gt;"",CONCATENATE('Bundle Tag Info'!$A$1," ",CHAR(10),'Bundle Tag Info'!$A$2," ",'Bundle Tag Info'!$A$3,CHAR(10),'Bundle Tag Info'!L$6,CHAR(10),'Bundle Tag Info'!L$26),"")</f>
        <v/>
      </c>
      <c r="M21" s="16" t="str">
        <f>IF('Bundle Tag Info'!M$26&lt;&gt;"",CONCATENATE('Bundle Tag Info'!$A$1," ",CHAR(10),'Bundle Tag Info'!$A$2," ",'Bundle Tag Info'!$A$3,CHAR(10),'Bundle Tag Info'!M$6,CHAR(10),'Bundle Tag Info'!M$26),"")</f>
        <v/>
      </c>
      <c r="N21" s="16" t="str">
        <f>IF('Bundle Tag Info'!N$26&lt;&gt;"",CONCATENATE('Bundle Tag Info'!$A$1," ",CHAR(10),'Bundle Tag Info'!$A$2," ",'Bundle Tag Info'!$A$3,CHAR(10),'Bundle Tag Info'!N$6,CHAR(10),'Bundle Tag Info'!N$26),"")</f>
        <v/>
      </c>
      <c r="O21" s="16" t="str">
        <f>IF('Bundle Tag Info'!O$26&lt;&gt;"",CONCATENATE('Bundle Tag Info'!$A$1," ",CHAR(10),'Bundle Tag Info'!$A$2," ",'Bundle Tag Info'!$A$3,CHAR(10),'Bundle Tag Info'!O$6,CHAR(10),'Bundle Tag Info'!O$26),"")</f>
        <v/>
      </c>
      <c r="P21" s="16" t="str">
        <f>IF('Bundle Tag Info'!P$26&lt;&gt;"",CONCATENATE('Bundle Tag Info'!$A$1," ",CHAR(10),'Bundle Tag Info'!$A$2," ",'Bundle Tag Info'!$A$3,CHAR(10),'Bundle Tag Info'!P$6,CHAR(10),'Bundle Tag Info'!P$26),"")</f>
        <v/>
      </c>
      <c r="Q21" s="16" t="str">
        <f>IF('Bundle Tag Info'!Q$26&lt;&gt;"",CONCATENATE('Bundle Tag Info'!$A$1," ",CHAR(10),'Bundle Tag Info'!$A$2," ",'Bundle Tag Info'!$A$3,CHAR(10),'Bundle Tag Info'!Q$6,CHAR(10),'Bundle Tag Info'!Q$26),"")</f>
        <v/>
      </c>
      <c r="R21" s="16" t="str">
        <f>IF('Bundle Tag Info'!R$26&lt;&gt;"",CONCATENATE('Bundle Tag Info'!$A$1," ",CHAR(10),'Bundle Tag Info'!$A$2," ",'Bundle Tag Info'!$A$3,CHAR(10),'Bundle Tag Info'!R$6,CHAR(10),'Bundle Tag Info'!R$26),"")</f>
        <v/>
      </c>
      <c r="S21" s="16" t="str">
        <f>IF('Bundle Tag Info'!S$26&lt;&gt;"",CONCATENATE('Bundle Tag Info'!$A$1," ",CHAR(10),'Bundle Tag Info'!$A$2," ",'Bundle Tag Info'!$A$3,CHAR(10),'Bundle Tag Info'!S$6,CHAR(10),'Bundle Tag Info'!S$26),"")</f>
        <v/>
      </c>
      <c r="T21" s="16" t="str">
        <f>IF('Bundle Tag Info'!T$26&lt;&gt;"",CONCATENATE('Bundle Tag Info'!$A$1," ",CHAR(10),'Bundle Tag Info'!$A$2," ",'Bundle Tag Info'!$A$3,CHAR(10),'Bundle Tag Info'!T$6,CHAR(10),'Bundle Tag Info'!T$26),"")</f>
        <v/>
      </c>
      <c r="U21" s="16" t="str">
        <f>IF('Bundle Tag Info'!U$26&lt;&gt;"",CONCATENATE('Bundle Tag Info'!$A$1," ",CHAR(10),'Bundle Tag Info'!$A$2," ",'Bundle Tag Info'!$A$3,CHAR(10),'Bundle Tag Info'!U$6,CHAR(10),'Bundle Tag Info'!U$26),"")</f>
        <v/>
      </c>
      <c r="V21" s="16" t="str">
        <f>IF('Bundle Tag Info'!V$26&lt;&gt;"",CONCATENATE('Bundle Tag Info'!$A$1," ",CHAR(10),'Bundle Tag Info'!$A$2," ",'Bundle Tag Info'!$A$3,CHAR(10),'Bundle Tag Info'!V$6,CHAR(10),'Bundle Tag Info'!V$26),"")</f>
        <v/>
      </c>
      <c r="W21" s="16" t="str">
        <f>IF('Bundle Tag Info'!W$26&lt;&gt;"",CONCATENATE('Bundle Tag Info'!$A$1," ",CHAR(10),'Bundle Tag Info'!$A$2," ",'Bundle Tag Info'!$A$3,CHAR(10),'Bundle Tag Info'!W$6,CHAR(10),'Bundle Tag Info'!W$26),"")</f>
        <v/>
      </c>
      <c r="X21" s="16" t="str">
        <f>IF('Bundle Tag Info'!X$26&lt;&gt;"",CONCATENATE('Bundle Tag Info'!$A$1," ",CHAR(10),'Bundle Tag Info'!$A$2," ",'Bundle Tag Info'!$A$3,CHAR(10),'Bundle Tag Info'!X$6,CHAR(10),'Bundle Tag Info'!X$26),"")</f>
        <v/>
      </c>
      <c r="Y21" s="16" t="str">
        <f>IF('Bundle Tag Info'!Y$26&lt;&gt;"",CONCATENATE('Bundle Tag Info'!$A$1," ",CHAR(10),'Bundle Tag Info'!$A$2," ",'Bundle Tag Info'!$A$3,CHAR(10),'Bundle Tag Info'!Y$6,CHAR(10),'Bundle Tag Info'!Y$26),"")</f>
        <v/>
      </c>
      <c r="Z21" s="16" t="str">
        <f>IF('Bundle Tag Info'!Z$26&lt;&gt;"",CONCATENATE('Bundle Tag Info'!$A$1," ",CHAR(10),'Bundle Tag Info'!$A$2," ",'Bundle Tag Info'!$A$3,CHAR(10),'Bundle Tag Info'!Z$6,CHAR(10),'Bundle Tag Info'!Z$26),"")</f>
        <v/>
      </c>
      <c r="AA21" s="16" t="str">
        <f>IF('Bundle Tag Info'!AA$26&lt;&gt;"",CONCATENATE('Bundle Tag Info'!$A$1," ",CHAR(10),'Bundle Tag Info'!$A$2," ",'Bundle Tag Info'!$A$3,CHAR(10),'Bundle Tag Info'!AA$6,CHAR(10),'Bundle Tag Info'!AA$26),"")</f>
        <v/>
      </c>
      <c r="AB21" s="16" t="str">
        <f>IF('Bundle Tag Info'!AB$26&lt;&gt;"",CONCATENATE('Bundle Tag Info'!$A$1," ",CHAR(10),'Bundle Tag Info'!$A$2," ",'Bundle Tag Info'!$A$3,CHAR(10),'Bundle Tag Info'!AB$6,CHAR(10),'Bundle Tag Info'!AB$26),"")</f>
        <v/>
      </c>
      <c r="AC21" s="16" t="str">
        <f>IF('Bundle Tag Info'!AC$26&lt;&gt;"",CONCATENATE('Bundle Tag Info'!$A$1," ",CHAR(10),'Bundle Tag Info'!$A$2," ",'Bundle Tag Info'!$A$3,CHAR(10),'Bundle Tag Info'!AC$6,CHAR(10),'Bundle Tag Info'!AC$26),"")</f>
        <v/>
      </c>
      <c r="AD21" s="1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6" t="str">
        <f>IF('Bundle Tag Info'!A$27&lt;&gt;"",CONCATENATE('Bundle Tag Info'!$A$1," ",CHAR(10),'Bundle Tag Info'!$A$2," ",'Bundle Tag Info'!$A$3,CHAR(10),'Bundle Tag Info'!A$6,CHAR(10),'Bundle Tag Info'!A$27),"")</f>
        <v/>
      </c>
      <c r="B22" s="16" t="str">
        <f>IF('Bundle Tag Info'!B$27&lt;&gt;"",CONCATENATE('Bundle Tag Info'!$A$1," ",CHAR(10),'Bundle Tag Info'!$A$2," ",'Bundle Tag Info'!$A$3,CHAR(10),'Bundle Tag Info'!B$6,CHAR(10),'Bundle Tag Info'!B$27),"")</f>
        <v/>
      </c>
      <c r="C22" s="16" t="str">
        <f>IF('Bundle Tag Info'!C$27&lt;&gt;"",CONCATENATE('Bundle Tag Info'!$A$1," ",CHAR(10),'Bundle Tag Info'!$A$2," ",'Bundle Tag Info'!$A$3,CHAR(10),'Bundle Tag Info'!C$6,CHAR(10),'Bundle Tag Info'!C$27),"")</f>
        <v/>
      </c>
      <c r="D22" s="16" t="str">
        <f>IF('Bundle Tag Info'!D$27&lt;&gt;"",CONCATENATE('Bundle Tag Info'!$A$1," ",CHAR(10),'Bundle Tag Info'!$A$2," ",'Bundle Tag Info'!$A$3,CHAR(10),'Bundle Tag Info'!D$6,CHAR(10),'Bundle Tag Info'!D$27),"")</f>
        <v/>
      </c>
      <c r="E22" s="16" t="str">
        <f>IF('Bundle Tag Info'!E$27&lt;&gt;"",CONCATENATE('Bundle Tag Info'!$A$1," ",CHAR(10),'Bundle Tag Info'!$A$2," ",'Bundle Tag Info'!$A$3,CHAR(10),'Bundle Tag Info'!E$6,CHAR(10),'Bundle Tag Info'!E$27),"")</f>
        <v/>
      </c>
      <c r="F22" s="16" t="str">
        <f>IF('Bundle Tag Info'!F$27&lt;&gt;"",CONCATENATE('Bundle Tag Info'!$A$1," ",CHAR(10),'Bundle Tag Info'!$A$2," ",'Bundle Tag Info'!$A$3,CHAR(10),'Bundle Tag Info'!F$6,CHAR(10),'Bundle Tag Info'!F$27),"")</f>
        <v/>
      </c>
      <c r="G22" s="16" t="str">
        <f>IF('Bundle Tag Info'!G$27&lt;&gt;"",CONCATENATE('Bundle Tag Info'!$A$1," ",CHAR(10),'Bundle Tag Info'!$A$2," ",'Bundle Tag Info'!$A$3,CHAR(10),'Bundle Tag Info'!G$6,CHAR(10),'Bundle Tag Info'!G$27),"")</f>
        <v/>
      </c>
      <c r="H22" s="16" t="str">
        <f>IF('Bundle Tag Info'!H$27&lt;&gt;"",CONCATENATE('Bundle Tag Info'!$A$1," ",CHAR(10),'Bundle Tag Info'!$A$2," ",'Bundle Tag Info'!$A$3,CHAR(10),'Bundle Tag Info'!H$6,CHAR(10),'Bundle Tag Info'!H$27),"")</f>
        <v/>
      </c>
      <c r="I22" s="16" t="str">
        <f>IF('Bundle Tag Info'!I$27&lt;&gt;"",CONCATENATE('Bundle Tag Info'!$A$1," ",CHAR(10),'Bundle Tag Info'!$A$2," ",'Bundle Tag Info'!$A$3,CHAR(10),'Bundle Tag Info'!I$6,CHAR(10),'Bundle Tag Info'!I$27),"")</f>
        <v/>
      </c>
      <c r="J22" s="16" t="str">
        <f>IF('Bundle Tag Info'!J$27&lt;&gt;"",CONCATENATE('Bundle Tag Info'!$A$1," ",CHAR(10),'Bundle Tag Info'!$A$2," ",'Bundle Tag Info'!$A$3,CHAR(10),'Bundle Tag Info'!J$6,CHAR(10),'Bundle Tag Info'!J$27),"")</f>
        <v/>
      </c>
      <c r="K22" s="16" t="str">
        <f>IF('Bundle Tag Info'!K$27&lt;&gt;"",CONCATENATE('Bundle Tag Info'!$A$1," ",CHAR(10),'Bundle Tag Info'!$A$2," ",'Bundle Tag Info'!$A$3,CHAR(10),'Bundle Tag Info'!K$6,CHAR(10),'Bundle Tag Info'!K$27),"")</f>
        <v/>
      </c>
      <c r="L22" s="16" t="str">
        <f>IF('Bundle Tag Info'!L$27&lt;&gt;"",CONCATENATE('Bundle Tag Info'!$A$1," ",CHAR(10),'Bundle Tag Info'!$A$2," ",'Bundle Tag Info'!$A$3,CHAR(10),'Bundle Tag Info'!L$6,CHAR(10),'Bundle Tag Info'!L$27),"")</f>
        <v/>
      </c>
      <c r="M22" s="16" t="str">
        <f>IF('Bundle Tag Info'!M$27&lt;&gt;"",CONCATENATE('Bundle Tag Info'!$A$1," ",CHAR(10),'Bundle Tag Info'!$A$2," ",'Bundle Tag Info'!$A$3,CHAR(10),'Bundle Tag Info'!M$6,CHAR(10),'Bundle Tag Info'!M$27),"")</f>
        <v/>
      </c>
      <c r="N22" s="16" t="str">
        <f>IF('Bundle Tag Info'!N$27&lt;&gt;"",CONCATENATE('Bundle Tag Info'!$A$1," ",CHAR(10),'Bundle Tag Info'!$A$2," ",'Bundle Tag Info'!$A$3,CHAR(10),'Bundle Tag Info'!N$6,CHAR(10),'Bundle Tag Info'!N$27),"")</f>
        <v/>
      </c>
      <c r="O22" s="16" t="str">
        <f>IF('Bundle Tag Info'!O$27&lt;&gt;"",CONCATENATE('Bundle Tag Info'!$A$1," ",CHAR(10),'Bundle Tag Info'!$A$2," ",'Bundle Tag Info'!$A$3,CHAR(10),'Bundle Tag Info'!O$6,CHAR(10),'Bundle Tag Info'!O$27),"")</f>
        <v/>
      </c>
      <c r="P22" s="16" t="str">
        <f>IF('Bundle Tag Info'!P$27&lt;&gt;"",CONCATENATE('Bundle Tag Info'!$A$1," ",CHAR(10),'Bundle Tag Info'!$A$2," ",'Bundle Tag Info'!$A$3,CHAR(10),'Bundle Tag Info'!P$6,CHAR(10),'Bundle Tag Info'!P$27),"")</f>
        <v/>
      </c>
      <c r="Q22" s="16" t="str">
        <f>IF('Bundle Tag Info'!Q$27&lt;&gt;"",CONCATENATE('Bundle Tag Info'!$A$1," ",CHAR(10),'Bundle Tag Info'!$A$2," ",'Bundle Tag Info'!$A$3,CHAR(10),'Bundle Tag Info'!Q$6,CHAR(10),'Bundle Tag Info'!Q$27),"")</f>
        <v/>
      </c>
      <c r="R22" s="16" t="str">
        <f>IF('Bundle Tag Info'!R$27&lt;&gt;"",CONCATENATE('Bundle Tag Info'!$A$1," ",CHAR(10),'Bundle Tag Info'!$A$2," ",'Bundle Tag Info'!$A$3,CHAR(10),'Bundle Tag Info'!R$6,CHAR(10),'Bundle Tag Info'!R$27),"")</f>
        <v/>
      </c>
      <c r="S22" s="16" t="str">
        <f>IF('Bundle Tag Info'!S$27&lt;&gt;"",CONCATENATE('Bundle Tag Info'!$A$1," ",CHAR(10),'Bundle Tag Info'!$A$2," ",'Bundle Tag Info'!$A$3,CHAR(10),'Bundle Tag Info'!S$6,CHAR(10),'Bundle Tag Info'!S$27),"")</f>
        <v/>
      </c>
      <c r="T22" s="16" t="str">
        <f>IF('Bundle Tag Info'!T$27&lt;&gt;"",CONCATENATE('Bundle Tag Info'!$A$1," ",CHAR(10),'Bundle Tag Info'!$A$2," ",'Bundle Tag Info'!$A$3,CHAR(10),'Bundle Tag Info'!T$6,CHAR(10),'Bundle Tag Info'!T$27),"")</f>
        <v/>
      </c>
      <c r="U22" s="16" t="str">
        <f>IF('Bundle Tag Info'!U$27&lt;&gt;"",CONCATENATE('Bundle Tag Info'!$A$1," ",CHAR(10),'Bundle Tag Info'!$A$2," ",'Bundle Tag Info'!$A$3,CHAR(10),'Bundle Tag Info'!U$6,CHAR(10),'Bundle Tag Info'!U$27),"")</f>
        <v/>
      </c>
      <c r="V22" s="16" t="str">
        <f>IF('Bundle Tag Info'!V$27&lt;&gt;"",CONCATENATE('Bundle Tag Info'!$A$1," ",CHAR(10),'Bundle Tag Info'!$A$2," ",'Bundle Tag Info'!$A$3,CHAR(10),'Bundle Tag Info'!V$6,CHAR(10),'Bundle Tag Info'!V$27),"")</f>
        <v/>
      </c>
      <c r="W22" s="16" t="str">
        <f>IF('Bundle Tag Info'!W$27&lt;&gt;"",CONCATENATE('Bundle Tag Info'!$A$1," ",CHAR(10),'Bundle Tag Info'!$A$2," ",'Bundle Tag Info'!$A$3,CHAR(10),'Bundle Tag Info'!W$6,CHAR(10),'Bundle Tag Info'!W$27),"")</f>
        <v/>
      </c>
      <c r="X22" s="16" t="str">
        <f>IF('Bundle Tag Info'!X$27&lt;&gt;"",CONCATENATE('Bundle Tag Info'!$A$1," ",CHAR(10),'Bundle Tag Info'!$A$2," ",'Bundle Tag Info'!$A$3,CHAR(10),'Bundle Tag Info'!X$6,CHAR(10),'Bundle Tag Info'!X$27),"")</f>
        <v/>
      </c>
      <c r="Y22" s="16" t="str">
        <f>IF('Bundle Tag Info'!Y$27&lt;&gt;"",CONCATENATE('Bundle Tag Info'!$A$1," ",CHAR(10),'Bundle Tag Info'!$A$2," ",'Bundle Tag Info'!$A$3,CHAR(10),'Bundle Tag Info'!Y$6,CHAR(10),'Bundle Tag Info'!Y$27),"")</f>
        <v/>
      </c>
      <c r="Z22" s="16" t="str">
        <f>IF('Bundle Tag Info'!Z$27&lt;&gt;"",CONCATENATE('Bundle Tag Info'!$A$1," ",CHAR(10),'Bundle Tag Info'!$A$2," ",'Bundle Tag Info'!$A$3,CHAR(10),'Bundle Tag Info'!Z$6,CHAR(10),'Bundle Tag Info'!Z$27),"")</f>
        <v/>
      </c>
      <c r="AA22" s="16" t="str">
        <f>IF('Bundle Tag Info'!AA$27&lt;&gt;"",CONCATENATE('Bundle Tag Info'!$A$1," ",CHAR(10),'Bundle Tag Info'!$A$2," ",'Bundle Tag Info'!$A$3,CHAR(10),'Bundle Tag Info'!AA$6,CHAR(10),'Bundle Tag Info'!AA$27),"")</f>
        <v/>
      </c>
      <c r="AB22" s="16" t="str">
        <f>IF('Bundle Tag Info'!AB$27&lt;&gt;"",CONCATENATE('Bundle Tag Info'!$A$1," ",CHAR(10),'Bundle Tag Info'!$A$2," ",'Bundle Tag Info'!$A$3,CHAR(10),'Bundle Tag Info'!AB$6,CHAR(10),'Bundle Tag Info'!AB$27),"")</f>
        <v/>
      </c>
      <c r="AC22" s="16" t="str">
        <f>IF('Bundle Tag Info'!AC$27&lt;&gt;"",CONCATENATE('Bundle Tag Info'!$A$1," ",CHAR(10),'Bundle Tag Info'!$A$2," ",'Bundle Tag Info'!$A$3,CHAR(10),'Bundle Tag Info'!AC$6,CHAR(10),'Bundle Tag Info'!AC$27),"")</f>
        <v/>
      </c>
      <c r="AD22" s="1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6" t="str">
        <f>IF('Bundle Tag Info'!A$28&lt;&gt;"",CONCATENATE('Bundle Tag Info'!$A$1," ",CHAR(10),'Bundle Tag Info'!$A$2," ",'Bundle Tag Info'!$A$3,CHAR(10),'Bundle Tag Info'!A$6,CHAR(10),'Bundle Tag Info'!A$28),"")</f>
        <v/>
      </c>
      <c r="B23" s="16" t="str">
        <f>IF('Bundle Tag Info'!B$28&lt;&gt;"",CONCATENATE('Bundle Tag Info'!$A$1," ",CHAR(10),'Bundle Tag Info'!$A$2," ",'Bundle Tag Info'!$A$3,CHAR(10),'Bundle Tag Info'!B$6,CHAR(10),'Bundle Tag Info'!B$28),"")</f>
        <v/>
      </c>
      <c r="C23" s="16" t="str">
        <f>IF('Bundle Tag Info'!C$28&lt;&gt;"",CONCATENATE('Bundle Tag Info'!$A$1," ",CHAR(10),'Bundle Tag Info'!$A$2," ",'Bundle Tag Info'!$A$3,CHAR(10),'Bundle Tag Info'!C$6,CHAR(10),'Bundle Tag Info'!C$28),"")</f>
        <v/>
      </c>
      <c r="D23" s="16" t="str">
        <f>IF('Bundle Tag Info'!D$28&lt;&gt;"",CONCATENATE('Bundle Tag Info'!$A$1," ",CHAR(10),'Bundle Tag Info'!$A$2," ",'Bundle Tag Info'!$A$3,CHAR(10),'Bundle Tag Info'!D$6,CHAR(10),'Bundle Tag Info'!D$28),"")</f>
        <v/>
      </c>
      <c r="E23" s="16" t="str">
        <f>IF('Bundle Tag Info'!E$28&lt;&gt;"",CONCATENATE('Bundle Tag Info'!$A$1," ",CHAR(10),'Bundle Tag Info'!$A$2," ",'Bundle Tag Info'!$A$3,CHAR(10),'Bundle Tag Info'!E$6,CHAR(10),'Bundle Tag Info'!E$28),"")</f>
        <v/>
      </c>
      <c r="F23" s="16" t="str">
        <f>IF('Bundle Tag Info'!F$28&lt;&gt;"",CONCATENATE('Bundle Tag Info'!$A$1," ",CHAR(10),'Bundle Tag Info'!$A$2," ",'Bundle Tag Info'!$A$3,CHAR(10),'Bundle Tag Info'!F$6,CHAR(10),'Bundle Tag Info'!F$28),"")</f>
        <v/>
      </c>
      <c r="G23" s="16" t="str">
        <f>IF('Bundle Tag Info'!G$28&lt;&gt;"",CONCATENATE('Bundle Tag Info'!$A$1," ",CHAR(10),'Bundle Tag Info'!$A$2," ",'Bundle Tag Info'!$A$3,CHAR(10),'Bundle Tag Info'!G$6,CHAR(10),'Bundle Tag Info'!G$28),"")</f>
        <v/>
      </c>
      <c r="H23" s="16" t="str">
        <f>IF('Bundle Tag Info'!H$28&lt;&gt;"",CONCATENATE('Bundle Tag Info'!$A$1," ",CHAR(10),'Bundle Tag Info'!$A$2," ",'Bundle Tag Info'!$A$3,CHAR(10),'Bundle Tag Info'!H$6,CHAR(10),'Bundle Tag Info'!H$28),"")</f>
        <v/>
      </c>
      <c r="I23" s="16" t="str">
        <f>IF('Bundle Tag Info'!I$28&lt;&gt;"",CONCATENATE('Bundle Tag Info'!$A$1," ",CHAR(10),'Bundle Tag Info'!$A$2," ",'Bundle Tag Info'!$A$3,CHAR(10),'Bundle Tag Info'!I$6,CHAR(10),'Bundle Tag Info'!I$28),"")</f>
        <v/>
      </c>
      <c r="J23" s="16" t="str">
        <f>IF('Bundle Tag Info'!J$28&lt;&gt;"",CONCATENATE('Bundle Tag Info'!$A$1," ",CHAR(10),'Bundle Tag Info'!$A$2," ",'Bundle Tag Info'!$A$3,CHAR(10),'Bundle Tag Info'!J$6,CHAR(10),'Bundle Tag Info'!J$28),"")</f>
        <v/>
      </c>
      <c r="K23" s="16" t="str">
        <f>IF('Bundle Tag Info'!K$28&lt;&gt;"",CONCATENATE('Bundle Tag Info'!$A$1," ",CHAR(10),'Bundle Tag Info'!$A$2," ",'Bundle Tag Info'!$A$3,CHAR(10),'Bundle Tag Info'!K$6,CHAR(10),'Bundle Tag Info'!K$28),"")</f>
        <v/>
      </c>
      <c r="L23" s="16" t="str">
        <f>IF('Bundle Tag Info'!L$28&lt;&gt;"",CONCATENATE('Bundle Tag Info'!$A$1," ",CHAR(10),'Bundle Tag Info'!$A$2," ",'Bundle Tag Info'!$A$3,CHAR(10),'Bundle Tag Info'!L$6,CHAR(10),'Bundle Tag Info'!L$28),"")</f>
        <v/>
      </c>
      <c r="M23" s="16" t="str">
        <f>IF('Bundle Tag Info'!M$28&lt;&gt;"",CONCATENATE('Bundle Tag Info'!$A$1," ",CHAR(10),'Bundle Tag Info'!$A$2," ",'Bundle Tag Info'!$A$3,CHAR(10),'Bundle Tag Info'!M$6,CHAR(10),'Bundle Tag Info'!M$28),"")</f>
        <v/>
      </c>
      <c r="N23" s="16" t="str">
        <f>IF('Bundle Tag Info'!N$28&lt;&gt;"",CONCATENATE('Bundle Tag Info'!$A$1," ",CHAR(10),'Bundle Tag Info'!$A$2," ",'Bundle Tag Info'!$A$3,CHAR(10),'Bundle Tag Info'!N$6,CHAR(10),'Bundle Tag Info'!N$28),"")</f>
        <v/>
      </c>
      <c r="O23" s="16" t="str">
        <f>IF('Bundle Tag Info'!O$28&lt;&gt;"",CONCATENATE('Bundle Tag Info'!$A$1," ",CHAR(10),'Bundle Tag Info'!$A$2," ",'Bundle Tag Info'!$A$3,CHAR(10),'Bundle Tag Info'!O$6,CHAR(10),'Bundle Tag Info'!O$28),"")</f>
        <v/>
      </c>
      <c r="P23" s="16" t="str">
        <f>IF('Bundle Tag Info'!P$28&lt;&gt;"",CONCATENATE('Bundle Tag Info'!$A$1," ",CHAR(10),'Bundle Tag Info'!$A$2," ",'Bundle Tag Info'!$A$3,CHAR(10),'Bundle Tag Info'!P$6,CHAR(10),'Bundle Tag Info'!P$28),"")</f>
        <v/>
      </c>
      <c r="Q23" s="16" t="str">
        <f>IF('Bundle Tag Info'!Q$28&lt;&gt;"",CONCATENATE('Bundle Tag Info'!$A$1," ",CHAR(10),'Bundle Tag Info'!$A$2," ",'Bundle Tag Info'!$A$3,CHAR(10),'Bundle Tag Info'!Q$6,CHAR(10),'Bundle Tag Info'!Q$28),"")</f>
        <v/>
      </c>
      <c r="R23" s="16" t="str">
        <f>IF('Bundle Tag Info'!R$28&lt;&gt;"",CONCATENATE('Bundle Tag Info'!$A$1," ",CHAR(10),'Bundle Tag Info'!$A$2," ",'Bundle Tag Info'!$A$3,CHAR(10),'Bundle Tag Info'!R$6,CHAR(10),'Bundle Tag Info'!R$28),"")</f>
        <v/>
      </c>
      <c r="S23" s="16" t="str">
        <f>IF('Bundle Tag Info'!S$28&lt;&gt;"",CONCATENATE('Bundle Tag Info'!$A$1," ",CHAR(10),'Bundle Tag Info'!$A$2," ",'Bundle Tag Info'!$A$3,CHAR(10),'Bundle Tag Info'!S$6,CHAR(10),'Bundle Tag Info'!S$28),"")</f>
        <v/>
      </c>
      <c r="T23" s="16" t="str">
        <f>IF('Bundle Tag Info'!T$28&lt;&gt;"",CONCATENATE('Bundle Tag Info'!$A$1," ",CHAR(10),'Bundle Tag Info'!$A$2," ",'Bundle Tag Info'!$A$3,CHAR(10),'Bundle Tag Info'!T$6,CHAR(10),'Bundle Tag Info'!T$28),"")</f>
        <v/>
      </c>
      <c r="U23" s="16" t="str">
        <f>IF('Bundle Tag Info'!U$28&lt;&gt;"",CONCATENATE('Bundle Tag Info'!$A$1," ",CHAR(10),'Bundle Tag Info'!$A$2," ",'Bundle Tag Info'!$A$3,CHAR(10),'Bundle Tag Info'!U$6,CHAR(10),'Bundle Tag Info'!U$28),"")</f>
        <v/>
      </c>
      <c r="V23" s="16" t="str">
        <f>IF('Bundle Tag Info'!V$28&lt;&gt;"",CONCATENATE('Bundle Tag Info'!$A$1," ",CHAR(10),'Bundle Tag Info'!$A$2," ",'Bundle Tag Info'!$A$3,CHAR(10),'Bundle Tag Info'!V$6,CHAR(10),'Bundle Tag Info'!V$28),"")</f>
        <v/>
      </c>
      <c r="W23" s="16" t="str">
        <f>IF('Bundle Tag Info'!W$28&lt;&gt;"",CONCATENATE('Bundle Tag Info'!$A$1," ",CHAR(10),'Bundle Tag Info'!$A$2," ",'Bundle Tag Info'!$A$3,CHAR(10),'Bundle Tag Info'!W$6,CHAR(10),'Bundle Tag Info'!W$28),"")</f>
        <v/>
      </c>
      <c r="X23" s="16" t="str">
        <f>IF('Bundle Tag Info'!X$28&lt;&gt;"",CONCATENATE('Bundle Tag Info'!$A$1," ",CHAR(10),'Bundle Tag Info'!$A$2," ",'Bundle Tag Info'!$A$3,CHAR(10),'Bundle Tag Info'!X$6,CHAR(10),'Bundle Tag Info'!X$28),"")</f>
        <v/>
      </c>
      <c r="Y23" s="16" t="str">
        <f>IF('Bundle Tag Info'!Y$28&lt;&gt;"",CONCATENATE('Bundle Tag Info'!$A$1," ",CHAR(10),'Bundle Tag Info'!$A$2," ",'Bundle Tag Info'!$A$3,CHAR(10),'Bundle Tag Info'!Y$6,CHAR(10),'Bundle Tag Info'!Y$28),"")</f>
        <v/>
      </c>
      <c r="Z23" s="16" t="str">
        <f>IF('Bundle Tag Info'!Z$28&lt;&gt;"",CONCATENATE('Bundle Tag Info'!$A$1," ",CHAR(10),'Bundle Tag Info'!$A$2," ",'Bundle Tag Info'!$A$3,CHAR(10),'Bundle Tag Info'!Z$6,CHAR(10),'Bundle Tag Info'!Z$28),"")</f>
        <v/>
      </c>
      <c r="AA23" s="16" t="str">
        <f>IF('Bundle Tag Info'!AA$28&lt;&gt;"",CONCATENATE('Bundle Tag Info'!$A$1," ",CHAR(10),'Bundle Tag Info'!$A$2," ",'Bundle Tag Info'!$A$3,CHAR(10),'Bundle Tag Info'!AA$6,CHAR(10),'Bundle Tag Info'!AA$28),"")</f>
        <v/>
      </c>
      <c r="AB23" s="16" t="str">
        <f>IF('Bundle Tag Info'!AB$28&lt;&gt;"",CONCATENATE('Bundle Tag Info'!$A$1," ",CHAR(10),'Bundle Tag Info'!$A$2," ",'Bundle Tag Info'!$A$3,CHAR(10),'Bundle Tag Info'!AB$6,CHAR(10),'Bundle Tag Info'!AB$28),"")</f>
        <v/>
      </c>
      <c r="AC23" s="16" t="str">
        <f>IF('Bundle Tag Info'!AC$28&lt;&gt;"",CONCATENATE('Bundle Tag Info'!$A$1," ",CHAR(10),'Bundle Tag Info'!$A$2," ",'Bundle Tag Info'!$A$3,CHAR(10),'Bundle Tag Info'!AC$6,CHAR(10),'Bundle Tag Info'!AC$28),"")</f>
        <v/>
      </c>
      <c r="AD23" s="1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6" t="str">
        <f>IF('Bundle Tag Info'!A$29&lt;&gt;"",CONCATENATE('Bundle Tag Info'!$A$1," ",CHAR(10),'Bundle Tag Info'!$A$2," ",'Bundle Tag Info'!$A$3,CHAR(10),'Bundle Tag Info'!A$6,CHAR(10),'Bundle Tag Info'!A$29),"")</f>
        <v/>
      </c>
      <c r="B24" s="16" t="str">
        <f>IF('Bundle Tag Info'!B$29&lt;&gt;"",CONCATENATE('Bundle Tag Info'!$A$1," ",CHAR(10),'Bundle Tag Info'!$A$2," ",'Bundle Tag Info'!$A$3,CHAR(10),'Bundle Tag Info'!B$6,CHAR(10),'Bundle Tag Info'!B$29),"")</f>
        <v/>
      </c>
      <c r="C24" s="16" t="str">
        <f>IF('Bundle Tag Info'!C$29&lt;&gt;"",CONCATENATE('Bundle Tag Info'!$A$1," ",CHAR(10),'Bundle Tag Info'!$A$2," ",'Bundle Tag Info'!$A$3,CHAR(10),'Bundle Tag Info'!C$6,CHAR(10),'Bundle Tag Info'!C$29),"")</f>
        <v/>
      </c>
      <c r="D24" s="16" t="str">
        <f>IF('Bundle Tag Info'!D$29&lt;&gt;"",CONCATENATE('Bundle Tag Info'!$A$1," ",CHAR(10),'Bundle Tag Info'!$A$2," ",'Bundle Tag Info'!$A$3,CHAR(10),'Bundle Tag Info'!D$6,CHAR(10),'Bundle Tag Info'!D$29),"")</f>
        <v/>
      </c>
      <c r="E24" s="16" t="str">
        <f>IF('Bundle Tag Info'!E$29&lt;&gt;"",CONCATENATE('Bundle Tag Info'!$A$1," ",CHAR(10),'Bundle Tag Info'!$A$2," ",'Bundle Tag Info'!$A$3,CHAR(10),'Bundle Tag Info'!E$6,CHAR(10),'Bundle Tag Info'!E$29),"")</f>
        <v/>
      </c>
      <c r="F24" s="16" t="str">
        <f>IF('Bundle Tag Info'!F$29&lt;&gt;"",CONCATENATE('Bundle Tag Info'!$A$1," ",CHAR(10),'Bundle Tag Info'!$A$2," ",'Bundle Tag Info'!$A$3,CHAR(10),'Bundle Tag Info'!F$6,CHAR(10),'Bundle Tag Info'!F$29),"")</f>
        <v/>
      </c>
      <c r="G24" s="16" t="str">
        <f>IF('Bundle Tag Info'!G$29&lt;&gt;"",CONCATENATE('Bundle Tag Info'!$A$1," ",CHAR(10),'Bundle Tag Info'!$A$2," ",'Bundle Tag Info'!$A$3,CHAR(10),'Bundle Tag Info'!G$6,CHAR(10),'Bundle Tag Info'!G$29),"")</f>
        <v/>
      </c>
      <c r="H24" s="16" t="str">
        <f>IF('Bundle Tag Info'!H$29&lt;&gt;"",CONCATENATE('Bundle Tag Info'!$A$1," ",CHAR(10),'Bundle Tag Info'!$A$2," ",'Bundle Tag Info'!$A$3,CHAR(10),'Bundle Tag Info'!H$6,CHAR(10),'Bundle Tag Info'!H$29),"")</f>
        <v/>
      </c>
      <c r="I24" s="16" t="str">
        <f>IF('Bundle Tag Info'!I$29&lt;&gt;"",CONCATENATE('Bundle Tag Info'!$A$1," ",CHAR(10),'Bundle Tag Info'!$A$2," ",'Bundle Tag Info'!$A$3,CHAR(10),'Bundle Tag Info'!I$6,CHAR(10),'Bundle Tag Info'!I$29),"")</f>
        <v/>
      </c>
      <c r="J24" s="16" t="str">
        <f>IF('Bundle Tag Info'!J$29&lt;&gt;"",CONCATENATE('Bundle Tag Info'!$A$1," ",CHAR(10),'Bundle Tag Info'!$A$2," ",'Bundle Tag Info'!$A$3,CHAR(10),'Bundle Tag Info'!J$6,CHAR(10),'Bundle Tag Info'!J$29),"")</f>
        <v/>
      </c>
      <c r="K24" s="16" t="str">
        <f>IF('Bundle Tag Info'!K$29&lt;&gt;"",CONCATENATE('Bundle Tag Info'!$A$1," ",CHAR(10),'Bundle Tag Info'!$A$2," ",'Bundle Tag Info'!$A$3,CHAR(10),'Bundle Tag Info'!K$6,CHAR(10),'Bundle Tag Info'!K$29),"")</f>
        <v/>
      </c>
      <c r="L24" s="16" t="str">
        <f>IF('Bundle Tag Info'!L$29&lt;&gt;"",CONCATENATE('Bundle Tag Info'!$A$1," ",CHAR(10),'Bundle Tag Info'!$A$2," ",'Bundle Tag Info'!$A$3,CHAR(10),'Bundle Tag Info'!L$6,CHAR(10),'Bundle Tag Info'!L$29),"")</f>
        <v/>
      </c>
      <c r="M24" s="16" t="str">
        <f>IF('Bundle Tag Info'!M$29&lt;&gt;"",CONCATENATE('Bundle Tag Info'!$A$1," ",CHAR(10),'Bundle Tag Info'!$A$2," ",'Bundle Tag Info'!$A$3,CHAR(10),'Bundle Tag Info'!M$6,CHAR(10),'Bundle Tag Info'!M$29),"")</f>
        <v/>
      </c>
      <c r="N24" s="16" t="str">
        <f>IF('Bundle Tag Info'!N$29&lt;&gt;"",CONCATENATE('Bundle Tag Info'!$A$1," ",CHAR(10),'Bundle Tag Info'!$A$2," ",'Bundle Tag Info'!$A$3,CHAR(10),'Bundle Tag Info'!N$6,CHAR(10),'Bundle Tag Info'!N$29),"")</f>
        <v/>
      </c>
      <c r="O24" s="16" t="str">
        <f>IF('Bundle Tag Info'!O$29&lt;&gt;"",CONCATENATE('Bundle Tag Info'!$A$1," ",CHAR(10),'Bundle Tag Info'!$A$2," ",'Bundle Tag Info'!$A$3,CHAR(10),'Bundle Tag Info'!O$6,CHAR(10),'Bundle Tag Info'!O$29),"")</f>
        <v/>
      </c>
      <c r="P24" s="16" t="str">
        <f>IF('Bundle Tag Info'!P$29&lt;&gt;"",CONCATENATE('Bundle Tag Info'!$A$1," ",CHAR(10),'Bundle Tag Info'!$A$2," ",'Bundle Tag Info'!$A$3,CHAR(10),'Bundle Tag Info'!P$6,CHAR(10),'Bundle Tag Info'!P$29),"")</f>
        <v/>
      </c>
      <c r="Q24" s="16" t="str">
        <f>IF('Bundle Tag Info'!Q$29&lt;&gt;"",CONCATENATE('Bundle Tag Info'!$A$1," ",CHAR(10),'Bundle Tag Info'!$A$2," ",'Bundle Tag Info'!$A$3,CHAR(10),'Bundle Tag Info'!Q$6,CHAR(10),'Bundle Tag Info'!Q$29),"")</f>
        <v/>
      </c>
      <c r="R24" s="16" t="str">
        <f>IF('Bundle Tag Info'!R$29&lt;&gt;"",CONCATENATE('Bundle Tag Info'!$A$1," ",CHAR(10),'Bundle Tag Info'!$A$2," ",'Bundle Tag Info'!$A$3,CHAR(10),'Bundle Tag Info'!R$6,CHAR(10),'Bundle Tag Info'!R$29),"")</f>
        <v/>
      </c>
      <c r="S24" s="16" t="str">
        <f>IF('Bundle Tag Info'!S$29&lt;&gt;"",CONCATENATE('Bundle Tag Info'!$A$1," ",CHAR(10),'Bundle Tag Info'!$A$2," ",'Bundle Tag Info'!$A$3,CHAR(10),'Bundle Tag Info'!S$6,CHAR(10),'Bundle Tag Info'!S$29),"")</f>
        <v/>
      </c>
      <c r="T24" s="16" t="str">
        <f>IF('Bundle Tag Info'!T$29&lt;&gt;"",CONCATENATE('Bundle Tag Info'!$A$1," ",CHAR(10),'Bundle Tag Info'!$A$2," ",'Bundle Tag Info'!$A$3,CHAR(10),'Bundle Tag Info'!T$6,CHAR(10),'Bundle Tag Info'!T$29),"")</f>
        <v/>
      </c>
      <c r="U24" s="16" t="str">
        <f>IF('Bundle Tag Info'!U$29&lt;&gt;"",CONCATENATE('Bundle Tag Info'!$A$1," ",CHAR(10),'Bundle Tag Info'!$A$2," ",'Bundle Tag Info'!$A$3,CHAR(10),'Bundle Tag Info'!U$6,CHAR(10),'Bundle Tag Info'!U$29),"")</f>
        <v/>
      </c>
      <c r="V24" s="16" t="str">
        <f>IF('Bundle Tag Info'!V$29&lt;&gt;"",CONCATENATE('Bundle Tag Info'!$A$1," ",CHAR(10),'Bundle Tag Info'!$A$2," ",'Bundle Tag Info'!$A$3,CHAR(10),'Bundle Tag Info'!V$6,CHAR(10),'Bundle Tag Info'!V$29),"")</f>
        <v/>
      </c>
      <c r="W24" s="16" t="str">
        <f>IF('Bundle Tag Info'!W$29&lt;&gt;"",CONCATENATE('Bundle Tag Info'!$A$1," ",CHAR(10),'Bundle Tag Info'!$A$2," ",'Bundle Tag Info'!$A$3,CHAR(10),'Bundle Tag Info'!W$6,CHAR(10),'Bundle Tag Info'!W$29),"")</f>
        <v/>
      </c>
      <c r="X24" s="16" t="str">
        <f>IF('Bundle Tag Info'!X$29&lt;&gt;"",CONCATENATE('Bundle Tag Info'!$A$1," ",CHAR(10),'Bundle Tag Info'!$A$2," ",'Bundle Tag Info'!$A$3,CHAR(10),'Bundle Tag Info'!X$6,CHAR(10),'Bundle Tag Info'!X$29),"")</f>
        <v/>
      </c>
      <c r="Y24" s="16" t="str">
        <f>IF('Bundle Tag Info'!Y$29&lt;&gt;"",CONCATENATE('Bundle Tag Info'!$A$1," ",CHAR(10),'Bundle Tag Info'!$A$2," ",'Bundle Tag Info'!$A$3,CHAR(10),'Bundle Tag Info'!Y$6,CHAR(10),'Bundle Tag Info'!Y$29),"")</f>
        <v/>
      </c>
      <c r="Z24" s="16" t="str">
        <f>IF('Bundle Tag Info'!Z$29&lt;&gt;"",CONCATENATE('Bundle Tag Info'!$A$1," ",CHAR(10),'Bundle Tag Info'!$A$2," ",'Bundle Tag Info'!$A$3,CHAR(10),'Bundle Tag Info'!Z$6,CHAR(10),'Bundle Tag Info'!Z$29),"")</f>
        <v/>
      </c>
      <c r="AA24" s="16" t="str">
        <f>IF('Bundle Tag Info'!AA$29&lt;&gt;"",CONCATENATE('Bundle Tag Info'!$A$1," ",CHAR(10),'Bundle Tag Info'!$A$2," ",'Bundle Tag Info'!$A$3,CHAR(10),'Bundle Tag Info'!AA$6,CHAR(10),'Bundle Tag Info'!AA$29),"")</f>
        <v/>
      </c>
      <c r="AB24" s="16" t="str">
        <f>IF('Bundle Tag Info'!AB$29&lt;&gt;"",CONCATENATE('Bundle Tag Info'!$A$1," ",CHAR(10),'Bundle Tag Info'!$A$2," ",'Bundle Tag Info'!$A$3,CHAR(10),'Bundle Tag Info'!AB$6,CHAR(10),'Bundle Tag Info'!AB$29),"")</f>
        <v/>
      </c>
      <c r="AC24" s="16" t="str">
        <f>IF('Bundle Tag Info'!AC$29&lt;&gt;"",CONCATENATE('Bundle Tag Info'!$A$1," ",CHAR(10),'Bundle Tag Info'!$A$2," ",'Bundle Tag Info'!$A$3,CHAR(10),'Bundle Tag Info'!AC$6,CHAR(10),'Bundle Tag Info'!AC$29),"")</f>
        <v/>
      </c>
      <c r="AD24" s="1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6" t="str">
        <f>IF('Bundle Tag Info'!A$30&lt;&gt;"",CONCATENATE('Bundle Tag Info'!$A$1," ",CHAR(10),'Bundle Tag Info'!$A$2," ",'Bundle Tag Info'!$A$3,CHAR(10),'Bundle Tag Info'!A$6,CHAR(10),'Bundle Tag Info'!A$30),"")</f>
        <v/>
      </c>
      <c r="B25" s="16" t="str">
        <f>IF('Bundle Tag Info'!B$30&lt;&gt;"",CONCATENATE('Bundle Tag Info'!$A$1," ",CHAR(10),'Bundle Tag Info'!$A$2," ",'Bundle Tag Info'!$A$3,CHAR(10),'Bundle Tag Info'!B$6,CHAR(10),'Bundle Tag Info'!B$30),"")</f>
        <v/>
      </c>
      <c r="C25" s="16" t="str">
        <f>IF('Bundle Tag Info'!C$30&lt;&gt;"",CONCATENATE('Bundle Tag Info'!$A$1," ",CHAR(10),'Bundle Tag Info'!$A$2," ",'Bundle Tag Info'!$A$3,CHAR(10),'Bundle Tag Info'!C$6,CHAR(10),'Bundle Tag Info'!C$30),"")</f>
        <v/>
      </c>
      <c r="D25" s="16" t="str">
        <f>IF('Bundle Tag Info'!D$30&lt;&gt;"",CONCATENATE('Bundle Tag Info'!$A$1," ",CHAR(10),'Bundle Tag Info'!$A$2," ",'Bundle Tag Info'!$A$3,CHAR(10),'Bundle Tag Info'!D$6,CHAR(10),'Bundle Tag Info'!D$30),"")</f>
        <v/>
      </c>
      <c r="E25" s="16" t="str">
        <f>IF('Bundle Tag Info'!E$30&lt;&gt;"",CONCATENATE('Bundle Tag Info'!$A$1," ",CHAR(10),'Bundle Tag Info'!$A$2," ",'Bundle Tag Info'!$A$3,CHAR(10),'Bundle Tag Info'!E$6,CHAR(10),'Bundle Tag Info'!E$30),"")</f>
        <v/>
      </c>
      <c r="F25" s="16" t="str">
        <f>IF('Bundle Tag Info'!F$30&lt;&gt;"",CONCATENATE('Bundle Tag Info'!$A$1," ",CHAR(10),'Bundle Tag Info'!$A$2," ",'Bundle Tag Info'!$A$3,CHAR(10),'Bundle Tag Info'!F$6,CHAR(10),'Bundle Tag Info'!F$30),"")</f>
        <v/>
      </c>
      <c r="G25" s="16" t="str">
        <f>IF('Bundle Tag Info'!G$30&lt;&gt;"",CONCATENATE('Bundle Tag Info'!$A$1," ",CHAR(10),'Bundle Tag Info'!$A$2," ",'Bundle Tag Info'!$A$3,CHAR(10),'Bundle Tag Info'!G$6,CHAR(10),'Bundle Tag Info'!G$30),"")</f>
        <v/>
      </c>
      <c r="H25" s="16" t="str">
        <f>IF('Bundle Tag Info'!H$30&lt;&gt;"",CONCATENATE('Bundle Tag Info'!$A$1," ",CHAR(10),'Bundle Tag Info'!$A$2," ",'Bundle Tag Info'!$A$3,CHAR(10),'Bundle Tag Info'!H$6,CHAR(10),'Bundle Tag Info'!H$30),"")</f>
        <v/>
      </c>
      <c r="I25" s="16" t="str">
        <f>IF('Bundle Tag Info'!I$30&lt;&gt;"",CONCATENATE('Bundle Tag Info'!$A$1," ",CHAR(10),'Bundle Tag Info'!$A$2," ",'Bundle Tag Info'!$A$3,CHAR(10),'Bundle Tag Info'!I$6,CHAR(10),'Bundle Tag Info'!I$30),"")</f>
        <v/>
      </c>
      <c r="J25" s="16" t="str">
        <f>IF('Bundle Tag Info'!J$30&lt;&gt;"",CONCATENATE('Bundle Tag Info'!$A$1," ",CHAR(10),'Bundle Tag Info'!$A$2," ",'Bundle Tag Info'!$A$3,CHAR(10),'Bundle Tag Info'!J$6,CHAR(10),'Bundle Tag Info'!J$30),"")</f>
        <v/>
      </c>
      <c r="K25" s="16" t="str">
        <f>IF('Bundle Tag Info'!K$30&lt;&gt;"",CONCATENATE('Bundle Tag Info'!$A$1," ",CHAR(10),'Bundle Tag Info'!$A$2," ",'Bundle Tag Info'!$A$3,CHAR(10),'Bundle Tag Info'!K$6,CHAR(10),'Bundle Tag Info'!K$30),"")</f>
        <v/>
      </c>
      <c r="L25" s="16" t="str">
        <f>IF('Bundle Tag Info'!L$30&lt;&gt;"",CONCATENATE('Bundle Tag Info'!$A$1," ",CHAR(10),'Bundle Tag Info'!$A$2," ",'Bundle Tag Info'!$A$3,CHAR(10),'Bundle Tag Info'!L$6,CHAR(10),'Bundle Tag Info'!L$30),"")</f>
        <v/>
      </c>
      <c r="M25" s="16" t="str">
        <f>IF('Bundle Tag Info'!M$30&lt;&gt;"",CONCATENATE('Bundle Tag Info'!$A$1," ",CHAR(10),'Bundle Tag Info'!$A$2," ",'Bundle Tag Info'!$A$3,CHAR(10),'Bundle Tag Info'!M$6,CHAR(10),'Bundle Tag Info'!M$30),"")</f>
        <v/>
      </c>
      <c r="N25" s="16" t="str">
        <f>IF('Bundle Tag Info'!N$30&lt;&gt;"",CONCATENATE('Bundle Tag Info'!$A$1," ",CHAR(10),'Bundle Tag Info'!$A$2," ",'Bundle Tag Info'!$A$3,CHAR(10),'Bundle Tag Info'!N$6,CHAR(10),'Bundle Tag Info'!N$30),"")</f>
        <v/>
      </c>
      <c r="O25" s="16" t="str">
        <f>IF('Bundle Tag Info'!O$30&lt;&gt;"",CONCATENATE('Bundle Tag Info'!$A$1," ",CHAR(10),'Bundle Tag Info'!$A$2," ",'Bundle Tag Info'!$A$3,CHAR(10),'Bundle Tag Info'!O$6,CHAR(10),'Bundle Tag Info'!O$30),"")</f>
        <v/>
      </c>
      <c r="P25" s="16" t="str">
        <f>IF('Bundle Tag Info'!P$30&lt;&gt;"",CONCATENATE('Bundle Tag Info'!$A$1," ",CHAR(10),'Bundle Tag Info'!$A$2," ",'Bundle Tag Info'!$A$3,CHAR(10),'Bundle Tag Info'!P$6,CHAR(10),'Bundle Tag Info'!P$30),"")</f>
        <v/>
      </c>
      <c r="Q25" s="16" t="str">
        <f>IF('Bundle Tag Info'!Q$30&lt;&gt;"",CONCATENATE('Bundle Tag Info'!$A$1," ",CHAR(10),'Bundle Tag Info'!$A$2," ",'Bundle Tag Info'!$A$3,CHAR(10),'Bundle Tag Info'!Q$6,CHAR(10),'Bundle Tag Info'!Q$30),"")</f>
        <v/>
      </c>
      <c r="R25" s="16" t="str">
        <f>IF('Bundle Tag Info'!R$30&lt;&gt;"",CONCATENATE('Bundle Tag Info'!$A$1," ",CHAR(10),'Bundle Tag Info'!$A$2," ",'Bundle Tag Info'!$A$3,CHAR(10),'Bundle Tag Info'!R$6,CHAR(10),'Bundle Tag Info'!R$30),"")</f>
        <v/>
      </c>
      <c r="S25" s="16" t="str">
        <f>IF('Bundle Tag Info'!S$30&lt;&gt;"",CONCATENATE('Bundle Tag Info'!$A$1," ",CHAR(10),'Bundle Tag Info'!$A$2," ",'Bundle Tag Info'!$A$3,CHAR(10),'Bundle Tag Info'!S$6,CHAR(10),'Bundle Tag Info'!S$30),"")</f>
        <v/>
      </c>
      <c r="T25" s="16" t="str">
        <f>IF('Bundle Tag Info'!T$30&lt;&gt;"",CONCATENATE('Bundle Tag Info'!$A$1," ",CHAR(10),'Bundle Tag Info'!$A$2," ",'Bundle Tag Info'!$A$3,CHAR(10),'Bundle Tag Info'!T$6,CHAR(10),'Bundle Tag Info'!T$30),"")</f>
        <v/>
      </c>
      <c r="U25" s="16" t="str">
        <f>IF('Bundle Tag Info'!U$30&lt;&gt;"",CONCATENATE('Bundle Tag Info'!$A$1," ",CHAR(10),'Bundle Tag Info'!$A$2," ",'Bundle Tag Info'!$A$3,CHAR(10),'Bundle Tag Info'!U$6,CHAR(10),'Bundle Tag Info'!U$30),"")</f>
        <v/>
      </c>
      <c r="V25" s="16" t="str">
        <f>IF('Bundle Tag Info'!V$30&lt;&gt;"",CONCATENATE('Bundle Tag Info'!$A$1," ",CHAR(10),'Bundle Tag Info'!$A$2," ",'Bundle Tag Info'!$A$3,CHAR(10),'Bundle Tag Info'!V$6,CHAR(10),'Bundle Tag Info'!V$30),"")</f>
        <v/>
      </c>
      <c r="W25" s="16" t="str">
        <f>IF('Bundle Tag Info'!W$30&lt;&gt;"",CONCATENATE('Bundle Tag Info'!$A$1," ",CHAR(10),'Bundle Tag Info'!$A$2," ",'Bundle Tag Info'!$A$3,CHAR(10),'Bundle Tag Info'!W$6,CHAR(10),'Bundle Tag Info'!W$30),"")</f>
        <v/>
      </c>
      <c r="X25" s="16" t="str">
        <f>IF('Bundle Tag Info'!X$30&lt;&gt;"",CONCATENATE('Bundle Tag Info'!$A$1," ",CHAR(10),'Bundle Tag Info'!$A$2," ",'Bundle Tag Info'!$A$3,CHAR(10),'Bundle Tag Info'!X$6,CHAR(10),'Bundle Tag Info'!X$30),"")</f>
        <v/>
      </c>
      <c r="Y25" s="16" t="str">
        <f>IF('Bundle Tag Info'!Y$30&lt;&gt;"",CONCATENATE('Bundle Tag Info'!$A$1," ",CHAR(10),'Bundle Tag Info'!$A$2," ",'Bundle Tag Info'!$A$3,CHAR(10),'Bundle Tag Info'!Y$6,CHAR(10),'Bundle Tag Info'!Y$30),"")</f>
        <v/>
      </c>
      <c r="Z25" s="16" t="str">
        <f>IF('Bundle Tag Info'!Z$30&lt;&gt;"",CONCATENATE('Bundle Tag Info'!$A$1," ",CHAR(10),'Bundle Tag Info'!$A$2," ",'Bundle Tag Info'!$A$3,CHAR(10),'Bundle Tag Info'!Z$6,CHAR(10),'Bundle Tag Info'!Z$30),"")</f>
        <v/>
      </c>
      <c r="AA25" s="16" t="str">
        <f>IF('Bundle Tag Info'!AA$30&lt;&gt;"",CONCATENATE('Bundle Tag Info'!$A$1," ",CHAR(10),'Bundle Tag Info'!$A$2," ",'Bundle Tag Info'!$A$3,CHAR(10),'Bundle Tag Info'!AA$6,CHAR(10),'Bundle Tag Info'!AA$30),"")</f>
        <v/>
      </c>
      <c r="AB25" s="16" t="str">
        <f>IF('Bundle Tag Info'!AB$30&lt;&gt;"",CONCATENATE('Bundle Tag Info'!$A$1," ",CHAR(10),'Bundle Tag Info'!$A$2," ",'Bundle Tag Info'!$A$3,CHAR(10),'Bundle Tag Info'!AB$6,CHAR(10),'Bundle Tag Info'!AB$30),"")</f>
        <v/>
      </c>
      <c r="AC25" s="16" t="str">
        <f>IF('Bundle Tag Info'!AC$30&lt;&gt;"",CONCATENATE('Bundle Tag Info'!$A$1," ",CHAR(10),'Bundle Tag Info'!$A$2," ",'Bundle Tag Info'!$A$3,CHAR(10),'Bundle Tag Info'!AC$6,CHAR(10),'Bundle Tag Info'!AC$30),"")</f>
        <v/>
      </c>
      <c r="AD25" s="1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6" t="str">
        <f>IF('Bundle Tag Info'!A$31&lt;&gt;"",CONCATENATE('Bundle Tag Info'!$A$1," ",CHAR(10),'Bundle Tag Info'!$A$2," ",'Bundle Tag Info'!$A$3,CHAR(10),'Bundle Tag Info'!A$6,CHAR(10),'Bundle Tag Info'!A$31),"")</f>
        <v/>
      </c>
      <c r="B26" s="16" t="str">
        <f>IF('Bundle Tag Info'!B$31&lt;&gt;"",CONCATENATE('Bundle Tag Info'!$A$1," ",CHAR(10),'Bundle Tag Info'!$A$2," ",'Bundle Tag Info'!$A$3,CHAR(10),'Bundle Tag Info'!B$6,CHAR(10),'Bundle Tag Info'!B$31),"")</f>
        <v/>
      </c>
      <c r="C26" s="16" t="str">
        <f>IF('Bundle Tag Info'!C$31&lt;&gt;"",CONCATENATE('Bundle Tag Info'!$A$1," ",CHAR(10),'Bundle Tag Info'!$A$2," ",'Bundle Tag Info'!$A$3,CHAR(10),'Bundle Tag Info'!C$6,CHAR(10),'Bundle Tag Info'!C$31),"")</f>
        <v/>
      </c>
      <c r="D26" s="16" t="str">
        <f>IF('Bundle Tag Info'!D$31&lt;&gt;"",CONCATENATE('Bundle Tag Info'!$A$1," ",CHAR(10),'Bundle Tag Info'!$A$2," ",'Bundle Tag Info'!$A$3,CHAR(10),'Bundle Tag Info'!D$6,CHAR(10),'Bundle Tag Info'!D$31),"")</f>
        <v/>
      </c>
      <c r="E26" s="16" t="str">
        <f>IF('Bundle Tag Info'!E$31&lt;&gt;"",CONCATENATE('Bundle Tag Info'!$A$1," ",CHAR(10),'Bundle Tag Info'!$A$2," ",'Bundle Tag Info'!$A$3,CHAR(10),'Bundle Tag Info'!E$6,CHAR(10),'Bundle Tag Info'!E$31),"")</f>
        <v/>
      </c>
      <c r="F26" s="16" t="str">
        <f>IF('Bundle Tag Info'!F$31&lt;&gt;"",CONCATENATE('Bundle Tag Info'!$A$1," ",CHAR(10),'Bundle Tag Info'!$A$2," ",'Bundle Tag Info'!$A$3,CHAR(10),'Bundle Tag Info'!F$6,CHAR(10),'Bundle Tag Info'!F$31),"")</f>
        <v/>
      </c>
      <c r="G26" s="16" t="str">
        <f>IF('Bundle Tag Info'!G$31&lt;&gt;"",CONCATENATE('Bundle Tag Info'!$A$1," ",CHAR(10),'Bundle Tag Info'!$A$2," ",'Bundle Tag Info'!$A$3,CHAR(10),'Bundle Tag Info'!G$6,CHAR(10),'Bundle Tag Info'!G$31),"")</f>
        <v/>
      </c>
      <c r="H26" s="16" t="str">
        <f>IF('Bundle Tag Info'!H$31&lt;&gt;"",CONCATENATE('Bundle Tag Info'!$A$1," ",CHAR(10),'Bundle Tag Info'!$A$2," ",'Bundle Tag Info'!$A$3,CHAR(10),'Bundle Tag Info'!H$6,CHAR(10),'Bundle Tag Info'!H$31),"")</f>
        <v/>
      </c>
      <c r="I26" s="16" t="str">
        <f>IF('Bundle Tag Info'!I$31&lt;&gt;"",CONCATENATE('Bundle Tag Info'!$A$1," ",CHAR(10),'Bundle Tag Info'!$A$2," ",'Bundle Tag Info'!$A$3,CHAR(10),'Bundle Tag Info'!I$6,CHAR(10),'Bundle Tag Info'!I$31),"")</f>
        <v/>
      </c>
      <c r="J26" s="16" t="str">
        <f>IF('Bundle Tag Info'!J$31&lt;&gt;"",CONCATENATE('Bundle Tag Info'!$A$1," ",CHAR(10),'Bundle Tag Info'!$A$2," ",'Bundle Tag Info'!$A$3,CHAR(10),'Bundle Tag Info'!J$6,CHAR(10),'Bundle Tag Info'!J$31),"")</f>
        <v/>
      </c>
      <c r="K26" s="16" t="str">
        <f>IF('Bundle Tag Info'!K$31&lt;&gt;"",CONCATENATE('Bundle Tag Info'!$A$1," ",CHAR(10),'Bundle Tag Info'!$A$2," ",'Bundle Tag Info'!$A$3,CHAR(10),'Bundle Tag Info'!K$6,CHAR(10),'Bundle Tag Info'!K$31),"")</f>
        <v/>
      </c>
      <c r="L26" s="16" t="str">
        <f>IF('Bundle Tag Info'!L$31&lt;&gt;"",CONCATENATE('Bundle Tag Info'!$A$1," ",CHAR(10),'Bundle Tag Info'!$A$2," ",'Bundle Tag Info'!$A$3,CHAR(10),'Bundle Tag Info'!L$6,CHAR(10),'Bundle Tag Info'!L$31),"")</f>
        <v/>
      </c>
      <c r="M26" s="16" t="str">
        <f>IF('Bundle Tag Info'!M$31&lt;&gt;"",CONCATENATE('Bundle Tag Info'!$A$1," ",CHAR(10),'Bundle Tag Info'!$A$2," ",'Bundle Tag Info'!$A$3,CHAR(10),'Bundle Tag Info'!M$6,CHAR(10),'Bundle Tag Info'!M$31),"")</f>
        <v/>
      </c>
      <c r="N26" s="16" t="str">
        <f>IF('Bundle Tag Info'!N$31&lt;&gt;"",CONCATENATE('Bundle Tag Info'!$A$1," ",CHAR(10),'Bundle Tag Info'!$A$2," ",'Bundle Tag Info'!$A$3,CHAR(10),'Bundle Tag Info'!N$6,CHAR(10),'Bundle Tag Info'!N$31),"")</f>
        <v/>
      </c>
      <c r="O26" s="16" t="str">
        <f>IF('Bundle Tag Info'!O$31&lt;&gt;"",CONCATENATE('Bundle Tag Info'!$A$1," ",CHAR(10),'Bundle Tag Info'!$A$2," ",'Bundle Tag Info'!$A$3,CHAR(10),'Bundle Tag Info'!O$6,CHAR(10),'Bundle Tag Info'!O$31),"")</f>
        <v/>
      </c>
      <c r="P26" s="16" t="str">
        <f>IF('Bundle Tag Info'!P$31&lt;&gt;"",CONCATENATE('Bundle Tag Info'!$A$1," ",CHAR(10),'Bundle Tag Info'!$A$2," ",'Bundle Tag Info'!$A$3,CHAR(10),'Bundle Tag Info'!P$6,CHAR(10),'Bundle Tag Info'!P$31),"")</f>
        <v/>
      </c>
      <c r="Q26" s="16" t="str">
        <f>IF('Bundle Tag Info'!Q$31&lt;&gt;"",CONCATENATE('Bundle Tag Info'!$A$1," ",CHAR(10),'Bundle Tag Info'!$A$2," ",'Bundle Tag Info'!$A$3,CHAR(10),'Bundle Tag Info'!Q$6,CHAR(10),'Bundle Tag Info'!Q$31),"")</f>
        <v/>
      </c>
      <c r="R26" s="16" t="str">
        <f>IF('Bundle Tag Info'!R$31&lt;&gt;"",CONCATENATE('Bundle Tag Info'!$A$1," ",CHAR(10),'Bundle Tag Info'!$A$2," ",'Bundle Tag Info'!$A$3,CHAR(10),'Bundle Tag Info'!R$6,CHAR(10),'Bundle Tag Info'!R$31),"")</f>
        <v/>
      </c>
      <c r="S26" s="16" t="str">
        <f>IF('Bundle Tag Info'!S$31&lt;&gt;"",CONCATENATE('Bundle Tag Info'!$A$1," ",CHAR(10),'Bundle Tag Info'!$A$2," ",'Bundle Tag Info'!$A$3,CHAR(10),'Bundle Tag Info'!S$6,CHAR(10),'Bundle Tag Info'!S$31),"")</f>
        <v/>
      </c>
      <c r="T26" s="16" t="str">
        <f>IF('Bundle Tag Info'!T$31&lt;&gt;"",CONCATENATE('Bundle Tag Info'!$A$1," ",CHAR(10),'Bundle Tag Info'!$A$2," ",'Bundle Tag Info'!$A$3,CHAR(10),'Bundle Tag Info'!T$6,CHAR(10),'Bundle Tag Info'!T$31),"")</f>
        <v/>
      </c>
      <c r="U26" s="16" t="str">
        <f>IF('Bundle Tag Info'!U$31&lt;&gt;"",CONCATENATE('Bundle Tag Info'!$A$1," ",CHAR(10),'Bundle Tag Info'!$A$2," ",'Bundle Tag Info'!$A$3,CHAR(10),'Bundle Tag Info'!U$6,CHAR(10),'Bundle Tag Info'!U$31),"")</f>
        <v/>
      </c>
      <c r="V26" s="16" t="str">
        <f>IF('Bundle Tag Info'!V$31&lt;&gt;"",CONCATENATE('Bundle Tag Info'!$A$1," ",CHAR(10),'Bundle Tag Info'!$A$2," ",'Bundle Tag Info'!$A$3,CHAR(10),'Bundle Tag Info'!V$6,CHAR(10),'Bundle Tag Info'!V$31),"")</f>
        <v/>
      </c>
      <c r="W26" s="16" t="str">
        <f>IF('Bundle Tag Info'!W$31&lt;&gt;"",CONCATENATE('Bundle Tag Info'!$A$1," ",CHAR(10),'Bundle Tag Info'!$A$2," ",'Bundle Tag Info'!$A$3,CHAR(10),'Bundle Tag Info'!W$6,CHAR(10),'Bundle Tag Info'!W$31),"")</f>
        <v/>
      </c>
      <c r="X26" s="16" t="str">
        <f>IF('Bundle Tag Info'!X$31&lt;&gt;"",CONCATENATE('Bundle Tag Info'!$A$1," ",CHAR(10),'Bundle Tag Info'!$A$2," ",'Bundle Tag Info'!$A$3,CHAR(10),'Bundle Tag Info'!X$6,CHAR(10),'Bundle Tag Info'!X$31),"")</f>
        <v/>
      </c>
      <c r="Y26" s="16" t="str">
        <f>IF('Bundle Tag Info'!Y$31&lt;&gt;"",CONCATENATE('Bundle Tag Info'!$A$1," ",CHAR(10),'Bundle Tag Info'!$A$2," ",'Bundle Tag Info'!$A$3,CHAR(10),'Bundle Tag Info'!Y$6,CHAR(10),'Bundle Tag Info'!Y$31),"")</f>
        <v/>
      </c>
      <c r="Z26" s="16" t="str">
        <f>IF('Bundle Tag Info'!Z$31&lt;&gt;"",CONCATENATE('Bundle Tag Info'!$A$1," ",CHAR(10),'Bundle Tag Info'!$A$2," ",'Bundle Tag Info'!$A$3,CHAR(10),'Bundle Tag Info'!Z$6,CHAR(10),'Bundle Tag Info'!Z$31),"")</f>
        <v/>
      </c>
      <c r="AA26" s="16" t="str">
        <f>IF('Bundle Tag Info'!AA$31&lt;&gt;"",CONCATENATE('Bundle Tag Info'!$A$1," ",CHAR(10),'Bundle Tag Info'!$A$2," ",'Bundle Tag Info'!$A$3,CHAR(10),'Bundle Tag Info'!AA$6,CHAR(10),'Bundle Tag Info'!AA$31),"")</f>
        <v/>
      </c>
      <c r="AB26" s="16" t="str">
        <f>IF('Bundle Tag Info'!AB$31&lt;&gt;"",CONCATENATE('Bundle Tag Info'!$A$1," ",CHAR(10),'Bundle Tag Info'!$A$2," ",'Bundle Tag Info'!$A$3,CHAR(10),'Bundle Tag Info'!AB$6,CHAR(10),'Bundle Tag Info'!AB$31),"")</f>
        <v/>
      </c>
      <c r="AC26" s="16" t="str">
        <f>IF('Bundle Tag Info'!AC$31&lt;&gt;"",CONCATENATE('Bundle Tag Info'!$A$1," ",CHAR(10),'Bundle Tag Info'!$A$2," ",'Bundle Tag Info'!$A$3,CHAR(10),'Bundle Tag Info'!AC$6,CHAR(10),'Bundle Tag Info'!AC$31),"")</f>
        <v/>
      </c>
      <c r="AD26" s="1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6" t="str">
        <f>IF('Bundle Tag Info'!A$32&lt;&gt;"",CONCATENATE('Bundle Tag Info'!$A$1," ",CHAR(10),'Bundle Tag Info'!$A$2," ",'Bundle Tag Info'!$A$3,CHAR(10),'Bundle Tag Info'!A$6,CHAR(10),'Bundle Tag Info'!A$32),"")</f>
        <v/>
      </c>
      <c r="B27" s="16" t="str">
        <f>IF('Bundle Tag Info'!B$32&lt;&gt;"",CONCATENATE('Bundle Tag Info'!$A$1," ",CHAR(10),'Bundle Tag Info'!$A$2," ",'Bundle Tag Info'!$A$3,CHAR(10),'Bundle Tag Info'!B$6,CHAR(10),'Bundle Tag Info'!B$32),"")</f>
        <v/>
      </c>
      <c r="C27" s="16" t="str">
        <f>IF('Bundle Tag Info'!C$32&lt;&gt;"",CONCATENATE('Bundle Tag Info'!$A$1," ",CHAR(10),'Bundle Tag Info'!$A$2," ",'Bundle Tag Info'!$A$3,CHAR(10),'Bundle Tag Info'!C$6,CHAR(10),'Bundle Tag Info'!C$32),"")</f>
        <v/>
      </c>
      <c r="D27" s="16" t="str">
        <f>IF('Bundle Tag Info'!D$32&lt;&gt;"",CONCATENATE('Bundle Tag Info'!$A$1," ",CHAR(10),'Bundle Tag Info'!$A$2," ",'Bundle Tag Info'!$A$3,CHAR(10),'Bundle Tag Info'!D$6,CHAR(10),'Bundle Tag Info'!D$32),"")</f>
        <v/>
      </c>
      <c r="E27" s="16" t="str">
        <f>IF('Bundle Tag Info'!E$32&lt;&gt;"",CONCATENATE('Bundle Tag Info'!$A$1," ",CHAR(10),'Bundle Tag Info'!$A$2," ",'Bundle Tag Info'!$A$3,CHAR(10),'Bundle Tag Info'!E$6,CHAR(10),'Bundle Tag Info'!E$32),"")</f>
        <v/>
      </c>
      <c r="F27" s="16" t="str">
        <f>IF('Bundle Tag Info'!F$32&lt;&gt;"",CONCATENATE('Bundle Tag Info'!$A$1," ",CHAR(10),'Bundle Tag Info'!$A$2," ",'Bundle Tag Info'!$A$3,CHAR(10),'Bundle Tag Info'!F$6,CHAR(10),'Bundle Tag Info'!F$32),"")</f>
        <v/>
      </c>
      <c r="G27" s="16" t="str">
        <f>IF('Bundle Tag Info'!G$32&lt;&gt;"",CONCATENATE('Bundle Tag Info'!$A$1," ",CHAR(10),'Bundle Tag Info'!$A$2," ",'Bundle Tag Info'!$A$3,CHAR(10),'Bundle Tag Info'!G$6,CHAR(10),'Bundle Tag Info'!G$32),"")</f>
        <v/>
      </c>
      <c r="H27" s="16" t="str">
        <f>IF('Bundle Tag Info'!H$32&lt;&gt;"",CONCATENATE('Bundle Tag Info'!$A$1," ",CHAR(10),'Bundle Tag Info'!$A$2," ",'Bundle Tag Info'!$A$3,CHAR(10),'Bundle Tag Info'!H$6,CHAR(10),'Bundle Tag Info'!H$32),"")</f>
        <v/>
      </c>
      <c r="I27" s="16" t="str">
        <f>IF('Bundle Tag Info'!I$32&lt;&gt;"",CONCATENATE('Bundle Tag Info'!$A$1," ",CHAR(10),'Bundle Tag Info'!$A$2," ",'Bundle Tag Info'!$A$3,CHAR(10),'Bundle Tag Info'!I$6,CHAR(10),'Bundle Tag Info'!I$32),"")</f>
        <v/>
      </c>
      <c r="J27" s="16" t="str">
        <f>IF('Bundle Tag Info'!J$32&lt;&gt;"",CONCATENATE('Bundle Tag Info'!$A$1," ",CHAR(10),'Bundle Tag Info'!$A$2," ",'Bundle Tag Info'!$A$3,CHAR(10),'Bundle Tag Info'!J$6,CHAR(10),'Bundle Tag Info'!J$32),"")</f>
        <v/>
      </c>
      <c r="K27" s="16" t="str">
        <f>IF('Bundle Tag Info'!K$32&lt;&gt;"",CONCATENATE('Bundle Tag Info'!$A$1," ",CHAR(10),'Bundle Tag Info'!$A$2," ",'Bundle Tag Info'!$A$3,CHAR(10),'Bundle Tag Info'!K$6,CHAR(10),'Bundle Tag Info'!K$32),"")</f>
        <v/>
      </c>
      <c r="L27" s="16" t="str">
        <f>IF('Bundle Tag Info'!L$32&lt;&gt;"",CONCATENATE('Bundle Tag Info'!$A$1," ",CHAR(10),'Bundle Tag Info'!$A$2," ",'Bundle Tag Info'!$A$3,CHAR(10),'Bundle Tag Info'!L$6,CHAR(10),'Bundle Tag Info'!L$32),"")</f>
        <v/>
      </c>
      <c r="M27" s="16" t="str">
        <f>IF('Bundle Tag Info'!M$32&lt;&gt;"",CONCATENATE('Bundle Tag Info'!$A$1," ",CHAR(10),'Bundle Tag Info'!$A$2," ",'Bundle Tag Info'!$A$3,CHAR(10),'Bundle Tag Info'!M$6,CHAR(10),'Bundle Tag Info'!M$32),"")</f>
        <v/>
      </c>
      <c r="N27" s="16" t="str">
        <f>IF('Bundle Tag Info'!N$32&lt;&gt;"",CONCATENATE('Bundle Tag Info'!$A$1," ",CHAR(10),'Bundle Tag Info'!$A$2," ",'Bundle Tag Info'!$A$3,CHAR(10),'Bundle Tag Info'!N$6,CHAR(10),'Bundle Tag Info'!N$32),"")</f>
        <v/>
      </c>
      <c r="O27" s="16" t="str">
        <f>IF('Bundle Tag Info'!O$32&lt;&gt;"",CONCATENATE('Bundle Tag Info'!$A$1," ",CHAR(10),'Bundle Tag Info'!$A$2," ",'Bundle Tag Info'!$A$3,CHAR(10),'Bundle Tag Info'!O$6,CHAR(10),'Bundle Tag Info'!O$32),"")</f>
        <v/>
      </c>
      <c r="P27" s="16" t="str">
        <f>IF('Bundle Tag Info'!P$32&lt;&gt;"",CONCATENATE('Bundle Tag Info'!$A$1," ",CHAR(10),'Bundle Tag Info'!$A$2," ",'Bundle Tag Info'!$A$3,CHAR(10),'Bundle Tag Info'!P$6,CHAR(10),'Bundle Tag Info'!P$32),"")</f>
        <v/>
      </c>
      <c r="Q27" s="16" t="str">
        <f>IF('Bundle Tag Info'!Q$32&lt;&gt;"",CONCATENATE('Bundle Tag Info'!$A$1," ",CHAR(10),'Bundle Tag Info'!$A$2," ",'Bundle Tag Info'!$A$3,CHAR(10),'Bundle Tag Info'!Q$6,CHAR(10),'Bundle Tag Info'!Q$32),"")</f>
        <v/>
      </c>
      <c r="R27" s="16" t="str">
        <f>IF('Bundle Tag Info'!R$32&lt;&gt;"",CONCATENATE('Bundle Tag Info'!$A$1," ",CHAR(10),'Bundle Tag Info'!$A$2," ",'Bundle Tag Info'!$A$3,CHAR(10),'Bundle Tag Info'!R$6,CHAR(10),'Bundle Tag Info'!R$32),"")</f>
        <v/>
      </c>
      <c r="S27" s="16" t="str">
        <f>IF('Bundle Tag Info'!S$32&lt;&gt;"",CONCATENATE('Bundle Tag Info'!$A$1," ",CHAR(10),'Bundle Tag Info'!$A$2," ",'Bundle Tag Info'!$A$3,CHAR(10),'Bundle Tag Info'!S$6,CHAR(10),'Bundle Tag Info'!S$32),"")</f>
        <v/>
      </c>
      <c r="T27" s="16" t="str">
        <f>IF('Bundle Tag Info'!T$32&lt;&gt;"",CONCATENATE('Bundle Tag Info'!$A$1," ",CHAR(10),'Bundle Tag Info'!$A$2," ",'Bundle Tag Info'!$A$3,CHAR(10),'Bundle Tag Info'!T$6,CHAR(10),'Bundle Tag Info'!T$32),"")</f>
        <v/>
      </c>
      <c r="U27" s="16" t="str">
        <f>IF('Bundle Tag Info'!U$32&lt;&gt;"",CONCATENATE('Bundle Tag Info'!$A$1," ",CHAR(10),'Bundle Tag Info'!$A$2," ",'Bundle Tag Info'!$A$3,CHAR(10),'Bundle Tag Info'!U$6,CHAR(10),'Bundle Tag Info'!U$32),"")</f>
        <v/>
      </c>
      <c r="V27" s="16" t="str">
        <f>IF('Bundle Tag Info'!V$32&lt;&gt;"",CONCATENATE('Bundle Tag Info'!$A$1," ",CHAR(10),'Bundle Tag Info'!$A$2," ",'Bundle Tag Info'!$A$3,CHAR(10),'Bundle Tag Info'!V$6,CHAR(10),'Bundle Tag Info'!V$32),"")</f>
        <v/>
      </c>
      <c r="W27" s="16" t="str">
        <f>IF('Bundle Tag Info'!W$32&lt;&gt;"",CONCATENATE('Bundle Tag Info'!$A$1," ",CHAR(10),'Bundle Tag Info'!$A$2," ",'Bundle Tag Info'!$A$3,CHAR(10),'Bundle Tag Info'!W$6,CHAR(10),'Bundle Tag Info'!W$32),"")</f>
        <v/>
      </c>
      <c r="X27" s="16" t="str">
        <f>IF('Bundle Tag Info'!X$32&lt;&gt;"",CONCATENATE('Bundle Tag Info'!$A$1," ",CHAR(10),'Bundle Tag Info'!$A$2," ",'Bundle Tag Info'!$A$3,CHAR(10),'Bundle Tag Info'!X$6,CHAR(10),'Bundle Tag Info'!X$32),"")</f>
        <v/>
      </c>
      <c r="Y27" s="16" t="str">
        <f>IF('Bundle Tag Info'!Y$32&lt;&gt;"",CONCATENATE('Bundle Tag Info'!$A$1," ",CHAR(10),'Bundle Tag Info'!$A$2," ",'Bundle Tag Info'!$A$3,CHAR(10),'Bundle Tag Info'!Y$6,CHAR(10),'Bundle Tag Info'!Y$32),"")</f>
        <v/>
      </c>
      <c r="Z27" s="16" t="str">
        <f>IF('Bundle Tag Info'!Z$32&lt;&gt;"",CONCATENATE('Bundle Tag Info'!$A$1," ",CHAR(10),'Bundle Tag Info'!$A$2," ",'Bundle Tag Info'!$A$3,CHAR(10),'Bundle Tag Info'!Z$6,CHAR(10),'Bundle Tag Info'!Z$32),"")</f>
        <v/>
      </c>
      <c r="AA27" s="16" t="str">
        <f>IF('Bundle Tag Info'!AA$32&lt;&gt;"",CONCATENATE('Bundle Tag Info'!$A$1," ",CHAR(10),'Bundle Tag Info'!$A$2," ",'Bundle Tag Info'!$A$3,CHAR(10),'Bundle Tag Info'!AA$6,CHAR(10),'Bundle Tag Info'!AA$32),"")</f>
        <v/>
      </c>
      <c r="AB27" s="16" t="str">
        <f>IF('Bundle Tag Info'!AB$32&lt;&gt;"",CONCATENATE('Bundle Tag Info'!$A$1," ",CHAR(10),'Bundle Tag Info'!$A$2," ",'Bundle Tag Info'!$A$3,CHAR(10),'Bundle Tag Info'!AB$6,CHAR(10),'Bundle Tag Info'!AB$32),"")</f>
        <v/>
      </c>
      <c r="AC27" s="16" t="str">
        <f>IF('Bundle Tag Info'!AC$32&lt;&gt;"",CONCATENATE('Bundle Tag Info'!$A$1," ",CHAR(10),'Bundle Tag Info'!$A$2," ",'Bundle Tag Info'!$A$3,CHAR(10),'Bundle Tag Info'!AC$6,CHAR(10),'Bundle Tag Info'!AC$32),"")</f>
        <v/>
      </c>
      <c r="AD27" s="1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6" t="str">
        <f>IF('Bundle Tag Info'!A$33&lt;&gt;"",CONCATENATE('Bundle Tag Info'!$A$1," ",CHAR(10),'Bundle Tag Info'!$A$2," ",'Bundle Tag Info'!$A$3,CHAR(10),'Bundle Tag Info'!A$6,CHAR(10),'Bundle Tag Info'!A$33),"")</f>
        <v/>
      </c>
      <c r="B28" s="16" t="str">
        <f>IF('Bundle Tag Info'!B$33&lt;&gt;"",CONCATENATE('Bundle Tag Info'!$A$1," ",CHAR(10),'Bundle Tag Info'!$A$2," ",'Bundle Tag Info'!$A$3,CHAR(10),'Bundle Tag Info'!B$6,CHAR(10),'Bundle Tag Info'!B$33),"")</f>
        <v/>
      </c>
      <c r="C28" s="16" t="str">
        <f>IF('Bundle Tag Info'!C$33&lt;&gt;"",CONCATENATE('Bundle Tag Info'!$A$1," ",CHAR(10),'Bundle Tag Info'!$A$2," ",'Bundle Tag Info'!$A$3,CHAR(10),'Bundle Tag Info'!C$6,CHAR(10),'Bundle Tag Info'!C$33),"")</f>
        <v/>
      </c>
      <c r="D28" s="16" t="str">
        <f>IF('Bundle Tag Info'!D$33&lt;&gt;"",CONCATENATE('Bundle Tag Info'!$A$1," ",CHAR(10),'Bundle Tag Info'!$A$2," ",'Bundle Tag Info'!$A$3,CHAR(10),'Bundle Tag Info'!D$6,CHAR(10),'Bundle Tag Info'!D$33),"")</f>
        <v/>
      </c>
      <c r="E28" s="16" t="str">
        <f>IF('Bundle Tag Info'!E$33&lt;&gt;"",CONCATENATE('Bundle Tag Info'!$A$1," ",CHAR(10),'Bundle Tag Info'!$A$2," ",'Bundle Tag Info'!$A$3,CHAR(10),'Bundle Tag Info'!E$6,CHAR(10),'Bundle Tag Info'!E$33),"")</f>
        <v/>
      </c>
      <c r="F28" s="16" t="str">
        <f>IF('Bundle Tag Info'!F$33&lt;&gt;"",CONCATENATE('Bundle Tag Info'!$A$1," ",CHAR(10),'Bundle Tag Info'!$A$2," ",'Bundle Tag Info'!$A$3,CHAR(10),'Bundle Tag Info'!F$6,CHAR(10),'Bundle Tag Info'!F$33),"")</f>
        <v/>
      </c>
      <c r="G28" s="16" t="str">
        <f>IF('Bundle Tag Info'!G$33&lt;&gt;"",CONCATENATE('Bundle Tag Info'!$A$1," ",CHAR(10),'Bundle Tag Info'!$A$2," ",'Bundle Tag Info'!$A$3,CHAR(10),'Bundle Tag Info'!G$6,CHAR(10),'Bundle Tag Info'!G$33),"")</f>
        <v/>
      </c>
      <c r="H28" s="16" t="str">
        <f>IF('Bundle Tag Info'!H$33&lt;&gt;"",CONCATENATE('Bundle Tag Info'!$A$1," ",CHAR(10),'Bundle Tag Info'!$A$2," ",'Bundle Tag Info'!$A$3,CHAR(10),'Bundle Tag Info'!H$6,CHAR(10),'Bundle Tag Info'!H$33),"")</f>
        <v/>
      </c>
      <c r="I28" s="16" t="str">
        <f>IF('Bundle Tag Info'!I$33&lt;&gt;"",CONCATENATE('Bundle Tag Info'!$A$1," ",CHAR(10),'Bundle Tag Info'!$A$2," ",'Bundle Tag Info'!$A$3,CHAR(10),'Bundle Tag Info'!I$6,CHAR(10),'Bundle Tag Info'!I$33),"")</f>
        <v/>
      </c>
      <c r="J28" s="16" t="str">
        <f>IF('Bundle Tag Info'!J$33&lt;&gt;"",CONCATENATE('Bundle Tag Info'!$A$1," ",CHAR(10),'Bundle Tag Info'!$A$2," ",'Bundle Tag Info'!$A$3,CHAR(10),'Bundle Tag Info'!J$6,CHAR(10),'Bundle Tag Info'!J$33),"")</f>
        <v/>
      </c>
      <c r="K28" s="16" t="str">
        <f>IF('Bundle Tag Info'!K$33&lt;&gt;"",CONCATENATE('Bundle Tag Info'!$A$1," ",CHAR(10),'Bundle Tag Info'!$A$2," ",'Bundle Tag Info'!$A$3,CHAR(10),'Bundle Tag Info'!K$6,CHAR(10),'Bundle Tag Info'!K$33),"")</f>
        <v/>
      </c>
      <c r="L28" s="16" t="str">
        <f>IF('Bundle Tag Info'!L$33&lt;&gt;"",CONCATENATE('Bundle Tag Info'!$A$1," ",CHAR(10),'Bundle Tag Info'!$A$2," ",'Bundle Tag Info'!$A$3,CHAR(10),'Bundle Tag Info'!L$6,CHAR(10),'Bundle Tag Info'!L$33),"")</f>
        <v/>
      </c>
      <c r="M28" s="16" t="str">
        <f>IF('Bundle Tag Info'!M$33&lt;&gt;"",CONCATENATE('Bundle Tag Info'!$A$1," ",CHAR(10),'Bundle Tag Info'!$A$2," ",'Bundle Tag Info'!$A$3,CHAR(10),'Bundle Tag Info'!M$6,CHAR(10),'Bundle Tag Info'!M$33),"")</f>
        <v/>
      </c>
      <c r="N28" s="16" t="str">
        <f>IF('Bundle Tag Info'!N$33&lt;&gt;"",CONCATENATE('Bundle Tag Info'!$A$1," ",CHAR(10),'Bundle Tag Info'!$A$2," ",'Bundle Tag Info'!$A$3,CHAR(10),'Bundle Tag Info'!N$6,CHAR(10),'Bundle Tag Info'!N$33),"")</f>
        <v/>
      </c>
      <c r="O28" s="16" t="str">
        <f>IF('Bundle Tag Info'!O$33&lt;&gt;"",CONCATENATE('Bundle Tag Info'!$A$1," ",CHAR(10),'Bundle Tag Info'!$A$2," ",'Bundle Tag Info'!$A$3,CHAR(10),'Bundle Tag Info'!O$6,CHAR(10),'Bundle Tag Info'!O$33),"")</f>
        <v/>
      </c>
      <c r="P28" s="16" t="str">
        <f>IF('Bundle Tag Info'!P$33&lt;&gt;"",CONCATENATE('Bundle Tag Info'!$A$1," ",CHAR(10),'Bundle Tag Info'!$A$2," ",'Bundle Tag Info'!$A$3,CHAR(10),'Bundle Tag Info'!P$6,CHAR(10),'Bundle Tag Info'!P$33),"")</f>
        <v/>
      </c>
      <c r="Q28" s="16" t="str">
        <f>IF('Bundle Tag Info'!Q$33&lt;&gt;"",CONCATENATE('Bundle Tag Info'!$A$1," ",CHAR(10),'Bundle Tag Info'!$A$2," ",'Bundle Tag Info'!$A$3,CHAR(10),'Bundle Tag Info'!Q$6,CHAR(10),'Bundle Tag Info'!Q$33),"")</f>
        <v/>
      </c>
      <c r="R28" s="16" t="str">
        <f>IF('Bundle Tag Info'!R$33&lt;&gt;"",CONCATENATE('Bundle Tag Info'!$A$1," ",CHAR(10),'Bundle Tag Info'!$A$2," ",'Bundle Tag Info'!$A$3,CHAR(10),'Bundle Tag Info'!R$6,CHAR(10),'Bundle Tag Info'!R$33),"")</f>
        <v/>
      </c>
      <c r="S28" s="16" t="str">
        <f>IF('Bundle Tag Info'!S$33&lt;&gt;"",CONCATENATE('Bundle Tag Info'!$A$1," ",CHAR(10),'Bundle Tag Info'!$A$2," ",'Bundle Tag Info'!$A$3,CHAR(10),'Bundle Tag Info'!S$6,CHAR(10),'Bundle Tag Info'!S$33),"")</f>
        <v/>
      </c>
      <c r="T28" s="16" t="str">
        <f>IF('Bundle Tag Info'!T$33&lt;&gt;"",CONCATENATE('Bundle Tag Info'!$A$1," ",CHAR(10),'Bundle Tag Info'!$A$2," ",'Bundle Tag Info'!$A$3,CHAR(10),'Bundle Tag Info'!T$6,CHAR(10),'Bundle Tag Info'!T$33),"")</f>
        <v/>
      </c>
      <c r="U28" s="16" t="str">
        <f>IF('Bundle Tag Info'!U$33&lt;&gt;"",CONCATENATE('Bundle Tag Info'!$A$1," ",CHAR(10),'Bundle Tag Info'!$A$2," ",'Bundle Tag Info'!$A$3,CHAR(10),'Bundle Tag Info'!U$6,CHAR(10),'Bundle Tag Info'!U$33),"")</f>
        <v/>
      </c>
      <c r="V28" s="16" t="str">
        <f>IF('Bundle Tag Info'!V$33&lt;&gt;"",CONCATENATE('Bundle Tag Info'!$A$1," ",CHAR(10),'Bundle Tag Info'!$A$2," ",'Bundle Tag Info'!$A$3,CHAR(10),'Bundle Tag Info'!V$6,CHAR(10),'Bundle Tag Info'!V$33),"")</f>
        <v/>
      </c>
      <c r="W28" s="16" t="str">
        <f>IF('Bundle Tag Info'!W$33&lt;&gt;"",CONCATENATE('Bundle Tag Info'!$A$1," ",CHAR(10),'Bundle Tag Info'!$A$2," ",'Bundle Tag Info'!$A$3,CHAR(10),'Bundle Tag Info'!W$6,CHAR(10),'Bundle Tag Info'!W$33),"")</f>
        <v/>
      </c>
      <c r="X28" s="16" t="str">
        <f>IF('Bundle Tag Info'!X$33&lt;&gt;"",CONCATENATE('Bundle Tag Info'!$A$1," ",CHAR(10),'Bundle Tag Info'!$A$2," ",'Bundle Tag Info'!$A$3,CHAR(10),'Bundle Tag Info'!X$6,CHAR(10),'Bundle Tag Info'!X$33),"")</f>
        <v/>
      </c>
      <c r="Y28" s="16" t="str">
        <f>IF('Bundle Tag Info'!Y$33&lt;&gt;"",CONCATENATE('Bundle Tag Info'!$A$1," ",CHAR(10),'Bundle Tag Info'!$A$2," ",'Bundle Tag Info'!$A$3,CHAR(10),'Bundle Tag Info'!Y$6,CHAR(10),'Bundle Tag Info'!Y$33),"")</f>
        <v/>
      </c>
      <c r="Z28" s="16" t="str">
        <f>IF('Bundle Tag Info'!Z$33&lt;&gt;"",CONCATENATE('Bundle Tag Info'!$A$1," ",CHAR(10),'Bundle Tag Info'!$A$2," ",'Bundle Tag Info'!$A$3,CHAR(10),'Bundle Tag Info'!Z$6,CHAR(10),'Bundle Tag Info'!Z$33),"")</f>
        <v/>
      </c>
      <c r="AA28" s="16" t="str">
        <f>IF('Bundle Tag Info'!AA$33&lt;&gt;"",CONCATENATE('Bundle Tag Info'!$A$1," ",CHAR(10),'Bundle Tag Info'!$A$2," ",'Bundle Tag Info'!$A$3,CHAR(10),'Bundle Tag Info'!AA$6,CHAR(10),'Bundle Tag Info'!AA$33),"")</f>
        <v/>
      </c>
      <c r="AB28" s="16" t="str">
        <f>IF('Bundle Tag Info'!AB$33&lt;&gt;"",CONCATENATE('Bundle Tag Info'!$A$1," ",CHAR(10),'Bundle Tag Info'!$A$2," ",'Bundle Tag Info'!$A$3,CHAR(10),'Bundle Tag Info'!AB$6,CHAR(10),'Bundle Tag Info'!AB$33),"")</f>
        <v/>
      </c>
      <c r="AC28" s="16" t="str">
        <f>IF('Bundle Tag Info'!AC$33&lt;&gt;"",CONCATENATE('Bundle Tag Info'!$A$1," ",CHAR(10),'Bundle Tag Info'!$A$2," ",'Bundle Tag Info'!$A$3,CHAR(10),'Bundle Tag Info'!AC$6,CHAR(10),'Bundle Tag Info'!AC$33),"")</f>
        <v/>
      </c>
      <c r="AD28" s="1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6" t="str">
        <f>IF('Bundle Tag Info'!A$34&lt;&gt;"",CONCATENATE('Bundle Tag Info'!$A$1," ",CHAR(10),'Bundle Tag Info'!$A$2," ",'Bundle Tag Info'!$A$3,CHAR(10),'Bundle Tag Info'!A$6,CHAR(10),'Bundle Tag Info'!A$34),"")</f>
        <v/>
      </c>
      <c r="B29" s="16" t="str">
        <f>IF('Bundle Tag Info'!B$34&lt;&gt;"",CONCATENATE('Bundle Tag Info'!$A$1," ",CHAR(10),'Bundle Tag Info'!$A$2," ",'Bundle Tag Info'!$A$3,CHAR(10),'Bundle Tag Info'!B$6,CHAR(10),'Bundle Tag Info'!B$34),"")</f>
        <v/>
      </c>
      <c r="C29" s="16" t="str">
        <f>IF('Bundle Tag Info'!C$34&lt;&gt;"",CONCATENATE('Bundle Tag Info'!$A$1," ",CHAR(10),'Bundle Tag Info'!$A$2," ",'Bundle Tag Info'!$A$3,CHAR(10),'Bundle Tag Info'!C$6,CHAR(10),'Bundle Tag Info'!C$34),"")</f>
        <v/>
      </c>
      <c r="D29" s="16" t="str">
        <f>IF('Bundle Tag Info'!D$34&lt;&gt;"",CONCATENATE('Bundle Tag Info'!$A$1," ",CHAR(10),'Bundle Tag Info'!$A$2," ",'Bundle Tag Info'!$A$3,CHAR(10),'Bundle Tag Info'!D$6,CHAR(10),'Bundle Tag Info'!D$34),"")</f>
        <v/>
      </c>
      <c r="E29" s="16" t="str">
        <f>IF('Bundle Tag Info'!E$34&lt;&gt;"",CONCATENATE('Bundle Tag Info'!$A$1," ",CHAR(10),'Bundle Tag Info'!$A$2," ",'Bundle Tag Info'!$A$3,CHAR(10),'Bundle Tag Info'!E$6,CHAR(10),'Bundle Tag Info'!E$34),"")</f>
        <v/>
      </c>
      <c r="F29" s="16" t="str">
        <f>IF('Bundle Tag Info'!F$34&lt;&gt;"",CONCATENATE('Bundle Tag Info'!$A$1," ",CHAR(10),'Bundle Tag Info'!$A$2," ",'Bundle Tag Info'!$A$3,CHAR(10),'Bundle Tag Info'!F$6,CHAR(10),'Bundle Tag Info'!F$34),"")</f>
        <v/>
      </c>
      <c r="G29" s="16" t="str">
        <f>IF('Bundle Tag Info'!G$34&lt;&gt;"",CONCATENATE('Bundle Tag Info'!$A$1," ",CHAR(10),'Bundle Tag Info'!$A$2," ",'Bundle Tag Info'!$A$3,CHAR(10),'Bundle Tag Info'!G$6,CHAR(10),'Bundle Tag Info'!G$34),"")</f>
        <v/>
      </c>
      <c r="H29" s="16" t="str">
        <f>IF('Bundle Tag Info'!H$34&lt;&gt;"",CONCATENATE('Bundle Tag Info'!$A$1," ",CHAR(10),'Bundle Tag Info'!$A$2," ",'Bundle Tag Info'!$A$3,CHAR(10),'Bundle Tag Info'!H$6,CHAR(10),'Bundle Tag Info'!H$34),"")</f>
        <v/>
      </c>
      <c r="I29" s="16" t="str">
        <f>IF('Bundle Tag Info'!I$34&lt;&gt;"",CONCATENATE('Bundle Tag Info'!$A$1," ",CHAR(10),'Bundle Tag Info'!$A$2," ",'Bundle Tag Info'!$A$3,CHAR(10),'Bundle Tag Info'!I$6,CHAR(10),'Bundle Tag Info'!I$34),"")</f>
        <v/>
      </c>
      <c r="J29" s="16" t="str">
        <f>IF('Bundle Tag Info'!J$34&lt;&gt;"",CONCATENATE('Bundle Tag Info'!$A$1," ",CHAR(10),'Bundle Tag Info'!$A$2," ",'Bundle Tag Info'!$A$3,CHAR(10),'Bundle Tag Info'!J$6,CHAR(10),'Bundle Tag Info'!J$34),"")</f>
        <v/>
      </c>
      <c r="K29" s="16" t="str">
        <f>IF('Bundle Tag Info'!K$34&lt;&gt;"",CONCATENATE('Bundle Tag Info'!$A$1," ",CHAR(10),'Bundle Tag Info'!$A$2," ",'Bundle Tag Info'!$A$3,CHAR(10),'Bundle Tag Info'!K$6,CHAR(10),'Bundle Tag Info'!K$34),"")</f>
        <v/>
      </c>
      <c r="L29" s="16" t="str">
        <f>IF('Bundle Tag Info'!L$34&lt;&gt;"",CONCATENATE('Bundle Tag Info'!$A$1," ",CHAR(10),'Bundle Tag Info'!$A$2," ",'Bundle Tag Info'!$A$3,CHAR(10),'Bundle Tag Info'!L$6,CHAR(10),'Bundle Tag Info'!L$34),"")</f>
        <v/>
      </c>
      <c r="M29" s="16" t="str">
        <f>IF('Bundle Tag Info'!M$34&lt;&gt;"",CONCATENATE('Bundle Tag Info'!$A$1," ",CHAR(10),'Bundle Tag Info'!$A$2," ",'Bundle Tag Info'!$A$3,CHAR(10),'Bundle Tag Info'!M$6,CHAR(10),'Bundle Tag Info'!M$34),"")</f>
        <v/>
      </c>
      <c r="N29" s="16" t="str">
        <f>IF('Bundle Tag Info'!N$34&lt;&gt;"",CONCATENATE('Bundle Tag Info'!$A$1," ",CHAR(10),'Bundle Tag Info'!$A$2," ",'Bundle Tag Info'!$A$3,CHAR(10),'Bundle Tag Info'!N$6,CHAR(10),'Bundle Tag Info'!N$34),"")</f>
        <v/>
      </c>
      <c r="O29" s="16" t="str">
        <f>IF('Bundle Tag Info'!O$34&lt;&gt;"",CONCATENATE('Bundle Tag Info'!$A$1," ",CHAR(10),'Bundle Tag Info'!$A$2," ",'Bundle Tag Info'!$A$3,CHAR(10),'Bundle Tag Info'!O$6,CHAR(10),'Bundle Tag Info'!O$34),"")</f>
        <v/>
      </c>
      <c r="P29" s="16" t="str">
        <f>IF('Bundle Tag Info'!P$34&lt;&gt;"",CONCATENATE('Bundle Tag Info'!$A$1," ",CHAR(10),'Bundle Tag Info'!$A$2," ",'Bundle Tag Info'!$A$3,CHAR(10),'Bundle Tag Info'!P$6,CHAR(10),'Bundle Tag Info'!P$34),"")</f>
        <v/>
      </c>
      <c r="Q29" s="16" t="str">
        <f>IF('Bundle Tag Info'!Q$34&lt;&gt;"",CONCATENATE('Bundle Tag Info'!$A$1," ",CHAR(10),'Bundle Tag Info'!$A$2," ",'Bundle Tag Info'!$A$3,CHAR(10),'Bundle Tag Info'!Q$6,CHAR(10),'Bundle Tag Info'!Q$34),"")</f>
        <v/>
      </c>
      <c r="R29" s="16" t="str">
        <f>IF('Bundle Tag Info'!R$34&lt;&gt;"",CONCATENATE('Bundle Tag Info'!$A$1," ",CHAR(10),'Bundle Tag Info'!$A$2," ",'Bundle Tag Info'!$A$3,CHAR(10),'Bundle Tag Info'!R$6,CHAR(10),'Bundle Tag Info'!R$34),"")</f>
        <v/>
      </c>
      <c r="S29" s="16" t="str">
        <f>IF('Bundle Tag Info'!S$34&lt;&gt;"",CONCATENATE('Bundle Tag Info'!$A$1," ",CHAR(10),'Bundle Tag Info'!$A$2," ",'Bundle Tag Info'!$A$3,CHAR(10),'Bundle Tag Info'!S$6,CHAR(10),'Bundle Tag Info'!S$34),"")</f>
        <v/>
      </c>
      <c r="T29" s="16" t="str">
        <f>IF('Bundle Tag Info'!T$34&lt;&gt;"",CONCATENATE('Bundle Tag Info'!$A$1," ",CHAR(10),'Bundle Tag Info'!$A$2," ",'Bundle Tag Info'!$A$3,CHAR(10),'Bundle Tag Info'!T$6,CHAR(10),'Bundle Tag Info'!T$34),"")</f>
        <v/>
      </c>
      <c r="U29" s="16" t="str">
        <f>IF('Bundle Tag Info'!U$34&lt;&gt;"",CONCATENATE('Bundle Tag Info'!$A$1," ",CHAR(10),'Bundle Tag Info'!$A$2," ",'Bundle Tag Info'!$A$3,CHAR(10),'Bundle Tag Info'!U$6,CHAR(10),'Bundle Tag Info'!U$34),"")</f>
        <v/>
      </c>
      <c r="V29" s="16" t="str">
        <f>IF('Bundle Tag Info'!V$34&lt;&gt;"",CONCATENATE('Bundle Tag Info'!$A$1," ",CHAR(10),'Bundle Tag Info'!$A$2," ",'Bundle Tag Info'!$A$3,CHAR(10),'Bundle Tag Info'!V$6,CHAR(10),'Bundle Tag Info'!V$34),"")</f>
        <v/>
      </c>
      <c r="W29" s="16" t="str">
        <f>IF('Bundle Tag Info'!W$34&lt;&gt;"",CONCATENATE('Bundle Tag Info'!$A$1," ",CHAR(10),'Bundle Tag Info'!$A$2," ",'Bundle Tag Info'!$A$3,CHAR(10),'Bundle Tag Info'!W$6,CHAR(10),'Bundle Tag Info'!W$34),"")</f>
        <v/>
      </c>
      <c r="X29" s="16" t="str">
        <f>IF('Bundle Tag Info'!X$34&lt;&gt;"",CONCATENATE('Bundle Tag Info'!$A$1," ",CHAR(10),'Bundle Tag Info'!$A$2," ",'Bundle Tag Info'!$A$3,CHAR(10),'Bundle Tag Info'!X$6,CHAR(10),'Bundle Tag Info'!X$34),"")</f>
        <v/>
      </c>
      <c r="Y29" s="16" t="str">
        <f>IF('Bundle Tag Info'!Y$34&lt;&gt;"",CONCATENATE('Bundle Tag Info'!$A$1," ",CHAR(10),'Bundle Tag Info'!$A$2," ",'Bundle Tag Info'!$A$3,CHAR(10),'Bundle Tag Info'!Y$6,CHAR(10),'Bundle Tag Info'!Y$34),"")</f>
        <v/>
      </c>
      <c r="Z29" s="16" t="str">
        <f>IF('Bundle Tag Info'!Z$34&lt;&gt;"",CONCATENATE('Bundle Tag Info'!$A$1," ",CHAR(10),'Bundle Tag Info'!$A$2," ",'Bundle Tag Info'!$A$3,CHAR(10),'Bundle Tag Info'!Z$6,CHAR(10),'Bundle Tag Info'!Z$34),"")</f>
        <v/>
      </c>
      <c r="AA29" s="16" t="str">
        <f>IF('Bundle Tag Info'!AA$34&lt;&gt;"",CONCATENATE('Bundle Tag Info'!$A$1," ",CHAR(10),'Bundle Tag Info'!$A$2," ",'Bundle Tag Info'!$A$3,CHAR(10),'Bundle Tag Info'!AA$6,CHAR(10),'Bundle Tag Info'!AA$34),"")</f>
        <v/>
      </c>
      <c r="AB29" s="16" t="str">
        <f>IF('Bundle Tag Info'!AB$34&lt;&gt;"",CONCATENATE('Bundle Tag Info'!$A$1," ",CHAR(10),'Bundle Tag Info'!$A$2," ",'Bundle Tag Info'!$A$3,CHAR(10),'Bundle Tag Info'!AB$6,CHAR(10),'Bundle Tag Info'!AB$34),"")</f>
        <v/>
      </c>
      <c r="AC29" s="16" t="str">
        <f>IF('Bundle Tag Info'!AC$34&lt;&gt;"",CONCATENATE('Bundle Tag Info'!$A$1," ",CHAR(10),'Bundle Tag Info'!$A$2," ",'Bundle Tag Info'!$A$3,CHAR(10),'Bundle Tag Info'!AC$6,CHAR(10),'Bundle Tag Info'!AC$34),"")</f>
        <v/>
      </c>
      <c r="AD29" s="16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6" t="str">
        <f>IF('Bundle Tag Info'!A$35&lt;&gt;"",CONCATENATE('Bundle Tag Info'!$A$1," ",CHAR(10),'Bundle Tag Info'!$A$2," ",'Bundle Tag Info'!$A$3,CHAR(10),'Bundle Tag Info'!A$6,CHAR(10),'Bundle Tag Info'!A$35),"")</f>
        <v/>
      </c>
      <c r="B30" s="16" t="str">
        <f>IF('Bundle Tag Info'!B$35&lt;&gt;"",CONCATENATE('Bundle Tag Info'!$A$1," ",CHAR(10),'Bundle Tag Info'!$A$2," ",'Bundle Tag Info'!$A$3,CHAR(10),'Bundle Tag Info'!B$6,CHAR(10),'Bundle Tag Info'!B$35),"")</f>
        <v/>
      </c>
      <c r="C30" s="16" t="str">
        <f>IF('Bundle Tag Info'!C$35&lt;&gt;"",CONCATENATE('Bundle Tag Info'!$A$1," ",CHAR(10),'Bundle Tag Info'!$A$2," ",'Bundle Tag Info'!$A$3,CHAR(10),'Bundle Tag Info'!C$6,CHAR(10),'Bundle Tag Info'!C$35),"")</f>
        <v/>
      </c>
      <c r="D30" s="16" t="str">
        <f>IF('Bundle Tag Info'!D$35&lt;&gt;"",CONCATENATE('Bundle Tag Info'!$A$1," ",CHAR(10),'Bundle Tag Info'!$A$2," ",'Bundle Tag Info'!$A$3,CHAR(10),'Bundle Tag Info'!D$6,CHAR(10),'Bundle Tag Info'!D$35),"")</f>
        <v/>
      </c>
      <c r="E30" s="16" t="str">
        <f>IF('Bundle Tag Info'!E$35&lt;&gt;"",CONCATENATE('Bundle Tag Info'!$A$1," ",CHAR(10),'Bundle Tag Info'!$A$2," ",'Bundle Tag Info'!$A$3,CHAR(10),'Bundle Tag Info'!E$6,CHAR(10),'Bundle Tag Info'!E$35),"")</f>
        <v/>
      </c>
      <c r="F30" s="16" t="str">
        <f>IF('Bundle Tag Info'!F$35&lt;&gt;"",CONCATENATE('Bundle Tag Info'!$A$1," ",CHAR(10),'Bundle Tag Info'!$A$2," ",'Bundle Tag Info'!$A$3,CHAR(10),'Bundle Tag Info'!F$6,CHAR(10),'Bundle Tag Info'!F$35),"")</f>
        <v/>
      </c>
      <c r="G30" s="16" t="str">
        <f>IF('Bundle Tag Info'!G$35&lt;&gt;"",CONCATENATE('Bundle Tag Info'!$A$1," ",CHAR(10),'Bundle Tag Info'!$A$2," ",'Bundle Tag Info'!$A$3,CHAR(10),'Bundle Tag Info'!G$6,CHAR(10),'Bundle Tag Info'!G$35),"")</f>
        <v/>
      </c>
      <c r="H30" s="16" t="str">
        <f>IF('Bundle Tag Info'!H$35&lt;&gt;"",CONCATENATE('Bundle Tag Info'!$A$1," ",CHAR(10),'Bundle Tag Info'!$A$2," ",'Bundle Tag Info'!$A$3,CHAR(10),'Bundle Tag Info'!H$6,CHAR(10),'Bundle Tag Info'!H$35),"")</f>
        <v/>
      </c>
      <c r="I30" s="16" t="str">
        <f>IF('Bundle Tag Info'!I$35&lt;&gt;"",CONCATENATE('Bundle Tag Info'!$A$1," ",CHAR(10),'Bundle Tag Info'!$A$2," ",'Bundle Tag Info'!$A$3,CHAR(10),'Bundle Tag Info'!I$6,CHAR(10),'Bundle Tag Info'!I$35),"")</f>
        <v/>
      </c>
      <c r="J30" s="16" t="str">
        <f>IF('Bundle Tag Info'!J$35&lt;&gt;"",CONCATENATE('Bundle Tag Info'!$A$1," ",CHAR(10),'Bundle Tag Info'!$A$2," ",'Bundle Tag Info'!$A$3,CHAR(10),'Bundle Tag Info'!J$6,CHAR(10),'Bundle Tag Info'!J$35),"")</f>
        <v/>
      </c>
      <c r="K30" s="16" t="str">
        <f>IF('Bundle Tag Info'!K$35&lt;&gt;"",CONCATENATE('Bundle Tag Info'!$A$1," ",CHAR(10),'Bundle Tag Info'!$A$2," ",'Bundle Tag Info'!$A$3,CHAR(10),'Bundle Tag Info'!K$6,CHAR(10),'Bundle Tag Info'!K$35),"")</f>
        <v/>
      </c>
      <c r="L30" s="16" t="str">
        <f>IF('Bundle Tag Info'!L$35&lt;&gt;"",CONCATENATE('Bundle Tag Info'!$A$1," ",CHAR(10),'Bundle Tag Info'!$A$2," ",'Bundle Tag Info'!$A$3,CHAR(10),'Bundle Tag Info'!L$6,CHAR(10),'Bundle Tag Info'!L$35),"")</f>
        <v/>
      </c>
      <c r="M30" s="16" t="str">
        <f>IF('Bundle Tag Info'!M$35&lt;&gt;"",CONCATENATE('Bundle Tag Info'!$A$1," ",CHAR(10),'Bundle Tag Info'!$A$2," ",'Bundle Tag Info'!$A$3,CHAR(10),'Bundle Tag Info'!M$6,CHAR(10),'Bundle Tag Info'!M$35),"")</f>
        <v/>
      </c>
      <c r="N30" s="16" t="str">
        <f>IF('Bundle Tag Info'!N$35&lt;&gt;"",CONCATENATE('Bundle Tag Info'!$A$1," ",CHAR(10),'Bundle Tag Info'!$A$2," ",'Bundle Tag Info'!$A$3,CHAR(10),'Bundle Tag Info'!N$6,CHAR(10),'Bundle Tag Info'!N$35),"")</f>
        <v/>
      </c>
      <c r="O30" s="16" t="str">
        <f>IF('Bundle Tag Info'!O$35&lt;&gt;"",CONCATENATE('Bundle Tag Info'!$A$1," ",CHAR(10),'Bundle Tag Info'!$A$2," ",'Bundle Tag Info'!$A$3,CHAR(10),'Bundle Tag Info'!O$6,CHAR(10),'Bundle Tag Info'!O$35),"")</f>
        <v/>
      </c>
      <c r="P30" s="16" t="str">
        <f>IF('Bundle Tag Info'!P$35&lt;&gt;"",CONCATENATE('Bundle Tag Info'!$A$1," ",CHAR(10),'Bundle Tag Info'!$A$2," ",'Bundle Tag Info'!$A$3,CHAR(10),'Bundle Tag Info'!P$6,CHAR(10),'Bundle Tag Info'!P$35),"")</f>
        <v/>
      </c>
      <c r="Q30" s="16" t="str">
        <f>IF('Bundle Tag Info'!Q$35&lt;&gt;"",CONCATENATE('Bundle Tag Info'!$A$1," ",CHAR(10),'Bundle Tag Info'!$A$2," ",'Bundle Tag Info'!$A$3,CHAR(10),'Bundle Tag Info'!Q$6,CHAR(10),'Bundle Tag Info'!Q$35),"")</f>
        <v/>
      </c>
      <c r="R30" s="16" t="str">
        <f>IF('Bundle Tag Info'!R$35&lt;&gt;"",CONCATENATE('Bundle Tag Info'!$A$1," ",CHAR(10),'Bundle Tag Info'!$A$2," ",'Bundle Tag Info'!$A$3,CHAR(10),'Bundle Tag Info'!R$6,CHAR(10),'Bundle Tag Info'!R$35),"")</f>
        <v/>
      </c>
      <c r="S30" s="16" t="str">
        <f>IF('Bundle Tag Info'!S$35&lt;&gt;"",CONCATENATE('Bundle Tag Info'!$A$1," ",CHAR(10),'Bundle Tag Info'!$A$2," ",'Bundle Tag Info'!$A$3,CHAR(10),'Bundle Tag Info'!S$6,CHAR(10),'Bundle Tag Info'!S$35),"")</f>
        <v/>
      </c>
      <c r="T30" s="16" t="str">
        <f>IF('Bundle Tag Info'!T$35&lt;&gt;"",CONCATENATE('Bundle Tag Info'!$A$1," ",CHAR(10),'Bundle Tag Info'!$A$2," ",'Bundle Tag Info'!$A$3,CHAR(10),'Bundle Tag Info'!T$6,CHAR(10),'Bundle Tag Info'!T$35),"")</f>
        <v/>
      </c>
      <c r="U30" s="16" t="str">
        <f>IF('Bundle Tag Info'!U$35&lt;&gt;"",CONCATENATE('Bundle Tag Info'!$A$1," ",CHAR(10),'Bundle Tag Info'!$A$2," ",'Bundle Tag Info'!$A$3,CHAR(10),'Bundle Tag Info'!U$6,CHAR(10),'Bundle Tag Info'!U$35),"")</f>
        <v/>
      </c>
      <c r="V30" s="16" t="str">
        <f>IF('Bundle Tag Info'!V$35&lt;&gt;"",CONCATENATE('Bundle Tag Info'!$A$1," ",CHAR(10),'Bundle Tag Info'!$A$2," ",'Bundle Tag Info'!$A$3,CHAR(10),'Bundle Tag Info'!V$6,CHAR(10),'Bundle Tag Info'!V$35),"")</f>
        <v/>
      </c>
      <c r="W30" s="16" t="str">
        <f>IF('Bundle Tag Info'!W$35&lt;&gt;"",CONCATENATE('Bundle Tag Info'!$A$1," ",CHAR(10),'Bundle Tag Info'!$A$2," ",'Bundle Tag Info'!$A$3,CHAR(10),'Bundle Tag Info'!W$6,CHAR(10),'Bundle Tag Info'!W$35),"")</f>
        <v/>
      </c>
      <c r="X30" s="16" t="str">
        <f>IF('Bundle Tag Info'!X$35&lt;&gt;"",CONCATENATE('Bundle Tag Info'!$A$1," ",CHAR(10),'Bundle Tag Info'!$A$2," ",'Bundle Tag Info'!$A$3,CHAR(10),'Bundle Tag Info'!X$6,CHAR(10),'Bundle Tag Info'!X$35),"")</f>
        <v/>
      </c>
      <c r="Y30" s="16" t="str">
        <f>IF('Bundle Tag Info'!Y$35&lt;&gt;"",CONCATENATE('Bundle Tag Info'!$A$1," ",CHAR(10),'Bundle Tag Info'!$A$2," ",'Bundle Tag Info'!$A$3,CHAR(10),'Bundle Tag Info'!Y$6,CHAR(10),'Bundle Tag Info'!Y$35),"")</f>
        <v/>
      </c>
      <c r="Z30" s="16" t="str">
        <f>IF('Bundle Tag Info'!Z$35&lt;&gt;"",CONCATENATE('Bundle Tag Info'!$A$1," ",CHAR(10),'Bundle Tag Info'!$A$2," ",'Bundle Tag Info'!$A$3,CHAR(10),'Bundle Tag Info'!Z$6,CHAR(10),'Bundle Tag Info'!Z$35),"")</f>
        <v/>
      </c>
      <c r="AA30" s="16" t="str">
        <f>IF('Bundle Tag Info'!AA$35&lt;&gt;"",CONCATENATE('Bundle Tag Info'!$A$1," ",CHAR(10),'Bundle Tag Info'!$A$2," ",'Bundle Tag Info'!$A$3,CHAR(10),'Bundle Tag Info'!AA$6,CHAR(10),'Bundle Tag Info'!AA$35),"")</f>
        <v/>
      </c>
      <c r="AB30" s="16" t="str">
        <f>IF('Bundle Tag Info'!AB$35&lt;&gt;"",CONCATENATE('Bundle Tag Info'!$A$1," ",CHAR(10),'Bundle Tag Info'!$A$2," ",'Bundle Tag Info'!$A$3,CHAR(10),'Bundle Tag Info'!AB$6,CHAR(10),'Bundle Tag Info'!AB$35),"")</f>
        <v/>
      </c>
      <c r="AC30" s="16" t="str">
        <f>IF('Bundle Tag Info'!AC$35&lt;&gt;"",CONCATENATE('Bundle Tag Info'!$A$1," ",CHAR(10),'Bundle Tag Info'!$A$2," ",'Bundle Tag Info'!$A$3,CHAR(10),'Bundle Tag Info'!AC$6,CHAR(10),'Bundle Tag Info'!AC$35),"")</f>
        <v/>
      </c>
      <c r="AD30" s="1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6" t="str">
        <f>IF('Bundle Tag Info'!A$36&lt;&gt;"",CONCATENATE('Bundle Tag Info'!$A$1," ",CHAR(10),'Bundle Tag Info'!$A$2," ",'Bundle Tag Info'!$A$3,CHAR(10),'Bundle Tag Info'!A$6,CHAR(10),'Bundle Tag Info'!A$36),"")</f>
        <v/>
      </c>
      <c r="B31" s="16" t="str">
        <f>IF('Bundle Tag Info'!B$36&lt;&gt;"",CONCATENATE('Bundle Tag Info'!$A$1," ",CHAR(10),'Bundle Tag Info'!$A$2," ",'Bundle Tag Info'!$A$3,CHAR(10),'Bundle Tag Info'!B$6,CHAR(10),'Bundle Tag Info'!B$36),"")</f>
        <v/>
      </c>
      <c r="C31" s="16" t="str">
        <f>IF('Bundle Tag Info'!C$36&lt;&gt;"",CONCATENATE('Bundle Tag Info'!$A$1," ",CHAR(10),'Bundle Tag Info'!$A$2," ",'Bundle Tag Info'!$A$3,CHAR(10),'Bundle Tag Info'!C$6,CHAR(10),'Bundle Tag Info'!C$36),"")</f>
        <v/>
      </c>
      <c r="D31" s="16" t="str">
        <f>IF('Bundle Tag Info'!D$36&lt;&gt;"",CONCATENATE('Bundle Tag Info'!$A$1," ",CHAR(10),'Bundle Tag Info'!$A$2," ",'Bundle Tag Info'!$A$3,CHAR(10),'Bundle Tag Info'!D$6,CHAR(10),'Bundle Tag Info'!D$36),"")</f>
        <v/>
      </c>
      <c r="E31" s="16" t="str">
        <f>IF('Bundle Tag Info'!E$36&lt;&gt;"",CONCATENATE('Bundle Tag Info'!$A$1," ",CHAR(10),'Bundle Tag Info'!$A$2," ",'Bundle Tag Info'!$A$3,CHAR(10),'Bundle Tag Info'!E$6,CHAR(10),'Bundle Tag Info'!E$36),"")</f>
        <v/>
      </c>
      <c r="F31" s="16" t="str">
        <f>IF('Bundle Tag Info'!F$36&lt;&gt;"",CONCATENATE('Bundle Tag Info'!$A$1," ",CHAR(10),'Bundle Tag Info'!$A$2," ",'Bundle Tag Info'!$A$3,CHAR(10),'Bundle Tag Info'!F$6,CHAR(10),'Bundle Tag Info'!F$36),"")</f>
        <v/>
      </c>
      <c r="G31" s="16" t="str">
        <f>IF('Bundle Tag Info'!G$36&lt;&gt;"",CONCATENATE('Bundle Tag Info'!$A$1," ",CHAR(10),'Bundle Tag Info'!$A$2," ",'Bundle Tag Info'!$A$3,CHAR(10),'Bundle Tag Info'!G$6,CHAR(10),'Bundle Tag Info'!G$36),"")</f>
        <v/>
      </c>
      <c r="H31" s="16" t="str">
        <f>IF('Bundle Tag Info'!H$36&lt;&gt;"",CONCATENATE('Bundle Tag Info'!$A$1," ",CHAR(10),'Bundle Tag Info'!$A$2," ",'Bundle Tag Info'!$A$3,CHAR(10),'Bundle Tag Info'!H$6,CHAR(10),'Bundle Tag Info'!H$36),"")</f>
        <v/>
      </c>
      <c r="I31" s="16" t="str">
        <f>IF('Bundle Tag Info'!I$36&lt;&gt;"",CONCATENATE('Bundle Tag Info'!$A$1," ",CHAR(10),'Bundle Tag Info'!$A$2," ",'Bundle Tag Info'!$A$3,CHAR(10),'Bundle Tag Info'!I$6,CHAR(10),'Bundle Tag Info'!I$36),"")</f>
        <v/>
      </c>
      <c r="J31" s="16" t="str">
        <f>IF('Bundle Tag Info'!J$36&lt;&gt;"",CONCATENATE('Bundle Tag Info'!$A$1," ",CHAR(10),'Bundle Tag Info'!$A$2," ",'Bundle Tag Info'!$A$3,CHAR(10),'Bundle Tag Info'!J$6,CHAR(10),'Bundle Tag Info'!J$36),"")</f>
        <v/>
      </c>
      <c r="K31" s="16" t="str">
        <f>IF('Bundle Tag Info'!K$36&lt;&gt;"",CONCATENATE('Bundle Tag Info'!$A$1," ",CHAR(10),'Bundle Tag Info'!$A$2," ",'Bundle Tag Info'!$A$3,CHAR(10),'Bundle Tag Info'!K$6,CHAR(10),'Bundle Tag Info'!K$36),"")</f>
        <v/>
      </c>
      <c r="L31" s="16" t="str">
        <f>IF('Bundle Tag Info'!L$36&lt;&gt;"",CONCATENATE('Bundle Tag Info'!$A$1," ",CHAR(10),'Bundle Tag Info'!$A$2," ",'Bundle Tag Info'!$A$3,CHAR(10),'Bundle Tag Info'!L$6,CHAR(10),'Bundle Tag Info'!L$36),"")</f>
        <v/>
      </c>
      <c r="M31" s="16" t="str">
        <f>IF('Bundle Tag Info'!M$36&lt;&gt;"",CONCATENATE('Bundle Tag Info'!$A$1," ",CHAR(10),'Bundle Tag Info'!$A$2," ",'Bundle Tag Info'!$A$3,CHAR(10),'Bundle Tag Info'!M$6,CHAR(10),'Bundle Tag Info'!M$36),"")</f>
        <v/>
      </c>
      <c r="N31" s="16" t="str">
        <f>IF('Bundle Tag Info'!N$36&lt;&gt;"",CONCATENATE('Bundle Tag Info'!$A$1," ",CHAR(10),'Bundle Tag Info'!$A$2," ",'Bundle Tag Info'!$A$3,CHAR(10),'Bundle Tag Info'!N$6,CHAR(10),'Bundle Tag Info'!N$36),"")</f>
        <v/>
      </c>
      <c r="O31" s="16" t="str">
        <f>IF('Bundle Tag Info'!O$36&lt;&gt;"",CONCATENATE('Bundle Tag Info'!$A$1," ",CHAR(10),'Bundle Tag Info'!$A$2," ",'Bundle Tag Info'!$A$3,CHAR(10),'Bundle Tag Info'!O$6,CHAR(10),'Bundle Tag Info'!O$36),"")</f>
        <v/>
      </c>
      <c r="P31" s="16" t="str">
        <f>IF('Bundle Tag Info'!P$36&lt;&gt;"",CONCATENATE('Bundle Tag Info'!$A$1," ",CHAR(10),'Bundle Tag Info'!$A$2," ",'Bundle Tag Info'!$A$3,CHAR(10),'Bundle Tag Info'!P$6,CHAR(10),'Bundle Tag Info'!P$36),"")</f>
        <v/>
      </c>
      <c r="Q31" s="16" t="str">
        <f>IF('Bundle Tag Info'!Q$36&lt;&gt;"",CONCATENATE('Bundle Tag Info'!$A$1," ",CHAR(10),'Bundle Tag Info'!$A$2," ",'Bundle Tag Info'!$A$3,CHAR(10),'Bundle Tag Info'!Q$6,CHAR(10),'Bundle Tag Info'!Q$36),"")</f>
        <v/>
      </c>
      <c r="R31" s="16" t="str">
        <f>IF('Bundle Tag Info'!R$36&lt;&gt;"",CONCATENATE('Bundle Tag Info'!$A$1," ",CHAR(10),'Bundle Tag Info'!$A$2," ",'Bundle Tag Info'!$A$3,CHAR(10),'Bundle Tag Info'!R$6,CHAR(10),'Bundle Tag Info'!R$36),"")</f>
        <v/>
      </c>
      <c r="S31" s="16" t="str">
        <f>IF('Bundle Tag Info'!S$36&lt;&gt;"",CONCATENATE('Bundle Tag Info'!$A$1," ",CHAR(10),'Bundle Tag Info'!$A$2," ",'Bundle Tag Info'!$A$3,CHAR(10),'Bundle Tag Info'!S$6,CHAR(10),'Bundle Tag Info'!S$36),"")</f>
        <v/>
      </c>
      <c r="T31" s="16" t="str">
        <f>IF('Bundle Tag Info'!T$36&lt;&gt;"",CONCATENATE('Bundle Tag Info'!$A$1," ",CHAR(10),'Bundle Tag Info'!$A$2," ",'Bundle Tag Info'!$A$3,CHAR(10),'Bundle Tag Info'!T$6,CHAR(10),'Bundle Tag Info'!T$36),"")</f>
        <v/>
      </c>
      <c r="U31" s="16" t="str">
        <f>IF('Bundle Tag Info'!U$36&lt;&gt;"",CONCATENATE('Bundle Tag Info'!$A$1," ",CHAR(10),'Bundle Tag Info'!$A$2," ",'Bundle Tag Info'!$A$3,CHAR(10),'Bundle Tag Info'!U$6,CHAR(10),'Bundle Tag Info'!U$36),"")</f>
        <v/>
      </c>
      <c r="V31" s="16" t="str">
        <f>IF('Bundle Tag Info'!V$36&lt;&gt;"",CONCATENATE('Bundle Tag Info'!$A$1," ",CHAR(10),'Bundle Tag Info'!$A$2," ",'Bundle Tag Info'!$A$3,CHAR(10),'Bundle Tag Info'!V$6,CHAR(10),'Bundle Tag Info'!V$36),"")</f>
        <v/>
      </c>
      <c r="W31" s="16" t="str">
        <f>IF('Bundle Tag Info'!W$36&lt;&gt;"",CONCATENATE('Bundle Tag Info'!$A$1," ",CHAR(10),'Bundle Tag Info'!$A$2," ",'Bundle Tag Info'!$A$3,CHAR(10),'Bundle Tag Info'!W$6,CHAR(10),'Bundle Tag Info'!W$36),"")</f>
        <v/>
      </c>
      <c r="X31" s="16" t="str">
        <f>IF('Bundle Tag Info'!X$36&lt;&gt;"",CONCATENATE('Bundle Tag Info'!$A$1," ",CHAR(10),'Bundle Tag Info'!$A$2," ",'Bundle Tag Info'!$A$3,CHAR(10),'Bundle Tag Info'!X$6,CHAR(10),'Bundle Tag Info'!X$36),"")</f>
        <v/>
      </c>
      <c r="Y31" s="16" t="str">
        <f>IF('Bundle Tag Info'!Y$36&lt;&gt;"",CONCATENATE('Bundle Tag Info'!$A$1," ",CHAR(10),'Bundle Tag Info'!$A$2," ",'Bundle Tag Info'!$A$3,CHAR(10),'Bundle Tag Info'!Y$6,CHAR(10),'Bundle Tag Info'!Y$36),"")</f>
        <v/>
      </c>
      <c r="Z31" s="16" t="str">
        <f>IF('Bundle Tag Info'!Z$36&lt;&gt;"",CONCATENATE('Bundle Tag Info'!$A$1," ",CHAR(10),'Bundle Tag Info'!$A$2," ",'Bundle Tag Info'!$A$3,CHAR(10),'Bundle Tag Info'!Z$6,CHAR(10),'Bundle Tag Info'!Z$36),"")</f>
        <v/>
      </c>
      <c r="AA31" s="16" t="str">
        <f>IF('Bundle Tag Info'!AA$36&lt;&gt;"",CONCATENATE('Bundle Tag Info'!$A$1," ",CHAR(10),'Bundle Tag Info'!$A$2," ",'Bundle Tag Info'!$A$3,CHAR(10),'Bundle Tag Info'!AA$6,CHAR(10),'Bundle Tag Info'!AA$36),"")</f>
        <v/>
      </c>
      <c r="AB31" s="16" t="str">
        <f>IF('Bundle Tag Info'!AB$36&lt;&gt;"",CONCATENATE('Bundle Tag Info'!$A$1," ",CHAR(10),'Bundle Tag Info'!$A$2," ",'Bundle Tag Info'!$A$3,CHAR(10),'Bundle Tag Info'!AB$6,CHAR(10),'Bundle Tag Info'!AB$36),"")</f>
        <v/>
      </c>
      <c r="AC31" s="16" t="str">
        <f>IF('Bundle Tag Info'!AC$36&lt;&gt;"",CONCATENATE('Bundle Tag Info'!$A$1," ",CHAR(10),'Bundle Tag Info'!$A$2," ",'Bundle Tag Info'!$A$3,CHAR(10),'Bundle Tag Info'!AC$6,CHAR(10),'Bundle Tag Info'!AC$36),"")</f>
        <v/>
      </c>
      <c r="AD31" s="16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2F51-A2EE-4E2A-B3B9-7D06A3FE9B9F}">
  <dimension ref="A1:AD73"/>
  <sheetViews>
    <sheetView workbookViewId="0">
      <selection activeCell="C12" sqref="C12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5" t="s">
        <v>1321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12.6" customHeight="1" x14ac:dyDescent="0.25">
      <c r="A2" s="16" t="str">
        <f>IF('Bundle Tag Info'!A$7&lt;&gt;"",CONCATENATE('Bundle Tag Info'!$A$1," ",CHAR(10),'Bundle Tag Info'!$A$2," ",'Bundle Tag Info'!$A$3,CHAR(10),'Bundle Tag Info'!A$6,CHAR(10),'Bundle Tag Info'!A$7),"")</f>
        <v>KOC-JPF #1 
4P101 C.1
JB70 DOOR
AT1100</v>
      </c>
      <c r="K2" s="16" t="str">
        <f>IF('Bundle Tag Info'!K$7&lt;&gt;"",CONCATENATE('Bundle Tag Info'!$A$1," ",CHAR(10),'Bundle Tag Info'!$A$2," ",'Bundle Tag Info'!$A$3,CHAR(10),'Bundle Tag Info'!K$6,CHAR(10),'Bundle Tag Info'!K$7),"")</f>
        <v/>
      </c>
      <c r="L2" s="16" t="str">
        <f>IF('Bundle Tag Info'!L$7&lt;&gt;"",CONCATENATE('Bundle Tag Info'!$A$1," ",CHAR(10),'Bundle Tag Info'!$A$2," ",'Bundle Tag Info'!$A$3,CHAR(10),'Bundle Tag Info'!L$6,CHAR(10),'Bundle Tag Info'!L$7),"")</f>
        <v/>
      </c>
      <c r="M2" s="16" t="str">
        <f>IF('Bundle Tag Info'!M$7&lt;&gt;"",CONCATENATE('Bundle Tag Info'!$A$1," ",CHAR(10),'Bundle Tag Info'!$A$2," ",'Bundle Tag Info'!$A$3,CHAR(10),'Bundle Tag Info'!M$6,CHAR(10),'Bundle Tag Info'!M$7),"")</f>
        <v/>
      </c>
      <c r="N2" s="16" t="str">
        <f>IF('Bundle Tag Info'!N$7&lt;&gt;"",CONCATENATE('Bundle Tag Info'!$A$1," ",CHAR(10),'Bundle Tag Info'!$A$2," ",'Bundle Tag Info'!$A$3,CHAR(10),'Bundle Tag Info'!N$6,CHAR(10),'Bundle Tag Info'!N$7),"")</f>
        <v/>
      </c>
      <c r="O2" s="16" t="str">
        <f>IF('Bundle Tag Info'!O$7&lt;&gt;"",CONCATENATE('Bundle Tag Info'!$A$1," ",CHAR(10),'Bundle Tag Info'!$A$2," ",'Bundle Tag Info'!$A$3,CHAR(10),'Bundle Tag Info'!O$6,CHAR(10),'Bundle Tag Info'!O$7),"")</f>
        <v/>
      </c>
      <c r="P2" s="16" t="str">
        <f>IF('Bundle Tag Info'!P$7&lt;&gt;"",CONCATENATE('Bundle Tag Info'!$A$1," ",CHAR(10),'Bundle Tag Info'!$A$2," ",'Bundle Tag Info'!$A$3,CHAR(10),'Bundle Tag Info'!P$6,CHAR(10),'Bundle Tag Info'!P$7),"")</f>
        <v/>
      </c>
      <c r="Q2" s="16" t="str">
        <f>IF('Bundle Tag Info'!Q$7&lt;&gt;"",CONCATENATE('Bundle Tag Info'!$A$1," ",CHAR(10),'Bundle Tag Info'!$A$2," ",'Bundle Tag Info'!$A$3,CHAR(10),'Bundle Tag Info'!Q$6,CHAR(10),'Bundle Tag Info'!Q$7),"")</f>
        <v/>
      </c>
      <c r="R2" s="16" t="str">
        <f>IF('Bundle Tag Info'!R$7&lt;&gt;"",CONCATENATE('Bundle Tag Info'!$A$1," ",CHAR(10),'Bundle Tag Info'!$A$2," ",'Bundle Tag Info'!$A$3,CHAR(10),'Bundle Tag Info'!R$6,CHAR(10),'Bundle Tag Info'!R$7),"")</f>
        <v/>
      </c>
      <c r="S2" s="16" t="str">
        <f>IF('Bundle Tag Info'!S$7&lt;&gt;"",CONCATENATE('Bundle Tag Info'!$A$1," ",CHAR(10),'Bundle Tag Info'!$A$2," ",'Bundle Tag Info'!$A$3,CHAR(10),'Bundle Tag Info'!S$6,CHAR(10),'Bundle Tag Info'!S$7),"")</f>
        <v/>
      </c>
      <c r="T2" s="16" t="str">
        <f>IF('Bundle Tag Info'!T$7&lt;&gt;"",CONCATENATE('Bundle Tag Info'!$A$1," ",CHAR(10),'Bundle Tag Info'!$A$2," ",'Bundle Tag Info'!$A$3,CHAR(10),'Bundle Tag Info'!T$6,CHAR(10),'Bundle Tag Info'!T$7),"")</f>
        <v/>
      </c>
      <c r="U2" s="16" t="str">
        <f>IF('Bundle Tag Info'!U$7&lt;&gt;"",CONCATENATE('Bundle Tag Info'!$A$1," ",CHAR(10),'Bundle Tag Info'!$A$2," ",'Bundle Tag Info'!$A$3,CHAR(10),'Bundle Tag Info'!U$6,CHAR(10),'Bundle Tag Info'!U$7),"")</f>
        <v/>
      </c>
      <c r="V2" s="16" t="str">
        <f>IF('Bundle Tag Info'!V$7&lt;&gt;"",CONCATENATE('Bundle Tag Info'!$A$1," ",CHAR(10),'Bundle Tag Info'!$A$2," ",'Bundle Tag Info'!$A$3,CHAR(10),'Bundle Tag Info'!V$6,CHAR(10),'Bundle Tag Info'!V$7),"")</f>
        <v/>
      </c>
      <c r="W2" s="16" t="str">
        <f>IF('Bundle Tag Info'!W$7&lt;&gt;"",CONCATENATE('Bundle Tag Info'!$A$1," ",CHAR(10),'Bundle Tag Info'!$A$2," ",'Bundle Tag Info'!$A$3,CHAR(10),'Bundle Tag Info'!W$6,CHAR(10),'Bundle Tag Info'!W$7),"")</f>
        <v/>
      </c>
      <c r="X2" s="16" t="str">
        <f>IF('Bundle Tag Info'!X$7&lt;&gt;"",CONCATENATE('Bundle Tag Info'!$A$1," ",CHAR(10),'Bundle Tag Info'!$A$2," ",'Bundle Tag Info'!$A$3,CHAR(10),'Bundle Tag Info'!X$6,CHAR(10),'Bundle Tag Info'!X$7),"")</f>
        <v/>
      </c>
      <c r="Y2" s="16" t="str">
        <f>IF('Bundle Tag Info'!Y$7&lt;&gt;"",CONCATENATE('Bundle Tag Info'!$A$1," ",CHAR(10),'Bundle Tag Info'!$A$2," ",'Bundle Tag Info'!$A$3,CHAR(10),'Bundle Tag Info'!Y$6,CHAR(10),'Bundle Tag Info'!Y$7),"")</f>
        <v/>
      </c>
      <c r="Z2" s="16" t="str">
        <f>IF('Bundle Tag Info'!Z$7&lt;&gt;"",CONCATENATE('Bundle Tag Info'!$A$1," ",CHAR(10),'Bundle Tag Info'!$A$2," ",'Bundle Tag Info'!$A$3,CHAR(10),'Bundle Tag Info'!Z$6,CHAR(10),'Bundle Tag Info'!Z$7),"")</f>
        <v/>
      </c>
      <c r="AA2" s="16" t="str">
        <f>IF('Bundle Tag Info'!AA$7&lt;&gt;"",CONCATENATE('Bundle Tag Info'!$A$1," ",CHAR(10),'Bundle Tag Info'!$A$2," ",'Bundle Tag Info'!$A$3,CHAR(10),'Bundle Tag Info'!AA$6,CHAR(10),'Bundle Tag Info'!AA$7),"")</f>
        <v/>
      </c>
      <c r="AB2" s="16" t="str">
        <f>IF('Bundle Tag Info'!AB$7&lt;&gt;"",CONCATENATE('Bundle Tag Info'!$A$1," ",CHAR(10),'Bundle Tag Info'!$A$2," ",'Bundle Tag Info'!$A$3,CHAR(10),'Bundle Tag Info'!AB$6,CHAR(10),'Bundle Tag Info'!AB$7),"")</f>
        <v/>
      </c>
      <c r="AC2" s="16" t="str">
        <f>IF('Bundle Tag Info'!AC$7&lt;&gt;"",CONCATENATE('Bundle Tag Info'!$A$1," ",CHAR(10),'Bundle Tag Info'!$A$2," ",'Bundle Tag Info'!$A$3,CHAR(10),'Bundle Tag Info'!AC$6,CHAR(10),'Bundle Tag Info'!AC$7),"")</f>
        <v/>
      </c>
      <c r="AD2" s="16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6" t="str">
        <f>IF('Bundle Tag Info'!A$8&lt;&gt;"",CONCATENATE('Bundle Tag Info'!$A$1," ",CHAR(10),'Bundle Tag Info'!$A$2," ",'Bundle Tag Info'!$A$3,CHAR(10),'Bundle Tag Info'!A$6,CHAR(10),'Bundle Tag Info'!A$8),"")</f>
        <v>KOC-JPF #1 
4P101 C.1
JB70 DOOR
SA0471</v>
      </c>
      <c r="J3" s="16" t="str">
        <f>IF('Bundle Tag Info'!J$8&lt;&gt;"",CONCATENATE('Bundle Tag Info'!$A$1," ",CHAR(10),'Bundle Tag Info'!$A$2," ",'Bundle Tag Info'!$A$3,CHAR(10),'Bundle Tag Info'!J$6,CHAR(10),'Bundle Tag Info'!J$8),"")</f>
        <v/>
      </c>
      <c r="K3" s="16" t="str">
        <f>IF('Bundle Tag Info'!K$8&lt;&gt;"",CONCATENATE('Bundle Tag Info'!$A$1," ",CHAR(10),'Bundle Tag Info'!$A$2," ",'Bundle Tag Info'!$A$3,CHAR(10),'Bundle Tag Info'!K$6,CHAR(10),'Bundle Tag Info'!K$8),"")</f>
        <v/>
      </c>
      <c r="L3" s="16" t="str">
        <f>IF('Bundle Tag Info'!L$8&lt;&gt;"",CONCATENATE('Bundle Tag Info'!$A$1," ",CHAR(10),'Bundle Tag Info'!$A$2," ",'Bundle Tag Info'!$A$3,CHAR(10),'Bundle Tag Info'!L$6,CHAR(10),'Bundle Tag Info'!L$8),"")</f>
        <v/>
      </c>
      <c r="M3" s="16" t="str">
        <f>IF('Bundle Tag Info'!M$8&lt;&gt;"",CONCATENATE('Bundle Tag Info'!$A$1," ",CHAR(10),'Bundle Tag Info'!$A$2," ",'Bundle Tag Info'!$A$3,CHAR(10),'Bundle Tag Info'!M$6,CHAR(10),'Bundle Tag Info'!M$8),"")</f>
        <v/>
      </c>
      <c r="N3" s="16" t="str">
        <f>IF('Bundle Tag Info'!N$8&lt;&gt;"",CONCATENATE('Bundle Tag Info'!$A$1," ",CHAR(10),'Bundle Tag Info'!$A$2," ",'Bundle Tag Info'!$A$3,CHAR(10),'Bundle Tag Info'!N$6,CHAR(10),'Bundle Tag Info'!N$8),"")</f>
        <v/>
      </c>
      <c r="O3" s="16" t="str">
        <f>IF('Bundle Tag Info'!O$8&lt;&gt;"",CONCATENATE('Bundle Tag Info'!$A$1," ",CHAR(10),'Bundle Tag Info'!$A$2," ",'Bundle Tag Info'!$A$3,CHAR(10),'Bundle Tag Info'!O$6,CHAR(10),'Bundle Tag Info'!O$8),"")</f>
        <v/>
      </c>
      <c r="P3" s="16" t="str">
        <f>IF('Bundle Tag Info'!P$8&lt;&gt;"",CONCATENATE('Bundle Tag Info'!$A$1," ",CHAR(10),'Bundle Tag Info'!$A$2," ",'Bundle Tag Info'!$A$3,CHAR(10),'Bundle Tag Info'!P$6,CHAR(10),'Bundle Tag Info'!P$8),"")</f>
        <v/>
      </c>
      <c r="Q3" s="16" t="str">
        <f>IF('Bundle Tag Info'!Q$8&lt;&gt;"",CONCATENATE('Bundle Tag Info'!$A$1," ",CHAR(10),'Bundle Tag Info'!$A$2," ",'Bundle Tag Info'!$A$3,CHAR(10),'Bundle Tag Info'!Q$6,CHAR(10),'Bundle Tag Info'!Q$8),"")</f>
        <v/>
      </c>
      <c r="R3" s="16" t="str">
        <f>IF('Bundle Tag Info'!R$8&lt;&gt;"",CONCATENATE('Bundle Tag Info'!$A$1," ",CHAR(10),'Bundle Tag Info'!$A$2," ",'Bundle Tag Info'!$A$3,CHAR(10),'Bundle Tag Info'!R$6,CHAR(10),'Bundle Tag Info'!R$8),"")</f>
        <v/>
      </c>
      <c r="S3" s="16" t="str">
        <f>IF('Bundle Tag Info'!S$8&lt;&gt;"",CONCATENATE('Bundle Tag Info'!$A$1," ",CHAR(10),'Bundle Tag Info'!$A$2," ",'Bundle Tag Info'!$A$3,CHAR(10),'Bundle Tag Info'!S$6,CHAR(10),'Bundle Tag Info'!S$8),"")</f>
        <v/>
      </c>
      <c r="T3" s="16" t="str">
        <f>IF('Bundle Tag Info'!T$8&lt;&gt;"",CONCATENATE('Bundle Tag Info'!$A$1," ",CHAR(10),'Bundle Tag Info'!$A$2," ",'Bundle Tag Info'!$A$3,CHAR(10),'Bundle Tag Info'!T$6,CHAR(10),'Bundle Tag Info'!T$8),"")</f>
        <v/>
      </c>
      <c r="U3" s="16" t="str">
        <f>IF('Bundle Tag Info'!U$8&lt;&gt;"",CONCATENATE('Bundle Tag Info'!$A$1," ",CHAR(10),'Bundle Tag Info'!$A$2," ",'Bundle Tag Info'!$A$3,CHAR(10),'Bundle Tag Info'!U$6,CHAR(10),'Bundle Tag Info'!U$8),"")</f>
        <v/>
      </c>
      <c r="V3" s="16" t="str">
        <f>IF('Bundle Tag Info'!V$8&lt;&gt;"",CONCATENATE('Bundle Tag Info'!$A$1," ",CHAR(10),'Bundle Tag Info'!$A$2," ",'Bundle Tag Info'!$A$3,CHAR(10),'Bundle Tag Info'!V$6,CHAR(10),'Bundle Tag Info'!V$8),"")</f>
        <v/>
      </c>
      <c r="W3" s="16" t="str">
        <f>IF('Bundle Tag Info'!W$8&lt;&gt;"",CONCATENATE('Bundle Tag Info'!$A$1," ",CHAR(10),'Bundle Tag Info'!$A$2," ",'Bundle Tag Info'!$A$3,CHAR(10),'Bundle Tag Info'!W$6,CHAR(10),'Bundle Tag Info'!W$8),"")</f>
        <v/>
      </c>
      <c r="X3" s="16" t="str">
        <f>IF('Bundle Tag Info'!X$8&lt;&gt;"",CONCATENATE('Bundle Tag Info'!$A$1," ",CHAR(10),'Bundle Tag Info'!$A$2," ",'Bundle Tag Info'!$A$3,CHAR(10),'Bundle Tag Info'!X$6,CHAR(10),'Bundle Tag Info'!X$8),"")</f>
        <v/>
      </c>
      <c r="Y3" s="16" t="str">
        <f>IF('Bundle Tag Info'!Y$8&lt;&gt;"",CONCATENATE('Bundle Tag Info'!$A$1," ",CHAR(10),'Bundle Tag Info'!$A$2," ",'Bundle Tag Info'!$A$3,CHAR(10),'Bundle Tag Info'!Y$6,CHAR(10),'Bundle Tag Info'!Y$8),"")</f>
        <v/>
      </c>
      <c r="Z3" s="16" t="str">
        <f>IF('Bundle Tag Info'!Z$8&lt;&gt;"",CONCATENATE('Bundle Tag Info'!$A$1," ",CHAR(10),'Bundle Tag Info'!$A$2," ",'Bundle Tag Info'!$A$3,CHAR(10),'Bundle Tag Info'!Z$6,CHAR(10),'Bundle Tag Info'!Z$8),"")</f>
        <v/>
      </c>
      <c r="AA3" s="16" t="str">
        <f>IF('Bundle Tag Info'!AA$8&lt;&gt;"",CONCATENATE('Bundle Tag Info'!$A$1," ",CHAR(10),'Bundle Tag Info'!$A$2," ",'Bundle Tag Info'!$A$3,CHAR(10),'Bundle Tag Info'!AA$6,CHAR(10),'Bundle Tag Info'!AA$8),"")</f>
        <v/>
      </c>
      <c r="AB3" s="16" t="str">
        <f>IF('Bundle Tag Info'!AB$8&lt;&gt;"",CONCATENATE('Bundle Tag Info'!$A$1," ",CHAR(10),'Bundle Tag Info'!$A$2," ",'Bundle Tag Info'!$A$3,CHAR(10),'Bundle Tag Info'!AB$6,CHAR(10),'Bundle Tag Info'!AB$8),"")</f>
        <v/>
      </c>
      <c r="AC3" s="16" t="str">
        <f>IF('Bundle Tag Info'!AC$8&lt;&gt;"",CONCATENATE('Bundle Tag Info'!$A$1," ",CHAR(10),'Bundle Tag Info'!$A$2," ",'Bundle Tag Info'!$A$3,CHAR(10),'Bundle Tag Info'!AC$6,CHAR(10),'Bundle Tag Info'!AC$8),"")</f>
        <v/>
      </c>
      <c r="AD3" s="16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6" t="str">
        <f>IF('Bundle Tag Info'!A$9&lt;&gt;"",CONCATENATE('Bundle Tag Info'!$A$1," ",CHAR(10),'Bundle Tag Info'!$A$2," ",'Bundle Tag Info'!$A$3,CHAR(10),'Bundle Tag Info'!A$6,CHAR(10),'Bundle Tag Info'!A$9),"")</f>
        <v>KOC-JPF #1 
4P101 C.1
JB70 DOOR
SA0472</v>
      </c>
      <c r="J4" s="16" t="str">
        <f>IF('Bundle Tag Info'!J$9&lt;&gt;"",CONCATENATE('Bundle Tag Info'!$A$1," ",CHAR(10),'Bundle Tag Info'!$A$2," ",'Bundle Tag Info'!$A$3,CHAR(10),'Bundle Tag Info'!J$6,CHAR(10),'Bundle Tag Info'!J$9),"")</f>
        <v/>
      </c>
      <c r="K4" s="16" t="str">
        <f>IF('Bundle Tag Info'!K$9&lt;&gt;"",CONCATENATE('Bundle Tag Info'!$A$1," ",CHAR(10),'Bundle Tag Info'!$A$2," ",'Bundle Tag Info'!$A$3,CHAR(10),'Bundle Tag Info'!K$6,CHAR(10),'Bundle Tag Info'!K$9),"")</f>
        <v/>
      </c>
      <c r="L4" s="16" t="str">
        <f>IF('Bundle Tag Info'!L$9&lt;&gt;"",CONCATENATE('Bundle Tag Info'!$A$1," ",CHAR(10),'Bundle Tag Info'!$A$2," ",'Bundle Tag Info'!$A$3,CHAR(10),'Bundle Tag Info'!L$6,CHAR(10),'Bundle Tag Info'!L$9),"")</f>
        <v/>
      </c>
      <c r="M4" s="16" t="str">
        <f>IF('Bundle Tag Info'!M$9&lt;&gt;"",CONCATENATE('Bundle Tag Info'!$A$1," ",CHAR(10),'Bundle Tag Info'!$A$2," ",'Bundle Tag Info'!$A$3,CHAR(10),'Bundle Tag Info'!M$6,CHAR(10),'Bundle Tag Info'!M$9),"")</f>
        <v/>
      </c>
      <c r="N4" s="16" t="str">
        <f>IF('Bundle Tag Info'!N$9&lt;&gt;"",CONCATENATE('Bundle Tag Info'!$A$1," ",CHAR(10),'Bundle Tag Info'!$A$2," ",'Bundle Tag Info'!$A$3,CHAR(10),'Bundle Tag Info'!N$6,CHAR(10),'Bundle Tag Info'!N$9),"")</f>
        <v/>
      </c>
      <c r="O4" s="16" t="str">
        <f>IF('Bundle Tag Info'!O$9&lt;&gt;"",CONCATENATE('Bundle Tag Info'!$A$1," ",CHAR(10),'Bundle Tag Info'!$A$2," ",'Bundle Tag Info'!$A$3,CHAR(10),'Bundle Tag Info'!O$6,CHAR(10),'Bundle Tag Info'!O$9),"")</f>
        <v/>
      </c>
      <c r="P4" s="16" t="str">
        <f>IF('Bundle Tag Info'!P$9&lt;&gt;"",CONCATENATE('Bundle Tag Info'!$A$1," ",CHAR(10),'Bundle Tag Info'!$A$2," ",'Bundle Tag Info'!$A$3,CHAR(10),'Bundle Tag Info'!P$6,CHAR(10),'Bundle Tag Info'!P$9),"")</f>
        <v/>
      </c>
      <c r="Q4" s="16" t="str">
        <f>IF('Bundle Tag Info'!Q$9&lt;&gt;"",CONCATENATE('Bundle Tag Info'!$A$1," ",CHAR(10),'Bundle Tag Info'!$A$2," ",'Bundle Tag Info'!$A$3,CHAR(10),'Bundle Tag Info'!Q$6,CHAR(10),'Bundle Tag Info'!Q$9),"")</f>
        <v/>
      </c>
      <c r="R4" s="16" t="str">
        <f>IF('Bundle Tag Info'!R$9&lt;&gt;"",CONCATENATE('Bundle Tag Info'!$A$1," ",CHAR(10),'Bundle Tag Info'!$A$2," ",'Bundle Tag Info'!$A$3,CHAR(10),'Bundle Tag Info'!R$6,CHAR(10),'Bundle Tag Info'!R$9),"")</f>
        <v/>
      </c>
      <c r="S4" s="16" t="str">
        <f>IF('Bundle Tag Info'!S$9&lt;&gt;"",CONCATENATE('Bundle Tag Info'!$A$1," ",CHAR(10),'Bundle Tag Info'!$A$2," ",'Bundle Tag Info'!$A$3,CHAR(10),'Bundle Tag Info'!S$6,CHAR(10),'Bundle Tag Info'!S$9),"")</f>
        <v/>
      </c>
      <c r="T4" s="16" t="str">
        <f>IF('Bundle Tag Info'!T$9&lt;&gt;"",CONCATENATE('Bundle Tag Info'!$A$1," ",CHAR(10),'Bundle Tag Info'!$A$2," ",'Bundle Tag Info'!$A$3,CHAR(10),'Bundle Tag Info'!T$6,CHAR(10),'Bundle Tag Info'!T$9),"")</f>
        <v/>
      </c>
      <c r="U4" s="16" t="str">
        <f>IF('Bundle Tag Info'!U$9&lt;&gt;"",CONCATENATE('Bundle Tag Info'!$A$1," ",CHAR(10),'Bundle Tag Info'!$A$2," ",'Bundle Tag Info'!$A$3,CHAR(10),'Bundle Tag Info'!U$6,CHAR(10),'Bundle Tag Info'!U$9),"")</f>
        <v/>
      </c>
      <c r="V4" s="16" t="str">
        <f>IF('Bundle Tag Info'!V$9&lt;&gt;"",CONCATENATE('Bundle Tag Info'!$A$1," ",CHAR(10),'Bundle Tag Info'!$A$2," ",'Bundle Tag Info'!$A$3,CHAR(10),'Bundle Tag Info'!V$6,CHAR(10),'Bundle Tag Info'!V$9),"")</f>
        <v/>
      </c>
      <c r="W4" s="16" t="str">
        <f>IF('Bundle Tag Info'!W$9&lt;&gt;"",CONCATENATE('Bundle Tag Info'!$A$1," ",CHAR(10),'Bundle Tag Info'!$A$2," ",'Bundle Tag Info'!$A$3,CHAR(10),'Bundle Tag Info'!W$6,CHAR(10),'Bundle Tag Info'!W$9),"")</f>
        <v/>
      </c>
      <c r="X4" s="16" t="str">
        <f>IF('Bundle Tag Info'!X$9&lt;&gt;"",CONCATENATE('Bundle Tag Info'!$A$1," ",CHAR(10),'Bundle Tag Info'!$A$2," ",'Bundle Tag Info'!$A$3,CHAR(10),'Bundle Tag Info'!X$6,CHAR(10),'Bundle Tag Info'!X$9),"")</f>
        <v/>
      </c>
      <c r="Y4" s="16" t="str">
        <f>IF('Bundle Tag Info'!Y$9&lt;&gt;"",CONCATENATE('Bundle Tag Info'!$A$1," ",CHAR(10),'Bundle Tag Info'!$A$2," ",'Bundle Tag Info'!$A$3,CHAR(10),'Bundle Tag Info'!Y$6,CHAR(10),'Bundle Tag Info'!Y$9),"")</f>
        <v/>
      </c>
      <c r="Z4" s="16" t="str">
        <f>IF('Bundle Tag Info'!Z$9&lt;&gt;"",CONCATENATE('Bundle Tag Info'!$A$1," ",CHAR(10),'Bundle Tag Info'!$A$2," ",'Bundle Tag Info'!$A$3,CHAR(10),'Bundle Tag Info'!Z$6,CHAR(10),'Bundle Tag Info'!Z$9),"")</f>
        <v/>
      </c>
      <c r="AA4" s="16" t="str">
        <f>IF('Bundle Tag Info'!AA$9&lt;&gt;"",CONCATENATE('Bundle Tag Info'!$A$1," ",CHAR(10),'Bundle Tag Info'!$A$2," ",'Bundle Tag Info'!$A$3,CHAR(10),'Bundle Tag Info'!AA$6,CHAR(10),'Bundle Tag Info'!AA$9),"")</f>
        <v/>
      </c>
      <c r="AB4" s="16" t="str">
        <f>IF('Bundle Tag Info'!AB$9&lt;&gt;"",CONCATENATE('Bundle Tag Info'!$A$1," ",CHAR(10),'Bundle Tag Info'!$A$2," ",'Bundle Tag Info'!$A$3,CHAR(10),'Bundle Tag Info'!AB$6,CHAR(10),'Bundle Tag Info'!AB$9),"")</f>
        <v/>
      </c>
      <c r="AC4" s="16" t="str">
        <f>IF('Bundle Tag Info'!AC$9&lt;&gt;"",CONCATENATE('Bundle Tag Info'!$A$1," ",CHAR(10),'Bundle Tag Info'!$A$2," ",'Bundle Tag Info'!$A$3,CHAR(10),'Bundle Tag Info'!AC$6,CHAR(10),'Bundle Tag Info'!AC$9),"")</f>
        <v/>
      </c>
      <c r="AD4" s="16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6" t="str">
        <f>IF('Bundle Tag Info'!A$10&lt;&gt;"",CONCATENATE('Bundle Tag Info'!$A$1," ",CHAR(10),'Bundle Tag Info'!$A$2," ",'Bundle Tag Info'!$A$3,CHAR(10),'Bundle Tag Info'!A$6,CHAR(10),'Bundle Tag Info'!A$10),"")</f>
        <v>KOC-JPF #1 
4P101 C.1
JB70 DOOR
SA0473</v>
      </c>
      <c r="J5" s="16" t="str">
        <f>IF('Bundle Tag Info'!J$10&lt;&gt;"",CONCATENATE('Bundle Tag Info'!$A$1," ",CHAR(10),'Bundle Tag Info'!$A$2," ",'Bundle Tag Info'!$A$3,CHAR(10),'Bundle Tag Info'!J$6,CHAR(10),'Bundle Tag Info'!J$10),"")</f>
        <v/>
      </c>
      <c r="K5" s="16" t="str">
        <f>IF('Bundle Tag Info'!K$10&lt;&gt;"",CONCATENATE('Bundle Tag Info'!$A$1," ",CHAR(10),'Bundle Tag Info'!$A$2," ",'Bundle Tag Info'!$A$3,CHAR(10),'Bundle Tag Info'!K$6,CHAR(10),'Bundle Tag Info'!K$10),"")</f>
        <v/>
      </c>
      <c r="L5" s="16" t="str">
        <f>IF('Bundle Tag Info'!L$10&lt;&gt;"",CONCATENATE('Bundle Tag Info'!$A$1," ",CHAR(10),'Bundle Tag Info'!$A$2," ",'Bundle Tag Info'!$A$3,CHAR(10),'Bundle Tag Info'!L$6,CHAR(10),'Bundle Tag Info'!L$10),"")</f>
        <v/>
      </c>
      <c r="M5" s="16" t="str">
        <f>IF('Bundle Tag Info'!M$10&lt;&gt;"",CONCATENATE('Bundle Tag Info'!$A$1," ",CHAR(10),'Bundle Tag Info'!$A$2," ",'Bundle Tag Info'!$A$3,CHAR(10),'Bundle Tag Info'!M$6,CHAR(10),'Bundle Tag Info'!M$10),"")</f>
        <v/>
      </c>
      <c r="N5" s="16" t="str">
        <f>IF('Bundle Tag Info'!N$10&lt;&gt;"",CONCATENATE('Bundle Tag Info'!$A$1," ",CHAR(10),'Bundle Tag Info'!$A$2," ",'Bundle Tag Info'!$A$3,CHAR(10),'Bundle Tag Info'!N$6,CHAR(10),'Bundle Tag Info'!N$10),"")</f>
        <v/>
      </c>
      <c r="O5" s="16" t="str">
        <f>IF('Bundle Tag Info'!O$10&lt;&gt;"",CONCATENATE('Bundle Tag Info'!$A$1," ",CHAR(10),'Bundle Tag Info'!$A$2," ",'Bundle Tag Info'!$A$3,CHAR(10),'Bundle Tag Info'!O$6,CHAR(10),'Bundle Tag Info'!O$10),"")</f>
        <v/>
      </c>
      <c r="P5" s="16" t="str">
        <f>IF('Bundle Tag Info'!P$10&lt;&gt;"",CONCATENATE('Bundle Tag Info'!$A$1," ",CHAR(10),'Bundle Tag Info'!$A$2," ",'Bundle Tag Info'!$A$3,CHAR(10),'Bundle Tag Info'!P$6,CHAR(10),'Bundle Tag Info'!P$10),"")</f>
        <v/>
      </c>
      <c r="Q5" s="16" t="str">
        <f>IF('Bundle Tag Info'!Q$10&lt;&gt;"",CONCATENATE('Bundle Tag Info'!$A$1," ",CHAR(10),'Bundle Tag Info'!$A$2," ",'Bundle Tag Info'!$A$3,CHAR(10),'Bundle Tag Info'!Q$6,CHAR(10),'Bundle Tag Info'!Q$10),"")</f>
        <v/>
      </c>
      <c r="R5" s="16" t="str">
        <f>IF('Bundle Tag Info'!R$10&lt;&gt;"",CONCATENATE('Bundle Tag Info'!$A$1," ",CHAR(10),'Bundle Tag Info'!$A$2," ",'Bundle Tag Info'!$A$3,CHAR(10),'Bundle Tag Info'!R$6,CHAR(10),'Bundle Tag Info'!R$10),"")</f>
        <v/>
      </c>
      <c r="S5" s="16" t="str">
        <f>IF('Bundle Tag Info'!S$10&lt;&gt;"",CONCATENATE('Bundle Tag Info'!$A$1," ",CHAR(10),'Bundle Tag Info'!$A$2," ",'Bundle Tag Info'!$A$3,CHAR(10),'Bundle Tag Info'!S$6,CHAR(10),'Bundle Tag Info'!S$10),"")</f>
        <v/>
      </c>
      <c r="T5" s="16" t="str">
        <f>IF('Bundle Tag Info'!T$10&lt;&gt;"",CONCATENATE('Bundle Tag Info'!$A$1," ",CHAR(10),'Bundle Tag Info'!$A$2," ",'Bundle Tag Info'!$A$3,CHAR(10),'Bundle Tag Info'!T$6,CHAR(10),'Bundle Tag Info'!T$10),"")</f>
        <v/>
      </c>
      <c r="U5" s="16" t="str">
        <f>IF('Bundle Tag Info'!U$10&lt;&gt;"",CONCATENATE('Bundle Tag Info'!$A$1," ",CHAR(10),'Bundle Tag Info'!$A$2," ",'Bundle Tag Info'!$A$3,CHAR(10),'Bundle Tag Info'!U$6,CHAR(10),'Bundle Tag Info'!U$10),"")</f>
        <v/>
      </c>
      <c r="V5" s="16" t="str">
        <f>IF('Bundle Tag Info'!V$10&lt;&gt;"",CONCATENATE('Bundle Tag Info'!$A$1," ",CHAR(10),'Bundle Tag Info'!$A$2," ",'Bundle Tag Info'!$A$3,CHAR(10),'Bundle Tag Info'!V$6,CHAR(10),'Bundle Tag Info'!V$10),"")</f>
        <v/>
      </c>
      <c r="W5" s="16" t="str">
        <f>IF('Bundle Tag Info'!W$10&lt;&gt;"",CONCATENATE('Bundle Tag Info'!$A$1," ",CHAR(10),'Bundle Tag Info'!$A$2," ",'Bundle Tag Info'!$A$3,CHAR(10),'Bundle Tag Info'!W$6,CHAR(10),'Bundle Tag Info'!W$10),"")</f>
        <v/>
      </c>
      <c r="X5" s="16" t="str">
        <f>IF('Bundle Tag Info'!X$10&lt;&gt;"",CONCATENATE('Bundle Tag Info'!$A$1," ",CHAR(10),'Bundle Tag Info'!$A$2," ",'Bundle Tag Info'!$A$3,CHAR(10),'Bundle Tag Info'!X$6,CHAR(10),'Bundle Tag Info'!X$10),"")</f>
        <v/>
      </c>
      <c r="Y5" s="16" t="str">
        <f>IF('Bundle Tag Info'!Y$10&lt;&gt;"",CONCATENATE('Bundle Tag Info'!$A$1," ",CHAR(10),'Bundle Tag Info'!$A$2," ",'Bundle Tag Info'!$A$3,CHAR(10),'Bundle Tag Info'!Y$6,CHAR(10),'Bundle Tag Info'!Y$10),"")</f>
        <v/>
      </c>
      <c r="Z5" s="16" t="str">
        <f>IF('Bundle Tag Info'!Z$10&lt;&gt;"",CONCATENATE('Bundle Tag Info'!$A$1," ",CHAR(10),'Bundle Tag Info'!$A$2," ",'Bundle Tag Info'!$A$3,CHAR(10),'Bundle Tag Info'!Z$6,CHAR(10),'Bundle Tag Info'!Z$10),"")</f>
        <v/>
      </c>
      <c r="AA5" s="16" t="str">
        <f>IF('Bundle Tag Info'!AA$10&lt;&gt;"",CONCATENATE('Bundle Tag Info'!$A$1," ",CHAR(10),'Bundle Tag Info'!$A$2," ",'Bundle Tag Info'!$A$3,CHAR(10),'Bundle Tag Info'!AA$6,CHAR(10),'Bundle Tag Info'!AA$10),"")</f>
        <v/>
      </c>
      <c r="AB5" s="16" t="str">
        <f>IF('Bundle Tag Info'!AB$10&lt;&gt;"",CONCATENATE('Bundle Tag Info'!$A$1," ",CHAR(10),'Bundle Tag Info'!$A$2," ",'Bundle Tag Info'!$A$3,CHAR(10),'Bundle Tag Info'!AB$6,CHAR(10),'Bundle Tag Info'!AB$10),"")</f>
        <v/>
      </c>
      <c r="AC5" s="16" t="str">
        <f>IF('Bundle Tag Info'!AC$10&lt;&gt;"",CONCATENATE('Bundle Tag Info'!$A$1," ",CHAR(10),'Bundle Tag Info'!$A$2," ",'Bundle Tag Info'!$A$3,CHAR(10),'Bundle Tag Info'!AC$6,CHAR(10),'Bundle Tag Info'!AC$10),"")</f>
        <v/>
      </c>
      <c r="AD5" s="16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6" t="str">
        <f>IF('Bundle Tag Info'!A$11&lt;&gt;"",CONCATENATE('Bundle Tag Info'!$A$1," ",CHAR(10),'Bundle Tag Info'!$A$2," ",'Bundle Tag Info'!$A$3,CHAR(10),'Bundle Tag Info'!A$6,CHAR(10),'Bundle Tag Info'!A$11),"")</f>
        <v>KOC-JPF #1 
4P101 C.1
JB70 DOOR
SB0471</v>
      </c>
      <c r="J6" s="16" t="str">
        <f>IF('Bundle Tag Info'!J$11&lt;&gt;"",CONCATENATE('Bundle Tag Info'!$A$1," ",CHAR(10),'Bundle Tag Info'!$A$2," ",'Bundle Tag Info'!$A$3,CHAR(10),'Bundle Tag Info'!J$6,CHAR(10),'Bundle Tag Info'!J$11),"")</f>
        <v/>
      </c>
      <c r="K6" s="16" t="str">
        <f>IF('Bundle Tag Info'!K$11&lt;&gt;"",CONCATENATE('Bundle Tag Info'!$A$1," ",CHAR(10),'Bundle Tag Info'!$A$2," ",'Bundle Tag Info'!$A$3,CHAR(10),'Bundle Tag Info'!K$6,CHAR(10),'Bundle Tag Info'!K$11),"")</f>
        <v/>
      </c>
      <c r="L6" s="16" t="str">
        <f>IF('Bundle Tag Info'!L$11&lt;&gt;"",CONCATENATE('Bundle Tag Info'!$A$1," ",CHAR(10),'Bundle Tag Info'!$A$2," ",'Bundle Tag Info'!$A$3,CHAR(10),'Bundle Tag Info'!L$6,CHAR(10),'Bundle Tag Info'!L$11),"")</f>
        <v/>
      </c>
      <c r="M6" s="16" t="str">
        <f>IF('Bundle Tag Info'!M$11&lt;&gt;"",CONCATENATE('Bundle Tag Info'!$A$1," ",CHAR(10),'Bundle Tag Info'!$A$2," ",'Bundle Tag Info'!$A$3,CHAR(10),'Bundle Tag Info'!M$6,CHAR(10),'Bundle Tag Info'!M$11),"")</f>
        <v/>
      </c>
      <c r="N6" s="16" t="str">
        <f>IF('Bundle Tag Info'!N$11&lt;&gt;"",CONCATENATE('Bundle Tag Info'!$A$1," ",CHAR(10),'Bundle Tag Info'!$A$2," ",'Bundle Tag Info'!$A$3,CHAR(10),'Bundle Tag Info'!N$6,CHAR(10),'Bundle Tag Info'!N$11),"")</f>
        <v/>
      </c>
      <c r="O6" s="16" t="str">
        <f>IF('Bundle Tag Info'!O$11&lt;&gt;"",CONCATENATE('Bundle Tag Info'!$A$1," ",CHAR(10),'Bundle Tag Info'!$A$2," ",'Bundle Tag Info'!$A$3,CHAR(10),'Bundle Tag Info'!O$6,CHAR(10),'Bundle Tag Info'!O$11),"")</f>
        <v/>
      </c>
      <c r="P6" s="16" t="str">
        <f>IF('Bundle Tag Info'!P$11&lt;&gt;"",CONCATENATE('Bundle Tag Info'!$A$1," ",CHAR(10),'Bundle Tag Info'!$A$2," ",'Bundle Tag Info'!$A$3,CHAR(10),'Bundle Tag Info'!P$6,CHAR(10),'Bundle Tag Info'!P$11),"")</f>
        <v/>
      </c>
      <c r="Q6" s="16" t="str">
        <f>IF('Bundle Tag Info'!Q$11&lt;&gt;"",CONCATENATE('Bundle Tag Info'!$A$1," ",CHAR(10),'Bundle Tag Info'!$A$2," ",'Bundle Tag Info'!$A$3,CHAR(10),'Bundle Tag Info'!Q$6,CHAR(10),'Bundle Tag Info'!Q$11),"")</f>
        <v/>
      </c>
      <c r="R6" s="16" t="str">
        <f>IF('Bundle Tag Info'!R$11&lt;&gt;"",CONCATENATE('Bundle Tag Info'!$A$1," ",CHAR(10),'Bundle Tag Info'!$A$2," ",'Bundle Tag Info'!$A$3,CHAR(10),'Bundle Tag Info'!R$6,CHAR(10),'Bundle Tag Info'!R$11),"")</f>
        <v/>
      </c>
      <c r="S6" s="16" t="str">
        <f>IF('Bundle Tag Info'!S$11&lt;&gt;"",CONCATENATE('Bundle Tag Info'!$A$1," ",CHAR(10),'Bundle Tag Info'!$A$2," ",'Bundle Tag Info'!$A$3,CHAR(10),'Bundle Tag Info'!S$6,CHAR(10),'Bundle Tag Info'!S$11),"")</f>
        <v/>
      </c>
      <c r="T6" s="16" t="str">
        <f>IF('Bundle Tag Info'!T$11&lt;&gt;"",CONCATENATE('Bundle Tag Info'!$A$1," ",CHAR(10),'Bundle Tag Info'!$A$2," ",'Bundle Tag Info'!$A$3,CHAR(10),'Bundle Tag Info'!T$6,CHAR(10),'Bundle Tag Info'!T$11),"")</f>
        <v/>
      </c>
      <c r="U6" s="16" t="str">
        <f>IF('Bundle Tag Info'!U$11&lt;&gt;"",CONCATENATE('Bundle Tag Info'!$A$1," ",CHAR(10),'Bundle Tag Info'!$A$2," ",'Bundle Tag Info'!$A$3,CHAR(10),'Bundle Tag Info'!U$6,CHAR(10),'Bundle Tag Info'!U$11),"")</f>
        <v/>
      </c>
      <c r="V6" s="16" t="str">
        <f>IF('Bundle Tag Info'!V$11&lt;&gt;"",CONCATENATE('Bundle Tag Info'!$A$1," ",CHAR(10),'Bundle Tag Info'!$A$2," ",'Bundle Tag Info'!$A$3,CHAR(10),'Bundle Tag Info'!V$6,CHAR(10),'Bundle Tag Info'!V$11),"")</f>
        <v/>
      </c>
      <c r="W6" s="16" t="str">
        <f>IF('Bundle Tag Info'!W$11&lt;&gt;"",CONCATENATE('Bundle Tag Info'!$A$1," ",CHAR(10),'Bundle Tag Info'!$A$2," ",'Bundle Tag Info'!$A$3,CHAR(10),'Bundle Tag Info'!W$6,CHAR(10),'Bundle Tag Info'!W$11),"")</f>
        <v/>
      </c>
      <c r="X6" s="16" t="str">
        <f>IF('Bundle Tag Info'!X$11&lt;&gt;"",CONCATENATE('Bundle Tag Info'!$A$1," ",CHAR(10),'Bundle Tag Info'!$A$2," ",'Bundle Tag Info'!$A$3,CHAR(10),'Bundle Tag Info'!X$6,CHAR(10),'Bundle Tag Info'!X$11),"")</f>
        <v/>
      </c>
      <c r="Y6" s="16" t="str">
        <f>IF('Bundle Tag Info'!Y$11&lt;&gt;"",CONCATENATE('Bundle Tag Info'!$A$1," ",CHAR(10),'Bundle Tag Info'!$A$2," ",'Bundle Tag Info'!$A$3,CHAR(10),'Bundle Tag Info'!Y$6,CHAR(10),'Bundle Tag Info'!Y$11),"")</f>
        <v/>
      </c>
      <c r="Z6" s="16" t="str">
        <f>IF('Bundle Tag Info'!Z$11&lt;&gt;"",CONCATENATE('Bundle Tag Info'!$A$1," ",CHAR(10),'Bundle Tag Info'!$A$2," ",'Bundle Tag Info'!$A$3,CHAR(10),'Bundle Tag Info'!Z$6,CHAR(10),'Bundle Tag Info'!Z$11),"")</f>
        <v/>
      </c>
      <c r="AA6" s="16" t="str">
        <f>IF('Bundle Tag Info'!AA$11&lt;&gt;"",CONCATENATE('Bundle Tag Info'!$A$1," ",CHAR(10),'Bundle Tag Info'!$A$2," ",'Bundle Tag Info'!$A$3,CHAR(10),'Bundle Tag Info'!AA$6,CHAR(10),'Bundle Tag Info'!AA$11),"")</f>
        <v/>
      </c>
      <c r="AB6" s="16" t="str">
        <f>IF('Bundle Tag Info'!AB$11&lt;&gt;"",CONCATENATE('Bundle Tag Info'!$A$1," ",CHAR(10),'Bundle Tag Info'!$A$2," ",'Bundle Tag Info'!$A$3,CHAR(10),'Bundle Tag Info'!AB$6,CHAR(10),'Bundle Tag Info'!AB$11),"")</f>
        <v/>
      </c>
      <c r="AC6" s="16" t="str">
        <f>IF('Bundle Tag Info'!AC$11&lt;&gt;"",CONCATENATE('Bundle Tag Info'!$A$1," ",CHAR(10),'Bundle Tag Info'!$A$2," ",'Bundle Tag Info'!$A$3,CHAR(10),'Bundle Tag Info'!AC$6,CHAR(10),'Bundle Tag Info'!AC$11),"")</f>
        <v/>
      </c>
      <c r="AD6" s="16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6" t="str">
        <f>IF('Bundle Tag Info'!A$12&lt;&gt;"",CONCATENATE('Bundle Tag Info'!$A$1," ",CHAR(10),'Bundle Tag Info'!$A$2," ",'Bundle Tag Info'!$A$3,CHAR(10),'Bundle Tag Info'!A$6,CHAR(10),'Bundle Tag Info'!A$12),"")</f>
        <v>KOC-JPF #1 
4P101 C.1
JB70 DOOR
SB0472</v>
      </c>
      <c r="J7" s="16" t="str">
        <f>IF('Bundle Tag Info'!J$12&lt;&gt;"",CONCATENATE('Bundle Tag Info'!$A$1," ",CHAR(10),'Bundle Tag Info'!$A$2," ",'Bundle Tag Info'!$A$3,CHAR(10),'Bundle Tag Info'!J$6,CHAR(10),'Bundle Tag Info'!J$12),"")</f>
        <v/>
      </c>
      <c r="K7" s="16" t="str">
        <f>IF('Bundle Tag Info'!K$12&lt;&gt;"",CONCATENATE('Bundle Tag Info'!$A$1," ",CHAR(10),'Bundle Tag Info'!$A$2," ",'Bundle Tag Info'!$A$3,CHAR(10),'Bundle Tag Info'!K$6,CHAR(10),'Bundle Tag Info'!K$12),"")</f>
        <v/>
      </c>
      <c r="L7" s="16" t="str">
        <f>IF('Bundle Tag Info'!L$12&lt;&gt;"",CONCATENATE('Bundle Tag Info'!$A$1," ",CHAR(10),'Bundle Tag Info'!$A$2," ",'Bundle Tag Info'!$A$3,CHAR(10),'Bundle Tag Info'!L$6,CHAR(10),'Bundle Tag Info'!L$12),"")</f>
        <v/>
      </c>
      <c r="M7" s="16" t="str">
        <f>IF('Bundle Tag Info'!M$12&lt;&gt;"",CONCATENATE('Bundle Tag Info'!$A$1," ",CHAR(10),'Bundle Tag Info'!$A$2," ",'Bundle Tag Info'!$A$3,CHAR(10),'Bundle Tag Info'!M$6,CHAR(10),'Bundle Tag Info'!M$12),"")</f>
        <v/>
      </c>
      <c r="N7" s="16" t="str">
        <f>IF('Bundle Tag Info'!N$12&lt;&gt;"",CONCATENATE('Bundle Tag Info'!$A$1," ",CHAR(10),'Bundle Tag Info'!$A$2," ",'Bundle Tag Info'!$A$3,CHAR(10),'Bundle Tag Info'!N$6,CHAR(10),'Bundle Tag Info'!N$12),"")</f>
        <v/>
      </c>
      <c r="O7" s="16" t="str">
        <f>IF('Bundle Tag Info'!O$12&lt;&gt;"",CONCATENATE('Bundle Tag Info'!$A$1," ",CHAR(10),'Bundle Tag Info'!$A$2," ",'Bundle Tag Info'!$A$3,CHAR(10),'Bundle Tag Info'!O$6,CHAR(10),'Bundle Tag Info'!O$12),"")</f>
        <v/>
      </c>
      <c r="P7" s="16" t="str">
        <f>IF('Bundle Tag Info'!P$12&lt;&gt;"",CONCATENATE('Bundle Tag Info'!$A$1," ",CHAR(10),'Bundle Tag Info'!$A$2," ",'Bundle Tag Info'!$A$3,CHAR(10),'Bundle Tag Info'!P$6,CHAR(10),'Bundle Tag Info'!P$12),"")</f>
        <v/>
      </c>
      <c r="Q7" s="16" t="str">
        <f>IF('Bundle Tag Info'!Q$12&lt;&gt;"",CONCATENATE('Bundle Tag Info'!$A$1," ",CHAR(10),'Bundle Tag Info'!$A$2," ",'Bundle Tag Info'!$A$3,CHAR(10),'Bundle Tag Info'!Q$6,CHAR(10),'Bundle Tag Info'!Q$12),"")</f>
        <v/>
      </c>
      <c r="R7" s="16" t="str">
        <f>IF('Bundle Tag Info'!R$12&lt;&gt;"",CONCATENATE('Bundle Tag Info'!$A$1," ",CHAR(10),'Bundle Tag Info'!$A$2," ",'Bundle Tag Info'!$A$3,CHAR(10),'Bundle Tag Info'!R$6,CHAR(10),'Bundle Tag Info'!R$12),"")</f>
        <v/>
      </c>
      <c r="S7" s="16" t="str">
        <f>IF('Bundle Tag Info'!S$12&lt;&gt;"",CONCATENATE('Bundle Tag Info'!$A$1," ",CHAR(10),'Bundle Tag Info'!$A$2," ",'Bundle Tag Info'!$A$3,CHAR(10),'Bundle Tag Info'!S$6,CHAR(10),'Bundle Tag Info'!S$12),"")</f>
        <v/>
      </c>
      <c r="T7" s="16" t="str">
        <f>IF('Bundle Tag Info'!T$12&lt;&gt;"",CONCATENATE('Bundle Tag Info'!$A$1," ",CHAR(10),'Bundle Tag Info'!$A$2," ",'Bundle Tag Info'!$A$3,CHAR(10),'Bundle Tag Info'!T$6,CHAR(10),'Bundle Tag Info'!T$12),"")</f>
        <v/>
      </c>
      <c r="U7" s="16" t="str">
        <f>IF('Bundle Tag Info'!U$12&lt;&gt;"",CONCATENATE('Bundle Tag Info'!$A$1," ",CHAR(10),'Bundle Tag Info'!$A$2," ",'Bundle Tag Info'!$A$3,CHAR(10),'Bundle Tag Info'!U$6,CHAR(10),'Bundle Tag Info'!U$12),"")</f>
        <v/>
      </c>
      <c r="V7" s="16" t="str">
        <f>IF('Bundle Tag Info'!V$12&lt;&gt;"",CONCATENATE('Bundle Tag Info'!$A$1," ",CHAR(10),'Bundle Tag Info'!$A$2," ",'Bundle Tag Info'!$A$3,CHAR(10),'Bundle Tag Info'!V$6,CHAR(10),'Bundle Tag Info'!V$12),"")</f>
        <v/>
      </c>
      <c r="W7" s="16" t="str">
        <f>IF('Bundle Tag Info'!W$12&lt;&gt;"",CONCATENATE('Bundle Tag Info'!$A$1," ",CHAR(10),'Bundle Tag Info'!$A$2," ",'Bundle Tag Info'!$A$3,CHAR(10),'Bundle Tag Info'!W$6,CHAR(10),'Bundle Tag Info'!W$12),"")</f>
        <v/>
      </c>
      <c r="X7" s="16" t="str">
        <f>IF('Bundle Tag Info'!X$12&lt;&gt;"",CONCATENATE('Bundle Tag Info'!$A$1," ",CHAR(10),'Bundle Tag Info'!$A$2," ",'Bundle Tag Info'!$A$3,CHAR(10),'Bundle Tag Info'!X$6,CHAR(10),'Bundle Tag Info'!X$12),"")</f>
        <v/>
      </c>
      <c r="Y7" s="16" t="str">
        <f>IF('Bundle Tag Info'!Y$12&lt;&gt;"",CONCATENATE('Bundle Tag Info'!$A$1," ",CHAR(10),'Bundle Tag Info'!$A$2," ",'Bundle Tag Info'!$A$3,CHAR(10),'Bundle Tag Info'!Y$6,CHAR(10),'Bundle Tag Info'!Y$12),"")</f>
        <v/>
      </c>
      <c r="Z7" s="16" t="str">
        <f>IF('Bundle Tag Info'!Z$12&lt;&gt;"",CONCATENATE('Bundle Tag Info'!$A$1," ",CHAR(10),'Bundle Tag Info'!$A$2," ",'Bundle Tag Info'!$A$3,CHAR(10),'Bundle Tag Info'!Z$6,CHAR(10),'Bundle Tag Info'!Z$12),"")</f>
        <v/>
      </c>
      <c r="AA7" s="16" t="str">
        <f>IF('Bundle Tag Info'!AA$12&lt;&gt;"",CONCATENATE('Bundle Tag Info'!$A$1," ",CHAR(10),'Bundle Tag Info'!$A$2," ",'Bundle Tag Info'!$A$3,CHAR(10),'Bundle Tag Info'!AA$6,CHAR(10),'Bundle Tag Info'!AA$12),"")</f>
        <v/>
      </c>
      <c r="AB7" s="16" t="str">
        <f>IF('Bundle Tag Info'!AB$12&lt;&gt;"",CONCATENATE('Bundle Tag Info'!$A$1," ",CHAR(10),'Bundle Tag Info'!$A$2," ",'Bundle Tag Info'!$A$3,CHAR(10),'Bundle Tag Info'!AB$6,CHAR(10),'Bundle Tag Info'!AB$12),"")</f>
        <v/>
      </c>
      <c r="AC7" s="16" t="str">
        <f>IF('Bundle Tag Info'!AC$12&lt;&gt;"",CONCATENATE('Bundle Tag Info'!$A$1," ",CHAR(10),'Bundle Tag Info'!$A$2," ",'Bundle Tag Info'!$A$3,CHAR(10),'Bundle Tag Info'!AC$6,CHAR(10),'Bundle Tag Info'!AC$12),"")</f>
        <v/>
      </c>
      <c r="AD7" s="16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6" t="str">
        <f>IF('Bundle Tag Info'!A$13&lt;&gt;"",CONCATENATE('Bundle Tag Info'!$A$1," ",CHAR(10),'Bundle Tag Info'!$A$2," ",'Bundle Tag Info'!$A$3,CHAR(10),'Bundle Tag Info'!A$6,CHAR(10),'Bundle Tag Info'!A$13),"")</f>
        <v>KOC-JPF #1 
4P101 C.1
JB70 DOOR
SB0473</v>
      </c>
      <c r="J8" s="16" t="str">
        <f>IF('Bundle Tag Info'!J$13&lt;&gt;"",CONCATENATE('Bundle Tag Info'!$A$1," ",CHAR(10),'Bundle Tag Info'!$A$2," ",'Bundle Tag Info'!$A$3,CHAR(10),'Bundle Tag Info'!J$6,CHAR(10),'Bundle Tag Info'!J$13),"")</f>
        <v/>
      </c>
      <c r="K8" s="16" t="str">
        <f>IF('Bundle Tag Info'!K$13&lt;&gt;"",CONCATENATE('Bundle Tag Info'!$A$1," ",CHAR(10),'Bundle Tag Info'!$A$2," ",'Bundle Tag Info'!$A$3,CHAR(10),'Bundle Tag Info'!K$6,CHAR(10),'Bundle Tag Info'!K$13),"")</f>
        <v/>
      </c>
      <c r="L8" s="16" t="str">
        <f>IF('Bundle Tag Info'!L$13&lt;&gt;"",CONCATENATE('Bundle Tag Info'!$A$1," ",CHAR(10),'Bundle Tag Info'!$A$2," ",'Bundle Tag Info'!$A$3,CHAR(10),'Bundle Tag Info'!L$6,CHAR(10),'Bundle Tag Info'!L$13),"")</f>
        <v/>
      </c>
      <c r="M8" s="16" t="str">
        <f>IF('Bundle Tag Info'!M$13&lt;&gt;"",CONCATENATE('Bundle Tag Info'!$A$1," ",CHAR(10),'Bundle Tag Info'!$A$2," ",'Bundle Tag Info'!$A$3,CHAR(10),'Bundle Tag Info'!M$6,CHAR(10),'Bundle Tag Info'!M$13),"")</f>
        <v/>
      </c>
      <c r="N8" s="16" t="str">
        <f>IF('Bundle Tag Info'!N$13&lt;&gt;"",CONCATENATE('Bundle Tag Info'!$A$1," ",CHAR(10),'Bundle Tag Info'!$A$2," ",'Bundle Tag Info'!$A$3,CHAR(10),'Bundle Tag Info'!N$6,CHAR(10),'Bundle Tag Info'!N$13),"")</f>
        <v/>
      </c>
      <c r="O8" s="16" t="str">
        <f>IF('Bundle Tag Info'!O$13&lt;&gt;"",CONCATENATE('Bundle Tag Info'!$A$1," ",CHAR(10),'Bundle Tag Info'!$A$2," ",'Bundle Tag Info'!$A$3,CHAR(10),'Bundle Tag Info'!O$6,CHAR(10),'Bundle Tag Info'!O$13),"")</f>
        <v/>
      </c>
      <c r="P8" s="16" t="str">
        <f>IF('Bundle Tag Info'!P$13&lt;&gt;"",CONCATENATE('Bundle Tag Info'!$A$1," ",CHAR(10),'Bundle Tag Info'!$A$2," ",'Bundle Tag Info'!$A$3,CHAR(10),'Bundle Tag Info'!P$6,CHAR(10),'Bundle Tag Info'!P$13),"")</f>
        <v/>
      </c>
      <c r="Q8" s="16" t="str">
        <f>IF('Bundle Tag Info'!Q$13&lt;&gt;"",CONCATENATE('Bundle Tag Info'!$A$1," ",CHAR(10),'Bundle Tag Info'!$A$2," ",'Bundle Tag Info'!$A$3,CHAR(10),'Bundle Tag Info'!Q$6,CHAR(10),'Bundle Tag Info'!Q$13),"")</f>
        <v/>
      </c>
      <c r="R8" s="16" t="str">
        <f>IF('Bundle Tag Info'!R$13&lt;&gt;"",CONCATENATE('Bundle Tag Info'!$A$1," ",CHAR(10),'Bundle Tag Info'!$A$2," ",'Bundle Tag Info'!$A$3,CHAR(10),'Bundle Tag Info'!R$6,CHAR(10),'Bundle Tag Info'!R$13),"")</f>
        <v/>
      </c>
      <c r="S8" s="16" t="str">
        <f>IF('Bundle Tag Info'!S$13&lt;&gt;"",CONCATENATE('Bundle Tag Info'!$A$1," ",CHAR(10),'Bundle Tag Info'!$A$2," ",'Bundle Tag Info'!$A$3,CHAR(10),'Bundle Tag Info'!S$6,CHAR(10),'Bundle Tag Info'!S$13),"")</f>
        <v/>
      </c>
      <c r="T8" s="16" t="str">
        <f>IF('Bundle Tag Info'!T$13&lt;&gt;"",CONCATENATE('Bundle Tag Info'!$A$1," ",CHAR(10),'Bundle Tag Info'!$A$2," ",'Bundle Tag Info'!$A$3,CHAR(10),'Bundle Tag Info'!T$6,CHAR(10),'Bundle Tag Info'!T$13),"")</f>
        <v/>
      </c>
      <c r="U8" s="16" t="str">
        <f>IF('Bundle Tag Info'!U$13&lt;&gt;"",CONCATENATE('Bundle Tag Info'!$A$1," ",CHAR(10),'Bundle Tag Info'!$A$2," ",'Bundle Tag Info'!$A$3,CHAR(10),'Bundle Tag Info'!U$6,CHAR(10),'Bundle Tag Info'!U$13),"")</f>
        <v/>
      </c>
      <c r="V8" s="16" t="str">
        <f>IF('Bundle Tag Info'!V$13&lt;&gt;"",CONCATENATE('Bundle Tag Info'!$A$1," ",CHAR(10),'Bundle Tag Info'!$A$2," ",'Bundle Tag Info'!$A$3,CHAR(10),'Bundle Tag Info'!V$6,CHAR(10),'Bundle Tag Info'!V$13),"")</f>
        <v/>
      </c>
      <c r="W8" s="16" t="str">
        <f>IF('Bundle Tag Info'!W$13&lt;&gt;"",CONCATENATE('Bundle Tag Info'!$A$1," ",CHAR(10),'Bundle Tag Info'!$A$2," ",'Bundle Tag Info'!$A$3,CHAR(10),'Bundle Tag Info'!W$6,CHAR(10),'Bundle Tag Info'!W$13),"")</f>
        <v/>
      </c>
      <c r="X8" s="16" t="str">
        <f>IF('Bundle Tag Info'!X$13&lt;&gt;"",CONCATENATE('Bundle Tag Info'!$A$1," ",CHAR(10),'Bundle Tag Info'!$A$2," ",'Bundle Tag Info'!$A$3,CHAR(10),'Bundle Tag Info'!X$6,CHAR(10),'Bundle Tag Info'!X$13),"")</f>
        <v/>
      </c>
      <c r="Y8" s="16" t="str">
        <f>IF('Bundle Tag Info'!Y$13&lt;&gt;"",CONCATENATE('Bundle Tag Info'!$A$1," ",CHAR(10),'Bundle Tag Info'!$A$2," ",'Bundle Tag Info'!$A$3,CHAR(10),'Bundle Tag Info'!Y$6,CHAR(10),'Bundle Tag Info'!Y$13),"")</f>
        <v/>
      </c>
      <c r="Z8" s="16" t="str">
        <f>IF('Bundle Tag Info'!Z$13&lt;&gt;"",CONCATENATE('Bundle Tag Info'!$A$1," ",CHAR(10),'Bundle Tag Info'!$A$2," ",'Bundle Tag Info'!$A$3,CHAR(10),'Bundle Tag Info'!Z$6,CHAR(10),'Bundle Tag Info'!Z$13),"")</f>
        <v/>
      </c>
      <c r="AA8" s="16" t="str">
        <f>IF('Bundle Tag Info'!AA$13&lt;&gt;"",CONCATENATE('Bundle Tag Info'!$A$1," ",CHAR(10),'Bundle Tag Info'!$A$2," ",'Bundle Tag Info'!$A$3,CHAR(10),'Bundle Tag Info'!AA$6,CHAR(10),'Bundle Tag Info'!AA$13),"")</f>
        <v/>
      </c>
      <c r="AB8" s="16" t="str">
        <f>IF('Bundle Tag Info'!AB$13&lt;&gt;"",CONCATENATE('Bundle Tag Info'!$A$1," ",CHAR(10),'Bundle Tag Info'!$A$2," ",'Bundle Tag Info'!$A$3,CHAR(10),'Bundle Tag Info'!AB$6,CHAR(10),'Bundle Tag Info'!AB$13),"")</f>
        <v/>
      </c>
      <c r="AC8" s="16" t="str">
        <f>IF('Bundle Tag Info'!AC$13&lt;&gt;"",CONCATENATE('Bundle Tag Info'!$A$1," ",CHAR(10),'Bundle Tag Info'!$A$2," ",'Bundle Tag Info'!$A$3,CHAR(10),'Bundle Tag Info'!AC$6,CHAR(10),'Bundle Tag Info'!AC$13),"")</f>
        <v/>
      </c>
      <c r="AD8" s="16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6" t="str">
        <f>IF('Bundle Tag Info'!A$14&lt;&gt;"",CONCATENATE('Bundle Tag Info'!$A$1," ",CHAR(10),'Bundle Tag Info'!$A$2," ",'Bundle Tag Info'!$A$3,CHAR(10),'Bundle Tag Info'!A$6,CHAR(10),'Bundle Tag Info'!A$14),"")</f>
        <v>KOC-JPF #1 
4P101 C.1
JB70 DOOR
SB0474</v>
      </c>
      <c r="J9" s="16" t="str">
        <f>IF('Bundle Tag Info'!J$14&lt;&gt;"",CONCATENATE('Bundle Tag Info'!$A$1," ",CHAR(10),'Bundle Tag Info'!$A$2," ",'Bundle Tag Info'!$A$3,CHAR(10),'Bundle Tag Info'!J$6,CHAR(10),'Bundle Tag Info'!J$14),"")</f>
        <v/>
      </c>
      <c r="K9" s="16" t="str">
        <f>IF('Bundle Tag Info'!K$14&lt;&gt;"",CONCATENATE('Bundle Tag Info'!$A$1," ",CHAR(10),'Bundle Tag Info'!$A$2," ",'Bundle Tag Info'!$A$3,CHAR(10),'Bundle Tag Info'!K$6,CHAR(10),'Bundle Tag Info'!K$14),"")</f>
        <v/>
      </c>
      <c r="L9" s="16" t="str">
        <f>IF('Bundle Tag Info'!L$14&lt;&gt;"",CONCATENATE('Bundle Tag Info'!$A$1," ",CHAR(10),'Bundle Tag Info'!$A$2," ",'Bundle Tag Info'!$A$3,CHAR(10),'Bundle Tag Info'!L$6,CHAR(10),'Bundle Tag Info'!L$14),"")</f>
        <v/>
      </c>
      <c r="M9" s="16" t="str">
        <f>IF('Bundle Tag Info'!M$14&lt;&gt;"",CONCATENATE('Bundle Tag Info'!$A$1," ",CHAR(10),'Bundle Tag Info'!$A$2," ",'Bundle Tag Info'!$A$3,CHAR(10),'Bundle Tag Info'!M$6,CHAR(10),'Bundle Tag Info'!M$14),"")</f>
        <v/>
      </c>
      <c r="N9" s="16" t="str">
        <f>IF('Bundle Tag Info'!N$14&lt;&gt;"",CONCATENATE('Bundle Tag Info'!$A$1," ",CHAR(10),'Bundle Tag Info'!$A$2," ",'Bundle Tag Info'!$A$3,CHAR(10),'Bundle Tag Info'!N$6,CHAR(10),'Bundle Tag Info'!N$14),"")</f>
        <v/>
      </c>
      <c r="O9" s="16" t="str">
        <f>IF('Bundle Tag Info'!O$14&lt;&gt;"",CONCATENATE('Bundle Tag Info'!$A$1," ",CHAR(10),'Bundle Tag Info'!$A$2," ",'Bundle Tag Info'!$A$3,CHAR(10),'Bundle Tag Info'!O$6,CHAR(10),'Bundle Tag Info'!O$14),"")</f>
        <v/>
      </c>
      <c r="P9" s="16" t="str">
        <f>IF('Bundle Tag Info'!P$14&lt;&gt;"",CONCATENATE('Bundle Tag Info'!$A$1," ",CHAR(10),'Bundle Tag Info'!$A$2," ",'Bundle Tag Info'!$A$3,CHAR(10),'Bundle Tag Info'!P$6,CHAR(10),'Bundle Tag Info'!P$14),"")</f>
        <v/>
      </c>
      <c r="Q9" s="16" t="str">
        <f>IF('Bundle Tag Info'!Q$14&lt;&gt;"",CONCATENATE('Bundle Tag Info'!$A$1," ",CHAR(10),'Bundle Tag Info'!$A$2," ",'Bundle Tag Info'!$A$3,CHAR(10),'Bundle Tag Info'!Q$6,CHAR(10),'Bundle Tag Info'!Q$14),"")</f>
        <v/>
      </c>
      <c r="R9" s="16" t="str">
        <f>IF('Bundle Tag Info'!R$14&lt;&gt;"",CONCATENATE('Bundle Tag Info'!$A$1," ",CHAR(10),'Bundle Tag Info'!$A$2," ",'Bundle Tag Info'!$A$3,CHAR(10),'Bundle Tag Info'!R$6,CHAR(10),'Bundle Tag Info'!R$14),"")</f>
        <v/>
      </c>
      <c r="S9" s="16" t="str">
        <f>IF('Bundle Tag Info'!S$14&lt;&gt;"",CONCATENATE('Bundle Tag Info'!$A$1," ",CHAR(10),'Bundle Tag Info'!$A$2," ",'Bundle Tag Info'!$A$3,CHAR(10),'Bundle Tag Info'!S$6,CHAR(10),'Bundle Tag Info'!S$14),"")</f>
        <v/>
      </c>
      <c r="T9" s="16" t="str">
        <f>IF('Bundle Tag Info'!T$14&lt;&gt;"",CONCATENATE('Bundle Tag Info'!$A$1," ",CHAR(10),'Bundle Tag Info'!$A$2," ",'Bundle Tag Info'!$A$3,CHAR(10),'Bundle Tag Info'!T$6,CHAR(10),'Bundle Tag Info'!T$14),"")</f>
        <v/>
      </c>
      <c r="U9" s="16" t="str">
        <f>IF('Bundle Tag Info'!U$14&lt;&gt;"",CONCATENATE('Bundle Tag Info'!$A$1," ",CHAR(10),'Bundle Tag Info'!$A$2," ",'Bundle Tag Info'!$A$3,CHAR(10),'Bundle Tag Info'!U$6,CHAR(10),'Bundle Tag Info'!U$14),"")</f>
        <v/>
      </c>
      <c r="V9" s="16" t="str">
        <f>IF('Bundle Tag Info'!V$14&lt;&gt;"",CONCATENATE('Bundle Tag Info'!$A$1," ",CHAR(10),'Bundle Tag Info'!$A$2," ",'Bundle Tag Info'!$A$3,CHAR(10),'Bundle Tag Info'!V$6,CHAR(10),'Bundle Tag Info'!V$14),"")</f>
        <v/>
      </c>
      <c r="W9" s="16" t="str">
        <f>IF('Bundle Tag Info'!W$14&lt;&gt;"",CONCATENATE('Bundle Tag Info'!$A$1," ",CHAR(10),'Bundle Tag Info'!$A$2," ",'Bundle Tag Info'!$A$3,CHAR(10),'Bundle Tag Info'!W$6,CHAR(10),'Bundle Tag Info'!W$14),"")</f>
        <v/>
      </c>
      <c r="X9" s="16" t="str">
        <f>IF('Bundle Tag Info'!X$14&lt;&gt;"",CONCATENATE('Bundle Tag Info'!$A$1," ",CHAR(10),'Bundle Tag Info'!$A$2," ",'Bundle Tag Info'!$A$3,CHAR(10),'Bundle Tag Info'!X$6,CHAR(10),'Bundle Tag Info'!X$14),"")</f>
        <v/>
      </c>
      <c r="Y9" s="16" t="str">
        <f>IF('Bundle Tag Info'!Y$14&lt;&gt;"",CONCATENATE('Bundle Tag Info'!$A$1," ",CHAR(10),'Bundle Tag Info'!$A$2," ",'Bundle Tag Info'!$A$3,CHAR(10),'Bundle Tag Info'!Y$6,CHAR(10),'Bundle Tag Info'!Y$14),"")</f>
        <v/>
      </c>
      <c r="Z9" s="16" t="str">
        <f>IF('Bundle Tag Info'!Z$14&lt;&gt;"",CONCATENATE('Bundle Tag Info'!$A$1," ",CHAR(10),'Bundle Tag Info'!$A$2," ",'Bundle Tag Info'!$A$3,CHAR(10),'Bundle Tag Info'!Z$6,CHAR(10),'Bundle Tag Info'!Z$14),"")</f>
        <v/>
      </c>
      <c r="AA9" s="16" t="str">
        <f>IF('Bundle Tag Info'!AA$14&lt;&gt;"",CONCATENATE('Bundle Tag Info'!$A$1," ",CHAR(10),'Bundle Tag Info'!$A$2," ",'Bundle Tag Info'!$A$3,CHAR(10),'Bundle Tag Info'!AA$6,CHAR(10),'Bundle Tag Info'!AA$14),"")</f>
        <v/>
      </c>
      <c r="AB9" s="16" t="str">
        <f>IF('Bundle Tag Info'!AB$14&lt;&gt;"",CONCATENATE('Bundle Tag Info'!$A$1," ",CHAR(10),'Bundle Tag Info'!$A$2," ",'Bundle Tag Info'!$A$3,CHAR(10),'Bundle Tag Info'!AB$6,CHAR(10),'Bundle Tag Info'!AB$14),"")</f>
        <v/>
      </c>
      <c r="AC9" s="16" t="str">
        <f>IF('Bundle Tag Info'!AC$14&lt;&gt;"",CONCATENATE('Bundle Tag Info'!$A$1," ",CHAR(10),'Bundle Tag Info'!$A$2," ",'Bundle Tag Info'!$A$3,CHAR(10),'Bundle Tag Info'!AC$6,CHAR(10),'Bundle Tag Info'!AC$14),"")</f>
        <v/>
      </c>
      <c r="AD9" s="16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6" t="str">
        <f>IF('Bundle Tag Info'!A$15&lt;&gt;"",CONCATENATE('Bundle Tag Info'!$A$1," ",CHAR(10),'Bundle Tag Info'!$A$2," ",'Bundle Tag Info'!$A$3,CHAR(10),'Bundle Tag Info'!A$6,CHAR(10),'Bundle Tag Info'!A$15),"")</f>
        <v>KOC-JPF #1 
4P101 C.1
JB70 DOOR
SH0470</v>
      </c>
      <c r="J10" s="16" t="str">
        <f>IF('Bundle Tag Info'!J$15&lt;&gt;"",CONCATENATE('Bundle Tag Info'!$A$1," ",CHAR(10),'Bundle Tag Info'!$A$2," ",'Bundle Tag Info'!$A$3,CHAR(10),'Bundle Tag Info'!J$6,CHAR(10),'Bundle Tag Info'!J$15),"")</f>
        <v/>
      </c>
      <c r="K10" s="16" t="str">
        <f>IF('Bundle Tag Info'!K$15&lt;&gt;"",CONCATENATE('Bundle Tag Info'!$A$1," ",CHAR(10),'Bundle Tag Info'!$A$2," ",'Bundle Tag Info'!$A$3,CHAR(10),'Bundle Tag Info'!K$6,CHAR(10),'Bundle Tag Info'!K$15),"")</f>
        <v/>
      </c>
      <c r="L10" s="16" t="str">
        <f>IF('Bundle Tag Info'!L$15&lt;&gt;"",CONCATENATE('Bundle Tag Info'!$A$1," ",CHAR(10),'Bundle Tag Info'!$A$2," ",'Bundle Tag Info'!$A$3,CHAR(10),'Bundle Tag Info'!L$6,CHAR(10),'Bundle Tag Info'!L$15),"")</f>
        <v/>
      </c>
      <c r="M10" s="16" t="str">
        <f>IF('Bundle Tag Info'!M$15&lt;&gt;"",CONCATENATE('Bundle Tag Info'!$A$1," ",CHAR(10),'Bundle Tag Info'!$A$2," ",'Bundle Tag Info'!$A$3,CHAR(10),'Bundle Tag Info'!M$6,CHAR(10),'Bundle Tag Info'!M$15),"")</f>
        <v/>
      </c>
      <c r="N10" s="16" t="str">
        <f>IF('Bundle Tag Info'!N$15&lt;&gt;"",CONCATENATE('Bundle Tag Info'!$A$1," ",CHAR(10),'Bundle Tag Info'!$A$2," ",'Bundle Tag Info'!$A$3,CHAR(10),'Bundle Tag Info'!N$6,CHAR(10),'Bundle Tag Info'!N$15),"")</f>
        <v/>
      </c>
      <c r="O10" s="16" t="str">
        <f>IF('Bundle Tag Info'!O$15&lt;&gt;"",CONCATENATE('Bundle Tag Info'!$A$1," ",CHAR(10),'Bundle Tag Info'!$A$2," ",'Bundle Tag Info'!$A$3,CHAR(10),'Bundle Tag Info'!O$6,CHAR(10),'Bundle Tag Info'!O$15),"")</f>
        <v/>
      </c>
      <c r="P10" s="16" t="str">
        <f>IF('Bundle Tag Info'!P$15&lt;&gt;"",CONCATENATE('Bundle Tag Info'!$A$1," ",CHAR(10),'Bundle Tag Info'!$A$2," ",'Bundle Tag Info'!$A$3,CHAR(10),'Bundle Tag Info'!P$6,CHAR(10),'Bundle Tag Info'!P$15),"")</f>
        <v/>
      </c>
      <c r="Q10" s="16" t="str">
        <f>IF('Bundle Tag Info'!Q$15&lt;&gt;"",CONCATENATE('Bundle Tag Info'!$A$1," ",CHAR(10),'Bundle Tag Info'!$A$2," ",'Bundle Tag Info'!$A$3,CHAR(10),'Bundle Tag Info'!Q$6,CHAR(10),'Bundle Tag Info'!Q$15),"")</f>
        <v/>
      </c>
      <c r="R10" s="16" t="str">
        <f>IF('Bundle Tag Info'!R$15&lt;&gt;"",CONCATENATE('Bundle Tag Info'!$A$1," ",CHAR(10),'Bundle Tag Info'!$A$2," ",'Bundle Tag Info'!$A$3,CHAR(10),'Bundle Tag Info'!R$6,CHAR(10),'Bundle Tag Info'!R$15),"")</f>
        <v/>
      </c>
      <c r="S10" s="16" t="str">
        <f>IF('Bundle Tag Info'!S$15&lt;&gt;"",CONCATENATE('Bundle Tag Info'!$A$1," ",CHAR(10),'Bundle Tag Info'!$A$2," ",'Bundle Tag Info'!$A$3,CHAR(10),'Bundle Tag Info'!S$6,CHAR(10),'Bundle Tag Info'!S$15),"")</f>
        <v/>
      </c>
      <c r="T10" s="16" t="str">
        <f>IF('Bundle Tag Info'!T$15&lt;&gt;"",CONCATENATE('Bundle Tag Info'!$A$1," ",CHAR(10),'Bundle Tag Info'!$A$2," ",'Bundle Tag Info'!$A$3,CHAR(10),'Bundle Tag Info'!T$6,CHAR(10),'Bundle Tag Info'!T$15),"")</f>
        <v/>
      </c>
      <c r="U10" s="16" t="str">
        <f>IF('Bundle Tag Info'!U$15&lt;&gt;"",CONCATENATE('Bundle Tag Info'!$A$1," ",CHAR(10),'Bundle Tag Info'!$A$2," ",'Bundle Tag Info'!$A$3,CHAR(10),'Bundle Tag Info'!U$6,CHAR(10),'Bundle Tag Info'!U$15),"")</f>
        <v/>
      </c>
      <c r="V10" s="16" t="str">
        <f>IF('Bundle Tag Info'!V$15&lt;&gt;"",CONCATENATE('Bundle Tag Info'!$A$1," ",CHAR(10),'Bundle Tag Info'!$A$2," ",'Bundle Tag Info'!$A$3,CHAR(10),'Bundle Tag Info'!V$6,CHAR(10),'Bundle Tag Info'!V$15),"")</f>
        <v/>
      </c>
      <c r="W10" s="16" t="str">
        <f>IF('Bundle Tag Info'!W$15&lt;&gt;"",CONCATENATE('Bundle Tag Info'!$A$1," ",CHAR(10),'Bundle Tag Info'!$A$2," ",'Bundle Tag Info'!$A$3,CHAR(10),'Bundle Tag Info'!W$6,CHAR(10),'Bundle Tag Info'!W$15),"")</f>
        <v/>
      </c>
      <c r="X10" s="16" t="str">
        <f>IF('Bundle Tag Info'!X$15&lt;&gt;"",CONCATENATE('Bundle Tag Info'!$A$1," ",CHAR(10),'Bundle Tag Info'!$A$2," ",'Bundle Tag Info'!$A$3,CHAR(10),'Bundle Tag Info'!X$6,CHAR(10),'Bundle Tag Info'!X$15),"")</f>
        <v/>
      </c>
      <c r="Y10" s="16" t="str">
        <f>IF('Bundle Tag Info'!Y$15&lt;&gt;"",CONCATENATE('Bundle Tag Info'!$A$1," ",CHAR(10),'Bundle Tag Info'!$A$2," ",'Bundle Tag Info'!$A$3,CHAR(10),'Bundle Tag Info'!Y$6,CHAR(10),'Bundle Tag Info'!Y$15),"")</f>
        <v/>
      </c>
      <c r="Z10" s="16" t="str">
        <f>IF('Bundle Tag Info'!Z$15&lt;&gt;"",CONCATENATE('Bundle Tag Info'!$A$1," ",CHAR(10),'Bundle Tag Info'!$A$2," ",'Bundle Tag Info'!$A$3,CHAR(10),'Bundle Tag Info'!Z$6,CHAR(10),'Bundle Tag Info'!Z$15),"")</f>
        <v/>
      </c>
      <c r="AA10" s="16" t="str">
        <f>IF('Bundle Tag Info'!AA$15&lt;&gt;"",CONCATENATE('Bundle Tag Info'!$A$1," ",CHAR(10),'Bundle Tag Info'!$A$2," ",'Bundle Tag Info'!$A$3,CHAR(10),'Bundle Tag Info'!AA$6,CHAR(10),'Bundle Tag Info'!AA$15),"")</f>
        <v/>
      </c>
      <c r="AB10" s="16" t="str">
        <f>IF('Bundle Tag Info'!AB$15&lt;&gt;"",CONCATENATE('Bundle Tag Info'!$A$1," ",CHAR(10),'Bundle Tag Info'!$A$2," ",'Bundle Tag Info'!$A$3,CHAR(10),'Bundle Tag Info'!AB$6,CHAR(10),'Bundle Tag Info'!AB$15),"")</f>
        <v/>
      </c>
      <c r="AC10" s="16" t="str">
        <f>IF('Bundle Tag Info'!AC$15&lt;&gt;"",CONCATENATE('Bundle Tag Info'!$A$1," ",CHAR(10),'Bundle Tag Info'!$A$2," ",'Bundle Tag Info'!$A$3,CHAR(10),'Bundle Tag Info'!AC$6,CHAR(10),'Bundle Tag Info'!AC$15),"")</f>
        <v/>
      </c>
      <c r="AD10" s="1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6" t="str">
        <f>IF('Bundle Tag Info'!A$16&lt;&gt;"",CONCATENATE('Bundle Tag Info'!$A$1," ",CHAR(10),'Bundle Tag Info'!$A$2," ",'Bundle Tag Info'!$A$3,CHAR(10),'Bundle Tag Info'!A$6,CHAR(10),'Bundle Tag Info'!A$16),"")</f>
        <v>KOC-JPF #1 
4P101 C.1
JB70 DOOR
SH0471</v>
      </c>
      <c r="I11" s="16" t="str">
        <f>IF('Bundle Tag Info'!I$16&lt;&gt;"",CONCATENATE('Bundle Tag Info'!$A$1," ",CHAR(10),'Bundle Tag Info'!$A$2," ",'Bundle Tag Info'!$A$3,CHAR(10),'Bundle Tag Info'!I$6,CHAR(10),'Bundle Tag Info'!I$16),"")</f>
        <v/>
      </c>
      <c r="J11" s="16" t="str">
        <f>IF('Bundle Tag Info'!J$16&lt;&gt;"",CONCATENATE('Bundle Tag Info'!$A$1," ",CHAR(10),'Bundle Tag Info'!$A$2," ",'Bundle Tag Info'!$A$3,CHAR(10),'Bundle Tag Info'!J$6,CHAR(10),'Bundle Tag Info'!J$16),"")</f>
        <v/>
      </c>
      <c r="K11" s="16" t="str">
        <f>IF('Bundle Tag Info'!K$16&lt;&gt;"",CONCATENATE('Bundle Tag Info'!$A$1," ",CHAR(10),'Bundle Tag Info'!$A$2," ",'Bundle Tag Info'!$A$3,CHAR(10),'Bundle Tag Info'!K$6,CHAR(10),'Bundle Tag Info'!K$16),"")</f>
        <v/>
      </c>
      <c r="L11" s="16" t="str">
        <f>IF('Bundle Tag Info'!L$16&lt;&gt;"",CONCATENATE('Bundle Tag Info'!$A$1," ",CHAR(10),'Bundle Tag Info'!$A$2," ",'Bundle Tag Info'!$A$3,CHAR(10),'Bundle Tag Info'!L$6,CHAR(10),'Bundle Tag Info'!L$16),"")</f>
        <v/>
      </c>
      <c r="M11" s="16" t="str">
        <f>IF('Bundle Tag Info'!M$16&lt;&gt;"",CONCATENATE('Bundle Tag Info'!$A$1," ",CHAR(10),'Bundle Tag Info'!$A$2," ",'Bundle Tag Info'!$A$3,CHAR(10),'Bundle Tag Info'!M$6,CHAR(10),'Bundle Tag Info'!M$16),"")</f>
        <v/>
      </c>
      <c r="N11" s="16" t="str">
        <f>IF('Bundle Tag Info'!N$16&lt;&gt;"",CONCATENATE('Bundle Tag Info'!$A$1," ",CHAR(10),'Bundle Tag Info'!$A$2," ",'Bundle Tag Info'!$A$3,CHAR(10),'Bundle Tag Info'!N$6,CHAR(10),'Bundle Tag Info'!N$16),"")</f>
        <v/>
      </c>
      <c r="O11" s="16" t="str">
        <f>IF('Bundle Tag Info'!O$16&lt;&gt;"",CONCATENATE('Bundle Tag Info'!$A$1," ",CHAR(10),'Bundle Tag Info'!$A$2," ",'Bundle Tag Info'!$A$3,CHAR(10),'Bundle Tag Info'!O$6,CHAR(10),'Bundle Tag Info'!O$16),"")</f>
        <v/>
      </c>
      <c r="P11" s="16" t="str">
        <f>IF('Bundle Tag Info'!P$16&lt;&gt;"",CONCATENATE('Bundle Tag Info'!$A$1," ",CHAR(10),'Bundle Tag Info'!$A$2," ",'Bundle Tag Info'!$A$3,CHAR(10),'Bundle Tag Info'!P$6,CHAR(10),'Bundle Tag Info'!P$16),"")</f>
        <v/>
      </c>
      <c r="Q11" s="16" t="str">
        <f>IF('Bundle Tag Info'!Q$16&lt;&gt;"",CONCATENATE('Bundle Tag Info'!$A$1," ",CHAR(10),'Bundle Tag Info'!$A$2," ",'Bundle Tag Info'!$A$3,CHAR(10),'Bundle Tag Info'!Q$6,CHAR(10),'Bundle Tag Info'!Q$16),"")</f>
        <v/>
      </c>
      <c r="R11" s="16" t="str">
        <f>IF('Bundle Tag Info'!R$16&lt;&gt;"",CONCATENATE('Bundle Tag Info'!$A$1," ",CHAR(10),'Bundle Tag Info'!$A$2," ",'Bundle Tag Info'!$A$3,CHAR(10),'Bundle Tag Info'!R$6,CHAR(10),'Bundle Tag Info'!R$16),"")</f>
        <v/>
      </c>
      <c r="S11" s="16" t="str">
        <f>IF('Bundle Tag Info'!S$16&lt;&gt;"",CONCATENATE('Bundle Tag Info'!$A$1," ",CHAR(10),'Bundle Tag Info'!$A$2," ",'Bundle Tag Info'!$A$3,CHAR(10),'Bundle Tag Info'!S$6,CHAR(10),'Bundle Tag Info'!S$16),"")</f>
        <v/>
      </c>
      <c r="T11" s="16" t="str">
        <f>IF('Bundle Tag Info'!T$16&lt;&gt;"",CONCATENATE('Bundle Tag Info'!$A$1," ",CHAR(10),'Bundle Tag Info'!$A$2," ",'Bundle Tag Info'!$A$3,CHAR(10),'Bundle Tag Info'!T$6,CHAR(10),'Bundle Tag Info'!T$16),"")</f>
        <v/>
      </c>
      <c r="U11" s="16" t="str">
        <f>IF('Bundle Tag Info'!U$16&lt;&gt;"",CONCATENATE('Bundle Tag Info'!$A$1," ",CHAR(10),'Bundle Tag Info'!$A$2," ",'Bundle Tag Info'!$A$3,CHAR(10),'Bundle Tag Info'!U$6,CHAR(10),'Bundle Tag Info'!U$16),"")</f>
        <v/>
      </c>
      <c r="V11" s="16" t="str">
        <f>IF('Bundle Tag Info'!V$16&lt;&gt;"",CONCATENATE('Bundle Tag Info'!$A$1," ",CHAR(10),'Bundle Tag Info'!$A$2," ",'Bundle Tag Info'!$A$3,CHAR(10),'Bundle Tag Info'!V$6,CHAR(10),'Bundle Tag Info'!V$16),"")</f>
        <v/>
      </c>
      <c r="W11" s="16" t="str">
        <f>IF('Bundle Tag Info'!W$16&lt;&gt;"",CONCATENATE('Bundle Tag Info'!$A$1," ",CHAR(10),'Bundle Tag Info'!$A$2," ",'Bundle Tag Info'!$A$3,CHAR(10),'Bundle Tag Info'!W$6,CHAR(10),'Bundle Tag Info'!W$16),"")</f>
        <v/>
      </c>
      <c r="X11" s="16" t="str">
        <f>IF('Bundle Tag Info'!X$16&lt;&gt;"",CONCATENATE('Bundle Tag Info'!$A$1," ",CHAR(10),'Bundle Tag Info'!$A$2," ",'Bundle Tag Info'!$A$3,CHAR(10),'Bundle Tag Info'!X$6,CHAR(10),'Bundle Tag Info'!X$16),"")</f>
        <v/>
      </c>
      <c r="Y11" s="16" t="str">
        <f>IF('Bundle Tag Info'!Y$16&lt;&gt;"",CONCATENATE('Bundle Tag Info'!$A$1," ",CHAR(10),'Bundle Tag Info'!$A$2," ",'Bundle Tag Info'!$A$3,CHAR(10),'Bundle Tag Info'!Y$6,CHAR(10),'Bundle Tag Info'!Y$16),"")</f>
        <v/>
      </c>
      <c r="Z11" s="16" t="str">
        <f>IF('Bundle Tag Info'!Z$16&lt;&gt;"",CONCATENATE('Bundle Tag Info'!$A$1," ",CHAR(10),'Bundle Tag Info'!$A$2," ",'Bundle Tag Info'!$A$3,CHAR(10),'Bundle Tag Info'!Z$6,CHAR(10),'Bundle Tag Info'!Z$16),"")</f>
        <v/>
      </c>
      <c r="AA11" s="16" t="str">
        <f>IF('Bundle Tag Info'!AA$16&lt;&gt;"",CONCATENATE('Bundle Tag Info'!$A$1," ",CHAR(10),'Bundle Tag Info'!$A$2," ",'Bundle Tag Info'!$A$3,CHAR(10),'Bundle Tag Info'!AA$6,CHAR(10),'Bundle Tag Info'!AA$16),"")</f>
        <v/>
      </c>
      <c r="AB11" s="16" t="str">
        <f>IF('Bundle Tag Info'!AB$16&lt;&gt;"",CONCATENATE('Bundle Tag Info'!$A$1," ",CHAR(10),'Bundle Tag Info'!$A$2," ",'Bundle Tag Info'!$A$3,CHAR(10),'Bundle Tag Info'!AB$6,CHAR(10),'Bundle Tag Info'!AB$16),"")</f>
        <v/>
      </c>
      <c r="AC11" s="16" t="str">
        <f>IF('Bundle Tag Info'!AC$16&lt;&gt;"",CONCATENATE('Bundle Tag Info'!$A$1," ",CHAR(10),'Bundle Tag Info'!$A$2," ",'Bundle Tag Info'!$A$3,CHAR(10),'Bundle Tag Info'!AC$6,CHAR(10),'Bundle Tag Info'!AC$16),"")</f>
        <v/>
      </c>
      <c r="AD11" s="1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6" t="str">
        <f>IF('Bundle Tag Info'!A$17&lt;&gt;"",CONCATENATE('Bundle Tag Info'!$A$1," ",CHAR(10),'Bundle Tag Info'!$A$2," ",'Bundle Tag Info'!$A$3,CHAR(10),'Bundle Tag Info'!A$6,CHAR(10),'Bundle Tag Info'!A$17),"")</f>
        <v>KOC-JPF #1 
4P101 C.1
JB70 DOOR
SH0472</v>
      </c>
      <c r="I12" s="16" t="str">
        <f>IF('Bundle Tag Info'!I$17&lt;&gt;"",CONCATENATE('Bundle Tag Info'!$A$1," ",CHAR(10),'Bundle Tag Info'!$A$2," ",'Bundle Tag Info'!$A$3,CHAR(10),'Bundle Tag Info'!I$6,CHAR(10),'Bundle Tag Info'!I$17),"")</f>
        <v/>
      </c>
      <c r="J12" s="16" t="str">
        <f>IF('Bundle Tag Info'!J$17&lt;&gt;"",CONCATENATE('Bundle Tag Info'!$A$1," ",CHAR(10),'Bundle Tag Info'!$A$2," ",'Bundle Tag Info'!$A$3,CHAR(10),'Bundle Tag Info'!J$6,CHAR(10),'Bundle Tag Info'!J$17),"")</f>
        <v/>
      </c>
      <c r="K12" s="16" t="str">
        <f>IF('Bundle Tag Info'!K$17&lt;&gt;"",CONCATENATE('Bundle Tag Info'!$A$1," ",CHAR(10),'Bundle Tag Info'!$A$2," ",'Bundle Tag Info'!$A$3,CHAR(10),'Bundle Tag Info'!K$6,CHAR(10),'Bundle Tag Info'!K$17),"")</f>
        <v/>
      </c>
      <c r="L12" s="16" t="str">
        <f>IF('Bundle Tag Info'!L$17&lt;&gt;"",CONCATENATE('Bundle Tag Info'!$A$1," ",CHAR(10),'Bundle Tag Info'!$A$2," ",'Bundle Tag Info'!$A$3,CHAR(10),'Bundle Tag Info'!L$6,CHAR(10),'Bundle Tag Info'!L$17),"")</f>
        <v/>
      </c>
      <c r="M12" s="16" t="str">
        <f>IF('Bundle Tag Info'!M$17&lt;&gt;"",CONCATENATE('Bundle Tag Info'!$A$1," ",CHAR(10),'Bundle Tag Info'!$A$2," ",'Bundle Tag Info'!$A$3,CHAR(10),'Bundle Tag Info'!M$6,CHAR(10),'Bundle Tag Info'!M$17),"")</f>
        <v/>
      </c>
      <c r="N12" s="16" t="str">
        <f>IF('Bundle Tag Info'!N$17&lt;&gt;"",CONCATENATE('Bundle Tag Info'!$A$1," ",CHAR(10),'Bundle Tag Info'!$A$2," ",'Bundle Tag Info'!$A$3,CHAR(10),'Bundle Tag Info'!N$6,CHAR(10),'Bundle Tag Info'!N$17),"")</f>
        <v/>
      </c>
      <c r="O12" s="16" t="str">
        <f>IF('Bundle Tag Info'!O$17&lt;&gt;"",CONCATENATE('Bundle Tag Info'!$A$1," ",CHAR(10),'Bundle Tag Info'!$A$2," ",'Bundle Tag Info'!$A$3,CHAR(10),'Bundle Tag Info'!O$6,CHAR(10),'Bundle Tag Info'!O$17),"")</f>
        <v/>
      </c>
      <c r="P12" s="16" t="str">
        <f>IF('Bundle Tag Info'!P$17&lt;&gt;"",CONCATENATE('Bundle Tag Info'!$A$1," ",CHAR(10),'Bundle Tag Info'!$A$2," ",'Bundle Tag Info'!$A$3,CHAR(10),'Bundle Tag Info'!P$6,CHAR(10),'Bundle Tag Info'!P$17),"")</f>
        <v/>
      </c>
      <c r="Q12" s="16" t="str">
        <f>IF('Bundle Tag Info'!Q$17&lt;&gt;"",CONCATENATE('Bundle Tag Info'!$A$1," ",CHAR(10),'Bundle Tag Info'!$A$2," ",'Bundle Tag Info'!$A$3,CHAR(10),'Bundle Tag Info'!Q$6,CHAR(10),'Bundle Tag Info'!Q$17),"")</f>
        <v/>
      </c>
      <c r="R12" s="16" t="str">
        <f>IF('Bundle Tag Info'!R$17&lt;&gt;"",CONCATENATE('Bundle Tag Info'!$A$1," ",CHAR(10),'Bundle Tag Info'!$A$2," ",'Bundle Tag Info'!$A$3,CHAR(10),'Bundle Tag Info'!R$6,CHAR(10),'Bundle Tag Info'!R$17),"")</f>
        <v/>
      </c>
      <c r="S12" s="16" t="str">
        <f>IF('Bundle Tag Info'!S$17&lt;&gt;"",CONCATENATE('Bundle Tag Info'!$A$1," ",CHAR(10),'Bundle Tag Info'!$A$2," ",'Bundle Tag Info'!$A$3,CHAR(10),'Bundle Tag Info'!S$6,CHAR(10),'Bundle Tag Info'!S$17),"")</f>
        <v/>
      </c>
      <c r="T12" s="16" t="str">
        <f>IF('Bundle Tag Info'!T$17&lt;&gt;"",CONCATENATE('Bundle Tag Info'!$A$1," ",CHAR(10),'Bundle Tag Info'!$A$2," ",'Bundle Tag Info'!$A$3,CHAR(10),'Bundle Tag Info'!T$6,CHAR(10),'Bundle Tag Info'!T$17),"")</f>
        <v/>
      </c>
      <c r="U12" s="16" t="str">
        <f>IF('Bundle Tag Info'!U$17&lt;&gt;"",CONCATENATE('Bundle Tag Info'!$A$1," ",CHAR(10),'Bundle Tag Info'!$A$2," ",'Bundle Tag Info'!$A$3,CHAR(10),'Bundle Tag Info'!U$6,CHAR(10),'Bundle Tag Info'!U$17),"")</f>
        <v/>
      </c>
      <c r="V12" s="16" t="str">
        <f>IF('Bundle Tag Info'!V$17&lt;&gt;"",CONCATENATE('Bundle Tag Info'!$A$1," ",CHAR(10),'Bundle Tag Info'!$A$2," ",'Bundle Tag Info'!$A$3,CHAR(10),'Bundle Tag Info'!V$6,CHAR(10),'Bundle Tag Info'!V$17),"")</f>
        <v/>
      </c>
      <c r="W12" s="16" t="str">
        <f>IF('Bundle Tag Info'!W$17&lt;&gt;"",CONCATENATE('Bundle Tag Info'!$A$1," ",CHAR(10),'Bundle Tag Info'!$A$2," ",'Bundle Tag Info'!$A$3,CHAR(10),'Bundle Tag Info'!W$6,CHAR(10),'Bundle Tag Info'!W$17),"")</f>
        <v/>
      </c>
      <c r="X12" s="16" t="str">
        <f>IF('Bundle Tag Info'!X$17&lt;&gt;"",CONCATENATE('Bundle Tag Info'!$A$1," ",CHAR(10),'Bundle Tag Info'!$A$2," ",'Bundle Tag Info'!$A$3,CHAR(10),'Bundle Tag Info'!X$6,CHAR(10),'Bundle Tag Info'!X$17),"")</f>
        <v/>
      </c>
      <c r="Y12" s="16" t="str">
        <f>IF('Bundle Tag Info'!Y$17&lt;&gt;"",CONCATENATE('Bundle Tag Info'!$A$1," ",CHAR(10),'Bundle Tag Info'!$A$2," ",'Bundle Tag Info'!$A$3,CHAR(10),'Bundle Tag Info'!Y$6,CHAR(10),'Bundle Tag Info'!Y$17),"")</f>
        <v/>
      </c>
      <c r="Z12" s="16" t="str">
        <f>IF('Bundle Tag Info'!Z$17&lt;&gt;"",CONCATENATE('Bundle Tag Info'!$A$1," ",CHAR(10),'Bundle Tag Info'!$A$2," ",'Bundle Tag Info'!$A$3,CHAR(10),'Bundle Tag Info'!Z$6,CHAR(10),'Bundle Tag Info'!Z$17),"")</f>
        <v/>
      </c>
      <c r="AA12" s="16" t="str">
        <f>IF('Bundle Tag Info'!AA$17&lt;&gt;"",CONCATENATE('Bundle Tag Info'!$A$1," ",CHAR(10),'Bundle Tag Info'!$A$2," ",'Bundle Tag Info'!$A$3,CHAR(10),'Bundle Tag Info'!AA$6,CHAR(10),'Bundle Tag Info'!AA$17),"")</f>
        <v/>
      </c>
      <c r="AB12" s="16" t="str">
        <f>IF('Bundle Tag Info'!AB$17&lt;&gt;"",CONCATENATE('Bundle Tag Info'!$A$1," ",CHAR(10),'Bundle Tag Info'!$A$2," ",'Bundle Tag Info'!$A$3,CHAR(10),'Bundle Tag Info'!AB$6,CHAR(10),'Bundle Tag Info'!AB$17),"")</f>
        <v/>
      </c>
      <c r="AC12" s="16" t="str">
        <f>IF('Bundle Tag Info'!AC$17&lt;&gt;"",CONCATENATE('Bundle Tag Info'!$A$1," ",CHAR(10),'Bundle Tag Info'!$A$2," ",'Bundle Tag Info'!$A$3,CHAR(10),'Bundle Tag Info'!AC$6,CHAR(10),'Bundle Tag Info'!AC$17),"")</f>
        <v/>
      </c>
      <c r="AD12" s="1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6" t="str">
        <f>IF('Bundle Tag Info'!B$7&lt;&gt;"",CONCATENATE('Bundle Tag Info'!$A$1," ",CHAR(10),'Bundle Tag Info'!$A$2," ",'Bundle Tag Info'!$A$3,CHAR(10),'Bundle Tag Info'!B$6,CHAR(10),'Bundle Tag Info'!B$7),"")</f>
        <v>KOC-JPF #1 
4P101 C.1
HMI-S PWR
BA</v>
      </c>
      <c r="I13" s="16" t="str">
        <f>IF('Bundle Tag Info'!I$18&lt;&gt;"",CONCATENATE('Bundle Tag Info'!$A$1," ",CHAR(10),'Bundle Tag Info'!$A$2," ",'Bundle Tag Info'!$A$3,CHAR(10),'Bundle Tag Info'!I$6,CHAR(10),'Bundle Tag Info'!I$18),"")</f>
        <v/>
      </c>
      <c r="J13" s="16" t="str">
        <f>IF('Bundle Tag Info'!J$18&lt;&gt;"",CONCATENATE('Bundle Tag Info'!$A$1," ",CHAR(10),'Bundle Tag Info'!$A$2," ",'Bundle Tag Info'!$A$3,CHAR(10),'Bundle Tag Info'!J$6,CHAR(10),'Bundle Tag Info'!J$18),"")</f>
        <v/>
      </c>
      <c r="K13" s="16" t="str">
        <f>IF('Bundle Tag Info'!K$18&lt;&gt;"",CONCATENATE('Bundle Tag Info'!$A$1," ",CHAR(10),'Bundle Tag Info'!$A$2," ",'Bundle Tag Info'!$A$3,CHAR(10),'Bundle Tag Info'!K$6,CHAR(10),'Bundle Tag Info'!K$18),"")</f>
        <v/>
      </c>
      <c r="L13" s="16" t="str">
        <f>IF('Bundle Tag Info'!L$18&lt;&gt;"",CONCATENATE('Bundle Tag Info'!$A$1," ",CHAR(10),'Bundle Tag Info'!$A$2," ",'Bundle Tag Info'!$A$3,CHAR(10),'Bundle Tag Info'!L$6,CHAR(10),'Bundle Tag Info'!L$18),"")</f>
        <v/>
      </c>
      <c r="M13" s="16" t="str">
        <f>IF('Bundle Tag Info'!M$18&lt;&gt;"",CONCATENATE('Bundle Tag Info'!$A$1," ",CHAR(10),'Bundle Tag Info'!$A$2," ",'Bundle Tag Info'!$A$3,CHAR(10),'Bundle Tag Info'!M$6,CHAR(10),'Bundle Tag Info'!M$18),"")</f>
        <v/>
      </c>
      <c r="N13" s="16" t="str">
        <f>IF('Bundle Tag Info'!N$18&lt;&gt;"",CONCATENATE('Bundle Tag Info'!$A$1," ",CHAR(10),'Bundle Tag Info'!$A$2," ",'Bundle Tag Info'!$A$3,CHAR(10),'Bundle Tag Info'!N$6,CHAR(10),'Bundle Tag Info'!N$18),"")</f>
        <v/>
      </c>
      <c r="O13" s="16" t="str">
        <f>IF('Bundle Tag Info'!O$18&lt;&gt;"",CONCATENATE('Bundle Tag Info'!$A$1," ",CHAR(10),'Bundle Tag Info'!$A$2," ",'Bundle Tag Info'!$A$3,CHAR(10),'Bundle Tag Info'!O$6,CHAR(10),'Bundle Tag Info'!O$18),"")</f>
        <v/>
      </c>
      <c r="P13" s="16" t="str">
        <f>IF('Bundle Tag Info'!P$18&lt;&gt;"",CONCATENATE('Bundle Tag Info'!$A$1," ",CHAR(10),'Bundle Tag Info'!$A$2," ",'Bundle Tag Info'!$A$3,CHAR(10),'Bundle Tag Info'!P$6,CHAR(10),'Bundle Tag Info'!P$18),"")</f>
        <v/>
      </c>
      <c r="Q13" s="16" t="str">
        <f>IF('Bundle Tag Info'!Q$18&lt;&gt;"",CONCATENATE('Bundle Tag Info'!$A$1," ",CHAR(10),'Bundle Tag Info'!$A$2," ",'Bundle Tag Info'!$A$3,CHAR(10),'Bundle Tag Info'!Q$6,CHAR(10),'Bundle Tag Info'!Q$18),"")</f>
        <v/>
      </c>
      <c r="R13" s="16" t="str">
        <f>IF('Bundle Tag Info'!R$18&lt;&gt;"",CONCATENATE('Bundle Tag Info'!$A$1," ",CHAR(10),'Bundle Tag Info'!$A$2," ",'Bundle Tag Info'!$A$3,CHAR(10),'Bundle Tag Info'!R$6,CHAR(10),'Bundle Tag Info'!R$18),"")</f>
        <v/>
      </c>
      <c r="S13" s="16" t="str">
        <f>IF('Bundle Tag Info'!S$18&lt;&gt;"",CONCATENATE('Bundle Tag Info'!$A$1," ",CHAR(10),'Bundle Tag Info'!$A$2," ",'Bundle Tag Info'!$A$3,CHAR(10),'Bundle Tag Info'!S$6,CHAR(10),'Bundle Tag Info'!S$18),"")</f>
        <v/>
      </c>
      <c r="T13" s="16" t="str">
        <f>IF('Bundle Tag Info'!T$18&lt;&gt;"",CONCATENATE('Bundle Tag Info'!$A$1," ",CHAR(10),'Bundle Tag Info'!$A$2," ",'Bundle Tag Info'!$A$3,CHAR(10),'Bundle Tag Info'!T$6,CHAR(10),'Bundle Tag Info'!T$18),"")</f>
        <v/>
      </c>
      <c r="U13" s="16" t="str">
        <f>IF('Bundle Tag Info'!U$18&lt;&gt;"",CONCATENATE('Bundle Tag Info'!$A$1," ",CHAR(10),'Bundle Tag Info'!$A$2," ",'Bundle Tag Info'!$A$3,CHAR(10),'Bundle Tag Info'!U$6,CHAR(10),'Bundle Tag Info'!U$18),"")</f>
        <v/>
      </c>
      <c r="V13" s="16" t="str">
        <f>IF('Bundle Tag Info'!V$18&lt;&gt;"",CONCATENATE('Bundle Tag Info'!$A$1," ",CHAR(10),'Bundle Tag Info'!$A$2," ",'Bundle Tag Info'!$A$3,CHAR(10),'Bundle Tag Info'!V$6,CHAR(10),'Bundle Tag Info'!V$18),"")</f>
        <v/>
      </c>
      <c r="W13" s="16" t="str">
        <f>IF('Bundle Tag Info'!W$18&lt;&gt;"",CONCATENATE('Bundle Tag Info'!$A$1," ",CHAR(10),'Bundle Tag Info'!$A$2," ",'Bundle Tag Info'!$A$3,CHAR(10),'Bundle Tag Info'!W$6,CHAR(10),'Bundle Tag Info'!W$18),"")</f>
        <v/>
      </c>
      <c r="X13" s="16" t="str">
        <f>IF('Bundle Tag Info'!X$18&lt;&gt;"",CONCATENATE('Bundle Tag Info'!$A$1," ",CHAR(10),'Bundle Tag Info'!$A$2," ",'Bundle Tag Info'!$A$3,CHAR(10),'Bundle Tag Info'!X$6,CHAR(10),'Bundle Tag Info'!X$18),"")</f>
        <v/>
      </c>
      <c r="Y13" s="16" t="str">
        <f>IF('Bundle Tag Info'!Y$18&lt;&gt;"",CONCATENATE('Bundle Tag Info'!$A$1," ",CHAR(10),'Bundle Tag Info'!$A$2," ",'Bundle Tag Info'!$A$3,CHAR(10),'Bundle Tag Info'!Y$6,CHAR(10),'Bundle Tag Info'!Y$18),"")</f>
        <v/>
      </c>
      <c r="Z13" s="16" t="str">
        <f>IF('Bundle Tag Info'!Z$18&lt;&gt;"",CONCATENATE('Bundle Tag Info'!$A$1," ",CHAR(10),'Bundle Tag Info'!$A$2," ",'Bundle Tag Info'!$A$3,CHAR(10),'Bundle Tag Info'!Z$6,CHAR(10),'Bundle Tag Info'!Z$18),"")</f>
        <v/>
      </c>
      <c r="AA13" s="16" t="str">
        <f>IF('Bundle Tag Info'!AA$18&lt;&gt;"",CONCATENATE('Bundle Tag Info'!$A$1," ",CHAR(10),'Bundle Tag Info'!$A$2," ",'Bundle Tag Info'!$A$3,CHAR(10),'Bundle Tag Info'!AA$6,CHAR(10),'Bundle Tag Info'!AA$18),"")</f>
        <v/>
      </c>
      <c r="AB13" s="16" t="str">
        <f>IF('Bundle Tag Info'!AB$18&lt;&gt;"",CONCATENATE('Bundle Tag Info'!$A$1," ",CHAR(10),'Bundle Tag Info'!$A$2," ",'Bundle Tag Info'!$A$3,CHAR(10),'Bundle Tag Info'!AB$6,CHAR(10),'Bundle Tag Info'!AB$18),"")</f>
        <v/>
      </c>
      <c r="AC13" s="16" t="str">
        <f>IF('Bundle Tag Info'!AC$18&lt;&gt;"",CONCATENATE('Bundle Tag Info'!$A$1," ",CHAR(10),'Bundle Tag Info'!$A$2," ",'Bundle Tag Info'!$A$3,CHAR(10),'Bundle Tag Info'!AC$6,CHAR(10),'Bundle Tag Info'!AC$18),"")</f>
        <v/>
      </c>
      <c r="AD13" s="1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6" t="str">
        <f>IF('Bundle Tag Info'!C$7&lt;&gt;"",CONCATENATE('Bundle Tag Info'!$A$1," ",CHAR(10),'Bundle Tag Info'!$A$2," ",'Bundle Tag Info'!$A$3,CHAR(10),'Bundle Tag Info'!C$6,CHAR(10),'Bundle Tag Info'!C$7),"")</f>
        <v>KOC-JPF #1 
4P101 C.1
JB70 R RAIL
XT-HMI</v>
      </c>
      <c r="I14" s="16" t="str">
        <f>IF('Bundle Tag Info'!I$19&lt;&gt;"",CONCATENATE('Bundle Tag Info'!$A$1," ",CHAR(10),'Bundle Tag Info'!$A$2," ",'Bundle Tag Info'!$A$3,CHAR(10),'Bundle Tag Info'!I$6,CHAR(10),'Bundle Tag Info'!I$19),"")</f>
        <v/>
      </c>
      <c r="J14" s="16" t="str">
        <f>IF('Bundle Tag Info'!J$19&lt;&gt;"",CONCATENATE('Bundle Tag Info'!$A$1," ",CHAR(10),'Bundle Tag Info'!$A$2," ",'Bundle Tag Info'!$A$3,CHAR(10),'Bundle Tag Info'!J$6,CHAR(10),'Bundle Tag Info'!J$19),"")</f>
        <v/>
      </c>
      <c r="K14" s="16" t="str">
        <f>IF('Bundle Tag Info'!K$19&lt;&gt;"",CONCATENATE('Bundle Tag Info'!$A$1," ",CHAR(10),'Bundle Tag Info'!$A$2," ",'Bundle Tag Info'!$A$3,CHAR(10),'Bundle Tag Info'!K$6,CHAR(10),'Bundle Tag Info'!K$19),"")</f>
        <v/>
      </c>
      <c r="L14" s="16" t="str">
        <f>IF('Bundle Tag Info'!L$19&lt;&gt;"",CONCATENATE('Bundle Tag Info'!$A$1," ",CHAR(10),'Bundle Tag Info'!$A$2," ",'Bundle Tag Info'!$A$3,CHAR(10),'Bundle Tag Info'!L$6,CHAR(10),'Bundle Tag Info'!L$19),"")</f>
        <v/>
      </c>
      <c r="M14" s="16" t="str">
        <f>IF('Bundle Tag Info'!M$19&lt;&gt;"",CONCATENATE('Bundle Tag Info'!$A$1," ",CHAR(10),'Bundle Tag Info'!$A$2," ",'Bundle Tag Info'!$A$3,CHAR(10),'Bundle Tag Info'!M$6,CHAR(10),'Bundle Tag Info'!M$19),"")</f>
        <v/>
      </c>
      <c r="N14" s="16" t="str">
        <f>IF('Bundle Tag Info'!N$19&lt;&gt;"",CONCATENATE('Bundle Tag Info'!$A$1," ",CHAR(10),'Bundle Tag Info'!$A$2," ",'Bundle Tag Info'!$A$3,CHAR(10),'Bundle Tag Info'!N$6,CHAR(10),'Bundle Tag Info'!N$19),"")</f>
        <v/>
      </c>
      <c r="O14" s="16" t="str">
        <f>IF('Bundle Tag Info'!O$19&lt;&gt;"",CONCATENATE('Bundle Tag Info'!$A$1," ",CHAR(10),'Bundle Tag Info'!$A$2," ",'Bundle Tag Info'!$A$3,CHAR(10),'Bundle Tag Info'!O$6,CHAR(10),'Bundle Tag Info'!O$19),"")</f>
        <v/>
      </c>
      <c r="P14" s="16" t="str">
        <f>IF('Bundle Tag Info'!P$19&lt;&gt;"",CONCATENATE('Bundle Tag Info'!$A$1," ",CHAR(10),'Bundle Tag Info'!$A$2," ",'Bundle Tag Info'!$A$3,CHAR(10),'Bundle Tag Info'!P$6,CHAR(10),'Bundle Tag Info'!P$19),"")</f>
        <v/>
      </c>
      <c r="Q14" s="16" t="str">
        <f>IF('Bundle Tag Info'!Q$19&lt;&gt;"",CONCATENATE('Bundle Tag Info'!$A$1," ",CHAR(10),'Bundle Tag Info'!$A$2," ",'Bundle Tag Info'!$A$3,CHAR(10),'Bundle Tag Info'!Q$6,CHAR(10),'Bundle Tag Info'!Q$19),"")</f>
        <v/>
      </c>
      <c r="R14" s="16" t="str">
        <f>IF('Bundle Tag Info'!R$19&lt;&gt;"",CONCATENATE('Bundle Tag Info'!$A$1," ",CHAR(10),'Bundle Tag Info'!$A$2," ",'Bundle Tag Info'!$A$3,CHAR(10),'Bundle Tag Info'!R$6,CHAR(10),'Bundle Tag Info'!R$19),"")</f>
        <v/>
      </c>
      <c r="S14" s="16" t="str">
        <f>IF('Bundle Tag Info'!S$19&lt;&gt;"",CONCATENATE('Bundle Tag Info'!$A$1," ",CHAR(10),'Bundle Tag Info'!$A$2," ",'Bundle Tag Info'!$A$3,CHAR(10),'Bundle Tag Info'!S$6,CHAR(10),'Bundle Tag Info'!S$19),"")</f>
        <v/>
      </c>
      <c r="T14" s="16" t="str">
        <f>IF('Bundle Tag Info'!T$19&lt;&gt;"",CONCATENATE('Bundle Tag Info'!$A$1," ",CHAR(10),'Bundle Tag Info'!$A$2," ",'Bundle Tag Info'!$A$3,CHAR(10),'Bundle Tag Info'!T$6,CHAR(10),'Bundle Tag Info'!T$19),"")</f>
        <v/>
      </c>
      <c r="U14" s="16" t="str">
        <f>IF('Bundle Tag Info'!U$19&lt;&gt;"",CONCATENATE('Bundle Tag Info'!$A$1," ",CHAR(10),'Bundle Tag Info'!$A$2," ",'Bundle Tag Info'!$A$3,CHAR(10),'Bundle Tag Info'!U$6,CHAR(10),'Bundle Tag Info'!U$19),"")</f>
        <v/>
      </c>
      <c r="V14" s="16" t="str">
        <f>IF('Bundle Tag Info'!V$19&lt;&gt;"",CONCATENATE('Bundle Tag Info'!$A$1," ",CHAR(10),'Bundle Tag Info'!$A$2," ",'Bundle Tag Info'!$A$3,CHAR(10),'Bundle Tag Info'!V$6,CHAR(10),'Bundle Tag Info'!V$19),"")</f>
        <v/>
      </c>
      <c r="W14" s="16" t="str">
        <f>IF('Bundle Tag Info'!W$19&lt;&gt;"",CONCATENATE('Bundle Tag Info'!$A$1," ",CHAR(10),'Bundle Tag Info'!$A$2," ",'Bundle Tag Info'!$A$3,CHAR(10),'Bundle Tag Info'!W$6,CHAR(10),'Bundle Tag Info'!W$19),"")</f>
        <v/>
      </c>
      <c r="X14" s="16" t="str">
        <f>IF('Bundle Tag Info'!X$19&lt;&gt;"",CONCATENATE('Bundle Tag Info'!$A$1," ",CHAR(10),'Bundle Tag Info'!$A$2," ",'Bundle Tag Info'!$A$3,CHAR(10),'Bundle Tag Info'!X$6,CHAR(10),'Bundle Tag Info'!X$19),"")</f>
        <v/>
      </c>
      <c r="Y14" s="16" t="str">
        <f>IF('Bundle Tag Info'!Y$19&lt;&gt;"",CONCATENATE('Bundle Tag Info'!$A$1," ",CHAR(10),'Bundle Tag Info'!$A$2," ",'Bundle Tag Info'!$A$3,CHAR(10),'Bundle Tag Info'!Y$6,CHAR(10),'Bundle Tag Info'!Y$19),"")</f>
        <v/>
      </c>
      <c r="Z14" s="16" t="str">
        <f>IF('Bundle Tag Info'!Z$19&lt;&gt;"",CONCATENATE('Bundle Tag Info'!$A$1," ",CHAR(10),'Bundle Tag Info'!$A$2," ",'Bundle Tag Info'!$A$3,CHAR(10),'Bundle Tag Info'!Z$6,CHAR(10),'Bundle Tag Info'!Z$19),"")</f>
        <v/>
      </c>
      <c r="AA14" s="16" t="str">
        <f>IF('Bundle Tag Info'!AA$19&lt;&gt;"",CONCATENATE('Bundle Tag Info'!$A$1," ",CHAR(10),'Bundle Tag Info'!$A$2," ",'Bundle Tag Info'!$A$3,CHAR(10),'Bundle Tag Info'!AA$6,CHAR(10),'Bundle Tag Info'!AA$19),"")</f>
        <v/>
      </c>
      <c r="AB14" s="16" t="str">
        <f>IF('Bundle Tag Info'!AB$19&lt;&gt;"",CONCATENATE('Bundle Tag Info'!$A$1," ",CHAR(10),'Bundle Tag Info'!$A$2," ",'Bundle Tag Info'!$A$3,CHAR(10),'Bundle Tag Info'!AB$6,CHAR(10),'Bundle Tag Info'!AB$19),"")</f>
        <v/>
      </c>
      <c r="AC14" s="16" t="str">
        <f>IF('Bundle Tag Info'!AC$19&lt;&gt;"",CONCATENATE('Bundle Tag Info'!$A$1," ",CHAR(10),'Bundle Tag Info'!$A$2," ",'Bundle Tag Info'!$A$3,CHAR(10),'Bundle Tag Info'!AC$6,CHAR(10),'Bundle Tag Info'!AC$19),"")</f>
        <v/>
      </c>
      <c r="AD14" s="1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6" t="str">
        <f>IF('Bundle Tag Info'!C$8&lt;&gt;"",CONCATENATE('Bundle Tag Info'!$A$1," ",CHAR(10),'Bundle Tag Info'!$A$2," ",'Bundle Tag Info'!$A$3,CHAR(10),'Bundle Tag Info'!C$6,CHAR(10),'Bundle Tag Info'!C$8),"")</f>
        <v>KOC-JPF #1 
4P101 C.1
JB70 R RAIL
XT-A</v>
      </c>
      <c r="I15" s="16" t="str">
        <f>IF('Bundle Tag Info'!I$20&lt;&gt;"",CONCATENATE('Bundle Tag Info'!$A$1," ",CHAR(10),'Bundle Tag Info'!$A$2," ",'Bundle Tag Info'!$A$3,CHAR(10),'Bundle Tag Info'!I$6,CHAR(10),'Bundle Tag Info'!I$20),"")</f>
        <v/>
      </c>
      <c r="J15" s="16" t="str">
        <f>IF('Bundle Tag Info'!J$20&lt;&gt;"",CONCATENATE('Bundle Tag Info'!$A$1," ",CHAR(10),'Bundle Tag Info'!$A$2," ",'Bundle Tag Info'!$A$3,CHAR(10),'Bundle Tag Info'!J$6,CHAR(10),'Bundle Tag Info'!J$20),"")</f>
        <v/>
      </c>
      <c r="K15" s="16" t="str">
        <f>IF('Bundle Tag Info'!K$20&lt;&gt;"",CONCATENATE('Bundle Tag Info'!$A$1," ",CHAR(10),'Bundle Tag Info'!$A$2," ",'Bundle Tag Info'!$A$3,CHAR(10),'Bundle Tag Info'!K$6,CHAR(10),'Bundle Tag Info'!K$20),"")</f>
        <v/>
      </c>
      <c r="L15" s="16" t="str">
        <f>IF('Bundle Tag Info'!L$20&lt;&gt;"",CONCATENATE('Bundle Tag Info'!$A$1," ",CHAR(10),'Bundle Tag Info'!$A$2," ",'Bundle Tag Info'!$A$3,CHAR(10),'Bundle Tag Info'!L$6,CHAR(10),'Bundle Tag Info'!L$20),"")</f>
        <v/>
      </c>
      <c r="M15" s="16" t="str">
        <f>IF('Bundle Tag Info'!M$20&lt;&gt;"",CONCATENATE('Bundle Tag Info'!$A$1," ",CHAR(10),'Bundle Tag Info'!$A$2," ",'Bundle Tag Info'!$A$3,CHAR(10),'Bundle Tag Info'!M$6,CHAR(10),'Bundle Tag Info'!M$20),"")</f>
        <v/>
      </c>
      <c r="N15" s="16" t="str">
        <f>IF('Bundle Tag Info'!N$20&lt;&gt;"",CONCATENATE('Bundle Tag Info'!$A$1," ",CHAR(10),'Bundle Tag Info'!$A$2," ",'Bundle Tag Info'!$A$3,CHAR(10),'Bundle Tag Info'!N$6,CHAR(10),'Bundle Tag Info'!N$20),"")</f>
        <v/>
      </c>
      <c r="O15" s="16" t="str">
        <f>IF('Bundle Tag Info'!O$20&lt;&gt;"",CONCATENATE('Bundle Tag Info'!$A$1," ",CHAR(10),'Bundle Tag Info'!$A$2," ",'Bundle Tag Info'!$A$3,CHAR(10),'Bundle Tag Info'!O$6,CHAR(10),'Bundle Tag Info'!O$20),"")</f>
        <v/>
      </c>
      <c r="P15" s="16" t="str">
        <f>IF('Bundle Tag Info'!P$20&lt;&gt;"",CONCATENATE('Bundle Tag Info'!$A$1," ",CHAR(10),'Bundle Tag Info'!$A$2," ",'Bundle Tag Info'!$A$3,CHAR(10),'Bundle Tag Info'!P$6,CHAR(10),'Bundle Tag Info'!P$20),"")</f>
        <v/>
      </c>
      <c r="Q15" s="16" t="str">
        <f>IF('Bundle Tag Info'!Q$20&lt;&gt;"",CONCATENATE('Bundle Tag Info'!$A$1," ",CHAR(10),'Bundle Tag Info'!$A$2," ",'Bundle Tag Info'!$A$3,CHAR(10),'Bundle Tag Info'!Q$6,CHAR(10),'Bundle Tag Info'!Q$20),"")</f>
        <v/>
      </c>
      <c r="R15" s="16" t="str">
        <f>IF('Bundle Tag Info'!R$20&lt;&gt;"",CONCATENATE('Bundle Tag Info'!$A$1," ",CHAR(10),'Bundle Tag Info'!$A$2," ",'Bundle Tag Info'!$A$3,CHAR(10),'Bundle Tag Info'!R$6,CHAR(10),'Bundle Tag Info'!R$20),"")</f>
        <v/>
      </c>
      <c r="S15" s="16" t="str">
        <f>IF('Bundle Tag Info'!S$20&lt;&gt;"",CONCATENATE('Bundle Tag Info'!$A$1," ",CHAR(10),'Bundle Tag Info'!$A$2," ",'Bundle Tag Info'!$A$3,CHAR(10),'Bundle Tag Info'!S$6,CHAR(10),'Bundle Tag Info'!S$20),"")</f>
        <v/>
      </c>
      <c r="T15" s="16" t="str">
        <f>IF('Bundle Tag Info'!T$20&lt;&gt;"",CONCATENATE('Bundle Tag Info'!$A$1," ",CHAR(10),'Bundle Tag Info'!$A$2," ",'Bundle Tag Info'!$A$3,CHAR(10),'Bundle Tag Info'!T$6,CHAR(10),'Bundle Tag Info'!T$20),"")</f>
        <v/>
      </c>
      <c r="U15" s="16" t="str">
        <f>IF('Bundle Tag Info'!U$20&lt;&gt;"",CONCATENATE('Bundle Tag Info'!$A$1," ",CHAR(10),'Bundle Tag Info'!$A$2," ",'Bundle Tag Info'!$A$3,CHAR(10),'Bundle Tag Info'!U$6,CHAR(10),'Bundle Tag Info'!U$20),"")</f>
        <v/>
      </c>
      <c r="V15" s="16" t="str">
        <f>IF('Bundle Tag Info'!V$20&lt;&gt;"",CONCATENATE('Bundle Tag Info'!$A$1," ",CHAR(10),'Bundle Tag Info'!$A$2," ",'Bundle Tag Info'!$A$3,CHAR(10),'Bundle Tag Info'!V$6,CHAR(10),'Bundle Tag Info'!V$20),"")</f>
        <v/>
      </c>
      <c r="W15" s="16" t="str">
        <f>IF('Bundle Tag Info'!W$20&lt;&gt;"",CONCATENATE('Bundle Tag Info'!$A$1," ",CHAR(10),'Bundle Tag Info'!$A$2," ",'Bundle Tag Info'!$A$3,CHAR(10),'Bundle Tag Info'!W$6,CHAR(10),'Bundle Tag Info'!W$20),"")</f>
        <v/>
      </c>
      <c r="X15" s="16" t="str">
        <f>IF('Bundle Tag Info'!X$20&lt;&gt;"",CONCATENATE('Bundle Tag Info'!$A$1," ",CHAR(10),'Bundle Tag Info'!$A$2," ",'Bundle Tag Info'!$A$3,CHAR(10),'Bundle Tag Info'!X$6,CHAR(10),'Bundle Tag Info'!X$20),"")</f>
        <v/>
      </c>
      <c r="Y15" s="16" t="str">
        <f>IF('Bundle Tag Info'!Y$20&lt;&gt;"",CONCATENATE('Bundle Tag Info'!$A$1," ",CHAR(10),'Bundle Tag Info'!$A$2," ",'Bundle Tag Info'!$A$3,CHAR(10),'Bundle Tag Info'!Y$6,CHAR(10),'Bundle Tag Info'!Y$20),"")</f>
        <v/>
      </c>
      <c r="Z15" s="16" t="str">
        <f>IF('Bundle Tag Info'!Z$20&lt;&gt;"",CONCATENATE('Bundle Tag Info'!$A$1," ",CHAR(10),'Bundle Tag Info'!$A$2," ",'Bundle Tag Info'!$A$3,CHAR(10),'Bundle Tag Info'!Z$6,CHAR(10),'Bundle Tag Info'!Z$20),"")</f>
        <v/>
      </c>
      <c r="AA15" s="16" t="str">
        <f>IF('Bundle Tag Info'!AA$20&lt;&gt;"",CONCATENATE('Bundle Tag Info'!$A$1," ",CHAR(10),'Bundle Tag Info'!$A$2," ",'Bundle Tag Info'!$A$3,CHAR(10),'Bundle Tag Info'!AA$6,CHAR(10),'Bundle Tag Info'!AA$20),"")</f>
        <v/>
      </c>
      <c r="AB15" s="16" t="str">
        <f>IF('Bundle Tag Info'!AB$20&lt;&gt;"",CONCATENATE('Bundle Tag Info'!$A$1," ",CHAR(10),'Bundle Tag Info'!$A$2," ",'Bundle Tag Info'!$A$3,CHAR(10),'Bundle Tag Info'!AB$6,CHAR(10),'Bundle Tag Info'!AB$20),"")</f>
        <v/>
      </c>
      <c r="AC15" s="16" t="str">
        <f>IF('Bundle Tag Info'!AC$20&lt;&gt;"",CONCATENATE('Bundle Tag Info'!$A$1," ",CHAR(10),'Bundle Tag Info'!$A$2," ",'Bundle Tag Info'!$A$3,CHAR(10),'Bundle Tag Info'!AC$6,CHAR(10),'Bundle Tag Info'!AC$20),"")</f>
        <v/>
      </c>
      <c r="AD15" s="1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6" t="str">
        <f>IF('Bundle Tag Info'!C$9&lt;&gt;"",CONCATENATE('Bundle Tag Info'!$A$1," ",CHAR(10),'Bundle Tag Info'!$A$2," ",'Bundle Tag Info'!$A$3,CHAR(10),'Bundle Tag Info'!C$6,CHAR(10),'Bundle Tag Info'!C$9),"")</f>
        <v>KOC-JPF #1 
4P101 C.1
JB70 R RAIL
XT-B</v>
      </c>
      <c r="I16" s="16" t="str">
        <f>IF('Bundle Tag Info'!I$21&lt;&gt;"",CONCATENATE('Bundle Tag Info'!$A$1," ",CHAR(10),'Bundle Tag Info'!$A$2," ",'Bundle Tag Info'!$A$3,CHAR(10),'Bundle Tag Info'!I$6,CHAR(10),'Bundle Tag Info'!I$21),"")</f>
        <v/>
      </c>
      <c r="J16" s="16" t="str">
        <f>IF('Bundle Tag Info'!J$21&lt;&gt;"",CONCATENATE('Bundle Tag Info'!$A$1," ",CHAR(10),'Bundle Tag Info'!$A$2," ",'Bundle Tag Info'!$A$3,CHAR(10),'Bundle Tag Info'!J$6,CHAR(10),'Bundle Tag Info'!J$21),"")</f>
        <v/>
      </c>
      <c r="K16" s="16" t="str">
        <f>IF('Bundle Tag Info'!K$21&lt;&gt;"",CONCATENATE('Bundle Tag Info'!$A$1," ",CHAR(10),'Bundle Tag Info'!$A$2," ",'Bundle Tag Info'!$A$3,CHAR(10),'Bundle Tag Info'!K$6,CHAR(10),'Bundle Tag Info'!K$21),"")</f>
        <v/>
      </c>
      <c r="L16" s="16" t="str">
        <f>IF('Bundle Tag Info'!L$21&lt;&gt;"",CONCATENATE('Bundle Tag Info'!$A$1," ",CHAR(10),'Bundle Tag Info'!$A$2," ",'Bundle Tag Info'!$A$3,CHAR(10),'Bundle Tag Info'!L$6,CHAR(10),'Bundle Tag Info'!L$21),"")</f>
        <v/>
      </c>
      <c r="M16" s="16" t="str">
        <f>IF('Bundle Tag Info'!M$21&lt;&gt;"",CONCATENATE('Bundle Tag Info'!$A$1," ",CHAR(10),'Bundle Tag Info'!$A$2," ",'Bundle Tag Info'!$A$3,CHAR(10),'Bundle Tag Info'!M$6,CHAR(10),'Bundle Tag Info'!M$21),"")</f>
        <v/>
      </c>
      <c r="N16" s="16" t="str">
        <f>IF('Bundle Tag Info'!N$21&lt;&gt;"",CONCATENATE('Bundle Tag Info'!$A$1," ",CHAR(10),'Bundle Tag Info'!$A$2," ",'Bundle Tag Info'!$A$3,CHAR(10),'Bundle Tag Info'!N$6,CHAR(10),'Bundle Tag Info'!N$21),"")</f>
        <v/>
      </c>
      <c r="O16" s="16" t="str">
        <f>IF('Bundle Tag Info'!O$21&lt;&gt;"",CONCATENATE('Bundle Tag Info'!$A$1," ",CHAR(10),'Bundle Tag Info'!$A$2," ",'Bundle Tag Info'!$A$3,CHAR(10),'Bundle Tag Info'!O$6,CHAR(10),'Bundle Tag Info'!O$21),"")</f>
        <v/>
      </c>
      <c r="P16" s="16" t="str">
        <f>IF('Bundle Tag Info'!P$21&lt;&gt;"",CONCATENATE('Bundle Tag Info'!$A$1," ",CHAR(10),'Bundle Tag Info'!$A$2," ",'Bundle Tag Info'!$A$3,CHAR(10),'Bundle Tag Info'!P$6,CHAR(10),'Bundle Tag Info'!P$21),"")</f>
        <v/>
      </c>
      <c r="Q16" s="16" t="str">
        <f>IF('Bundle Tag Info'!Q$21&lt;&gt;"",CONCATENATE('Bundle Tag Info'!$A$1," ",CHAR(10),'Bundle Tag Info'!$A$2," ",'Bundle Tag Info'!$A$3,CHAR(10),'Bundle Tag Info'!Q$6,CHAR(10),'Bundle Tag Info'!Q$21),"")</f>
        <v/>
      </c>
      <c r="R16" s="16" t="str">
        <f>IF('Bundle Tag Info'!R$21&lt;&gt;"",CONCATENATE('Bundle Tag Info'!$A$1," ",CHAR(10),'Bundle Tag Info'!$A$2," ",'Bundle Tag Info'!$A$3,CHAR(10),'Bundle Tag Info'!R$6,CHAR(10),'Bundle Tag Info'!R$21),"")</f>
        <v/>
      </c>
      <c r="S16" s="16" t="str">
        <f>IF('Bundle Tag Info'!S$21&lt;&gt;"",CONCATENATE('Bundle Tag Info'!$A$1," ",CHAR(10),'Bundle Tag Info'!$A$2," ",'Bundle Tag Info'!$A$3,CHAR(10),'Bundle Tag Info'!S$6,CHAR(10),'Bundle Tag Info'!S$21),"")</f>
        <v/>
      </c>
      <c r="T16" s="16" t="str">
        <f>IF('Bundle Tag Info'!T$21&lt;&gt;"",CONCATENATE('Bundle Tag Info'!$A$1," ",CHAR(10),'Bundle Tag Info'!$A$2," ",'Bundle Tag Info'!$A$3,CHAR(10),'Bundle Tag Info'!T$6,CHAR(10),'Bundle Tag Info'!T$21),"")</f>
        <v/>
      </c>
      <c r="U16" s="16" t="str">
        <f>IF('Bundle Tag Info'!U$21&lt;&gt;"",CONCATENATE('Bundle Tag Info'!$A$1," ",CHAR(10),'Bundle Tag Info'!$A$2," ",'Bundle Tag Info'!$A$3,CHAR(10),'Bundle Tag Info'!U$6,CHAR(10),'Bundle Tag Info'!U$21),"")</f>
        <v/>
      </c>
      <c r="V16" s="16" t="str">
        <f>IF('Bundle Tag Info'!V$21&lt;&gt;"",CONCATENATE('Bundle Tag Info'!$A$1," ",CHAR(10),'Bundle Tag Info'!$A$2," ",'Bundle Tag Info'!$A$3,CHAR(10),'Bundle Tag Info'!V$6,CHAR(10),'Bundle Tag Info'!V$21),"")</f>
        <v/>
      </c>
      <c r="W16" s="16" t="str">
        <f>IF('Bundle Tag Info'!W$21&lt;&gt;"",CONCATENATE('Bundle Tag Info'!$A$1," ",CHAR(10),'Bundle Tag Info'!$A$2," ",'Bundle Tag Info'!$A$3,CHAR(10),'Bundle Tag Info'!W$6,CHAR(10),'Bundle Tag Info'!W$21),"")</f>
        <v/>
      </c>
      <c r="X16" s="16" t="str">
        <f>IF('Bundle Tag Info'!X$21&lt;&gt;"",CONCATENATE('Bundle Tag Info'!$A$1," ",CHAR(10),'Bundle Tag Info'!$A$2," ",'Bundle Tag Info'!$A$3,CHAR(10),'Bundle Tag Info'!X$6,CHAR(10),'Bundle Tag Info'!X$21),"")</f>
        <v/>
      </c>
      <c r="Y16" s="16" t="str">
        <f>IF('Bundle Tag Info'!Y$21&lt;&gt;"",CONCATENATE('Bundle Tag Info'!$A$1," ",CHAR(10),'Bundle Tag Info'!$A$2," ",'Bundle Tag Info'!$A$3,CHAR(10),'Bundle Tag Info'!Y$6,CHAR(10),'Bundle Tag Info'!Y$21),"")</f>
        <v/>
      </c>
      <c r="Z16" s="16" t="str">
        <f>IF('Bundle Tag Info'!Z$21&lt;&gt;"",CONCATENATE('Bundle Tag Info'!$A$1," ",CHAR(10),'Bundle Tag Info'!$A$2," ",'Bundle Tag Info'!$A$3,CHAR(10),'Bundle Tag Info'!Z$6,CHAR(10),'Bundle Tag Info'!Z$21),"")</f>
        <v/>
      </c>
      <c r="AA16" s="16" t="str">
        <f>IF('Bundle Tag Info'!AA$21&lt;&gt;"",CONCATENATE('Bundle Tag Info'!$A$1," ",CHAR(10),'Bundle Tag Info'!$A$2," ",'Bundle Tag Info'!$A$3,CHAR(10),'Bundle Tag Info'!AA$6,CHAR(10),'Bundle Tag Info'!AA$21),"")</f>
        <v/>
      </c>
      <c r="AB16" s="16" t="str">
        <f>IF('Bundle Tag Info'!AB$21&lt;&gt;"",CONCATENATE('Bundle Tag Info'!$A$1," ",CHAR(10),'Bundle Tag Info'!$A$2," ",'Bundle Tag Info'!$A$3,CHAR(10),'Bundle Tag Info'!AB$6,CHAR(10),'Bundle Tag Info'!AB$21),"")</f>
        <v/>
      </c>
      <c r="AC16" s="16" t="str">
        <f>IF('Bundle Tag Info'!AC$21&lt;&gt;"",CONCATENATE('Bundle Tag Info'!$A$1," ",CHAR(10),'Bundle Tag Info'!$A$2," ",'Bundle Tag Info'!$A$3,CHAR(10),'Bundle Tag Info'!AC$6,CHAR(10),'Bundle Tag Info'!AC$21),"")</f>
        <v/>
      </c>
      <c r="AD16" s="1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6" t="str">
        <f>IF('Bundle Tag Info'!D$7&lt;&gt;"",CONCATENATE('Bundle Tag Info'!$A$1," ",CHAR(10),'Bundle Tag Info'!$A$2," ",'Bundle Tag Info'!$A$3,CHAR(10),'Bundle Tag Info'!D$6,CHAR(10),'Bundle Tag Info'!D$7),"")</f>
        <v>KOC-JPF #1 
4P101 C.1
PLC
FU/AT</v>
      </c>
      <c r="I17" s="16" t="str">
        <f>IF('Bundle Tag Info'!I$22&lt;&gt;"",CONCATENATE('Bundle Tag Info'!$A$1," ",CHAR(10),'Bundle Tag Info'!$A$2," ",'Bundle Tag Info'!$A$3,CHAR(10),'Bundle Tag Info'!I$6,CHAR(10),'Bundle Tag Info'!I$22),"")</f>
        <v/>
      </c>
      <c r="J17" s="16" t="str">
        <f>IF('Bundle Tag Info'!J$22&lt;&gt;"",CONCATENATE('Bundle Tag Info'!$A$1," ",CHAR(10),'Bundle Tag Info'!$A$2," ",'Bundle Tag Info'!$A$3,CHAR(10),'Bundle Tag Info'!J$6,CHAR(10),'Bundle Tag Info'!J$22),"")</f>
        <v/>
      </c>
      <c r="K17" s="16" t="str">
        <f>IF('Bundle Tag Info'!K$22&lt;&gt;"",CONCATENATE('Bundle Tag Info'!$A$1," ",CHAR(10),'Bundle Tag Info'!$A$2," ",'Bundle Tag Info'!$A$3,CHAR(10),'Bundle Tag Info'!K$6,CHAR(10),'Bundle Tag Info'!K$22),"")</f>
        <v/>
      </c>
      <c r="L17" s="16" t="str">
        <f>IF('Bundle Tag Info'!L$22&lt;&gt;"",CONCATENATE('Bundle Tag Info'!$A$1," ",CHAR(10),'Bundle Tag Info'!$A$2," ",'Bundle Tag Info'!$A$3,CHAR(10),'Bundle Tag Info'!L$6,CHAR(10),'Bundle Tag Info'!L$22),"")</f>
        <v/>
      </c>
      <c r="M17" s="16" t="str">
        <f>IF('Bundle Tag Info'!M$22&lt;&gt;"",CONCATENATE('Bundle Tag Info'!$A$1," ",CHAR(10),'Bundle Tag Info'!$A$2," ",'Bundle Tag Info'!$A$3,CHAR(10),'Bundle Tag Info'!M$6,CHAR(10),'Bundle Tag Info'!M$22),"")</f>
        <v/>
      </c>
      <c r="N17" s="16" t="str">
        <f>IF('Bundle Tag Info'!N$22&lt;&gt;"",CONCATENATE('Bundle Tag Info'!$A$1," ",CHAR(10),'Bundle Tag Info'!$A$2," ",'Bundle Tag Info'!$A$3,CHAR(10),'Bundle Tag Info'!N$6,CHAR(10),'Bundle Tag Info'!N$22),"")</f>
        <v/>
      </c>
      <c r="O17" s="16" t="str">
        <f>IF('Bundle Tag Info'!O$22&lt;&gt;"",CONCATENATE('Bundle Tag Info'!$A$1," ",CHAR(10),'Bundle Tag Info'!$A$2," ",'Bundle Tag Info'!$A$3,CHAR(10),'Bundle Tag Info'!O$6,CHAR(10),'Bundle Tag Info'!O$22),"")</f>
        <v/>
      </c>
      <c r="P17" s="16" t="str">
        <f>IF('Bundle Tag Info'!P$22&lt;&gt;"",CONCATENATE('Bundle Tag Info'!$A$1," ",CHAR(10),'Bundle Tag Info'!$A$2," ",'Bundle Tag Info'!$A$3,CHAR(10),'Bundle Tag Info'!P$6,CHAR(10),'Bundle Tag Info'!P$22),"")</f>
        <v/>
      </c>
      <c r="Q17" s="16" t="str">
        <f>IF('Bundle Tag Info'!Q$22&lt;&gt;"",CONCATENATE('Bundle Tag Info'!$A$1," ",CHAR(10),'Bundle Tag Info'!$A$2," ",'Bundle Tag Info'!$A$3,CHAR(10),'Bundle Tag Info'!Q$6,CHAR(10),'Bundle Tag Info'!Q$22),"")</f>
        <v/>
      </c>
      <c r="R17" s="16" t="str">
        <f>IF('Bundle Tag Info'!R$22&lt;&gt;"",CONCATENATE('Bundle Tag Info'!$A$1," ",CHAR(10),'Bundle Tag Info'!$A$2," ",'Bundle Tag Info'!$A$3,CHAR(10),'Bundle Tag Info'!R$6,CHAR(10),'Bundle Tag Info'!R$22),"")</f>
        <v/>
      </c>
      <c r="S17" s="16" t="str">
        <f>IF('Bundle Tag Info'!S$22&lt;&gt;"",CONCATENATE('Bundle Tag Info'!$A$1," ",CHAR(10),'Bundle Tag Info'!$A$2," ",'Bundle Tag Info'!$A$3,CHAR(10),'Bundle Tag Info'!S$6,CHAR(10),'Bundle Tag Info'!S$22),"")</f>
        <v/>
      </c>
      <c r="T17" s="16" t="str">
        <f>IF('Bundle Tag Info'!T$22&lt;&gt;"",CONCATENATE('Bundle Tag Info'!$A$1," ",CHAR(10),'Bundle Tag Info'!$A$2," ",'Bundle Tag Info'!$A$3,CHAR(10),'Bundle Tag Info'!T$6,CHAR(10),'Bundle Tag Info'!T$22),"")</f>
        <v/>
      </c>
      <c r="U17" s="16" t="str">
        <f>IF('Bundle Tag Info'!U$22&lt;&gt;"",CONCATENATE('Bundle Tag Info'!$A$1," ",CHAR(10),'Bundle Tag Info'!$A$2," ",'Bundle Tag Info'!$A$3,CHAR(10),'Bundle Tag Info'!U$6,CHAR(10),'Bundle Tag Info'!U$22),"")</f>
        <v/>
      </c>
      <c r="V17" s="16" t="str">
        <f>IF('Bundle Tag Info'!V$22&lt;&gt;"",CONCATENATE('Bundle Tag Info'!$A$1," ",CHAR(10),'Bundle Tag Info'!$A$2," ",'Bundle Tag Info'!$A$3,CHAR(10),'Bundle Tag Info'!V$6,CHAR(10),'Bundle Tag Info'!V$22),"")</f>
        <v/>
      </c>
      <c r="W17" s="16" t="str">
        <f>IF('Bundle Tag Info'!W$22&lt;&gt;"",CONCATENATE('Bundle Tag Info'!$A$1," ",CHAR(10),'Bundle Tag Info'!$A$2," ",'Bundle Tag Info'!$A$3,CHAR(10),'Bundle Tag Info'!W$6,CHAR(10),'Bundle Tag Info'!W$22),"")</f>
        <v/>
      </c>
      <c r="X17" s="16" t="str">
        <f>IF('Bundle Tag Info'!X$22&lt;&gt;"",CONCATENATE('Bundle Tag Info'!$A$1," ",CHAR(10),'Bundle Tag Info'!$A$2," ",'Bundle Tag Info'!$A$3,CHAR(10),'Bundle Tag Info'!X$6,CHAR(10),'Bundle Tag Info'!X$22),"")</f>
        <v/>
      </c>
      <c r="Y17" s="16" t="str">
        <f>IF('Bundle Tag Info'!Y$22&lt;&gt;"",CONCATENATE('Bundle Tag Info'!$A$1," ",CHAR(10),'Bundle Tag Info'!$A$2," ",'Bundle Tag Info'!$A$3,CHAR(10),'Bundle Tag Info'!Y$6,CHAR(10),'Bundle Tag Info'!Y$22),"")</f>
        <v/>
      </c>
      <c r="Z17" s="16" t="str">
        <f>IF('Bundle Tag Info'!Z$22&lt;&gt;"",CONCATENATE('Bundle Tag Info'!$A$1," ",CHAR(10),'Bundle Tag Info'!$A$2," ",'Bundle Tag Info'!$A$3,CHAR(10),'Bundle Tag Info'!Z$6,CHAR(10),'Bundle Tag Info'!Z$22),"")</f>
        <v/>
      </c>
      <c r="AA17" s="16" t="str">
        <f>IF('Bundle Tag Info'!AA$22&lt;&gt;"",CONCATENATE('Bundle Tag Info'!$A$1," ",CHAR(10),'Bundle Tag Info'!$A$2," ",'Bundle Tag Info'!$A$3,CHAR(10),'Bundle Tag Info'!AA$6,CHAR(10),'Bundle Tag Info'!AA$22),"")</f>
        <v/>
      </c>
      <c r="AB17" s="16" t="str">
        <f>IF('Bundle Tag Info'!AB$22&lt;&gt;"",CONCATENATE('Bundle Tag Info'!$A$1," ",CHAR(10),'Bundle Tag Info'!$A$2," ",'Bundle Tag Info'!$A$3,CHAR(10),'Bundle Tag Info'!AB$6,CHAR(10),'Bundle Tag Info'!AB$22),"")</f>
        <v/>
      </c>
      <c r="AC17" s="16" t="str">
        <f>IF('Bundle Tag Info'!AC$22&lt;&gt;"",CONCATENATE('Bundle Tag Info'!$A$1," ",CHAR(10),'Bundle Tag Info'!$A$2," ",'Bundle Tag Info'!$A$3,CHAR(10),'Bundle Tag Info'!AC$6,CHAR(10),'Bundle Tag Info'!AC$22),"")</f>
        <v/>
      </c>
      <c r="AD17" s="1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6" t="str">
        <f>IF('Bundle Tag Info'!D$8&lt;&gt;"",CONCATENATE('Bundle Tag Info'!$A$1," ",CHAR(10),'Bundle Tag Info'!$A$2," ",'Bundle Tag Info'!$A$3,CHAR(10),'Bundle Tag Info'!D$6,CHAR(10),'Bundle Tag Info'!D$8),"")</f>
        <v>KOC-JPF #1 
4P101 C.1
PLC
FU/UV-A</v>
      </c>
      <c r="I18" s="16" t="str">
        <f>IF('Bundle Tag Info'!I$23&lt;&gt;"",CONCATENATE('Bundle Tag Info'!$A$1," ",CHAR(10),'Bundle Tag Info'!$A$2," ",'Bundle Tag Info'!$A$3,CHAR(10),'Bundle Tag Info'!I$6,CHAR(10),'Bundle Tag Info'!I$23),"")</f>
        <v/>
      </c>
      <c r="J18" s="16" t="str">
        <f>IF('Bundle Tag Info'!J$23&lt;&gt;"",CONCATENATE('Bundle Tag Info'!$A$1," ",CHAR(10),'Bundle Tag Info'!$A$2," ",'Bundle Tag Info'!$A$3,CHAR(10),'Bundle Tag Info'!J$6,CHAR(10),'Bundle Tag Info'!J$23),"")</f>
        <v/>
      </c>
      <c r="K18" s="16" t="str">
        <f>IF('Bundle Tag Info'!K$23&lt;&gt;"",CONCATENATE('Bundle Tag Info'!$A$1," ",CHAR(10),'Bundle Tag Info'!$A$2," ",'Bundle Tag Info'!$A$3,CHAR(10),'Bundle Tag Info'!K$6,CHAR(10),'Bundle Tag Info'!K$23),"")</f>
        <v/>
      </c>
      <c r="L18" s="16" t="str">
        <f>IF('Bundle Tag Info'!L$23&lt;&gt;"",CONCATENATE('Bundle Tag Info'!$A$1," ",CHAR(10),'Bundle Tag Info'!$A$2," ",'Bundle Tag Info'!$A$3,CHAR(10),'Bundle Tag Info'!L$6,CHAR(10),'Bundle Tag Info'!L$23),"")</f>
        <v/>
      </c>
      <c r="M18" s="16" t="str">
        <f>IF('Bundle Tag Info'!M$23&lt;&gt;"",CONCATENATE('Bundle Tag Info'!$A$1," ",CHAR(10),'Bundle Tag Info'!$A$2," ",'Bundle Tag Info'!$A$3,CHAR(10),'Bundle Tag Info'!M$6,CHAR(10),'Bundle Tag Info'!M$23),"")</f>
        <v/>
      </c>
      <c r="N18" s="16" t="str">
        <f>IF('Bundle Tag Info'!N$23&lt;&gt;"",CONCATENATE('Bundle Tag Info'!$A$1," ",CHAR(10),'Bundle Tag Info'!$A$2," ",'Bundle Tag Info'!$A$3,CHAR(10),'Bundle Tag Info'!N$6,CHAR(10),'Bundle Tag Info'!N$23),"")</f>
        <v/>
      </c>
      <c r="O18" s="16" t="str">
        <f>IF('Bundle Tag Info'!O$23&lt;&gt;"",CONCATENATE('Bundle Tag Info'!$A$1," ",CHAR(10),'Bundle Tag Info'!$A$2," ",'Bundle Tag Info'!$A$3,CHAR(10),'Bundle Tag Info'!O$6,CHAR(10),'Bundle Tag Info'!O$23),"")</f>
        <v/>
      </c>
      <c r="P18" s="16" t="str">
        <f>IF('Bundle Tag Info'!P$23&lt;&gt;"",CONCATENATE('Bundle Tag Info'!$A$1," ",CHAR(10),'Bundle Tag Info'!$A$2," ",'Bundle Tag Info'!$A$3,CHAR(10),'Bundle Tag Info'!P$6,CHAR(10),'Bundle Tag Info'!P$23),"")</f>
        <v/>
      </c>
      <c r="Q18" s="16" t="str">
        <f>IF('Bundle Tag Info'!Q$23&lt;&gt;"",CONCATENATE('Bundle Tag Info'!$A$1," ",CHAR(10),'Bundle Tag Info'!$A$2," ",'Bundle Tag Info'!$A$3,CHAR(10),'Bundle Tag Info'!Q$6,CHAR(10),'Bundle Tag Info'!Q$23),"")</f>
        <v/>
      </c>
      <c r="R18" s="16" t="str">
        <f>IF('Bundle Tag Info'!R$23&lt;&gt;"",CONCATENATE('Bundle Tag Info'!$A$1," ",CHAR(10),'Bundle Tag Info'!$A$2," ",'Bundle Tag Info'!$A$3,CHAR(10),'Bundle Tag Info'!R$6,CHAR(10),'Bundle Tag Info'!R$23),"")</f>
        <v/>
      </c>
      <c r="S18" s="16" t="str">
        <f>IF('Bundle Tag Info'!S$23&lt;&gt;"",CONCATENATE('Bundle Tag Info'!$A$1," ",CHAR(10),'Bundle Tag Info'!$A$2," ",'Bundle Tag Info'!$A$3,CHAR(10),'Bundle Tag Info'!S$6,CHAR(10),'Bundle Tag Info'!S$23),"")</f>
        <v/>
      </c>
      <c r="T18" s="16" t="str">
        <f>IF('Bundle Tag Info'!T$23&lt;&gt;"",CONCATENATE('Bundle Tag Info'!$A$1," ",CHAR(10),'Bundle Tag Info'!$A$2," ",'Bundle Tag Info'!$A$3,CHAR(10),'Bundle Tag Info'!T$6,CHAR(10),'Bundle Tag Info'!T$23),"")</f>
        <v/>
      </c>
      <c r="U18" s="16" t="str">
        <f>IF('Bundle Tag Info'!U$23&lt;&gt;"",CONCATENATE('Bundle Tag Info'!$A$1," ",CHAR(10),'Bundle Tag Info'!$A$2," ",'Bundle Tag Info'!$A$3,CHAR(10),'Bundle Tag Info'!U$6,CHAR(10),'Bundle Tag Info'!U$23),"")</f>
        <v/>
      </c>
      <c r="V18" s="16" t="str">
        <f>IF('Bundle Tag Info'!V$23&lt;&gt;"",CONCATENATE('Bundle Tag Info'!$A$1," ",CHAR(10),'Bundle Tag Info'!$A$2," ",'Bundle Tag Info'!$A$3,CHAR(10),'Bundle Tag Info'!V$6,CHAR(10),'Bundle Tag Info'!V$23),"")</f>
        <v/>
      </c>
      <c r="W18" s="16" t="str">
        <f>IF('Bundle Tag Info'!W$23&lt;&gt;"",CONCATENATE('Bundle Tag Info'!$A$1," ",CHAR(10),'Bundle Tag Info'!$A$2," ",'Bundle Tag Info'!$A$3,CHAR(10),'Bundle Tag Info'!W$6,CHAR(10),'Bundle Tag Info'!W$23),"")</f>
        <v/>
      </c>
      <c r="X18" s="16" t="str">
        <f>IF('Bundle Tag Info'!X$23&lt;&gt;"",CONCATENATE('Bundle Tag Info'!$A$1," ",CHAR(10),'Bundle Tag Info'!$A$2," ",'Bundle Tag Info'!$A$3,CHAR(10),'Bundle Tag Info'!X$6,CHAR(10),'Bundle Tag Info'!X$23),"")</f>
        <v/>
      </c>
      <c r="Y18" s="16" t="str">
        <f>IF('Bundle Tag Info'!Y$23&lt;&gt;"",CONCATENATE('Bundle Tag Info'!$A$1," ",CHAR(10),'Bundle Tag Info'!$A$2," ",'Bundle Tag Info'!$A$3,CHAR(10),'Bundle Tag Info'!Y$6,CHAR(10),'Bundle Tag Info'!Y$23),"")</f>
        <v/>
      </c>
      <c r="Z18" s="16" t="str">
        <f>IF('Bundle Tag Info'!Z$23&lt;&gt;"",CONCATENATE('Bundle Tag Info'!$A$1," ",CHAR(10),'Bundle Tag Info'!$A$2," ",'Bundle Tag Info'!$A$3,CHAR(10),'Bundle Tag Info'!Z$6,CHAR(10),'Bundle Tag Info'!Z$23),"")</f>
        <v/>
      </c>
      <c r="AA18" s="16" t="str">
        <f>IF('Bundle Tag Info'!AA$23&lt;&gt;"",CONCATENATE('Bundle Tag Info'!$A$1," ",CHAR(10),'Bundle Tag Info'!$A$2," ",'Bundle Tag Info'!$A$3,CHAR(10),'Bundle Tag Info'!AA$6,CHAR(10),'Bundle Tag Info'!AA$23),"")</f>
        <v/>
      </c>
      <c r="AB18" s="16" t="str">
        <f>IF('Bundle Tag Info'!AB$23&lt;&gt;"",CONCATENATE('Bundle Tag Info'!$A$1," ",CHAR(10),'Bundle Tag Info'!$A$2," ",'Bundle Tag Info'!$A$3,CHAR(10),'Bundle Tag Info'!AB$6,CHAR(10),'Bundle Tag Info'!AB$23),"")</f>
        <v/>
      </c>
      <c r="AC18" s="16" t="str">
        <f>IF('Bundle Tag Info'!AC$23&lt;&gt;"",CONCATENATE('Bundle Tag Info'!$A$1," ",CHAR(10),'Bundle Tag Info'!$A$2," ",'Bundle Tag Info'!$A$3,CHAR(10),'Bundle Tag Info'!AC$6,CHAR(10),'Bundle Tag Info'!AC$23),"")</f>
        <v/>
      </c>
      <c r="AD18" s="1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6" t="str">
        <f>IF('Bundle Tag Info'!D$9&lt;&gt;"",CONCATENATE('Bundle Tag Info'!$A$1," ",CHAR(10),'Bundle Tag Info'!$A$2," ",'Bundle Tag Info'!$A$3,CHAR(10),'Bundle Tag Info'!D$6,CHAR(10),'Bundle Tag Info'!D$9),"")</f>
        <v>KOC-JPF #1 
4P101 C.1
PLC
BA-B</v>
      </c>
      <c r="I19" s="16" t="str">
        <f>IF('Bundle Tag Info'!I$24&lt;&gt;"",CONCATENATE('Bundle Tag Info'!$A$1," ",CHAR(10),'Bundle Tag Info'!$A$2," ",'Bundle Tag Info'!$A$3,CHAR(10),'Bundle Tag Info'!I$6,CHAR(10),'Bundle Tag Info'!I$24),"")</f>
        <v/>
      </c>
      <c r="J19" s="16" t="str">
        <f>IF('Bundle Tag Info'!J$24&lt;&gt;"",CONCATENATE('Bundle Tag Info'!$A$1," ",CHAR(10),'Bundle Tag Info'!$A$2," ",'Bundle Tag Info'!$A$3,CHAR(10),'Bundle Tag Info'!J$6,CHAR(10),'Bundle Tag Info'!J$24),"")</f>
        <v/>
      </c>
      <c r="K19" s="16" t="str">
        <f>IF('Bundle Tag Info'!K$24&lt;&gt;"",CONCATENATE('Bundle Tag Info'!$A$1," ",CHAR(10),'Bundle Tag Info'!$A$2," ",'Bundle Tag Info'!$A$3,CHAR(10),'Bundle Tag Info'!K$6,CHAR(10),'Bundle Tag Info'!K$24),"")</f>
        <v/>
      </c>
      <c r="L19" s="16" t="str">
        <f>IF('Bundle Tag Info'!L$24&lt;&gt;"",CONCATENATE('Bundle Tag Info'!$A$1," ",CHAR(10),'Bundle Tag Info'!$A$2," ",'Bundle Tag Info'!$A$3,CHAR(10),'Bundle Tag Info'!L$6,CHAR(10),'Bundle Tag Info'!L$24),"")</f>
        <v/>
      </c>
      <c r="M19" s="16" t="str">
        <f>IF('Bundle Tag Info'!M$24&lt;&gt;"",CONCATENATE('Bundle Tag Info'!$A$1," ",CHAR(10),'Bundle Tag Info'!$A$2," ",'Bundle Tag Info'!$A$3,CHAR(10),'Bundle Tag Info'!M$6,CHAR(10),'Bundle Tag Info'!M$24),"")</f>
        <v/>
      </c>
      <c r="N19" s="16" t="str">
        <f>IF('Bundle Tag Info'!N$24&lt;&gt;"",CONCATENATE('Bundle Tag Info'!$A$1," ",CHAR(10),'Bundle Tag Info'!$A$2," ",'Bundle Tag Info'!$A$3,CHAR(10),'Bundle Tag Info'!N$6,CHAR(10),'Bundle Tag Info'!N$24),"")</f>
        <v/>
      </c>
      <c r="O19" s="16" t="str">
        <f>IF('Bundle Tag Info'!O$24&lt;&gt;"",CONCATENATE('Bundle Tag Info'!$A$1," ",CHAR(10),'Bundle Tag Info'!$A$2," ",'Bundle Tag Info'!$A$3,CHAR(10),'Bundle Tag Info'!O$6,CHAR(10),'Bundle Tag Info'!O$24),"")</f>
        <v/>
      </c>
      <c r="P19" s="16" t="str">
        <f>IF('Bundle Tag Info'!P$24&lt;&gt;"",CONCATENATE('Bundle Tag Info'!$A$1," ",CHAR(10),'Bundle Tag Info'!$A$2," ",'Bundle Tag Info'!$A$3,CHAR(10),'Bundle Tag Info'!P$6,CHAR(10),'Bundle Tag Info'!P$24),"")</f>
        <v/>
      </c>
      <c r="Q19" s="16" t="str">
        <f>IF('Bundle Tag Info'!Q$24&lt;&gt;"",CONCATENATE('Bundle Tag Info'!$A$1," ",CHAR(10),'Bundle Tag Info'!$A$2," ",'Bundle Tag Info'!$A$3,CHAR(10),'Bundle Tag Info'!Q$6,CHAR(10),'Bundle Tag Info'!Q$24),"")</f>
        <v/>
      </c>
      <c r="R19" s="16" t="str">
        <f>IF('Bundle Tag Info'!R$24&lt;&gt;"",CONCATENATE('Bundle Tag Info'!$A$1," ",CHAR(10),'Bundle Tag Info'!$A$2," ",'Bundle Tag Info'!$A$3,CHAR(10),'Bundle Tag Info'!R$6,CHAR(10),'Bundle Tag Info'!R$24),"")</f>
        <v/>
      </c>
      <c r="S19" s="16" t="str">
        <f>IF('Bundle Tag Info'!S$24&lt;&gt;"",CONCATENATE('Bundle Tag Info'!$A$1," ",CHAR(10),'Bundle Tag Info'!$A$2," ",'Bundle Tag Info'!$A$3,CHAR(10),'Bundle Tag Info'!S$6,CHAR(10),'Bundle Tag Info'!S$24),"")</f>
        <v/>
      </c>
      <c r="T19" s="16" t="str">
        <f>IF('Bundle Tag Info'!T$24&lt;&gt;"",CONCATENATE('Bundle Tag Info'!$A$1," ",CHAR(10),'Bundle Tag Info'!$A$2," ",'Bundle Tag Info'!$A$3,CHAR(10),'Bundle Tag Info'!T$6,CHAR(10),'Bundle Tag Info'!T$24),"")</f>
        <v/>
      </c>
      <c r="U19" s="16" t="str">
        <f>IF('Bundle Tag Info'!U$24&lt;&gt;"",CONCATENATE('Bundle Tag Info'!$A$1," ",CHAR(10),'Bundle Tag Info'!$A$2," ",'Bundle Tag Info'!$A$3,CHAR(10),'Bundle Tag Info'!U$6,CHAR(10),'Bundle Tag Info'!U$24),"")</f>
        <v/>
      </c>
      <c r="V19" s="16" t="str">
        <f>IF('Bundle Tag Info'!V$24&lt;&gt;"",CONCATENATE('Bundle Tag Info'!$A$1," ",CHAR(10),'Bundle Tag Info'!$A$2," ",'Bundle Tag Info'!$A$3,CHAR(10),'Bundle Tag Info'!V$6,CHAR(10),'Bundle Tag Info'!V$24),"")</f>
        <v/>
      </c>
      <c r="W19" s="16" t="str">
        <f>IF('Bundle Tag Info'!W$24&lt;&gt;"",CONCATENATE('Bundle Tag Info'!$A$1," ",CHAR(10),'Bundle Tag Info'!$A$2," ",'Bundle Tag Info'!$A$3,CHAR(10),'Bundle Tag Info'!W$6,CHAR(10),'Bundle Tag Info'!W$24),"")</f>
        <v/>
      </c>
      <c r="X19" s="16" t="str">
        <f>IF('Bundle Tag Info'!X$24&lt;&gt;"",CONCATENATE('Bundle Tag Info'!$A$1," ",CHAR(10),'Bundle Tag Info'!$A$2," ",'Bundle Tag Info'!$A$3,CHAR(10),'Bundle Tag Info'!X$6,CHAR(10),'Bundle Tag Info'!X$24),"")</f>
        <v/>
      </c>
      <c r="Y19" s="16" t="str">
        <f>IF('Bundle Tag Info'!Y$24&lt;&gt;"",CONCATENATE('Bundle Tag Info'!$A$1," ",CHAR(10),'Bundle Tag Info'!$A$2," ",'Bundle Tag Info'!$A$3,CHAR(10),'Bundle Tag Info'!Y$6,CHAR(10),'Bundle Tag Info'!Y$24),"")</f>
        <v/>
      </c>
      <c r="Z19" s="16" t="str">
        <f>IF('Bundle Tag Info'!Z$24&lt;&gt;"",CONCATENATE('Bundle Tag Info'!$A$1," ",CHAR(10),'Bundle Tag Info'!$A$2," ",'Bundle Tag Info'!$A$3,CHAR(10),'Bundle Tag Info'!Z$6,CHAR(10),'Bundle Tag Info'!Z$24),"")</f>
        <v/>
      </c>
      <c r="AA19" s="16" t="str">
        <f>IF('Bundle Tag Info'!AA$24&lt;&gt;"",CONCATENATE('Bundle Tag Info'!$A$1," ",CHAR(10),'Bundle Tag Info'!$A$2," ",'Bundle Tag Info'!$A$3,CHAR(10),'Bundle Tag Info'!AA$6,CHAR(10),'Bundle Tag Info'!AA$24),"")</f>
        <v/>
      </c>
      <c r="AB19" s="16" t="str">
        <f>IF('Bundle Tag Info'!AB$24&lt;&gt;"",CONCATENATE('Bundle Tag Info'!$A$1," ",CHAR(10),'Bundle Tag Info'!$A$2," ",'Bundle Tag Info'!$A$3,CHAR(10),'Bundle Tag Info'!AB$6,CHAR(10),'Bundle Tag Info'!AB$24),"")</f>
        <v/>
      </c>
      <c r="AC19" s="16" t="str">
        <f>IF('Bundle Tag Info'!AC$24&lt;&gt;"",CONCATENATE('Bundle Tag Info'!$A$1," ",CHAR(10),'Bundle Tag Info'!$A$2," ",'Bundle Tag Info'!$A$3,CHAR(10),'Bundle Tag Info'!AC$6,CHAR(10),'Bundle Tag Info'!AC$24),"")</f>
        <v/>
      </c>
      <c r="AD19" s="16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6" t="str">
        <f>IF('Bundle Tag Info'!D$10&lt;&gt;"",CONCATENATE('Bundle Tag Info'!$A$1," ",CHAR(10),'Bundle Tag Info'!$A$2," ",'Bundle Tag Info'!$A$3,CHAR(10),'Bundle Tag Info'!D$6,CHAR(10),'Bundle Tag Info'!D$10),"")</f>
        <v>KOC-JPF #1 
4P101 C.1
PLC
FU/XT-B</v>
      </c>
      <c r="I20" s="16" t="str">
        <f>IF('Bundle Tag Info'!I$25&lt;&gt;"",CONCATENATE('Bundle Tag Info'!$A$1," ",CHAR(10),'Bundle Tag Info'!$A$2," ",'Bundle Tag Info'!$A$3,CHAR(10),'Bundle Tag Info'!I$6,CHAR(10),'Bundle Tag Info'!I$25),"")</f>
        <v/>
      </c>
      <c r="J20" s="16" t="str">
        <f>IF('Bundle Tag Info'!J$25&lt;&gt;"",CONCATENATE('Bundle Tag Info'!$A$1," ",CHAR(10),'Bundle Tag Info'!$A$2," ",'Bundle Tag Info'!$A$3,CHAR(10),'Bundle Tag Info'!J$6,CHAR(10),'Bundle Tag Info'!J$25),"")</f>
        <v/>
      </c>
      <c r="K20" s="16" t="str">
        <f>IF('Bundle Tag Info'!K$25&lt;&gt;"",CONCATENATE('Bundle Tag Info'!$A$1," ",CHAR(10),'Bundle Tag Info'!$A$2," ",'Bundle Tag Info'!$A$3,CHAR(10),'Bundle Tag Info'!K$6,CHAR(10),'Bundle Tag Info'!K$25),"")</f>
        <v/>
      </c>
      <c r="L20" s="16" t="str">
        <f>IF('Bundle Tag Info'!L$25&lt;&gt;"",CONCATENATE('Bundle Tag Info'!$A$1," ",CHAR(10),'Bundle Tag Info'!$A$2," ",'Bundle Tag Info'!$A$3,CHAR(10),'Bundle Tag Info'!L$6,CHAR(10),'Bundle Tag Info'!L$25),"")</f>
        <v/>
      </c>
      <c r="M20" s="16" t="str">
        <f>IF('Bundle Tag Info'!M$25&lt;&gt;"",CONCATENATE('Bundle Tag Info'!$A$1," ",CHAR(10),'Bundle Tag Info'!$A$2," ",'Bundle Tag Info'!$A$3,CHAR(10),'Bundle Tag Info'!M$6,CHAR(10),'Bundle Tag Info'!M$25),"")</f>
        <v/>
      </c>
      <c r="N20" s="16" t="str">
        <f>IF('Bundle Tag Info'!N$25&lt;&gt;"",CONCATENATE('Bundle Tag Info'!$A$1," ",CHAR(10),'Bundle Tag Info'!$A$2," ",'Bundle Tag Info'!$A$3,CHAR(10),'Bundle Tag Info'!N$6,CHAR(10),'Bundle Tag Info'!N$25),"")</f>
        <v/>
      </c>
      <c r="O20" s="16" t="str">
        <f>IF('Bundle Tag Info'!O$25&lt;&gt;"",CONCATENATE('Bundle Tag Info'!$A$1," ",CHAR(10),'Bundle Tag Info'!$A$2," ",'Bundle Tag Info'!$A$3,CHAR(10),'Bundle Tag Info'!O$6,CHAR(10),'Bundle Tag Info'!O$25),"")</f>
        <v/>
      </c>
      <c r="P20" s="16" t="str">
        <f>IF('Bundle Tag Info'!P$25&lt;&gt;"",CONCATENATE('Bundle Tag Info'!$A$1," ",CHAR(10),'Bundle Tag Info'!$A$2," ",'Bundle Tag Info'!$A$3,CHAR(10),'Bundle Tag Info'!P$6,CHAR(10),'Bundle Tag Info'!P$25),"")</f>
        <v/>
      </c>
      <c r="Q20" s="16" t="str">
        <f>IF('Bundle Tag Info'!Q$25&lt;&gt;"",CONCATENATE('Bundle Tag Info'!$A$1," ",CHAR(10),'Bundle Tag Info'!$A$2," ",'Bundle Tag Info'!$A$3,CHAR(10),'Bundle Tag Info'!Q$6,CHAR(10),'Bundle Tag Info'!Q$25),"")</f>
        <v/>
      </c>
      <c r="R20" s="16" t="str">
        <f>IF('Bundle Tag Info'!R$25&lt;&gt;"",CONCATENATE('Bundle Tag Info'!$A$1," ",CHAR(10),'Bundle Tag Info'!$A$2," ",'Bundle Tag Info'!$A$3,CHAR(10),'Bundle Tag Info'!R$6,CHAR(10),'Bundle Tag Info'!R$25),"")</f>
        <v/>
      </c>
      <c r="S20" s="16" t="str">
        <f>IF('Bundle Tag Info'!S$25&lt;&gt;"",CONCATENATE('Bundle Tag Info'!$A$1," ",CHAR(10),'Bundle Tag Info'!$A$2," ",'Bundle Tag Info'!$A$3,CHAR(10),'Bundle Tag Info'!S$6,CHAR(10),'Bundle Tag Info'!S$25),"")</f>
        <v/>
      </c>
      <c r="T20" s="16" t="str">
        <f>IF('Bundle Tag Info'!T$25&lt;&gt;"",CONCATENATE('Bundle Tag Info'!$A$1," ",CHAR(10),'Bundle Tag Info'!$A$2," ",'Bundle Tag Info'!$A$3,CHAR(10),'Bundle Tag Info'!T$6,CHAR(10),'Bundle Tag Info'!T$25),"")</f>
        <v/>
      </c>
      <c r="U20" s="16" t="str">
        <f>IF('Bundle Tag Info'!U$25&lt;&gt;"",CONCATENATE('Bundle Tag Info'!$A$1," ",CHAR(10),'Bundle Tag Info'!$A$2," ",'Bundle Tag Info'!$A$3,CHAR(10),'Bundle Tag Info'!U$6,CHAR(10),'Bundle Tag Info'!U$25),"")</f>
        <v/>
      </c>
      <c r="V20" s="16" t="str">
        <f>IF('Bundle Tag Info'!V$25&lt;&gt;"",CONCATENATE('Bundle Tag Info'!$A$1," ",CHAR(10),'Bundle Tag Info'!$A$2," ",'Bundle Tag Info'!$A$3,CHAR(10),'Bundle Tag Info'!V$6,CHAR(10),'Bundle Tag Info'!V$25),"")</f>
        <v/>
      </c>
      <c r="W20" s="16" t="str">
        <f>IF('Bundle Tag Info'!W$25&lt;&gt;"",CONCATENATE('Bundle Tag Info'!$A$1," ",CHAR(10),'Bundle Tag Info'!$A$2," ",'Bundle Tag Info'!$A$3,CHAR(10),'Bundle Tag Info'!W$6,CHAR(10),'Bundle Tag Info'!W$25),"")</f>
        <v/>
      </c>
      <c r="X20" s="16" t="str">
        <f>IF('Bundle Tag Info'!X$25&lt;&gt;"",CONCATENATE('Bundle Tag Info'!$A$1," ",CHAR(10),'Bundle Tag Info'!$A$2," ",'Bundle Tag Info'!$A$3,CHAR(10),'Bundle Tag Info'!X$6,CHAR(10),'Bundle Tag Info'!X$25),"")</f>
        <v/>
      </c>
      <c r="Y20" s="16" t="str">
        <f>IF('Bundle Tag Info'!Y$25&lt;&gt;"",CONCATENATE('Bundle Tag Info'!$A$1," ",CHAR(10),'Bundle Tag Info'!$A$2," ",'Bundle Tag Info'!$A$3,CHAR(10),'Bundle Tag Info'!Y$6,CHAR(10),'Bundle Tag Info'!Y$25),"")</f>
        <v/>
      </c>
      <c r="Z20" s="16" t="str">
        <f>IF('Bundle Tag Info'!Z$25&lt;&gt;"",CONCATENATE('Bundle Tag Info'!$A$1," ",CHAR(10),'Bundle Tag Info'!$A$2," ",'Bundle Tag Info'!$A$3,CHAR(10),'Bundle Tag Info'!Z$6,CHAR(10),'Bundle Tag Info'!Z$25),"")</f>
        <v/>
      </c>
      <c r="AA20" s="16" t="str">
        <f>IF('Bundle Tag Info'!AA$25&lt;&gt;"",CONCATENATE('Bundle Tag Info'!$A$1," ",CHAR(10),'Bundle Tag Info'!$A$2," ",'Bundle Tag Info'!$A$3,CHAR(10),'Bundle Tag Info'!AA$6,CHAR(10),'Bundle Tag Info'!AA$25),"")</f>
        <v/>
      </c>
      <c r="AB20" s="16" t="str">
        <f>IF('Bundle Tag Info'!AB$25&lt;&gt;"",CONCATENATE('Bundle Tag Info'!$A$1," ",CHAR(10),'Bundle Tag Info'!$A$2," ",'Bundle Tag Info'!$A$3,CHAR(10),'Bundle Tag Info'!AB$6,CHAR(10),'Bundle Tag Info'!AB$25),"")</f>
        <v/>
      </c>
      <c r="AC20" s="16" t="str">
        <f>IF('Bundle Tag Info'!AC$25&lt;&gt;"",CONCATENATE('Bundle Tag Info'!$A$1," ",CHAR(10),'Bundle Tag Info'!$A$2," ",'Bundle Tag Info'!$A$3,CHAR(10),'Bundle Tag Info'!AC$6,CHAR(10),'Bundle Tag Info'!AC$25),"")</f>
        <v/>
      </c>
      <c r="AD20" s="1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6" t="str">
        <f>IF('Bundle Tag Info'!E$7&lt;&gt;"",CONCATENATE('Bundle Tag Info'!$A$1," ",CHAR(10),'Bundle Tag Info'!$A$2," ",'Bundle Tag Info'!$A$3,CHAR(10),'Bundle Tag Info'!E$6,CHAR(10),'Bundle Tag Info'!E$7),"")</f>
        <v>KOC-JPF #1 
4P101 C.1
A
AF</v>
      </c>
      <c r="I21" s="16" t="str">
        <f>IF('Bundle Tag Info'!I$26&lt;&gt;"",CONCATENATE('Bundle Tag Info'!$A$1," ",CHAR(10),'Bundle Tag Info'!$A$2," ",'Bundle Tag Info'!$A$3,CHAR(10),'Bundle Tag Info'!I$6,CHAR(10),'Bundle Tag Info'!I$26),"")</f>
        <v/>
      </c>
      <c r="J21" s="16" t="str">
        <f>IF('Bundle Tag Info'!J$26&lt;&gt;"",CONCATENATE('Bundle Tag Info'!$A$1," ",CHAR(10),'Bundle Tag Info'!$A$2," ",'Bundle Tag Info'!$A$3,CHAR(10),'Bundle Tag Info'!J$6,CHAR(10),'Bundle Tag Info'!J$26),"")</f>
        <v/>
      </c>
      <c r="K21" s="16" t="str">
        <f>IF('Bundle Tag Info'!K$26&lt;&gt;"",CONCATENATE('Bundle Tag Info'!$A$1," ",CHAR(10),'Bundle Tag Info'!$A$2," ",'Bundle Tag Info'!$A$3,CHAR(10),'Bundle Tag Info'!K$6,CHAR(10),'Bundle Tag Info'!K$26),"")</f>
        <v/>
      </c>
      <c r="L21" s="16" t="str">
        <f>IF('Bundle Tag Info'!L$26&lt;&gt;"",CONCATENATE('Bundle Tag Info'!$A$1," ",CHAR(10),'Bundle Tag Info'!$A$2," ",'Bundle Tag Info'!$A$3,CHAR(10),'Bundle Tag Info'!L$6,CHAR(10),'Bundle Tag Info'!L$26),"")</f>
        <v/>
      </c>
      <c r="M21" s="16" t="str">
        <f>IF('Bundle Tag Info'!M$26&lt;&gt;"",CONCATENATE('Bundle Tag Info'!$A$1," ",CHAR(10),'Bundle Tag Info'!$A$2," ",'Bundle Tag Info'!$A$3,CHAR(10),'Bundle Tag Info'!M$6,CHAR(10),'Bundle Tag Info'!M$26),"")</f>
        <v/>
      </c>
      <c r="N21" s="16" t="str">
        <f>IF('Bundle Tag Info'!N$26&lt;&gt;"",CONCATENATE('Bundle Tag Info'!$A$1," ",CHAR(10),'Bundle Tag Info'!$A$2," ",'Bundle Tag Info'!$A$3,CHAR(10),'Bundle Tag Info'!N$6,CHAR(10),'Bundle Tag Info'!N$26),"")</f>
        <v/>
      </c>
      <c r="O21" s="16" t="str">
        <f>IF('Bundle Tag Info'!O$26&lt;&gt;"",CONCATENATE('Bundle Tag Info'!$A$1," ",CHAR(10),'Bundle Tag Info'!$A$2," ",'Bundle Tag Info'!$A$3,CHAR(10),'Bundle Tag Info'!O$6,CHAR(10),'Bundle Tag Info'!O$26),"")</f>
        <v/>
      </c>
      <c r="P21" s="16" t="str">
        <f>IF('Bundle Tag Info'!P$26&lt;&gt;"",CONCATENATE('Bundle Tag Info'!$A$1," ",CHAR(10),'Bundle Tag Info'!$A$2," ",'Bundle Tag Info'!$A$3,CHAR(10),'Bundle Tag Info'!P$6,CHAR(10),'Bundle Tag Info'!P$26),"")</f>
        <v/>
      </c>
      <c r="Q21" s="16" t="str">
        <f>IF('Bundle Tag Info'!Q$26&lt;&gt;"",CONCATENATE('Bundle Tag Info'!$A$1," ",CHAR(10),'Bundle Tag Info'!$A$2," ",'Bundle Tag Info'!$A$3,CHAR(10),'Bundle Tag Info'!Q$6,CHAR(10),'Bundle Tag Info'!Q$26),"")</f>
        <v/>
      </c>
      <c r="R21" s="16" t="str">
        <f>IF('Bundle Tag Info'!R$26&lt;&gt;"",CONCATENATE('Bundle Tag Info'!$A$1," ",CHAR(10),'Bundle Tag Info'!$A$2," ",'Bundle Tag Info'!$A$3,CHAR(10),'Bundle Tag Info'!R$6,CHAR(10),'Bundle Tag Info'!R$26),"")</f>
        <v/>
      </c>
      <c r="S21" s="16" t="str">
        <f>IF('Bundle Tag Info'!S$26&lt;&gt;"",CONCATENATE('Bundle Tag Info'!$A$1," ",CHAR(10),'Bundle Tag Info'!$A$2," ",'Bundle Tag Info'!$A$3,CHAR(10),'Bundle Tag Info'!S$6,CHAR(10),'Bundle Tag Info'!S$26),"")</f>
        <v/>
      </c>
      <c r="T21" s="16" t="str">
        <f>IF('Bundle Tag Info'!T$26&lt;&gt;"",CONCATENATE('Bundle Tag Info'!$A$1," ",CHAR(10),'Bundle Tag Info'!$A$2," ",'Bundle Tag Info'!$A$3,CHAR(10),'Bundle Tag Info'!T$6,CHAR(10),'Bundle Tag Info'!T$26),"")</f>
        <v/>
      </c>
      <c r="U21" s="16" t="str">
        <f>IF('Bundle Tag Info'!U$26&lt;&gt;"",CONCATENATE('Bundle Tag Info'!$A$1," ",CHAR(10),'Bundle Tag Info'!$A$2," ",'Bundle Tag Info'!$A$3,CHAR(10),'Bundle Tag Info'!U$6,CHAR(10),'Bundle Tag Info'!U$26),"")</f>
        <v/>
      </c>
      <c r="V21" s="16" t="str">
        <f>IF('Bundle Tag Info'!V$26&lt;&gt;"",CONCATENATE('Bundle Tag Info'!$A$1," ",CHAR(10),'Bundle Tag Info'!$A$2," ",'Bundle Tag Info'!$A$3,CHAR(10),'Bundle Tag Info'!V$6,CHAR(10),'Bundle Tag Info'!V$26),"")</f>
        <v/>
      </c>
      <c r="W21" s="16" t="str">
        <f>IF('Bundle Tag Info'!W$26&lt;&gt;"",CONCATENATE('Bundle Tag Info'!$A$1," ",CHAR(10),'Bundle Tag Info'!$A$2," ",'Bundle Tag Info'!$A$3,CHAR(10),'Bundle Tag Info'!W$6,CHAR(10),'Bundle Tag Info'!W$26),"")</f>
        <v/>
      </c>
      <c r="X21" s="16" t="str">
        <f>IF('Bundle Tag Info'!X$26&lt;&gt;"",CONCATENATE('Bundle Tag Info'!$A$1," ",CHAR(10),'Bundle Tag Info'!$A$2," ",'Bundle Tag Info'!$A$3,CHAR(10),'Bundle Tag Info'!X$6,CHAR(10),'Bundle Tag Info'!X$26),"")</f>
        <v/>
      </c>
      <c r="Y21" s="16" t="str">
        <f>IF('Bundle Tag Info'!Y$26&lt;&gt;"",CONCATENATE('Bundle Tag Info'!$A$1," ",CHAR(10),'Bundle Tag Info'!$A$2," ",'Bundle Tag Info'!$A$3,CHAR(10),'Bundle Tag Info'!Y$6,CHAR(10),'Bundle Tag Info'!Y$26),"")</f>
        <v/>
      </c>
      <c r="Z21" s="16" t="str">
        <f>IF('Bundle Tag Info'!Z$26&lt;&gt;"",CONCATENATE('Bundle Tag Info'!$A$1," ",CHAR(10),'Bundle Tag Info'!$A$2," ",'Bundle Tag Info'!$A$3,CHAR(10),'Bundle Tag Info'!Z$6,CHAR(10),'Bundle Tag Info'!Z$26),"")</f>
        <v/>
      </c>
      <c r="AA21" s="16" t="str">
        <f>IF('Bundle Tag Info'!AA$26&lt;&gt;"",CONCATENATE('Bundle Tag Info'!$A$1," ",CHAR(10),'Bundle Tag Info'!$A$2," ",'Bundle Tag Info'!$A$3,CHAR(10),'Bundle Tag Info'!AA$6,CHAR(10),'Bundle Tag Info'!AA$26),"")</f>
        <v/>
      </c>
      <c r="AB21" s="16" t="str">
        <f>IF('Bundle Tag Info'!AB$26&lt;&gt;"",CONCATENATE('Bundle Tag Info'!$A$1," ",CHAR(10),'Bundle Tag Info'!$A$2," ",'Bundle Tag Info'!$A$3,CHAR(10),'Bundle Tag Info'!AB$6,CHAR(10),'Bundle Tag Info'!AB$26),"")</f>
        <v/>
      </c>
      <c r="AC21" s="16" t="str">
        <f>IF('Bundle Tag Info'!AC$26&lt;&gt;"",CONCATENATE('Bundle Tag Info'!$A$1," ",CHAR(10),'Bundle Tag Info'!$A$2," ",'Bundle Tag Info'!$A$3,CHAR(10),'Bundle Tag Info'!AC$6,CHAR(10),'Bundle Tag Info'!AC$26),"")</f>
        <v/>
      </c>
      <c r="AD21" s="1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6" t="str">
        <f>IF('Bundle Tag Info'!E$8&lt;&gt;"",CONCATENATE('Bundle Tag Info'!$A$1," ",CHAR(10),'Bundle Tag Info'!$A$2," ",'Bundle Tag Info'!$A$3,CHAR(10),'Bundle Tag Info'!E$6,CHAR(10),'Bundle Tag Info'!E$8),"")</f>
        <v>KOC-JPF #1 
4P101 C.1
A
FU</v>
      </c>
      <c r="I22" s="16" t="str">
        <f>IF('Bundle Tag Info'!I$27&lt;&gt;"",CONCATENATE('Bundle Tag Info'!$A$1," ",CHAR(10),'Bundle Tag Info'!$A$2," ",'Bundle Tag Info'!$A$3,CHAR(10),'Bundle Tag Info'!I$6,CHAR(10),'Bundle Tag Info'!I$27),"")</f>
        <v/>
      </c>
      <c r="J22" s="16" t="str">
        <f>IF('Bundle Tag Info'!J$27&lt;&gt;"",CONCATENATE('Bundle Tag Info'!$A$1," ",CHAR(10),'Bundle Tag Info'!$A$2," ",'Bundle Tag Info'!$A$3,CHAR(10),'Bundle Tag Info'!J$6,CHAR(10),'Bundle Tag Info'!J$27),"")</f>
        <v/>
      </c>
      <c r="K22" s="16" t="str">
        <f>IF('Bundle Tag Info'!K$27&lt;&gt;"",CONCATENATE('Bundle Tag Info'!$A$1," ",CHAR(10),'Bundle Tag Info'!$A$2," ",'Bundle Tag Info'!$A$3,CHAR(10),'Bundle Tag Info'!K$6,CHAR(10),'Bundle Tag Info'!K$27),"")</f>
        <v/>
      </c>
      <c r="L22" s="16" t="str">
        <f>IF('Bundle Tag Info'!L$27&lt;&gt;"",CONCATENATE('Bundle Tag Info'!$A$1," ",CHAR(10),'Bundle Tag Info'!$A$2," ",'Bundle Tag Info'!$A$3,CHAR(10),'Bundle Tag Info'!L$6,CHAR(10),'Bundle Tag Info'!L$27),"")</f>
        <v/>
      </c>
      <c r="M22" s="16" t="str">
        <f>IF('Bundle Tag Info'!M$27&lt;&gt;"",CONCATENATE('Bundle Tag Info'!$A$1," ",CHAR(10),'Bundle Tag Info'!$A$2," ",'Bundle Tag Info'!$A$3,CHAR(10),'Bundle Tag Info'!M$6,CHAR(10),'Bundle Tag Info'!M$27),"")</f>
        <v/>
      </c>
      <c r="N22" s="16" t="str">
        <f>IF('Bundle Tag Info'!N$27&lt;&gt;"",CONCATENATE('Bundle Tag Info'!$A$1," ",CHAR(10),'Bundle Tag Info'!$A$2," ",'Bundle Tag Info'!$A$3,CHAR(10),'Bundle Tag Info'!N$6,CHAR(10),'Bundle Tag Info'!N$27),"")</f>
        <v/>
      </c>
      <c r="O22" s="16" t="str">
        <f>IF('Bundle Tag Info'!O$27&lt;&gt;"",CONCATENATE('Bundle Tag Info'!$A$1," ",CHAR(10),'Bundle Tag Info'!$A$2," ",'Bundle Tag Info'!$A$3,CHAR(10),'Bundle Tag Info'!O$6,CHAR(10),'Bundle Tag Info'!O$27),"")</f>
        <v/>
      </c>
      <c r="P22" s="16" t="str">
        <f>IF('Bundle Tag Info'!P$27&lt;&gt;"",CONCATENATE('Bundle Tag Info'!$A$1," ",CHAR(10),'Bundle Tag Info'!$A$2," ",'Bundle Tag Info'!$A$3,CHAR(10),'Bundle Tag Info'!P$6,CHAR(10),'Bundle Tag Info'!P$27),"")</f>
        <v/>
      </c>
      <c r="Q22" s="16" t="str">
        <f>IF('Bundle Tag Info'!Q$27&lt;&gt;"",CONCATENATE('Bundle Tag Info'!$A$1," ",CHAR(10),'Bundle Tag Info'!$A$2," ",'Bundle Tag Info'!$A$3,CHAR(10),'Bundle Tag Info'!Q$6,CHAR(10),'Bundle Tag Info'!Q$27),"")</f>
        <v/>
      </c>
      <c r="R22" s="16" t="str">
        <f>IF('Bundle Tag Info'!R$27&lt;&gt;"",CONCATENATE('Bundle Tag Info'!$A$1," ",CHAR(10),'Bundle Tag Info'!$A$2," ",'Bundle Tag Info'!$A$3,CHAR(10),'Bundle Tag Info'!R$6,CHAR(10),'Bundle Tag Info'!R$27),"")</f>
        <v/>
      </c>
      <c r="S22" s="16" t="str">
        <f>IF('Bundle Tag Info'!S$27&lt;&gt;"",CONCATENATE('Bundle Tag Info'!$A$1," ",CHAR(10),'Bundle Tag Info'!$A$2," ",'Bundle Tag Info'!$A$3,CHAR(10),'Bundle Tag Info'!S$6,CHAR(10),'Bundle Tag Info'!S$27),"")</f>
        <v/>
      </c>
      <c r="T22" s="16" t="str">
        <f>IF('Bundle Tag Info'!T$27&lt;&gt;"",CONCATENATE('Bundle Tag Info'!$A$1," ",CHAR(10),'Bundle Tag Info'!$A$2," ",'Bundle Tag Info'!$A$3,CHAR(10),'Bundle Tag Info'!T$6,CHAR(10),'Bundle Tag Info'!T$27),"")</f>
        <v/>
      </c>
      <c r="U22" s="16" t="str">
        <f>IF('Bundle Tag Info'!U$27&lt;&gt;"",CONCATENATE('Bundle Tag Info'!$A$1," ",CHAR(10),'Bundle Tag Info'!$A$2," ",'Bundle Tag Info'!$A$3,CHAR(10),'Bundle Tag Info'!U$6,CHAR(10),'Bundle Tag Info'!U$27),"")</f>
        <v/>
      </c>
      <c r="V22" s="16" t="str">
        <f>IF('Bundle Tag Info'!V$27&lt;&gt;"",CONCATENATE('Bundle Tag Info'!$A$1," ",CHAR(10),'Bundle Tag Info'!$A$2," ",'Bundle Tag Info'!$A$3,CHAR(10),'Bundle Tag Info'!V$6,CHAR(10),'Bundle Tag Info'!V$27),"")</f>
        <v/>
      </c>
      <c r="W22" s="16" t="str">
        <f>IF('Bundle Tag Info'!W$27&lt;&gt;"",CONCATENATE('Bundle Tag Info'!$A$1," ",CHAR(10),'Bundle Tag Info'!$A$2," ",'Bundle Tag Info'!$A$3,CHAR(10),'Bundle Tag Info'!W$6,CHAR(10),'Bundle Tag Info'!W$27),"")</f>
        <v/>
      </c>
      <c r="X22" s="16" t="str">
        <f>IF('Bundle Tag Info'!X$27&lt;&gt;"",CONCATENATE('Bundle Tag Info'!$A$1," ",CHAR(10),'Bundle Tag Info'!$A$2," ",'Bundle Tag Info'!$A$3,CHAR(10),'Bundle Tag Info'!X$6,CHAR(10),'Bundle Tag Info'!X$27),"")</f>
        <v/>
      </c>
      <c r="Y22" s="16" t="str">
        <f>IF('Bundle Tag Info'!Y$27&lt;&gt;"",CONCATENATE('Bundle Tag Info'!$A$1," ",CHAR(10),'Bundle Tag Info'!$A$2," ",'Bundle Tag Info'!$A$3,CHAR(10),'Bundle Tag Info'!Y$6,CHAR(10),'Bundle Tag Info'!Y$27),"")</f>
        <v/>
      </c>
      <c r="Z22" s="16" t="str">
        <f>IF('Bundle Tag Info'!Z$27&lt;&gt;"",CONCATENATE('Bundle Tag Info'!$A$1," ",CHAR(10),'Bundle Tag Info'!$A$2," ",'Bundle Tag Info'!$A$3,CHAR(10),'Bundle Tag Info'!Z$6,CHAR(10),'Bundle Tag Info'!Z$27),"")</f>
        <v/>
      </c>
      <c r="AA22" s="16" t="str">
        <f>IF('Bundle Tag Info'!AA$27&lt;&gt;"",CONCATENATE('Bundle Tag Info'!$A$1," ",CHAR(10),'Bundle Tag Info'!$A$2," ",'Bundle Tag Info'!$A$3,CHAR(10),'Bundle Tag Info'!AA$6,CHAR(10),'Bundle Tag Info'!AA$27),"")</f>
        <v/>
      </c>
      <c r="AB22" s="16" t="str">
        <f>IF('Bundle Tag Info'!AB$27&lt;&gt;"",CONCATENATE('Bundle Tag Info'!$A$1," ",CHAR(10),'Bundle Tag Info'!$A$2," ",'Bundle Tag Info'!$A$3,CHAR(10),'Bundle Tag Info'!AB$6,CHAR(10),'Bundle Tag Info'!AB$27),"")</f>
        <v/>
      </c>
      <c r="AC22" s="16" t="str">
        <f>IF('Bundle Tag Info'!AC$27&lt;&gt;"",CONCATENATE('Bundle Tag Info'!$A$1," ",CHAR(10),'Bundle Tag Info'!$A$2," ",'Bundle Tag Info'!$A$3,CHAR(10),'Bundle Tag Info'!AC$6,CHAR(10),'Bundle Tag Info'!AC$27),"")</f>
        <v/>
      </c>
      <c r="AD22" s="1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6" t="str">
        <f>IF('Bundle Tag Info'!E$9&lt;&gt;"",CONCATENATE('Bundle Tag Info'!$A$1," ",CHAR(10),'Bundle Tag Info'!$A$2," ",'Bundle Tag Info'!$A$3,CHAR(10),'Bundle Tag Info'!E$6,CHAR(10),'Bundle Tag Info'!E$9),"")</f>
        <v>KOC-JPF #1 
4P101 C.1
A
KA A1</v>
      </c>
      <c r="H23" s="16" t="str">
        <f>IF('Bundle Tag Info'!H$28&lt;&gt;"",CONCATENATE('Bundle Tag Info'!$A$1," ",CHAR(10),'Bundle Tag Info'!$A$2," ",'Bundle Tag Info'!$A$3,CHAR(10),'Bundle Tag Info'!H$6,CHAR(10),'Bundle Tag Info'!H$28),"")</f>
        <v/>
      </c>
      <c r="I23" s="16" t="str">
        <f>IF('Bundle Tag Info'!I$28&lt;&gt;"",CONCATENATE('Bundle Tag Info'!$A$1," ",CHAR(10),'Bundle Tag Info'!$A$2," ",'Bundle Tag Info'!$A$3,CHAR(10),'Bundle Tag Info'!I$6,CHAR(10),'Bundle Tag Info'!I$28),"")</f>
        <v/>
      </c>
      <c r="J23" s="16" t="str">
        <f>IF('Bundle Tag Info'!J$28&lt;&gt;"",CONCATENATE('Bundle Tag Info'!$A$1," ",CHAR(10),'Bundle Tag Info'!$A$2," ",'Bundle Tag Info'!$A$3,CHAR(10),'Bundle Tag Info'!J$6,CHAR(10),'Bundle Tag Info'!J$28),"")</f>
        <v/>
      </c>
      <c r="K23" s="16" t="str">
        <f>IF('Bundle Tag Info'!K$28&lt;&gt;"",CONCATENATE('Bundle Tag Info'!$A$1," ",CHAR(10),'Bundle Tag Info'!$A$2," ",'Bundle Tag Info'!$A$3,CHAR(10),'Bundle Tag Info'!K$6,CHAR(10),'Bundle Tag Info'!K$28),"")</f>
        <v/>
      </c>
      <c r="L23" s="16" t="str">
        <f>IF('Bundle Tag Info'!L$28&lt;&gt;"",CONCATENATE('Bundle Tag Info'!$A$1," ",CHAR(10),'Bundle Tag Info'!$A$2," ",'Bundle Tag Info'!$A$3,CHAR(10),'Bundle Tag Info'!L$6,CHAR(10),'Bundle Tag Info'!L$28),"")</f>
        <v/>
      </c>
      <c r="M23" s="16" t="str">
        <f>IF('Bundle Tag Info'!M$28&lt;&gt;"",CONCATENATE('Bundle Tag Info'!$A$1," ",CHAR(10),'Bundle Tag Info'!$A$2," ",'Bundle Tag Info'!$A$3,CHAR(10),'Bundle Tag Info'!M$6,CHAR(10),'Bundle Tag Info'!M$28),"")</f>
        <v/>
      </c>
      <c r="N23" s="16" t="str">
        <f>IF('Bundle Tag Info'!N$28&lt;&gt;"",CONCATENATE('Bundle Tag Info'!$A$1," ",CHAR(10),'Bundle Tag Info'!$A$2," ",'Bundle Tag Info'!$A$3,CHAR(10),'Bundle Tag Info'!N$6,CHAR(10),'Bundle Tag Info'!N$28),"")</f>
        <v/>
      </c>
      <c r="O23" s="16" t="str">
        <f>IF('Bundle Tag Info'!O$28&lt;&gt;"",CONCATENATE('Bundle Tag Info'!$A$1," ",CHAR(10),'Bundle Tag Info'!$A$2," ",'Bundle Tag Info'!$A$3,CHAR(10),'Bundle Tag Info'!O$6,CHAR(10),'Bundle Tag Info'!O$28),"")</f>
        <v/>
      </c>
      <c r="P23" s="16" t="str">
        <f>IF('Bundle Tag Info'!P$28&lt;&gt;"",CONCATENATE('Bundle Tag Info'!$A$1," ",CHAR(10),'Bundle Tag Info'!$A$2," ",'Bundle Tag Info'!$A$3,CHAR(10),'Bundle Tag Info'!P$6,CHAR(10),'Bundle Tag Info'!P$28),"")</f>
        <v/>
      </c>
      <c r="Q23" s="16" t="str">
        <f>IF('Bundle Tag Info'!Q$28&lt;&gt;"",CONCATENATE('Bundle Tag Info'!$A$1," ",CHAR(10),'Bundle Tag Info'!$A$2," ",'Bundle Tag Info'!$A$3,CHAR(10),'Bundle Tag Info'!Q$6,CHAR(10),'Bundle Tag Info'!Q$28),"")</f>
        <v/>
      </c>
      <c r="R23" s="16" t="str">
        <f>IF('Bundle Tag Info'!R$28&lt;&gt;"",CONCATENATE('Bundle Tag Info'!$A$1," ",CHAR(10),'Bundle Tag Info'!$A$2," ",'Bundle Tag Info'!$A$3,CHAR(10),'Bundle Tag Info'!R$6,CHAR(10),'Bundle Tag Info'!R$28),"")</f>
        <v/>
      </c>
      <c r="S23" s="16" t="str">
        <f>IF('Bundle Tag Info'!S$28&lt;&gt;"",CONCATENATE('Bundle Tag Info'!$A$1," ",CHAR(10),'Bundle Tag Info'!$A$2," ",'Bundle Tag Info'!$A$3,CHAR(10),'Bundle Tag Info'!S$6,CHAR(10),'Bundle Tag Info'!S$28),"")</f>
        <v/>
      </c>
      <c r="T23" s="16" t="str">
        <f>IF('Bundle Tag Info'!T$28&lt;&gt;"",CONCATENATE('Bundle Tag Info'!$A$1," ",CHAR(10),'Bundle Tag Info'!$A$2," ",'Bundle Tag Info'!$A$3,CHAR(10),'Bundle Tag Info'!T$6,CHAR(10),'Bundle Tag Info'!T$28),"")</f>
        <v/>
      </c>
      <c r="U23" s="16" t="str">
        <f>IF('Bundle Tag Info'!U$28&lt;&gt;"",CONCATENATE('Bundle Tag Info'!$A$1," ",CHAR(10),'Bundle Tag Info'!$A$2," ",'Bundle Tag Info'!$A$3,CHAR(10),'Bundle Tag Info'!U$6,CHAR(10),'Bundle Tag Info'!U$28),"")</f>
        <v/>
      </c>
      <c r="V23" s="16" t="str">
        <f>IF('Bundle Tag Info'!V$28&lt;&gt;"",CONCATENATE('Bundle Tag Info'!$A$1," ",CHAR(10),'Bundle Tag Info'!$A$2," ",'Bundle Tag Info'!$A$3,CHAR(10),'Bundle Tag Info'!V$6,CHAR(10),'Bundle Tag Info'!V$28),"")</f>
        <v/>
      </c>
      <c r="W23" s="16" t="str">
        <f>IF('Bundle Tag Info'!W$28&lt;&gt;"",CONCATENATE('Bundle Tag Info'!$A$1," ",CHAR(10),'Bundle Tag Info'!$A$2," ",'Bundle Tag Info'!$A$3,CHAR(10),'Bundle Tag Info'!W$6,CHAR(10),'Bundle Tag Info'!W$28),"")</f>
        <v/>
      </c>
      <c r="X23" s="16" t="str">
        <f>IF('Bundle Tag Info'!X$28&lt;&gt;"",CONCATENATE('Bundle Tag Info'!$A$1," ",CHAR(10),'Bundle Tag Info'!$A$2," ",'Bundle Tag Info'!$A$3,CHAR(10),'Bundle Tag Info'!X$6,CHAR(10),'Bundle Tag Info'!X$28),"")</f>
        <v/>
      </c>
      <c r="Y23" s="16" t="str">
        <f>IF('Bundle Tag Info'!Y$28&lt;&gt;"",CONCATENATE('Bundle Tag Info'!$A$1," ",CHAR(10),'Bundle Tag Info'!$A$2," ",'Bundle Tag Info'!$A$3,CHAR(10),'Bundle Tag Info'!Y$6,CHAR(10),'Bundle Tag Info'!Y$28),"")</f>
        <v/>
      </c>
      <c r="Z23" s="16" t="str">
        <f>IF('Bundle Tag Info'!Z$28&lt;&gt;"",CONCATENATE('Bundle Tag Info'!$A$1," ",CHAR(10),'Bundle Tag Info'!$A$2," ",'Bundle Tag Info'!$A$3,CHAR(10),'Bundle Tag Info'!Z$6,CHAR(10),'Bundle Tag Info'!Z$28),"")</f>
        <v/>
      </c>
      <c r="AA23" s="16" t="str">
        <f>IF('Bundle Tag Info'!AA$28&lt;&gt;"",CONCATENATE('Bundle Tag Info'!$A$1," ",CHAR(10),'Bundle Tag Info'!$A$2," ",'Bundle Tag Info'!$A$3,CHAR(10),'Bundle Tag Info'!AA$6,CHAR(10),'Bundle Tag Info'!AA$28),"")</f>
        <v/>
      </c>
      <c r="AB23" s="16" t="str">
        <f>IF('Bundle Tag Info'!AB$28&lt;&gt;"",CONCATENATE('Bundle Tag Info'!$A$1," ",CHAR(10),'Bundle Tag Info'!$A$2," ",'Bundle Tag Info'!$A$3,CHAR(10),'Bundle Tag Info'!AB$6,CHAR(10),'Bundle Tag Info'!AB$28),"")</f>
        <v/>
      </c>
      <c r="AC23" s="16" t="str">
        <f>IF('Bundle Tag Info'!AC$28&lt;&gt;"",CONCATENATE('Bundle Tag Info'!$A$1," ",CHAR(10),'Bundle Tag Info'!$A$2," ",'Bundle Tag Info'!$A$3,CHAR(10),'Bundle Tag Info'!AC$6,CHAR(10),'Bundle Tag Info'!AC$28),"")</f>
        <v/>
      </c>
      <c r="AD23" s="1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6" t="str">
        <f>IF('Bundle Tag Info'!E$10&lt;&gt;"",CONCATENATE('Bundle Tag Info'!$A$1," ",CHAR(10),'Bundle Tag Info'!$A$2," ",'Bundle Tag Info'!$A$3,CHAR(10),'Bundle Tag Info'!E$6,CHAR(10),'Bundle Tag Info'!E$10),"")</f>
        <v>KOC-JPF #1 
4P101 C.1
A
KA A2</v>
      </c>
      <c r="H24" s="16" t="str">
        <f>IF('Bundle Tag Info'!H$29&lt;&gt;"",CONCATENATE('Bundle Tag Info'!$A$1," ",CHAR(10),'Bundle Tag Info'!$A$2," ",'Bundle Tag Info'!$A$3,CHAR(10),'Bundle Tag Info'!H$6,CHAR(10),'Bundle Tag Info'!H$29),"")</f>
        <v/>
      </c>
      <c r="I24" s="16" t="str">
        <f>IF('Bundle Tag Info'!I$29&lt;&gt;"",CONCATENATE('Bundle Tag Info'!$A$1," ",CHAR(10),'Bundle Tag Info'!$A$2," ",'Bundle Tag Info'!$A$3,CHAR(10),'Bundle Tag Info'!I$6,CHAR(10),'Bundle Tag Info'!I$29),"")</f>
        <v/>
      </c>
      <c r="J24" s="16" t="str">
        <f>IF('Bundle Tag Info'!J$29&lt;&gt;"",CONCATENATE('Bundle Tag Info'!$A$1," ",CHAR(10),'Bundle Tag Info'!$A$2," ",'Bundle Tag Info'!$A$3,CHAR(10),'Bundle Tag Info'!J$6,CHAR(10),'Bundle Tag Info'!J$29),"")</f>
        <v/>
      </c>
      <c r="K24" s="16" t="str">
        <f>IF('Bundle Tag Info'!K$29&lt;&gt;"",CONCATENATE('Bundle Tag Info'!$A$1," ",CHAR(10),'Bundle Tag Info'!$A$2," ",'Bundle Tag Info'!$A$3,CHAR(10),'Bundle Tag Info'!K$6,CHAR(10),'Bundle Tag Info'!K$29),"")</f>
        <v/>
      </c>
      <c r="L24" s="16" t="str">
        <f>IF('Bundle Tag Info'!L$29&lt;&gt;"",CONCATENATE('Bundle Tag Info'!$A$1," ",CHAR(10),'Bundle Tag Info'!$A$2," ",'Bundle Tag Info'!$A$3,CHAR(10),'Bundle Tag Info'!L$6,CHAR(10),'Bundle Tag Info'!L$29),"")</f>
        <v/>
      </c>
      <c r="M24" s="16" t="str">
        <f>IF('Bundle Tag Info'!M$29&lt;&gt;"",CONCATENATE('Bundle Tag Info'!$A$1," ",CHAR(10),'Bundle Tag Info'!$A$2," ",'Bundle Tag Info'!$A$3,CHAR(10),'Bundle Tag Info'!M$6,CHAR(10),'Bundle Tag Info'!M$29),"")</f>
        <v/>
      </c>
      <c r="N24" s="16" t="str">
        <f>IF('Bundle Tag Info'!N$29&lt;&gt;"",CONCATENATE('Bundle Tag Info'!$A$1," ",CHAR(10),'Bundle Tag Info'!$A$2," ",'Bundle Tag Info'!$A$3,CHAR(10),'Bundle Tag Info'!N$6,CHAR(10),'Bundle Tag Info'!N$29),"")</f>
        <v/>
      </c>
      <c r="O24" s="16" t="str">
        <f>IF('Bundle Tag Info'!O$29&lt;&gt;"",CONCATENATE('Bundle Tag Info'!$A$1," ",CHAR(10),'Bundle Tag Info'!$A$2," ",'Bundle Tag Info'!$A$3,CHAR(10),'Bundle Tag Info'!O$6,CHAR(10),'Bundle Tag Info'!O$29),"")</f>
        <v/>
      </c>
      <c r="P24" s="16" t="str">
        <f>IF('Bundle Tag Info'!P$29&lt;&gt;"",CONCATENATE('Bundle Tag Info'!$A$1," ",CHAR(10),'Bundle Tag Info'!$A$2," ",'Bundle Tag Info'!$A$3,CHAR(10),'Bundle Tag Info'!P$6,CHAR(10),'Bundle Tag Info'!P$29),"")</f>
        <v/>
      </c>
      <c r="Q24" s="16" t="str">
        <f>IF('Bundle Tag Info'!Q$29&lt;&gt;"",CONCATENATE('Bundle Tag Info'!$A$1," ",CHAR(10),'Bundle Tag Info'!$A$2," ",'Bundle Tag Info'!$A$3,CHAR(10),'Bundle Tag Info'!Q$6,CHAR(10),'Bundle Tag Info'!Q$29),"")</f>
        <v/>
      </c>
      <c r="R24" s="16" t="str">
        <f>IF('Bundle Tag Info'!R$29&lt;&gt;"",CONCATENATE('Bundle Tag Info'!$A$1," ",CHAR(10),'Bundle Tag Info'!$A$2," ",'Bundle Tag Info'!$A$3,CHAR(10),'Bundle Tag Info'!R$6,CHAR(10),'Bundle Tag Info'!R$29),"")</f>
        <v/>
      </c>
      <c r="S24" s="16" t="str">
        <f>IF('Bundle Tag Info'!S$29&lt;&gt;"",CONCATENATE('Bundle Tag Info'!$A$1," ",CHAR(10),'Bundle Tag Info'!$A$2," ",'Bundle Tag Info'!$A$3,CHAR(10),'Bundle Tag Info'!S$6,CHAR(10),'Bundle Tag Info'!S$29),"")</f>
        <v/>
      </c>
      <c r="T24" s="16" t="str">
        <f>IF('Bundle Tag Info'!T$29&lt;&gt;"",CONCATENATE('Bundle Tag Info'!$A$1," ",CHAR(10),'Bundle Tag Info'!$A$2," ",'Bundle Tag Info'!$A$3,CHAR(10),'Bundle Tag Info'!T$6,CHAR(10),'Bundle Tag Info'!T$29),"")</f>
        <v/>
      </c>
      <c r="U24" s="16" t="str">
        <f>IF('Bundle Tag Info'!U$29&lt;&gt;"",CONCATENATE('Bundle Tag Info'!$A$1," ",CHAR(10),'Bundle Tag Info'!$A$2," ",'Bundle Tag Info'!$A$3,CHAR(10),'Bundle Tag Info'!U$6,CHAR(10),'Bundle Tag Info'!U$29),"")</f>
        <v/>
      </c>
      <c r="V24" s="16" t="str">
        <f>IF('Bundle Tag Info'!V$29&lt;&gt;"",CONCATENATE('Bundle Tag Info'!$A$1," ",CHAR(10),'Bundle Tag Info'!$A$2," ",'Bundle Tag Info'!$A$3,CHAR(10),'Bundle Tag Info'!V$6,CHAR(10),'Bundle Tag Info'!V$29),"")</f>
        <v/>
      </c>
      <c r="W24" s="16" t="str">
        <f>IF('Bundle Tag Info'!W$29&lt;&gt;"",CONCATENATE('Bundle Tag Info'!$A$1," ",CHAR(10),'Bundle Tag Info'!$A$2," ",'Bundle Tag Info'!$A$3,CHAR(10),'Bundle Tag Info'!W$6,CHAR(10),'Bundle Tag Info'!W$29),"")</f>
        <v/>
      </c>
      <c r="X24" s="16" t="str">
        <f>IF('Bundle Tag Info'!X$29&lt;&gt;"",CONCATENATE('Bundle Tag Info'!$A$1," ",CHAR(10),'Bundle Tag Info'!$A$2," ",'Bundle Tag Info'!$A$3,CHAR(10),'Bundle Tag Info'!X$6,CHAR(10),'Bundle Tag Info'!X$29),"")</f>
        <v/>
      </c>
      <c r="Y24" s="16" t="str">
        <f>IF('Bundle Tag Info'!Y$29&lt;&gt;"",CONCATENATE('Bundle Tag Info'!$A$1," ",CHAR(10),'Bundle Tag Info'!$A$2," ",'Bundle Tag Info'!$A$3,CHAR(10),'Bundle Tag Info'!Y$6,CHAR(10),'Bundle Tag Info'!Y$29),"")</f>
        <v/>
      </c>
      <c r="Z24" s="16" t="str">
        <f>IF('Bundle Tag Info'!Z$29&lt;&gt;"",CONCATENATE('Bundle Tag Info'!$A$1," ",CHAR(10),'Bundle Tag Info'!$A$2," ",'Bundle Tag Info'!$A$3,CHAR(10),'Bundle Tag Info'!Z$6,CHAR(10),'Bundle Tag Info'!Z$29),"")</f>
        <v/>
      </c>
      <c r="AA24" s="16" t="str">
        <f>IF('Bundle Tag Info'!AA$29&lt;&gt;"",CONCATENATE('Bundle Tag Info'!$A$1," ",CHAR(10),'Bundle Tag Info'!$A$2," ",'Bundle Tag Info'!$A$3,CHAR(10),'Bundle Tag Info'!AA$6,CHAR(10),'Bundle Tag Info'!AA$29),"")</f>
        <v/>
      </c>
      <c r="AB24" s="16" t="str">
        <f>IF('Bundle Tag Info'!AB$29&lt;&gt;"",CONCATENATE('Bundle Tag Info'!$A$1," ",CHAR(10),'Bundle Tag Info'!$A$2," ",'Bundle Tag Info'!$A$3,CHAR(10),'Bundle Tag Info'!AB$6,CHAR(10),'Bundle Tag Info'!AB$29),"")</f>
        <v/>
      </c>
      <c r="AC24" s="16" t="str">
        <f>IF('Bundle Tag Info'!AC$29&lt;&gt;"",CONCATENATE('Bundle Tag Info'!$A$1," ",CHAR(10),'Bundle Tag Info'!$A$2," ",'Bundle Tag Info'!$A$3,CHAR(10),'Bundle Tag Info'!AC$6,CHAR(10),'Bundle Tag Info'!AC$29),"")</f>
        <v/>
      </c>
      <c r="AD24" s="1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6" t="str">
        <f>IF('Bundle Tag Info'!E$11&lt;&gt;"",CONCATENATE('Bundle Tag Info'!$A$1," ",CHAR(10),'Bundle Tag Info'!$A$2," ",'Bundle Tag Info'!$A$3,CHAR(10),'Bundle Tag Info'!E$6,CHAR(10),'Bundle Tag Info'!E$11),"")</f>
        <v>KOC-JPF #1 
4P101 C.1
A
KA</v>
      </c>
      <c r="H25" s="16" t="str">
        <f>IF('Bundle Tag Info'!H$30&lt;&gt;"",CONCATENATE('Bundle Tag Info'!$A$1," ",CHAR(10),'Bundle Tag Info'!$A$2," ",'Bundle Tag Info'!$A$3,CHAR(10),'Bundle Tag Info'!H$6,CHAR(10),'Bundle Tag Info'!H$30),"")</f>
        <v/>
      </c>
      <c r="I25" s="16" t="str">
        <f>IF('Bundle Tag Info'!I$30&lt;&gt;"",CONCATENATE('Bundle Tag Info'!$A$1," ",CHAR(10),'Bundle Tag Info'!$A$2," ",'Bundle Tag Info'!$A$3,CHAR(10),'Bundle Tag Info'!I$6,CHAR(10),'Bundle Tag Info'!I$30),"")</f>
        <v/>
      </c>
      <c r="J25" s="16" t="str">
        <f>IF('Bundle Tag Info'!J$30&lt;&gt;"",CONCATENATE('Bundle Tag Info'!$A$1," ",CHAR(10),'Bundle Tag Info'!$A$2," ",'Bundle Tag Info'!$A$3,CHAR(10),'Bundle Tag Info'!J$6,CHAR(10),'Bundle Tag Info'!J$30),"")</f>
        <v/>
      </c>
      <c r="K25" s="16" t="str">
        <f>IF('Bundle Tag Info'!K$30&lt;&gt;"",CONCATENATE('Bundle Tag Info'!$A$1," ",CHAR(10),'Bundle Tag Info'!$A$2," ",'Bundle Tag Info'!$A$3,CHAR(10),'Bundle Tag Info'!K$6,CHAR(10),'Bundle Tag Info'!K$30),"")</f>
        <v/>
      </c>
      <c r="L25" s="16" t="str">
        <f>IF('Bundle Tag Info'!L$30&lt;&gt;"",CONCATENATE('Bundle Tag Info'!$A$1," ",CHAR(10),'Bundle Tag Info'!$A$2," ",'Bundle Tag Info'!$A$3,CHAR(10),'Bundle Tag Info'!L$6,CHAR(10),'Bundle Tag Info'!L$30),"")</f>
        <v/>
      </c>
      <c r="M25" s="16" t="str">
        <f>IF('Bundle Tag Info'!M$30&lt;&gt;"",CONCATENATE('Bundle Tag Info'!$A$1," ",CHAR(10),'Bundle Tag Info'!$A$2," ",'Bundle Tag Info'!$A$3,CHAR(10),'Bundle Tag Info'!M$6,CHAR(10),'Bundle Tag Info'!M$30),"")</f>
        <v/>
      </c>
      <c r="N25" s="16" t="str">
        <f>IF('Bundle Tag Info'!N$30&lt;&gt;"",CONCATENATE('Bundle Tag Info'!$A$1," ",CHAR(10),'Bundle Tag Info'!$A$2," ",'Bundle Tag Info'!$A$3,CHAR(10),'Bundle Tag Info'!N$6,CHAR(10),'Bundle Tag Info'!N$30),"")</f>
        <v/>
      </c>
      <c r="O25" s="16" t="str">
        <f>IF('Bundle Tag Info'!O$30&lt;&gt;"",CONCATENATE('Bundle Tag Info'!$A$1," ",CHAR(10),'Bundle Tag Info'!$A$2," ",'Bundle Tag Info'!$A$3,CHAR(10),'Bundle Tag Info'!O$6,CHAR(10),'Bundle Tag Info'!O$30),"")</f>
        <v/>
      </c>
      <c r="P25" s="16" t="str">
        <f>IF('Bundle Tag Info'!P$30&lt;&gt;"",CONCATENATE('Bundle Tag Info'!$A$1," ",CHAR(10),'Bundle Tag Info'!$A$2," ",'Bundle Tag Info'!$A$3,CHAR(10),'Bundle Tag Info'!P$6,CHAR(10),'Bundle Tag Info'!P$30),"")</f>
        <v/>
      </c>
      <c r="Q25" s="16" t="str">
        <f>IF('Bundle Tag Info'!Q$30&lt;&gt;"",CONCATENATE('Bundle Tag Info'!$A$1," ",CHAR(10),'Bundle Tag Info'!$A$2," ",'Bundle Tag Info'!$A$3,CHAR(10),'Bundle Tag Info'!Q$6,CHAR(10),'Bundle Tag Info'!Q$30),"")</f>
        <v/>
      </c>
      <c r="R25" s="16" t="str">
        <f>IF('Bundle Tag Info'!R$30&lt;&gt;"",CONCATENATE('Bundle Tag Info'!$A$1," ",CHAR(10),'Bundle Tag Info'!$A$2," ",'Bundle Tag Info'!$A$3,CHAR(10),'Bundle Tag Info'!R$6,CHAR(10),'Bundle Tag Info'!R$30),"")</f>
        <v/>
      </c>
      <c r="S25" s="16" t="str">
        <f>IF('Bundle Tag Info'!S$30&lt;&gt;"",CONCATENATE('Bundle Tag Info'!$A$1," ",CHAR(10),'Bundle Tag Info'!$A$2," ",'Bundle Tag Info'!$A$3,CHAR(10),'Bundle Tag Info'!S$6,CHAR(10),'Bundle Tag Info'!S$30),"")</f>
        <v/>
      </c>
      <c r="T25" s="16" t="str">
        <f>IF('Bundle Tag Info'!T$30&lt;&gt;"",CONCATENATE('Bundle Tag Info'!$A$1," ",CHAR(10),'Bundle Tag Info'!$A$2," ",'Bundle Tag Info'!$A$3,CHAR(10),'Bundle Tag Info'!T$6,CHAR(10),'Bundle Tag Info'!T$30),"")</f>
        <v/>
      </c>
      <c r="U25" s="16" t="str">
        <f>IF('Bundle Tag Info'!U$30&lt;&gt;"",CONCATENATE('Bundle Tag Info'!$A$1," ",CHAR(10),'Bundle Tag Info'!$A$2," ",'Bundle Tag Info'!$A$3,CHAR(10),'Bundle Tag Info'!U$6,CHAR(10),'Bundle Tag Info'!U$30),"")</f>
        <v/>
      </c>
      <c r="V25" s="16" t="str">
        <f>IF('Bundle Tag Info'!V$30&lt;&gt;"",CONCATENATE('Bundle Tag Info'!$A$1," ",CHAR(10),'Bundle Tag Info'!$A$2," ",'Bundle Tag Info'!$A$3,CHAR(10),'Bundle Tag Info'!V$6,CHAR(10),'Bundle Tag Info'!V$30),"")</f>
        <v/>
      </c>
      <c r="W25" s="16" t="str">
        <f>IF('Bundle Tag Info'!W$30&lt;&gt;"",CONCATENATE('Bundle Tag Info'!$A$1," ",CHAR(10),'Bundle Tag Info'!$A$2," ",'Bundle Tag Info'!$A$3,CHAR(10),'Bundle Tag Info'!W$6,CHAR(10),'Bundle Tag Info'!W$30),"")</f>
        <v/>
      </c>
      <c r="X25" s="16" t="str">
        <f>IF('Bundle Tag Info'!X$30&lt;&gt;"",CONCATENATE('Bundle Tag Info'!$A$1," ",CHAR(10),'Bundle Tag Info'!$A$2," ",'Bundle Tag Info'!$A$3,CHAR(10),'Bundle Tag Info'!X$6,CHAR(10),'Bundle Tag Info'!X$30),"")</f>
        <v/>
      </c>
      <c r="Y25" s="16" t="str">
        <f>IF('Bundle Tag Info'!Y$30&lt;&gt;"",CONCATENATE('Bundle Tag Info'!$A$1," ",CHAR(10),'Bundle Tag Info'!$A$2," ",'Bundle Tag Info'!$A$3,CHAR(10),'Bundle Tag Info'!Y$6,CHAR(10),'Bundle Tag Info'!Y$30),"")</f>
        <v/>
      </c>
      <c r="Z25" s="16" t="str">
        <f>IF('Bundle Tag Info'!Z$30&lt;&gt;"",CONCATENATE('Bundle Tag Info'!$A$1," ",CHAR(10),'Bundle Tag Info'!$A$2," ",'Bundle Tag Info'!$A$3,CHAR(10),'Bundle Tag Info'!Z$6,CHAR(10),'Bundle Tag Info'!Z$30),"")</f>
        <v/>
      </c>
      <c r="AA25" s="16" t="str">
        <f>IF('Bundle Tag Info'!AA$30&lt;&gt;"",CONCATENATE('Bundle Tag Info'!$A$1," ",CHAR(10),'Bundle Tag Info'!$A$2," ",'Bundle Tag Info'!$A$3,CHAR(10),'Bundle Tag Info'!AA$6,CHAR(10),'Bundle Tag Info'!AA$30),"")</f>
        <v/>
      </c>
      <c r="AB25" s="16" t="str">
        <f>IF('Bundle Tag Info'!AB$30&lt;&gt;"",CONCATENATE('Bundle Tag Info'!$A$1," ",CHAR(10),'Bundle Tag Info'!$A$2," ",'Bundle Tag Info'!$A$3,CHAR(10),'Bundle Tag Info'!AB$6,CHAR(10),'Bundle Tag Info'!AB$30),"")</f>
        <v/>
      </c>
      <c r="AC25" s="16" t="str">
        <f>IF('Bundle Tag Info'!AC$30&lt;&gt;"",CONCATENATE('Bundle Tag Info'!$A$1," ",CHAR(10),'Bundle Tag Info'!$A$2," ",'Bundle Tag Info'!$A$3,CHAR(10),'Bundle Tag Info'!AC$6,CHAR(10),'Bundle Tag Info'!AC$30),"")</f>
        <v/>
      </c>
      <c r="AD25" s="1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6" t="str">
        <f>IF('Bundle Tag Info'!E$12&lt;&gt;"",CONCATENATE('Bundle Tag Info'!$A$1," ",CHAR(10),'Bundle Tag Info'!$A$2," ",'Bundle Tag Info'!$A$3,CHAR(10),'Bundle Tag Info'!E$6,CHAR(10),'Bundle Tag Info'!E$12),"")</f>
        <v>KOC-JPF #1 
4P101 C.1
A
RR</v>
      </c>
      <c r="H26" s="16" t="str">
        <f>IF('Bundle Tag Info'!H$31&lt;&gt;"",CONCATENATE('Bundle Tag Info'!$A$1," ",CHAR(10),'Bundle Tag Info'!$A$2," ",'Bundle Tag Info'!$A$3,CHAR(10),'Bundle Tag Info'!H$6,CHAR(10),'Bundle Tag Info'!H$31),"")</f>
        <v/>
      </c>
      <c r="I26" s="16" t="str">
        <f>IF('Bundle Tag Info'!I$31&lt;&gt;"",CONCATENATE('Bundle Tag Info'!$A$1," ",CHAR(10),'Bundle Tag Info'!$A$2," ",'Bundle Tag Info'!$A$3,CHAR(10),'Bundle Tag Info'!I$6,CHAR(10),'Bundle Tag Info'!I$31),"")</f>
        <v/>
      </c>
      <c r="J26" s="16" t="str">
        <f>IF('Bundle Tag Info'!J$31&lt;&gt;"",CONCATENATE('Bundle Tag Info'!$A$1," ",CHAR(10),'Bundle Tag Info'!$A$2," ",'Bundle Tag Info'!$A$3,CHAR(10),'Bundle Tag Info'!J$6,CHAR(10),'Bundle Tag Info'!J$31),"")</f>
        <v/>
      </c>
      <c r="K26" s="16" t="str">
        <f>IF('Bundle Tag Info'!K$31&lt;&gt;"",CONCATENATE('Bundle Tag Info'!$A$1," ",CHAR(10),'Bundle Tag Info'!$A$2," ",'Bundle Tag Info'!$A$3,CHAR(10),'Bundle Tag Info'!K$6,CHAR(10),'Bundle Tag Info'!K$31),"")</f>
        <v/>
      </c>
      <c r="L26" s="16" t="str">
        <f>IF('Bundle Tag Info'!L$31&lt;&gt;"",CONCATENATE('Bundle Tag Info'!$A$1," ",CHAR(10),'Bundle Tag Info'!$A$2," ",'Bundle Tag Info'!$A$3,CHAR(10),'Bundle Tag Info'!L$6,CHAR(10),'Bundle Tag Info'!L$31),"")</f>
        <v/>
      </c>
      <c r="M26" s="16" t="str">
        <f>IF('Bundle Tag Info'!M$31&lt;&gt;"",CONCATENATE('Bundle Tag Info'!$A$1," ",CHAR(10),'Bundle Tag Info'!$A$2," ",'Bundle Tag Info'!$A$3,CHAR(10),'Bundle Tag Info'!M$6,CHAR(10),'Bundle Tag Info'!M$31),"")</f>
        <v/>
      </c>
      <c r="N26" s="16" t="str">
        <f>IF('Bundle Tag Info'!N$31&lt;&gt;"",CONCATENATE('Bundle Tag Info'!$A$1," ",CHAR(10),'Bundle Tag Info'!$A$2," ",'Bundle Tag Info'!$A$3,CHAR(10),'Bundle Tag Info'!N$6,CHAR(10),'Bundle Tag Info'!N$31),"")</f>
        <v/>
      </c>
      <c r="O26" s="16" t="str">
        <f>IF('Bundle Tag Info'!O$31&lt;&gt;"",CONCATENATE('Bundle Tag Info'!$A$1," ",CHAR(10),'Bundle Tag Info'!$A$2," ",'Bundle Tag Info'!$A$3,CHAR(10),'Bundle Tag Info'!O$6,CHAR(10),'Bundle Tag Info'!O$31),"")</f>
        <v/>
      </c>
      <c r="P26" s="16" t="str">
        <f>IF('Bundle Tag Info'!P$31&lt;&gt;"",CONCATENATE('Bundle Tag Info'!$A$1," ",CHAR(10),'Bundle Tag Info'!$A$2," ",'Bundle Tag Info'!$A$3,CHAR(10),'Bundle Tag Info'!P$6,CHAR(10),'Bundle Tag Info'!P$31),"")</f>
        <v/>
      </c>
      <c r="Q26" s="16" t="str">
        <f>IF('Bundle Tag Info'!Q$31&lt;&gt;"",CONCATENATE('Bundle Tag Info'!$A$1," ",CHAR(10),'Bundle Tag Info'!$A$2," ",'Bundle Tag Info'!$A$3,CHAR(10),'Bundle Tag Info'!Q$6,CHAR(10),'Bundle Tag Info'!Q$31),"")</f>
        <v/>
      </c>
      <c r="R26" s="16" t="str">
        <f>IF('Bundle Tag Info'!R$31&lt;&gt;"",CONCATENATE('Bundle Tag Info'!$A$1," ",CHAR(10),'Bundle Tag Info'!$A$2," ",'Bundle Tag Info'!$A$3,CHAR(10),'Bundle Tag Info'!R$6,CHAR(10),'Bundle Tag Info'!R$31),"")</f>
        <v/>
      </c>
      <c r="S26" s="16" t="str">
        <f>IF('Bundle Tag Info'!S$31&lt;&gt;"",CONCATENATE('Bundle Tag Info'!$A$1," ",CHAR(10),'Bundle Tag Info'!$A$2," ",'Bundle Tag Info'!$A$3,CHAR(10),'Bundle Tag Info'!S$6,CHAR(10),'Bundle Tag Info'!S$31),"")</f>
        <v/>
      </c>
      <c r="T26" s="16" t="str">
        <f>IF('Bundle Tag Info'!T$31&lt;&gt;"",CONCATENATE('Bundle Tag Info'!$A$1," ",CHAR(10),'Bundle Tag Info'!$A$2," ",'Bundle Tag Info'!$A$3,CHAR(10),'Bundle Tag Info'!T$6,CHAR(10),'Bundle Tag Info'!T$31),"")</f>
        <v/>
      </c>
      <c r="U26" s="16" t="str">
        <f>IF('Bundle Tag Info'!U$31&lt;&gt;"",CONCATENATE('Bundle Tag Info'!$A$1," ",CHAR(10),'Bundle Tag Info'!$A$2," ",'Bundle Tag Info'!$A$3,CHAR(10),'Bundle Tag Info'!U$6,CHAR(10),'Bundle Tag Info'!U$31),"")</f>
        <v/>
      </c>
      <c r="V26" s="16" t="str">
        <f>IF('Bundle Tag Info'!V$31&lt;&gt;"",CONCATENATE('Bundle Tag Info'!$A$1," ",CHAR(10),'Bundle Tag Info'!$A$2," ",'Bundle Tag Info'!$A$3,CHAR(10),'Bundle Tag Info'!V$6,CHAR(10),'Bundle Tag Info'!V$31),"")</f>
        <v/>
      </c>
      <c r="W26" s="16" t="str">
        <f>IF('Bundle Tag Info'!W$31&lt;&gt;"",CONCATENATE('Bundle Tag Info'!$A$1," ",CHAR(10),'Bundle Tag Info'!$A$2," ",'Bundle Tag Info'!$A$3,CHAR(10),'Bundle Tag Info'!W$6,CHAR(10),'Bundle Tag Info'!W$31),"")</f>
        <v/>
      </c>
      <c r="X26" s="16" t="str">
        <f>IF('Bundle Tag Info'!X$31&lt;&gt;"",CONCATENATE('Bundle Tag Info'!$A$1," ",CHAR(10),'Bundle Tag Info'!$A$2," ",'Bundle Tag Info'!$A$3,CHAR(10),'Bundle Tag Info'!X$6,CHAR(10),'Bundle Tag Info'!X$31),"")</f>
        <v/>
      </c>
      <c r="Y26" s="16" t="str">
        <f>IF('Bundle Tag Info'!Y$31&lt;&gt;"",CONCATENATE('Bundle Tag Info'!$A$1," ",CHAR(10),'Bundle Tag Info'!$A$2," ",'Bundle Tag Info'!$A$3,CHAR(10),'Bundle Tag Info'!Y$6,CHAR(10),'Bundle Tag Info'!Y$31),"")</f>
        <v/>
      </c>
      <c r="Z26" s="16" t="str">
        <f>IF('Bundle Tag Info'!Z$31&lt;&gt;"",CONCATENATE('Bundle Tag Info'!$A$1," ",CHAR(10),'Bundle Tag Info'!$A$2," ",'Bundle Tag Info'!$A$3,CHAR(10),'Bundle Tag Info'!Z$6,CHAR(10),'Bundle Tag Info'!Z$31),"")</f>
        <v/>
      </c>
      <c r="AA26" s="16" t="str">
        <f>IF('Bundle Tag Info'!AA$31&lt;&gt;"",CONCATENATE('Bundle Tag Info'!$A$1," ",CHAR(10),'Bundle Tag Info'!$A$2," ",'Bundle Tag Info'!$A$3,CHAR(10),'Bundle Tag Info'!AA$6,CHAR(10),'Bundle Tag Info'!AA$31),"")</f>
        <v/>
      </c>
      <c r="AB26" s="16" t="str">
        <f>IF('Bundle Tag Info'!AB$31&lt;&gt;"",CONCATENATE('Bundle Tag Info'!$A$1," ",CHAR(10),'Bundle Tag Info'!$A$2," ",'Bundle Tag Info'!$A$3,CHAR(10),'Bundle Tag Info'!AB$6,CHAR(10),'Bundle Tag Info'!AB$31),"")</f>
        <v/>
      </c>
      <c r="AC26" s="16" t="str">
        <f>IF('Bundle Tag Info'!AC$31&lt;&gt;"",CONCATENATE('Bundle Tag Info'!$A$1," ",CHAR(10),'Bundle Tag Info'!$A$2," ",'Bundle Tag Info'!$A$3,CHAR(10),'Bundle Tag Info'!AC$6,CHAR(10),'Bundle Tag Info'!AC$31),"")</f>
        <v/>
      </c>
      <c r="AD26" s="1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6" t="str">
        <f>IF('Bundle Tag Info'!E$13&lt;&gt;"",CONCATENATE('Bundle Tag Info'!$A$1," ",CHAR(10),'Bundle Tag Info'!$A$2," ",'Bundle Tag Info'!$A$3,CHAR(10),'Bundle Tag Info'!E$6,CHAR(10),'Bundle Tag Info'!E$13),"")</f>
        <v>KOC-JPF #1 
4P101 C.1
A
UA</v>
      </c>
      <c r="H27" s="16" t="str">
        <f>IF('Bundle Tag Info'!H$32&lt;&gt;"",CONCATENATE('Bundle Tag Info'!$A$1," ",CHAR(10),'Bundle Tag Info'!$A$2," ",'Bundle Tag Info'!$A$3,CHAR(10),'Bundle Tag Info'!H$6,CHAR(10),'Bundle Tag Info'!H$32),"")</f>
        <v/>
      </c>
      <c r="I27" s="16" t="str">
        <f>IF('Bundle Tag Info'!I$32&lt;&gt;"",CONCATENATE('Bundle Tag Info'!$A$1," ",CHAR(10),'Bundle Tag Info'!$A$2," ",'Bundle Tag Info'!$A$3,CHAR(10),'Bundle Tag Info'!I$6,CHAR(10),'Bundle Tag Info'!I$32),"")</f>
        <v/>
      </c>
      <c r="J27" s="16" t="str">
        <f>IF('Bundle Tag Info'!J$32&lt;&gt;"",CONCATENATE('Bundle Tag Info'!$A$1," ",CHAR(10),'Bundle Tag Info'!$A$2," ",'Bundle Tag Info'!$A$3,CHAR(10),'Bundle Tag Info'!J$6,CHAR(10),'Bundle Tag Info'!J$32),"")</f>
        <v/>
      </c>
      <c r="K27" s="16" t="str">
        <f>IF('Bundle Tag Info'!K$32&lt;&gt;"",CONCATENATE('Bundle Tag Info'!$A$1," ",CHAR(10),'Bundle Tag Info'!$A$2," ",'Bundle Tag Info'!$A$3,CHAR(10),'Bundle Tag Info'!K$6,CHAR(10),'Bundle Tag Info'!K$32),"")</f>
        <v/>
      </c>
      <c r="L27" s="16" t="str">
        <f>IF('Bundle Tag Info'!L$32&lt;&gt;"",CONCATENATE('Bundle Tag Info'!$A$1," ",CHAR(10),'Bundle Tag Info'!$A$2," ",'Bundle Tag Info'!$A$3,CHAR(10),'Bundle Tag Info'!L$6,CHAR(10),'Bundle Tag Info'!L$32),"")</f>
        <v/>
      </c>
      <c r="M27" s="16" t="str">
        <f>IF('Bundle Tag Info'!M$32&lt;&gt;"",CONCATENATE('Bundle Tag Info'!$A$1," ",CHAR(10),'Bundle Tag Info'!$A$2," ",'Bundle Tag Info'!$A$3,CHAR(10),'Bundle Tag Info'!M$6,CHAR(10),'Bundle Tag Info'!M$32),"")</f>
        <v/>
      </c>
      <c r="N27" s="16" t="str">
        <f>IF('Bundle Tag Info'!N$32&lt;&gt;"",CONCATENATE('Bundle Tag Info'!$A$1," ",CHAR(10),'Bundle Tag Info'!$A$2," ",'Bundle Tag Info'!$A$3,CHAR(10),'Bundle Tag Info'!N$6,CHAR(10),'Bundle Tag Info'!N$32),"")</f>
        <v/>
      </c>
      <c r="O27" s="16" t="str">
        <f>IF('Bundle Tag Info'!O$32&lt;&gt;"",CONCATENATE('Bundle Tag Info'!$A$1," ",CHAR(10),'Bundle Tag Info'!$A$2," ",'Bundle Tag Info'!$A$3,CHAR(10),'Bundle Tag Info'!O$6,CHAR(10),'Bundle Tag Info'!O$32),"")</f>
        <v/>
      </c>
      <c r="P27" s="16" t="str">
        <f>IF('Bundle Tag Info'!P$32&lt;&gt;"",CONCATENATE('Bundle Tag Info'!$A$1," ",CHAR(10),'Bundle Tag Info'!$A$2," ",'Bundle Tag Info'!$A$3,CHAR(10),'Bundle Tag Info'!P$6,CHAR(10),'Bundle Tag Info'!P$32),"")</f>
        <v/>
      </c>
      <c r="Q27" s="16" t="str">
        <f>IF('Bundle Tag Info'!Q$32&lt;&gt;"",CONCATENATE('Bundle Tag Info'!$A$1," ",CHAR(10),'Bundle Tag Info'!$A$2," ",'Bundle Tag Info'!$A$3,CHAR(10),'Bundle Tag Info'!Q$6,CHAR(10),'Bundle Tag Info'!Q$32),"")</f>
        <v/>
      </c>
      <c r="R27" s="16" t="str">
        <f>IF('Bundle Tag Info'!R$32&lt;&gt;"",CONCATENATE('Bundle Tag Info'!$A$1," ",CHAR(10),'Bundle Tag Info'!$A$2," ",'Bundle Tag Info'!$A$3,CHAR(10),'Bundle Tag Info'!R$6,CHAR(10),'Bundle Tag Info'!R$32),"")</f>
        <v/>
      </c>
      <c r="S27" s="16" t="str">
        <f>IF('Bundle Tag Info'!S$32&lt;&gt;"",CONCATENATE('Bundle Tag Info'!$A$1," ",CHAR(10),'Bundle Tag Info'!$A$2," ",'Bundle Tag Info'!$A$3,CHAR(10),'Bundle Tag Info'!S$6,CHAR(10),'Bundle Tag Info'!S$32),"")</f>
        <v/>
      </c>
      <c r="T27" s="16" t="str">
        <f>IF('Bundle Tag Info'!T$32&lt;&gt;"",CONCATENATE('Bundle Tag Info'!$A$1," ",CHAR(10),'Bundle Tag Info'!$A$2," ",'Bundle Tag Info'!$A$3,CHAR(10),'Bundle Tag Info'!T$6,CHAR(10),'Bundle Tag Info'!T$32),"")</f>
        <v/>
      </c>
      <c r="U27" s="16" t="str">
        <f>IF('Bundle Tag Info'!U$32&lt;&gt;"",CONCATENATE('Bundle Tag Info'!$A$1," ",CHAR(10),'Bundle Tag Info'!$A$2," ",'Bundle Tag Info'!$A$3,CHAR(10),'Bundle Tag Info'!U$6,CHAR(10),'Bundle Tag Info'!U$32),"")</f>
        <v/>
      </c>
      <c r="V27" s="16" t="str">
        <f>IF('Bundle Tag Info'!V$32&lt;&gt;"",CONCATENATE('Bundle Tag Info'!$A$1," ",CHAR(10),'Bundle Tag Info'!$A$2," ",'Bundle Tag Info'!$A$3,CHAR(10),'Bundle Tag Info'!V$6,CHAR(10),'Bundle Tag Info'!V$32),"")</f>
        <v/>
      </c>
      <c r="W27" s="16" t="str">
        <f>IF('Bundle Tag Info'!W$32&lt;&gt;"",CONCATENATE('Bundle Tag Info'!$A$1," ",CHAR(10),'Bundle Tag Info'!$A$2," ",'Bundle Tag Info'!$A$3,CHAR(10),'Bundle Tag Info'!W$6,CHAR(10),'Bundle Tag Info'!W$32),"")</f>
        <v/>
      </c>
      <c r="X27" s="16" t="str">
        <f>IF('Bundle Tag Info'!X$32&lt;&gt;"",CONCATENATE('Bundle Tag Info'!$A$1," ",CHAR(10),'Bundle Tag Info'!$A$2," ",'Bundle Tag Info'!$A$3,CHAR(10),'Bundle Tag Info'!X$6,CHAR(10),'Bundle Tag Info'!X$32),"")</f>
        <v/>
      </c>
      <c r="Y27" s="16" t="str">
        <f>IF('Bundle Tag Info'!Y$32&lt;&gt;"",CONCATENATE('Bundle Tag Info'!$A$1," ",CHAR(10),'Bundle Tag Info'!$A$2," ",'Bundle Tag Info'!$A$3,CHAR(10),'Bundle Tag Info'!Y$6,CHAR(10),'Bundle Tag Info'!Y$32),"")</f>
        <v/>
      </c>
      <c r="Z27" s="16" t="str">
        <f>IF('Bundle Tag Info'!Z$32&lt;&gt;"",CONCATENATE('Bundle Tag Info'!$A$1," ",CHAR(10),'Bundle Tag Info'!$A$2," ",'Bundle Tag Info'!$A$3,CHAR(10),'Bundle Tag Info'!Z$6,CHAR(10),'Bundle Tag Info'!Z$32),"")</f>
        <v/>
      </c>
      <c r="AA27" s="16" t="str">
        <f>IF('Bundle Tag Info'!AA$32&lt;&gt;"",CONCATENATE('Bundle Tag Info'!$A$1," ",CHAR(10),'Bundle Tag Info'!$A$2," ",'Bundle Tag Info'!$A$3,CHAR(10),'Bundle Tag Info'!AA$6,CHAR(10),'Bundle Tag Info'!AA$32),"")</f>
        <v/>
      </c>
      <c r="AB27" s="16" t="str">
        <f>IF('Bundle Tag Info'!AB$32&lt;&gt;"",CONCATENATE('Bundle Tag Info'!$A$1," ",CHAR(10),'Bundle Tag Info'!$A$2," ",'Bundle Tag Info'!$A$3,CHAR(10),'Bundle Tag Info'!AB$6,CHAR(10),'Bundle Tag Info'!AB$32),"")</f>
        <v/>
      </c>
      <c r="AC27" s="16" t="str">
        <f>IF('Bundle Tag Info'!AC$32&lt;&gt;"",CONCATENATE('Bundle Tag Info'!$A$1," ",CHAR(10),'Bundle Tag Info'!$A$2," ",'Bundle Tag Info'!$A$3,CHAR(10),'Bundle Tag Info'!AC$6,CHAR(10),'Bundle Tag Info'!AC$32),"")</f>
        <v/>
      </c>
      <c r="AD27" s="1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6" t="str">
        <f>IF('Bundle Tag Info'!E$14&lt;&gt;"",CONCATENATE('Bundle Tag Info'!$A$1," ",CHAR(10),'Bundle Tag Info'!$A$2," ",'Bundle Tag Info'!$A$3,CHAR(10),'Bundle Tag Info'!E$6,CHAR(10),'Bundle Tag Info'!E$14),"")</f>
        <v>KOC-JPF #1 
4P101 C.1
A
UJ</v>
      </c>
      <c r="G28" s="16" t="str">
        <f>IF('Bundle Tag Info'!G$33&lt;&gt;"",CONCATENATE('Bundle Tag Info'!$A$1," ",CHAR(10),'Bundle Tag Info'!$A$2," ",'Bundle Tag Info'!$A$3,CHAR(10),'Bundle Tag Info'!G$6,CHAR(10),'Bundle Tag Info'!G$33),"")</f>
        <v/>
      </c>
      <c r="H28" s="16" t="str">
        <f>IF('Bundle Tag Info'!H$33&lt;&gt;"",CONCATENATE('Bundle Tag Info'!$A$1," ",CHAR(10),'Bundle Tag Info'!$A$2," ",'Bundle Tag Info'!$A$3,CHAR(10),'Bundle Tag Info'!H$6,CHAR(10),'Bundle Tag Info'!H$33),"")</f>
        <v/>
      </c>
      <c r="I28" s="16" t="str">
        <f>IF('Bundle Tag Info'!I$33&lt;&gt;"",CONCATENATE('Bundle Tag Info'!$A$1," ",CHAR(10),'Bundle Tag Info'!$A$2," ",'Bundle Tag Info'!$A$3,CHAR(10),'Bundle Tag Info'!I$6,CHAR(10),'Bundle Tag Info'!I$33),"")</f>
        <v/>
      </c>
      <c r="J28" s="16" t="str">
        <f>IF('Bundle Tag Info'!J$33&lt;&gt;"",CONCATENATE('Bundle Tag Info'!$A$1," ",CHAR(10),'Bundle Tag Info'!$A$2," ",'Bundle Tag Info'!$A$3,CHAR(10),'Bundle Tag Info'!J$6,CHAR(10),'Bundle Tag Info'!J$33),"")</f>
        <v/>
      </c>
      <c r="K28" s="16" t="str">
        <f>IF('Bundle Tag Info'!K$33&lt;&gt;"",CONCATENATE('Bundle Tag Info'!$A$1," ",CHAR(10),'Bundle Tag Info'!$A$2," ",'Bundle Tag Info'!$A$3,CHAR(10),'Bundle Tag Info'!K$6,CHAR(10),'Bundle Tag Info'!K$33),"")</f>
        <v/>
      </c>
      <c r="L28" s="16" t="str">
        <f>IF('Bundle Tag Info'!L$33&lt;&gt;"",CONCATENATE('Bundle Tag Info'!$A$1," ",CHAR(10),'Bundle Tag Info'!$A$2," ",'Bundle Tag Info'!$A$3,CHAR(10),'Bundle Tag Info'!L$6,CHAR(10),'Bundle Tag Info'!L$33),"")</f>
        <v/>
      </c>
      <c r="M28" s="16" t="str">
        <f>IF('Bundle Tag Info'!M$33&lt;&gt;"",CONCATENATE('Bundle Tag Info'!$A$1," ",CHAR(10),'Bundle Tag Info'!$A$2," ",'Bundle Tag Info'!$A$3,CHAR(10),'Bundle Tag Info'!M$6,CHAR(10),'Bundle Tag Info'!M$33),"")</f>
        <v/>
      </c>
      <c r="N28" s="16" t="str">
        <f>IF('Bundle Tag Info'!N$33&lt;&gt;"",CONCATENATE('Bundle Tag Info'!$A$1," ",CHAR(10),'Bundle Tag Info'!$A$2," ",'Bundle Tag Info'!$A$3,CHAR(10),'Bundle Tag Info'!N$6,CHAR(10),'Bundle Tag Info'!N$33),"")</f>
        <v/>
      </c>
      <c r="O28" s="16" t="str">
        <f>IF('Bundle Tag Info'!O$33&lt;&gt;"",CONCATENATE('Bundle Tag Info'!$A$1," ",CHAR(10),'Bundle Tag Info'!$A$2," ",'Bundle Tag Info'!$A$3,CHAR(10),'Bundle Tag Info'!O$6,CHAR(10),'Bundle Tag Info'!O$33),"")</f>
        <v/>
      </c>
      <c r="P28" s="16" t="str">
        <f>IF('Bundle Tag Info'!P$33&lt;&gt;"",CONCATENATE('Bundle Tag Info'!$A$1," ",CHAR(10),'Bundle Tag Info'!$A$2," ",'Bundle Tag Info'!$A$3,CHAR(10),'Bundle Tag Info'!P$6,CHAR(10),'Bundle Tag Info'!P$33),"")</f>
        <v/>
      </c>
      <c r="Q28" s="16" t="str">
        <f>IF('Bundle Tag Info'!Q$33&lt;&gt;"",CONCATENATE('Bundle Tag Info'!$A$1," ",CHAR(10),'Bundle Tag Info'!$A$2," ",'Bundle Tag Info'!$A$3,CHAR(10),'Bundle Tag Info'!Q$6,CHAR(10),'Bundle Tag Info'!Q$33),"")</f>
        <v/>
      </c>
      <c r="R28" s="16" t="str">
        <f>IF('Bundle Tag Info'!R$33&lt;&gt;"",CONCATENATE('Bundle Tag Info'!$A$1," ",CHAR(10),'Bundle Tag Info'!$A$2," ",'Bundle Tag Info'!$A$3,CHAR(10),'Bundle Tag Info'!R$6,CHAR(10),'Bundle Tag Info'!R$33),"")</f>
        <v/>
      </c>
      <c r="S28" s="16" t="str">
        <f>IF('Bundle Tag Info'!S$33&lt;&gt;"",CONCATENATE('Bundle Tag Info'!$A$1," ",CHAR(10),'Bundle Tag Info'!$A$2," ",'Bundle Tag Info'!$A$3,CHAR(10),'Bundle Tag Info'!S$6,CHAR(10),'Bundle Tag Info'!S$33),"")</f>
        <v/>
      </c>
      <c r="T28" s="16" t="str">
        <f>IF('Bundle Tag Info'!T$33&lt;&gt;"",CONCATENATE('Bundle Tag Info'!$A$1," ",CHAR(10),'Bundle Tag Info'!$A$2," ",'Bundle Tag Info'!$A$3,CHAR(10),'Bundle Tag Info'!T$6,CHAR(10),'Bundle Tag Info'!T$33),"")</f>
        <v/>
      </c>
      <c r="U28" s="16" t="str">
        <f>IF('Bundle Tag Info'!U$33&lt;&gt;"",CONCATENATE('Bundle Tag Info'!$A$1," ",CHAR(10),'Bundle Tag Info'!$A$2," ",'Bundle Tag Info'!$A$3,CHAR(10),'Bundle Tag Info'!U$6,CHAR(10),'Bundle Tag Info'!U$33),"")</f>
        <v/>
      </c>
      <c r="V28" s="16" t="str">
        <f>IF('Bundle Tag Info'!V$33&lt;&gt;"",CONCATENATE('Bundle Tag Info'!$A$1," ",CHAR(10),'Bundle Tag Info'!$A$2," ",'Bundle Tag Info'!$A$3,CHAR(10),'Bundle Tag Info'!V$6,CHAR(10),'Bundle Tag Info'!V$33),"")</f>
        <v/>
      </c>
      <c r="W28" s="16" t="str">
        <f>IF('Bundle Tag Info'!W$33&lt;&gt;"",CONCATENATE('Bundle Tag Info'!$A$1," ",CHAR(10),'Bundle Tag Info'!$A$2," ",'Bundle Tag Info'!$A$3,CHAR(10),'Bundle Tag Info'!W$6,CHAR(10),'Bundle Tag Info'!W$33),"")</f>
        <v/>
      </c>
      <c r="X28" s="16" t="str">
        <f>IF('Bundle Tag Info'!X$33&lt;&gt;"",CONCATENATE('Bundle Tag Info'!$A$1," ",CHAR(10),'Bundle Tag Info'!$A$2," ",'Bundle Tag Info'!$A$3,CHAR(10),'Bundle Tag Info'!X$6,CHAR(10),'Bundle Tag Info'!X$33),"")</f>
        <v/>
      </c>
      <c r="Y28" s="16" t="str">
        <f>IF('Bundle Tag Info'!Y$33&lt;&gt;"",CONCATENATE('Bundle Tag Info'!$A$1," ",CHAR(10),'Bundle Tag Info'!$A$2," ",'Bundle Tag Info'!$A$3,CHAR(10),'Bundle Tag Info'!Y$6,CHAR(10),'Bundle Tag Info'!Y$33),"")</f>
        <v/>
      </c>
      <c r="Z28" s="16" t="str">
        <f>IF('Bundle Tag Info'!Z$33&lt;&gt;"",CONCATENATE('Bundle Tag Info'!$A$1," ",CHAR(10),'Bundle Tag Info'!$A$2," ",'Bundle Tag Info'!$A$3,CHAR(10),'Bundle Tag Info'!Z$6,CHAR(10),'Bundle Tag Info'!Z$33),"")</f>
        <v/>
      </c>
      <c r="AA28" s="16" t="str">
        <f>IF('Bundle Tag Info'!AA$33&lt;&gt;"",CONCATENATE('Bundle Tag Info'!$A$1," ",CHAR(10),'Bundle Tag Info'!$A$2," ",'Bundle Tag Info'!$A$3,CHAR(10),'Bundle Tag Info'!AA$6,CHAR(10),'Bundle Tag Info'!AA$33),"")</f>
        <v/>
      </c>
      <c r="AB28" s="16" t="str">
        <f>IF('Bundle Tag Info'!AB$33&lt;&gt;"",CONCATENATE('Bundle Tag Info'!$A$1," ",CHAR(10),'Bundle Tag Info'!$A$2," ",'Bundle Tag Info'!$A$3,CHAR(10),'Bundle Tag Info'!AB$6,CHAR(10),'Bundle Tag Info'!AB$33),"")</f>
        <v/>
      </c>
      <c r="AC28" s="16" t="str">
        <f>IF('Bundle Tag Info'!AC$33&lt;&gt;"",CONCATENATE('Bundle Tag Info'!$A$1," ",CHAR(10),'Bundle Tag Info'!$A$2," ",'Bundle Tag Info'!$A$3,CHAR(10),'Bundle Tag Info'!AC$6,CHAR(10),'Bundle Tag Info'!AC$33),"")</f>
        <v/>
      </c>
      <c r="AD28" s="1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6" t="str">
        <f>IF('Bundle Tag Info'!E$15&lt;&gt;"",CONCATENATE('Bundle Tag Info'!$A$1," ",CHAR(10),'Bundle Tag Info'!$A$2," ",'Bundle Tag Info'!$A$3,CHAR(10),'Bundle Tag Info'!E$6,CHAR(10),'Bundle Tag Info'!E$15),"")</f>
        <v>KOC-JPF #1 
4P101 C.1
A
XT</v>
      </c>
      <c r="G29" s="16" t="str">
        <f>IF('Bundle Tag Info'!G$34&lt;&gt;"",CONCATENATE('Bundle Tag Info'!$A$1," ",CHAR(10),'Bundle Tag Info'!$A$2," ",'Bundle Tag Info'!$A$3,CHAR(10),'Bundle Tag Info'!G$6,CHAR(10),'Bundle Tag Info'!G$34),"")</f>
        <v/>
      </c>
      <c r="H29" s="16" t="str">
        <f>IF('Bundle Tag Info'!H$34&lt;&gt;"",CONCATENATE('Bundle Tag Info'!$A$1," ",CHAR(10),'Bundle Tag Info'!$A$2," ",'Bundle Tag Info'!$A$3,CHAR(10),'Bundle Tag Info'!H$6,CHAR(10),'Bundle Tag Info'!H$34),"")</f>
        <v/>
      </c>
      <c r="I29" s="16" t="str">
        <f>IF('Bundle Tag Info'!I$34&lt;&gt;"",CONCATENATE('Bundle Tag Info'!$A$1," ",CHAR(10),'Bundle Tag Info'!$A$2," ",'Bundle Tag Info'!$A$3,CHAR(10),'Bundle Tag Info'!I$6,CHAR(10),'Bundle Tag Info'!I$34),"")</f>
        <v/>
      </c>
      <c r="J29" s="16" t="str">
        <f>IF('Bundle Tag Info'!J$34&lt;&gt;"",CONCATENATE('Bundle Tag Info'!$A$1," ",CHAR(10),'Bundle Tag Info'!$A$2," ",'Bundle Tag Info'!$A$3,CHAR(10),'Bundle Tag Info'!J$6,CHAR(10),'Bundle Tag Info'!J$34),"")</f>
        <v/>
      </c>
      <c r="K29" s="16" t="str">
        <f>IF('Bundle Tag Info'!K$34&lt;&gt;"",CONCATENATE('Bundle Tag Info'!$A$1," ",CHAR(10),'Bundle Tag Info'!$A$2," ",'Bundle Tag Info'!$A$3,CHAR(10),'Bundle Tag Info'!K$6,CHAR(10),'Bundle Tag Info'!K$34),"")</f>
        <v/>
      </c>
      <c r="L29" s="16" t="str">
        <f>IF('Bundle Tag Info'!L$34&lt;&gt;"",CONCATENATE('Bundle Tag Info'!$A$1," ",CHAR(10),'Bundle Tag Info'!$A$2," ",'Bundle Tag Info'!$A$3,CHAR(10),'Bundle Tag Info'!L$6,CHAR(10),'Bundle Tag Info'!L$34),"")</f>
        <v/>
      </c>
      <c r="M29" s="16" t="str">
        <f>IF('Bundle Tag Info'!M$34&lt;&gt;"",CONCATENATE('Bundle Tag Info'!$A$1," ",CHAR(10),'Bundle Tag Info'!$A$2," ",'Bundle Tag Info'!$A$3,CHAR(10),'Bundle Tag Info'!M$6,CHAR(10),'Bundle Tag Info'!M$34),"")</f>
        <v/>
      </c>
      <c r="N29" s="16" t="str">
        <f>IF('Bundle Tag Info'!N$34&lt;&gt;"",CONCATENATE('Bundle Tag Info'!$A$1," ",CHAR(10),'Bundle Tag Info'!$A$2," ",'Bundle Tag Info'!$A$3,CHAR(10),'Bundle Tag Info'!N$6,CHAR(10),'Bundle Tag Info'!N$34),"")</f>
        <v/>
      </c>
      <c r="O29" s="16" t="str">
        <f>IF('Bundle Tag Info'!O$34&lt;&gt;"",CONCATENATE('Bundle Tag Info'!$A$1," ",CHAR(10),'Bundle Tag Info'!$A$2," ",'Bundle Tag Info'!$A$3,CHAR(10),'Bundle Tag Info'!O$6,CHAR(10),'Bundle Tag Info'!O$34),"")</f>
        <v/>
      </c>
      <c r="P29" s="16" t="str">
        <f>IF('Bundle Tag Info'!P$34&lt;&gt;"",CONCATENATE('Bundle Tag Info'!$A$1," ",CHAR(10),'Bundle Tag Info'!$A$2," ",'Bundle Tag Info'!$A$3,CHAR(10),'Bundle Tag Info'!P$6,CHAR(10),'Bundle Tag Info'!P$34),"")</f>
        <v/>
      </c>
      <c r="Q29" s="16" t="str">
        <f>IF('Bundle Tag Info'!Q$34&lt;&gt;"",CONCATENATE('Bundle Tag Info'!$A$1," ",CHAR(10),'Bundle Tag Info'!$A$2," ",'Bundle Tag Info'!$A$3,CHAR(10),'Bundle Tag Info'!Q$6,CHAR(10),'Bundle Tag Info'!Q$34),"")</f>
        <v/>
      </c>
      <c r="R29" s="16" t="str">
        <f>IF('Bundle Tag Info'!R$34&lt;&gt;"",CONCATENATE('Bundle Tag Info'!$A$1," ",CHAR(10),'Bundle Tag Info'!$A$2," ",'Bundle Tag Info'!$A$3,CHAR(10),'Bundle Tag Info'!R$6,CHAR(10),'Bundle Tag Info'!R$34),"")</f>
        <v/>
      </c>
      <c r="S29" s="16" t="str">
        <f>IF('Bundle Tag Info'!S$34&lt;&gt;"",CONCATENATE('Bundle Tag Info'!$A$1," ",CHAR(10),'Bundle Tag Info'!$A$2," ",'Bundle Tag Info'!$A$3,CHAR(10),'Bundle Tag Info'!S$6,CHAR(10),'Bundle Tag Info'!S$34),"")</f>
        <v/>
      </c>
      <c r="T29" s="16" t="str">
        <f>IF('Bundle Tag Info'!T$34&lt;&gt;"",CONCATENATE('Bundle Tag Info'!$A$1," ",CHAR(10),'Bundle Tag Info'!$A$2," ",'Bundle Tag Info'!$A$3,CHAR(10),'Bundle Tag Info'!T$6,CHAR(10),'Bundle Tag Info'!T$34),"")</f>
        <v/>
      </c>
      <c r="U29" s="16" t="str">
        <f>IF('Bundle Tag Info'!U$34&lt;&gt;"",CONCATENATE('Bundle Tag Info'!$A$1," ",CHAR(10),'Bundle Tag Info'!$A$2," ",'Bundle Tag Info'!$A$3,CHAR(10),'Bundle Tag Info'!U$6,CHAR(10),'Bundle Tag Info'!U$34),"")</f>
        <v/>
      </c>
      <c r="V29" s="16" t="str">
        <f>IF('Bundle Tag Info'!V$34&lt;&gt;"",CONCATENATE('Bundle Tag Info'!$A$1," ",CHAR(10),'Bundle Tag Info'!$A$2," ",'Bundle Tag Info'!$A$3,CHAR(10),'Bundle Tag Info'!V$6,CHAR(10),'Bundle Tag Info'!V$34),"")</f>
        <v/>
      </c>
      <c r="W29" s="16" t="str">
        <f>IF('Bundle Tag Info'!W$34&lt;&gt;"",CONCATENATE('Bundle Tag Info'!$A$1," ",CHAR(10),'Bundle Tag Info'!$A$2," ",'Bundle Tag Info'!$A$3,CHAR(10),'Bundle Tag Info'!W$6,CHAR(10),'Bundle Tag Info'!W$34),"")</f>
        <v/>
      </c>
      <c r="X29" s="16" t="str">
        <f>IF('Bundle Tag Info'!X$34&lt;&gt;"",CONCATENATE('Bundle Tag Info'!$A$1," ",CHAR(10),'Bundle Tag Info'!$A$2," ",'Bundle Tag Info'!$A$3,CHAR(10),'Bundle Tag Info'!X$6,CHAR(10),'Bundle Tag Info'!X$34),"")</f>
        <v/>
      </c>
      <c r="Y29" s="16" t="str">
        <f>IF('Bundle Tag Info'!Y$34&lt;&gt;"",CONCATENATE('Bundle Tag Info'!$A$1," ",CHAR(10),'Bundle Tag Info'!$A$2," ",'Bundle Tag Info'!$A$3,CHAR(10),'Bundle Tag Info'!Y$6,CHAR(10),'Bundle Tag Info'!Y$34),"")</f>
        <v/>
      </c>
      <c r="Z29" s="16" t="str">
        <f>IF('Bundle Tag Info'!Z$34&lt;&gt;"",CONCATENATE('Bundle Tag Info'!$A$1," ",CHAR(10),'Bundle Tag Info'!$A$2," ",'Bundle Tag Info'!$A$3,CHAR(10),'Bundle Tag Info'!Z$6,CHAR(10),'Bundle Tag Info'!Z$34),"")</f>
        <v/>
      </c>
      <c r="AA29" s="16" t="str">
        <f>IF('Bundle Tag Info'!AA$34&lt;&gt;"",CONCATENATE('Bundle Tag Info'!$A$1," ",CHAR(10),'Bundle Tag Info'!$A$2," ",'Bundle Tag Info'!$A$3,CHAR(10),'Bundle Tag Info'!AA$6,CHAR(10),'Bundle Tag Info'!AA$34),"")</f>
        <v/>
      </c>
      <c r="AB29" s="16" t="str">
        <f>IF('Bundle Tag Info'!AB$34&lt;&gt;"",CONCATENATE('Bundle Tag Info'!$A$1," ",CHAR(10),'Bundle Tag Info'!$A$2," ",'Bundle Tag Info'!$A$3,CHAR(10),'Bundle Tag Info'!AB$6,CHAR(10),'Bundle Tag Info'!AB$34),"")</f>
        <v/>
      </c>
      <c r="AC29" s="16" t="str">
        <f>IF('Bundle Tag Info'!AC$34&lt;&gt;"",CONCATENATE('Bundle Tag Info'!$A$1," ",CHAR(10),'Bundle Tag Info'!$A$2," ",'Bundle Tag Info'!$A$3,CHAR(10),'Bundle Tag Info'!AC$6,CHAR(10),'Bundle Tag Info'!AC$34),"")</f>
        <v/>
      </c>
      <c r="AD29" s="16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6" t="str">
        <f>IF('Bundle Tag Info'!E$16&lt;&gt;"",CONCATENATE('Bundle Tag Info'!$A$1," ",CHAR(10),'Bundle Tag Info'!$A$2," ",'Bundle Tag Info'!$A$3,CHAR(10),'Bundle Tag Info'!E$6,CHAR(10),'Bundle Tag Info'!E$16),"")</f>
        <v>KOC-JPF #1 
4P101 C.1
A
FU/AF-B</v>
      </c>
      <c r="G30" s="16" t="str">
        <f>IF('Bundle Tag Info'!G$35&lt;&gt;"",CONCATENATE('Bundle Tag Info'!$A$1," ",CHAR(10),'Bundle Tag Info'!$A$2," ",'Bundle Tag Info'!$A$3,CHAR(10),'Bundle Tag Info'!G$6,CHAR(10),'Bundle Tag Info'!G$35),"")</f>
        <v/>
      </c>
      <c r="H30" s="16" t="str">
        <f>IF('Bundle Tag Info'!H$35&lt;&gt;"",CONCATENATE('Bundle Tag Info'!$A$1," ",CHAR(10),'Bundle Tag Info'!$A$2," ",'Bundle Tag Info'!$A$3,CHAR(10),'Bundle Tag Info'!H$6,CHAR(10),'Bundle Tag Info'!H$35),"")</f>
        <v/>
      </c>
      <c r="I30" s="16" t="str">
        <f>IF('Bundle Tag Info'!I$35&lt;&gt;"",CONCATENATE('Bundle Tag Info'!$A$1," ",CHAR(10),'Bundle Tag Info'!$A$2," ",'Bundle Tag Info'!$A$3,CHAR(10),'Bundle Tag Info'!I$6,CHAR(10),'Bundle Tag Info'!I$35),"")</f>
        <v/>
      </c>
      <c r="J30" s="16" t="str">
        <f>IF('Bundle Tag Info'!J$35&lt;&gt;"",CONCATENATE('Bundle Tag Info'!$A$1," ",CHAR(10),'Bundle Tag Info'!$A$2," ",'Bundle Tag Info'!$A$3,CHAR(10),'Bundle Tag Info'!J$6,CHAR(10),'Bundle Tag Info'!J$35),"")</f>
        <v/>
      </c>
      <c r="K30" s="16" t="str">
        <f>IF('Bundle Tag Info'!K$35&lt;&gt;"",CONCATENATE('Bundle Tag Info'!$A$1," ",CHAR(10),'Bundle Tag Info'!$A$2," ",'Bundle Tag Info'!$A$3,CHAR(10),'Bundle Tag Info'!K$6,CHAR(10),'Bundle Tag Info'!K$35),"")</f>
        <v/>
      </c>
      <c r="L30" s="16" t="str">
        <f>IF('Bundle Tag Info'!L$35&lt;&gt;"",CONCATENATE('Bundle Tag Info'!$A$1," ",CHAR(10),'Bundle Tag Info'!$A$2," ",'Bundle Tag Info'!$A$3,CHAR(10),'Bundle Tag Info'!L$6,CHAR(10),'Bundle Tag Info'!L$35),"")</f>
        <v/>
      </c>
      <c r="M30" s="16" t="str">
        <f>IF('Bundle Tag Info'!M$35&lt;&gt;"",CONCATENATE('Bundle Tag Info'!$A$1," ",CHAR(10),'Bundle Tag Info'!$A$2," ",'Bundle Tag Info'!$A$3,CHAR(10),'Bundle Tag Info'!M$6,CHAR(10),'Bundle Tag Info'!M$35),"")</f>
        <v/>
      </c>
      <c r="N30" s="16" t="str">
        <f>IF('Bundle Tag Info'!N$35&lt;&gt;"",CONCATENATE('Bundle Tag Info'!$A$1," ",CHAR(10),'Bundle Tag Info'!$A$2," ",'Bundle Tag Info'!$A$3,CHAR(10),'Bundle Tag Info'!N$6,CHAR(10),'Bundle Tag Info'!N$35),"")</f>
        <v/>
      </c>
      <c r="O30" s="16" t="str">
        <f>IF('Bundle Tag Info'!O$35&lt;&gt;"",CONCATENATE('Bundle Tag Info'!$A$1," ",CHAR(10),'Bundle Tag Info'!$A$2," ",'Bundle Tag Info'!$A$3,CHAR(10),'Bundle Tag Info'!O$6,CHAR(10),'Bundle Tag Info'!O$35),"")</f>
        <v/>
      </c>
      <c r="P30" s="16" t="str">
        <f>IF('Bundle Tag Info'!P$35&lt;&gt;"",CONCATENATE('Bundle Tag Info'!$A$1," ",CHAR(10),'Bundle Tag Info'!$A$2," ",'Bundle Tag Info'!$A$3,CHAR(10),'Bundle Tag Info'!P$6,CHAR(10),'Bundle Tag Info'!P$35),"")</f>
        <v/>
      </c>
      <c r="Q30" s="16" t="str">
        <f>IF('Bundle Tag Info'!Q$35&lt;&gt;"",CONCATENATE('Bundle Tag Info'!$A$1," ",CHAR(10),'Bundle Tag Info'!$A$2," ",'Bundle Tag Info'!$A$3,CHAR(10),'Bundle Tag Info'!Q$6,CHAR(10),'Bundle Tag Info'!Q$35),"")</f>
        <v/>
      </c>
      <c r="R30" s="16" t="str">
        <f>IF('Bundle Tag Info'!R$35&lt;&gt;"",CONCATENATE('Bundle Tag Info'!$A$1," ",CHAR(10),'Bundle Tag Info'!$A$2," ",'Bundle Tag Info'!$A$3,CHAR(10),'Bundle Tag Info'!R$6,CHAR(10),'Bundle Tag Info'!R$35),"")</f>
        <v/>
      </c>
      <c r="S30" s="16" t="str">
        <f>IF('Bundle Tag Info'!S$35&lt;&gt;"",CONCATENATE('Bundle Tag Info'!$A$1," ",CHAR(10),'Bundle Tag Info'!$A$2," ",'Bundle Tag Info'!$A$3,CHAR(10),'Bundle Tag Info'!S$6,CHAR(10),'Bundle Tag Info'!S$35),"")</f>
        <v/>
      </c>
      <c r="T30" s="16" t="str">
        <f>IF('Bundle Tag Info'!T$35&lt;&gt;"",CONCATENATE('Bundle Tag Info'!$A$1," ",CHAR(10),'Bundle Tag Info'!$A$2," ",'Bundle Tag Info'!$A$3,CHAR(10),'Bundle Tag Info'!T$6,CHAR(10),'Bundle Tag Info'!T$35),"")</f>
        <v/>
      </c>
      <c r="U30" s="16" t="str">
        <f>IF('Bundle Tag Info'!U$35&lt;&gt;"",CONCATENATE('Bundle Tag Info'!$A$1," ",CHAR(10),'Bundle Tag Info'!$A$2," ",'Bundle Tag Info'!$A$3,CHAR(10),'Bundle Tag Info'!U$6,CHAR(10),'Bundle Tag Info'!U$35),"")</f>
        <v/>
      </c>
      <c r="V30" s="16" t="str">
        <f>IF('Bundle Tag Info'!V$35&lt;&gt;"",CONCATENATE('Bundle Tag Info'!$A$1," ",CHAR(10),'Bundle Tag Info'!$A$2," ",'Bundle Tag Info'!$A$3,CHAR(10),'Bundle Tag Info'!V$6,CHAR(10),'Bundle Tag Info'!V$35),"")</f>
        <v/>
      </c>
      <c r="W30" s="16" t="str">
        <f>IF('Bundle Tag Info'!W$35&lt;&gt;"",CONCATENATE('Bundle Tag Info'!$A$1," ",CHAR(10),'Bundle Tag Info'!$A$2," ",'Bundle Tag Info'!$A$3,CHAR(10),'Bundle Tag Info'!W$6,CHAR(10),'Bundle Tag Info'!W$35),"")</f>
        <v/>
      </c>
      <c r="X30" s="16" t="str">
        <f>IF('Bundle Tag Info'!X$35&lt;&gt;"",CONCATENATE('Bundle Tag Info'!$A$1," ",CHAR(10),'Bundle Tag Info'!$A$2," ",'Bundle Tag Info'!$A$3,CHAR(10),'Bundle Tag Info'!X$6,CHAR(10),'Bundle Tag Info'!X$35),"")</f>
        <v/>
      </c>
      <c r="Y30" s="16" t="str">
        <f>IF('Bundle Tag Info'!Y$35&lt;&gt;"",CONCATENATE('Bundle Tag Info'!$A$1," ",CHAR(10),'Bundle Tag Info'!$A$2," ",'Bundle Tag Info'!$A$3,CHAR(10),'Bundle Tag Info'!Y$6,CHAR(10),'Bundle Tag Info'!Y$35),"")</f>
        <v/>
      </c>
      <c r="Z30" s="16" t="str">
        <f>IF('Bundle Tag Info'!Z$35&lt;&gt;"",CONCATENATE('Bundle Tag Info'!$A$1," ",CHAR(10),'Bundle Tag Info'!$A$2," ",'Bundle Tag Info'!$A$3,CHAR(10),'Bundle Tag Info'!Z$6,CHAR(10),'Bundle Tag Info'!Z$35),"")</f>
        <v/>
      </c>
      <c r="AA30" s="16" t="str">
        <f>IF('Bundle Tag Info'!AA$35&lt;&gt;"",CONCATENATE('Bundle Tag Info'!$A$1," ",CHAR(10),'Bundle Tag Info'!$A$2," ",'Bundle Tag Info'!$A$3,CHAR(10),'Bundle Tag Info'!AA$6,CHAR(10),'Bundle Tag Info'!AA$35),"")</f>
        <v/>
      </c>
      <c r="AB30" s="16" t="str">
        <f>IF('Bundle Tag Info'!AB$35&lt;&gt;"",CONCATENATE('Bundle Tag Info'!$A$1," ",CHAR(10),'Bundle Tag Info'!$A$2," ",'Bundle Tag Info'!$A$3,CHAR(10),'Bundle Tag Info'!AB$6,CHAR(10),'Bundle Tag Info'!AB$35),"")</f>
        <v/>
      </c>
      <c r="AC30" s="16" t="str">
        <f>IF('Bundle Tag Info'!AC$35&lt;&gt;"",CONCATENATE('Bundle Tag Info'!$A$1," ",CHAR(10),'Bundle Tag Info'!$A$2," ",'Bundle Tag Info'!$A$3,CHAR(10),'Bundle Tag Info'!AC$6,CHAR(10),'Bundle Tag Info'!AC$35),"")</f>
        <v/>
      </c>
      <c r="AD30" s="1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6" t="str">
        <f>IF('Bundle Tag Info'!E$17&lt;&gt;"",CONCATENATE('Bundle Tag Info'!$A$1," ",CHAR(10),'Bundle Tag Info'!$A$2," ",'Bundle Tag Info'!$A$3,CHAR(10),'Bundle Tag Info'!E$6,CHAR(10),'Bundle Tag Info'!E$17),"")</f>
        <v>KOC-JPF #1 
4P101 C.1
A
KA A1-B</v>
      </c>
      <c r="G31" s="16" t="str">
        <f>IF('Bundle Tag Info'!G$36&lt;&gt;"",CONCATENATE('Bundle Tag Info'!$A$1," ",CHAR(10),'Bundle Tag Info'!$A$2," ",'Bundle Tag Info'!$A$3,CHAR(10),'Bundle Tag Info'!G$6,CHAR(10),'Bundle Tag Info'!G$36),"")</f>
        <v/>
      </c>
      <c r="H31" s="16" t="str">
        <f>IF('Bundle Tag Info'!H$36&lt;&gt;"",CONCATENATE('Bundle Tag Info'!$A$1," ",CHAR(10),'Bundle Tag Info'!$A$2," ",'Bundle Tag Info'!$A$3,CHAR(10),'Bundle Tag Info'!H$6,CHAR(10),'Bundle Tag Info'!H$36),"")</f>
        <v/>
      </c>
      <c r="I31" s="16" t="str">
        <f>IF('Bundle Tag Info'!I$36&lt;&gt;"",CONCATENATE('Bundle Tag Info'!$A$1," ",CHAR(10),'Bundle Tag Info'!$A$2," ",'Bundle Tag Info'!$A$3,CHAR(10),'Bundle Tag Info'!I$6,CHAR(10),'Bundle Tag Info'!I$36),"")</f>
        <v/>
      </c>
      <c r="J31" s="16" t="str">
        <f>IF('Bundle Tag Info'!J$36&lt;&gt;"",CONCATENATE('Bundle Tag Info'!$A$1," ",CHAR(10),'Bundle Tag Info'!$A$2," ",'Bundle Tag Info'!$A$3,CHAR(10),'Bundle Tag Info'!J$6,CHAR(10),'Bundle Tag Info'!J$36),"")</f>
        <v/>
      </c>
      <c r="K31" s="16" t="str">
        <f>IF('Bundle Tag Info'!K$36&lt;&gt;"",CONCATENATE('Bundle Tag Info'!$A$1," ",CHAR(10),'Bundle Tag Info'!$A$2," ",'Bundle Tag Info'!$A$3,CHAR(10),'Bundle Tag Info'!K$6,CHAR(10),'Bundle Tag Info'!K$36),"")</f>
        <v/>
      </c>
      <c r="L31" s="16" t="str">
        <f>IF('Bundle Tag Info'!L$36&lt;&gt;"",CONCATENATE('Bundle Tag Info'!$A$1," ",CHAR(10),'Bundle Tag Info'!$A$2," ",'Bundle Tag Info'!$A$3,CHAR(10),'Bundle Tag Info'!L$6,CHAR(10),'Bundle Tag Info'!L$36),"")</f>
        <v/>
      </c>
      <c r="M31" s="16" t="str">
        <f>IF('Bundle Tag Info'!M$36&lt;&gt;"",CONCATENATE('Bundle Tag Info'!$A$1," ",CHAR(10),'Bundle Tag Info'!$A$2," ",'Bundle Tag Info'!$A$3,CHAR(10),'Bundle Tag Info'!M$6,CHAR(10),'Bundle Tag Info'!M$36),"")</f>
        <v/>
      </c>
      <c r="N31" s="16" t="str">
        <f>IF('Bundle Tag Info'!N$36&lt;&gt;"",CONCATENATE('Bundle Tag Info'!$A$1," ",CHAR(10),'Bundle Tag Info'!$A$2," ",'Bundle Tag Info'!$A$3,CHAR(10),'Bundle Tag Info'!N$6,CHAR(10),'Bundle Tag Info'!N$36),"")</f>
        <v/>
      </c>
      <c r="O31" s="16" t="str">
        <f>IF('Bundle Tag Info'!O$36&lt;&gt;"",CONCATENATE('Bundle Tag Info'!$A$1," ",CHAR(10),'Bundle Tag Info'!$A$2," ",'Bundle Tag Info'!$A$3,CHAR(10),'Bundle Tag Info'!O$6,CHAR(10),'Bundle Tag Info'!O$36),"")</f>
        <v/>
      </c>
      <c r="P31" s="16" t="str">
        <f>IF('Bundle Tag Info'!P$36&lt;&gt;"",CONCATENATE('Bundle Tag Info'!$A$1," ",CHAR(10),'Bundle Tag Info'!$A$2," ",'Bundle Tag Info'!$A$3,CHAR(10),'Bundle Tag Info'!P$6,CHAR(10),'Bundle Tag Info'!P$36),"")</f>
        <v/>
      </c>
      <c r="Q31" s="16" t="str">
        <f>IF('Bundle Tag Info'!Q$36&lt;&gt;"",CONCATENATE('Bundle Tag Info'!$A$1," ",CHAR(10),'Bundle Tag Info'!$A$2," ",'Bundle Tag Info'!$A$3,CHAR(10),'Bundle Tag Info'!Q$6,CHAR(10),'Bundle Tag Info'!Q$36),"")</f>
        <v/>
      </c>
      <c r="R31" s="16" t="str">
        <f>IF('Bundle Tag Info'!R$36&lt;&gt;"",CONCATENATE('Bundle Tag Info'!$A$1," ",CHAR(10),'Bundle Tag Info'!$A$2," ",'Bundle Tag Info'!$A$3,CHAR(10),'Bundle Tag Info'!R$6,CHAR(10),'Bundle Tag Info'!R$36),"")</f>
        <v/>
      </c>
      <c r="S31" s="16" t="str">
        <f>IF('Bundle Tag Info'!S$36&lt;&gt;"",CONCATENATE('Bundle Tag Info'!$A$1," ",CHAR(10),'Bundle Tag Info'!$A$2," ",'Bundle Tag Info'!$A$3,CHAR(10),'Bundle Tag Info'!S$6,CHAR(10),'Bundle Tag Info'!S$36),"")</f>
        <v/>
      </c>
      <c r="T31" s="16" t="str">
        <f>IF('Bundle Tag Info'!T$36&lt;&gt;"",CONCATENATE('Bundle Tag Info'!$A$1," ",CHAR(10),'Bundle Tag Info'!$A$2," ",'Bundle Tag Info'!$A$3,CHAR(10),'Bundle Tag Info'!T$6,CHAR(10),'Bundle Tag Info'!T$36),"")</f>
        <v/>
      </c>
      <c r="U31" s="16" t="str">
        <f>IF('Bundle Tag Info'!U$36&lt;&gt;"",CONCATENATE('Bundle Tag Info'!$A$1," ",CHAR(10),'Bundle Tag Info'!$A$2," ",'Bundle Tag Info'!$A$3,CHAR(10),'Bundle Tag Info'!U$6,CHAR(10),'Bundle Tag Info'!U$36),"")</f>
        <v/>
      </c>
      <c r="V31" s="16" t="str">
        <f>IF('Bundle Tag Info'!V$36&lt;&gt;"",CONCATENATE('Bundle Tag Info'!$A$1," ",CHAR(10),'Bundle Tag Info'!$A$2," ",'Bundle Tag Info'!$A$3,CHAR(10),'Bundle Tag Info'!V$6,CHAR(10),'Bundle Tag Info'!V$36),"")</f>
        <v/>
      </c>
      <c r="W31" s="16" t="str">
        <f>IF('Bundle Tag Info'!W$36&lt;&gt;"",CONCATENATE('Bundle Tag Info'!$A$1," ",CHAR(10),'Bundle Tag Info'!$A$2," ",'Bundle Tag Info'!$A$3,CHAR(10),'Bundle Tag Info'!W$6,CHAR(10),'Bundle Tag Info'!W$36),"")</f>
        <v/>
      </c>
      <c r="X31" s="16" t="str">
        <f>IF('Bundle Tag Info'!X$36&lt;&gt;"",CONCATENATE('Bundle Tag Info'!$A$1," ",CHAR(10),'Bundle Tag Info'!$A$2," ",'Bundle Tag Info'!$A$3,CHAR(10),'Bundle Tag Info'!X$6,CHAR(10),'Bundle Tag Info'!X$36),"")</f>
        <v/>
      </c>
      <c r="Y31" s="16" t="str">
        <f>IF('Bundle Tag Info'!Y$36&lt;&gt;"",CONCATENATE('Bundle Tag Info'!$A$1," ",CHAR(10),'Bundle Tag Info'!$A$2," ",'Bundle Tag Info'!$A$3,CHAR(10),'Bundle Tag Info'!Y$6,CHAR(10),'Bundle Tag Info'!Y$36),"")</f>
        <v/>
      </c>
      <c r="Z31" s="16" t="str">
        <f>IF('Bundle Tag Info'!Z$36&lt;&gt;"",CONCATENATE('Bundle Tag Info'!$A$1," ",CHAR(10),'Bundle Tag Info'!$A$2," ",'Bundle Tag Info'!$A$3,CHAR(10),'Bundle Tag Info'!Z$6,CHAR(10),'Bundle Tag Info'!Z$36),"")</f>
        <v/>
      </c>
      <c r="AA31" s="16" t="str">
        <f>IF('Bundle Tag Info'!AA$36&lt;&gt;"",CONCATENATE('Bundle Tag Info'!$A$1," ",CHAR(10),'Bundle Tag Info'!$A$2," ",'Bundle Tag Info'!$A$3,CHAR(10),'Bundle Tag Info'!AA$6,CHAR(10),'Bundle Tag Info'!AA$36),"")</f>
        <v/>
      </c>
      <c r="AB31" s="16" t="str">
        <f>IF('Bundle Tag Info'!AB$36&lt;&gt;"",CONCATENATE('Bundle Tag Info'!$A$1," ",CHAR(10),'Bundle Tag Info'!$A$2," ",'Bundle Tag Info'!$A$3,CHAR(10),'Bundle Tag Info'!AB$6,CHAR(10),'Bundle Tag Info'!AB$36),"")</f>
        <v/>
      </c>
      <c r="AC31" s="16" t="str">
        <f>IF('Bundle Tag Info'!AC$36&lt;&gt;"",CONCATENATE('Bundle Tag Info'!$A$1," ",CHAR(10),'Bundle Tag Info'!$A$2," ",'Bundle Tag Info'!$A$3,CHAR(10),'Bundle Tag Info'!AC$6,CHAR(10),'Bundle Tag Info'!AC$36),"")</f>
        <v/>
      </c>
      <c r="AD31" s="16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6" t="str">
        <f>IF('Bundle Tag Info'!E$18&lt;&gt;"",CONCATENATE('Bundle Tag Info'!$A$1," ",CHAR(10),'Bundle Tag Info'!$A$2," ",'Bundle Tag Info'!$A$3,CHAR(10),'Bundle Tag Info'!E$6,CHAR(10),'Bundle Tag Info'!E$18),"")</f>
        <v>KOC-JPF #1 
4P101 C.1
A
KA A2-B</v>
      </c>
    </row>
    <row r="33" spans="1:1" ht="12.6" customHeight="1" x14ac:dyDescent="0.25">
      <c r="A33" s="16" t="str">
        <f>IF('Bundle Tag Info'!E$19&lt;&gt;"",CONCATENATE('Bundle Tag Info'!$A$1," ",CHAR(10),'Bundle Tag Info'!$A$2," ",'Bundle Tag Info'!$A$3,CHAR(10),'Bundle Tag Info'!E$6,CHAR(10),'Bundle Tag Info'!E$19),"")</f>
        <v>KOC-JPF #1 
4P101 C.1
A
KA-B</v>
      </c>
    </row>
    <row r="34" spans="1:1" ht="12.6" customHeight="1" x14ac:dyDescent="0.25">
      <c r="A34" s="16" t="str">
        <f>IF('Bundle Tag Info'!E$20&lt;&gt;"",CONCATENATE('Bundle Tag Info'!$A$1," ",CHAR(10),'Bundle Tag Info'!$A$2," ",'Bundle Tag Info'!$A$3,CHAR(10),'Bundle Tag Info'!E$6,CHAR(10),'Bundle Tag Info'!E$20),"")</f>
        <v>KOC-JPF #1 
4P101 C.1
A
UA/UJ-B</v>
      </c>
    </row>
    <row r="35" spans="1:1" ht="12.6" customHeight="1" x14ac:dyDescent="0.25">
      <c r="A35" s="16" t="str">
        <f>IF('Bundle Tag Info'!E$21&lt;&gt;"",CONCATENATE('Bundle Tag Info'!$A$1," ",CHAR(10),'Bundle Tag Info'!$A$2," ",'Bundle Tag Info'!$A$3,CHAR(10),'Bundle Tag Info'!E$6,CHAR(10),'Bundle Tag Info'!E$21),"")</f>
        <v>KOC-JPF #1 
4P101 C.1
A
VD-B</v>
      </c>
    </row>
    <row r="36" spans="1:1" ht="12.6" customHeight="1" x14ac:dyDescent="0.25">
      <c r="A36" s="16" t="str">
        <f>IF('Bundle Tag Info'!E$22&lt;&gt;"",CONCATENATE('Bundle Tag Info'!$A$1," ",CHAR(10),'Bundle Tag Info'!$A$2," ",'Bundle Tag Info'!$A$3,CHAR(10),'Bundle Tag Info'!E$6,CHAR(10),'Bundle Tag Info'!E$22),"")</f>
        <v>KOC-JPF #1 
4P101 C.1
A
XT-B</v>
      </c>
    </row>
    <row r="37" spans="1:1" ht="12.6" customHeight="1" x14ac:dyDescent="0.25">
      <c r="A37" s="16" t="str">
        <f>IF('Bundle Tag Info'!F$7&lt;&gt;"",CONCATENATE('Bundle Tag Info'!$A$1," ",CHAR(10),'Bundle Tag Info'!$A$2," ",'Bundle Tag Info'!$A$3,CHAR(10),'Bundle Tag Info'!F$6,CHAR(10),'Bundle Tag Info'!F$7),"")</f>
        <v>KOC-JPF #1 
4P101 C.1
B
PC</v>
      </c>
    </row>
    <row r="38" spans="1:1" ht="12.6" customHeight="1" x14ac:dyDescent="0.25">
      <c r="A38" s="16" t="str">
        <f>IF('Bundle Tag Info'!F$8&lt;&gt;"",CONCATENATE('Bundle Tag Info'!$A$1," ",CHAR(10),'Bundle Tag Info'!$A$2," ",'Bundle Tag Info'!$A$3,CHAR(10),'Bundle Tag Info'!F$6,CHAR(10),'Bundle Tag Info'!F$8),"")</f>
        <v>KOC-JPF #1 
4P101 C.1
B
AF/AU060s</v>
      </c>
    </row>
    <row r="39" spans="1:1" ht="12.6" customHeight="1" x14ac:dyDescent="0.25">
      <c r="A39" s="16" t="str">
        <f>IF('Bundle Tag Info'!F$9&lt;&gt;"",CONCATENATE('Bundle Tag Info'!$A$1," ",CHAR(10),'Bundle Tag Info'!$A$2," ",'Bundle Tag Info'!$A$3,CHAR(10),'Bundle Tag Info'!F$6,CHAR(10),'Bundle Tag Info'!F$9),"")</f>
        <v>KOC-JPF #1 
4P101 C.1
B
AF/AU070s</v>
      </c>
    </row>
    <row r="40" spans="1:1" ht="12.6" customHeight="1" x14ac:dyDescent="0.25">
      <c r="A40" s="16" t="str">
        <f>IF('Bundle Tag Info'!F$10&lt;&gt;"",CONCATENATE('Bundle Tag Info'!$A$1," ",CHAR(10),'Bundle Tag Info'!$A$2," ",'Bundle Tag Info'!$A$3,CHAR(10),'Bundle Tag Info'!F$6,CHAR(10),'Bundle Tag Info'!F$10),"")</f>
        <v>KOC-JPF #1 
4P101 C.1
B
AF090s</v>
      </c>
    </row>
    <row r="41" spans="1:1" ht="12.6" customHeight="1" x14ac:dyDescent="0.25">
      <c r="A41" s="16" t="str">
        <f>IF('Bundle Tag Info'!F$11&lt;&gt;"",CONCATENATE('Bundle Tag Info'!$A$1," ",CHAR(10),'Bundle Tag Info'!$A$2," ",'Bundle Tag Info'!$A$3,CHAR(10),'Bundle Tag Info'!F$6,CHAR(10),'Bundle Tag Info'!F$11),"")</f>
        <v>KOC-JPF #1 
4P101 C.1
B
1444s</v>
      </c>
    </row>
    <row r="42" spans="1:1" ht="12.6" customHeight="1" x14ac:dyDescent="0.25">
      <c r="A42" s="16" t="str">
        <f>IF('Bundle Tag Info'!F$12&lt;&gt;"",CONCATENATE('Bundle Tag Info'!$A$1," ",CHAR(10),'Bundle Tag Info'!$A$2," ",'Bundle Tag Info'!$A$3,CHAR(10),'Bundle Tag Info'!F$6,CHAR(10),'Bundle Tag Info'!F$12),"")</f>
        <v>KOC-JPF #1 
4P101 C.1
B
FU</v>
      </c>
    </row>
    <row r="43" spans="1:1" ht="12.6" customHeight="1" x14ac:dyDescent="0.25">
      <c r="A43" s="16" t="str">
        <f>IF('Bundle Tag Info'!F$13&lt;&gt;"",CONCATENATE('Bundle Tag Info'!$A$1," ",CHAR(10),'Bundle Tag Info'!$A$2," ",'Bundle Tag Info'!$A$3,CHAR(10),'Bundle Tag Info'!F$6,CHAR(10),'Bundle Tag Info'!F$13),"")</f>
        <v>KOC-JPF #1 
4P101 C.1
B
KA A1</v>
      </c>
    </row>
    <row r="44" spans="1:1" ht="12.6" customHeight="1" x14ac:dyDescent="0.25">
      <c r="A44" s="16" t="str">
        <f>IF('Bundle Tag Info'!F$14&lt;&gt;"",CONCATENATE('Bundle Tag Info'!$A$1," ",CHAR(10),'Bundle Tag Info'!$A$2," ",'Bundle Tag Info'!$A$3,CHAR(10),'Bundle Tag Info'!F$6,CHAR(10),'Bundle Tag Info'!F$14),"")</f>
        <v>KOC-JPF #1 
4P101 C.1
B
KA A2</v>
      </c>
    </row>
    <row r="45" spans="1:1" ht="12.6" customHeight="1" x14ac:dyDescent="0.25">
      <c r="A45" s="16" t="str">
        <f>IF('Bundle Tag Info'!F$15&lt;&gt;"",CONCATENATE('Bundle Tag Info'!$A$1," ",CHAR(10),'Bundle Tag Info'!$A$2," ",'Bundle Tag Info'!$A$3,CHAR(10),'Bundle Tag Info'!F$6,CHAR(10),'Bundle Tag Info'!F$15),"")</f>
        <v>KOC-JPF #1 
4P101 C.1
B
KA</v>
      </c>
    </row>
    <row r="46" spans="1:1" ht="12.6" customHeight="1" x14ac:dyDescent="0.25">
      <c r="A46" s="16" t="str">
        <f>IF('Bundle Tag Info'!F$16&lt;&gt;"",CONCATENATE('Bundle Tag Info'!$A$1," ",CHAR(10),'Bundle Tag Info'!$A$2," ",'Bundle Tag Info'!$A$3,CHAR(10),'Bundle Tag Info'!F$6,CHAR(10),'Bundle Tag Info'!F$16),"")</f>
        <v>KOC-JPF #1 
4P101 C.1
B
KT L/S</v>
      </c>
    </row>
    <row r="47" spans="1:1" ht="12.6" customHeight="1" x14ac:dyDescent="0.25">
      <c r="A47" s="16" t="str">
        <f>IF('Bundle Tag Info'!F$17&lt;&gt;"",CONCATENATE('Bundle Tag Info'!$A$1," ",CHAR(10),'Bundle Tag Info'!$A$2," ",'Bundle Tag Info'!$A$3,CHAR(10),'Bundle Tag Info'!F$6,CHAR(10),'Bundle Tag Info'!F$17),"")</f>
        <v>KOC-JPF #1 
4P101 C.1
B
KT R/S</v>
      </c>
    </row>
    <row r="48" spans="1:1" ht="12.6" customHeight="1" x14ac:dyDescent="0.25">
      <c r="A48" s="16" t="str">
        <f>IF('Bundle Tag Info'!G$7&lt;&gt;"",CONCATENATE('Bundle Tag Info'!$A$1," ",CHAR(10),'Bundle Tag Info'!$A$2," ",'Bundle Tag Info'!$A$3,CHAR(10),'Bundle Tag Info'!G$6,CHAR(10),'Bundle Tag Info'!G$7),"")</f>
        <v>KOC-JPF #1 
4P101 C.1
JB72 DOOR
HL0171</v>
      </c>
    </row>
    <row r="49" spans="1:1" ht="12.6" customHeight="1" x14ac:dyDescent="0.25">
      <c r="A49" s="16" t="str">
        <f>IF('Bundle Tag Info'!G$8&lt;&gt;"",CONCATENATE('Bundle Tag Info'!$A$1," ",CHAR(10),'Bundle Tag Info'!$A$2," ",'Bundle Tag Info'!$A$3,CHAR(10),'Bundle Tag Info'!G$6,CHAR(10),'Bundle Tag Info'!G$8),"")</f>
        <v>KOC-JPF #1 
4P101 C.1
JB72 DOOR
HL0172</v>
      </c>
    </row>
    <row r="50" spans="1:1" ht="12.6" customHeight="1" x14ac:dyDescent="0.25">
      <c r="A50" s="16" t="str">
        <f>IF('Bundle Tag Info'!G$9&lt;&gt;"",CONCATENATE('Bundle Tag Info'!$A$1," ",CHAR(10),'Bundle Tag Info'!$A$2," ",'Bundle Tag Info'!$A$3,CHAR(10),'Bundle Tag Info'!G$6,CHAR(10),'Bundle Tag Info'!G$9),"")</f>
        <v>KOC-JPF #1 
4P101 C.1
JB72 DOOR
HL0173</v>
      </c>
    </row>
    <row r="51" spans="1:1" ht="12.6" customHeight="1" x14ac:dyDescent="0.25">
      <c r="A51" s="16" t="str">
        <f>IF('Bundle Tag Info'!G$10&lt;&gt;"",CONCATENATE('Bundle Tag Info'!$A$1," ",CHAR(10),'Bundle Tag Info'!$A$2," ",'Bundle Tag Info'!$A$3,CHAR(10),'Bundle Tag Info'!G$6,CHAR(10),'Bundle Tag Info'!G$10),"")</f>
        <v>KOC-JPF #1 
4P101 C.1
JB72 DOOR
SA0170</v>
      </c>
    </row>
    <row r="52" spans="1:1" ht="12.6" customHeight="1" x14ac:dyDescent="0.25">
      <c r="A52" s="16" t="str">
        <f>IF('Bundle Tag Info'!G$11&lt;&gt;"",CONCATENATE('Bundle Tag Info'!$A$1," ",CHAR(10),'Bundle Tag Info'!$A$2," ",'Bundle Tag Info'!$A$3,CHAR(10),'Bundle Tag Info'!G$6,CHAR(10),'Bundle Tag Info'!G$11),"")</f>
        <v>KOC-JPF #1 
4P101 C.1
JB72 DOOR
SB0170</v>
      </c>
    </row>
    <row r="53" spans="1:1" ht="12.6" customHeight="1" x14ac:dyDescent="0.25">
      <c r="A53" s="16" t="str">
        <f>IF('Bundle Tag Info'!H$7&lt;&gt;"",CONCATENATE('Bundle Tag Info'!$A$1," ",CHAR(10),'Bundle Tag Info'!$A$2," ",'Bundle Tag Info'!$A$3,CHAR(10),'Bundle Tag Info'!H$6,CHAR(10),'Bundle Tag Info'!H$7),"")</f>
        <v>KOC-JPF #1 
4P101 C.1
FG&amp;E
AF/AU180s</v>
      </c>
    </row>
    <row r="54" spans="1:1" ht="12.6" customHeight="1" x14ac:dyDescent="0.25">
      <c r="A54" s="16" t="str">
        <f>IF('Bundle Tag Info'!H$8&lt;&gt;"",CONCATENATE('Bundle Tag Info'!$A$1," ",CHAR(10),'Bundle Tag Info'!$A$2," ",'Bundle Tag Info'!$A$3,CHAR(10),'Bundle Tag Info'!H$6,CHAR(10),'Bundle Tag Info'!H$8),"")</f>
        <v>KOC-JPF #1 
4P101 C.1
FG&amp;E
AT</v>
      </c>
    </row>
    <row r="55" spans="1:1" ht="12.6" customHeight="1" x14ac:dyDescent="0.25">
      <c r="A55" s="16" t="str">
        <f>IF('Bundle Tag Info'!H$9&lt;&gt;"",CONCATENATE('Bundle Tag Info'!$A$1," ",CHAR(10),'Bundle Tag Info'!$A$2," ",'Bundle Tag Info'!$A$3,CHAR(10),'Bundle Tag Info'!H$6,CHAR(10),'Bundle Tag Info'!H$9),"")</f>
        <v>KOC-JPF #1 
4P101 C.1
FG&amp;E
FU</v>
      </c>
    </row>
    <row r="56" spans="1:1" ht="12.6" customHeight="1" x14ac:dyDescent="0.25">
      <c r="A56" s="16" t="str">
        <f>IF('Bundle Tag Info'!H$10&lt;&gt;"",CONCATENATE('Bundle Tag Info'!$A$1," ",CHAR(10),'Bundle Tag Info'!$A$2," ",'Bundle Tag Info'!$A$3,CHAR(10),'Bundle Tag Info'!H$6,CHAR(10),'Bundle Tag Info'!H$10),"")</f>
        <v>KOC-JPF #1 
4P101 C.1
FG&amp;E
KA A1</v>
      </c>
    </row>
    <row r="57" spans="1:1" ht="12.6" customHeight="1" x14ac:dyDescent="0.25">
      <c r="A57" s="16" t="str">
        <f>IF('Bundle Tag Info'!H$11&lt;&gt;"",CONCATENATE('Bundle Tag Info'!$A$1," ",CHAR(10),'Bundle Tag Info'!$A$2," ",'Bundle Tag Info'!$A$3,CHAR(10),'Bundle Tag Info'!H$6,CHAR(10),'Bundle Tag Info'!H$11),"")</f>
        <v>KOC-JPF #1 
4P101 C.1
FG&amp;E
KA A2</v>
      </c>
    </row>
    <row r="58" spans="1:1" ht="12.6" customHeight="1" x14ac:dyDescent="0.25">
      <c r="A58" s="16" t="str">
        <f>IF('Bundle Tag Info'!H$12&lt;&gt;"",CONCATENATE('Bundle Tag Info'!$A$1," ",CHAR(10),'Bundle Tag Info'!$A$2," ",'Bundle Tag Info'!$A$3,CHAR(10),'Bundle Tag Info'!H$6,CHAR(10),'Bundle Tag Info'!H$12),"")</f>
        <v>KOC-JPF #1 
4P101 C.1
FG&amp;E
KA</v>
      </c>
    </row>
    <row r="59" spans="1:1" ht="12.6" customHeight="1" x14ac:dyDescent="0.25">
      <c r="A59" s="16" t="str">
        <f>IF('Bundle Tag Info'!H$13&lt;&gt;"",CONCATENATE('Bundle Tag Info'!$A$1," ",CHAR(10),'Bundle Tag Info'!$A$2," ",'Bundle Tag Info'!$A$3,CHAR(10),'Bundle Tag Info'!H$6,CHAR(10),'Bundle Tag Info'!H$13),"")</f>
        <v>KOC-JPF #1 
4P101 C.1
FG&amp;E
RR</v>
      </c>
    </row>
    <row r="60" spans="1:1" ht="12.6" customHeight="1" x14ac:dyDescent="0.25">
      <c r="A60" s="16" t="str">
        <f>IF('Bundle Tag Info'!H$14&lt;&gt;"",CONCATENATE('Bundle Tag Info'!$A$1," ",CHAR(10),'Bundle Tag Info'!$A$2," ",'Bundle Tag Info'!$A$3,CHAR(10),'Bundle Tag Info'!H$6,CHAR(10),'Bundle Tag Info'!H$14),"")</f>
        <v>KOC-JPF #1 
4P101 C.1
FG&amp;E
UV</v>
      </c>
    </row>
    <row r="61" spans="1:1" ht="12.6" customHeight="1" x14ac:dyDescent="0.25">
      <c r="A61" s="16" t="str">
        <f>IF('Bundle Tag Info'!H$15&lt;&gt;"",CONCATENATE('Bundle Tag Info'!$A$1," ",CHAR(10),'Bundle Tag Info'!$A$2," ",'Bundle Tag Info'!$A$3,CHAR(10),'Bundle Tag Info'!H$6,CHAR(10),'Bundle Tag Info'!H$15),"")</f>
        <v>KOC-JPF #1 
4P101 C.1
FG&amp;E
VD</v>
      </c>
    </row>
    <row r="62" spans="1:1" ht="12.6" customHeight="1" x14ac:dyDescent="0.25">
      <c r="A62" s="16" t="str">
        <f>IF('Bundle Tag Info'!H$16&lt;&gt;"",CONCATENATE('Bundle Tag Info'!$A$1," ",CHAR(10),'Bundle Tag Info'!$A$2," ",'Bundle Tag Info'!$A$3,CHAR(10),'Bundle Tag Info'!H$6,CHAR(10),'Bundle Tag Info'!H$16),"")</f>
        <v>KOC-JPF #1 
4P101 C.1
FG&amp;E
XT</v>
      </c>
    </row>
    <row r="63" spans="1:1" ht="12.6" customHeight="1" x14ac:dyDescent="0.25">
      <c r="A63" s="16" t="str">
        <f>IF('Bundle Tag Info'!H$17&lt;&gt;"",CONCATENATE('Bundle Tag Info'!$A$1," ",CHAR(10),'Bundle Tag Info'!$A$2," ",'Bundle Tag Info'!$A$3,CHAR(10),'Bundle Tag Info'!H$6,CHAR(10),'Bundle Tag Info'!H$17),"")</f>
        <v>KOC-JPF #1 
4P101 C.1
FG&amp;E
KA-GEN</v>
      </c>
    </row>
    <row r="64" spans="1:1" ht="12.6" customHeight="1" x14ac:dyDescent="0.25">
      <c r="A64" s="16" t="str">
        <f>IF('Bundle Tag Info'!H$18&lt;&gt;"",CONCATENATE('Bundle Tag Info'!$A$1," ",CHAR(10),'Bundle Tag Info'!$A$2," ",'Bundle Tag Info'!$A$3,CHAR(10),'Bundle Tag Info'!H$6,CHAR(10),'Bundle Tag Info'!H$18),"")</f>
        <v>KOC-JPF #1 
4P101 C.1
FG&amp;E
FU/XT-GEN</v>
      </c>
    </row>
    <row r="65" spans="1:1" ht="12.6" customHeight="1" x14ac:dyDescent="0.25">
      <c r="A65" s="16" t="str">
        <f>IF('Bundle Tag Info'!I$7&lt;&gt;"",CONCATENATE('Bundle Tag Info'!$A$1," ",CHAR(10),'Bundle Tag Info'!$A$2," ",'Bundle Tag Info'!$A$3,CHAR(10),'Bundle Tag Info'!I$6,CHAR(10),'Bundle Tag Info'!I$7),"")</f>
        <v>KOC-JPF #1 
4P101 C.1
GEN
AF/AU120s</v>
      </c>
    </row>
    <row r="66" spans="1:1" ht="12.6" customHeight="1" x14ac:dyDescent="0.25">
      <c r="A66" s="16" t="str">
        <f>IF('Bundle Tag Info'!I$8&lt;&gt;"",CONCATENATE('Bundle Tag Info'!$A$1," ",CHAR(10),'Bundle Tag Info'!$A$2," ",'Bundle Tag Info'!$A$3,CHAR(10),'Bundle Tag Info'!I$6,CHAR(10),'Bundle Tag Info'!I$8),"")</f>
        <v>KOC-JPF #1 
4P101 C.1
GEN
AT</v>
      </c>
    </row>
    <row r="67" spans="1:1" ht="12.6" customHeight="1" x14ac:dyDescent="0.25">
      <c r="A67" s="16" t="str">
        <f>IF('Bundle Tag Info'!I$9&lt;&gt;"",CONCATENATE('Bundle Tag Info'!$A$1," ",CHAR(10),'Bundle Tag Info'!$A$2," ",'Bundle Tag Info'!$A$3,CHAR(10),'Bundle Tag Info'!I$6,CHAR(10),'Bundle Tag Info'!I$9),"")</f>
        <v>KOC-JPF #1 
4P101 C.1
GEN
AT RED</v>
      </c>
    </row>
    <row r="68" spans="1:1" ht="12.6" customHeight="1" x14ac:dyDescent="0.25">
      <c r="A68" s="16" t="str">
        <f>IF('Bundle Tag Info'!I$10&lt;&gt;"",CONCATENATE('Bundle Tag Info'!$A$1," ",CHAR(10),'Bundle Tag Info'!$A$2," ",'Bundle Tag Info'!$A$3,CHAR(10),'Bundle Tag Info'!I$6,CHAR(10),'Bundle Tag Info'!I$10),"")</f>
        <v>KOC-JPF #1 
4P101 C.1
GEN
AT BLU</v>
      </c>
    </row>
    <row r="69" spans="1:1" ht="12.6" customHeight="1" x14ac:dyDescent="0.25">
      <c r="A69" s="16" t="str">
        <f>IF('Bundle Tag Info'!I$11&lt;&gt;"",CONCATENATE('Bundle Tag Info'!$A$1," ",CHAR(10),'Bundle Tag Info'!$A$2," ",'Bundle Tag Info'!$A$3,CHAR(10),'Bundle Tag Info'!I$6,CHAR(10),'Bundle Tag Info'!I$11),"")</f>
        <v>KOC-JPF #1 
4P101 C.1
GEN
FU/XT</v>
      </c>
    </row>
    <row r="70" spans="1:1" ht="12.6" customHeight="1" x14ac:dyDescent="0.25">
      <c r="A70" s="16" t="str">
        <f>IF('Bundle Tag Info'!I$12&lt;&gt;"",CONCATENATE('Bundle Tag Info'!$A$1," ",CHAR(10),'Bundle Tag Info'!$A$2," ",'Bundle Tag Info'!$A$3,CHAR(10),'Bundle Tag Info'!I$6,CHAR(10),'Bundle Tag Info'!I$12),"")</f>
        <v>KOC-JPF #1 
4P101 C.1
GEN
KA A1</v>
      </c>
    </row>
    <row r="71" spans="1:1" ht="12.6" customHeight="1" x14ac:dyDescent="0.25">
      <c r="A71" s="16" t="str">
        <f>IF('Bundle Tag Info'!I$13&lt;&gt;"",CONCATENATE('Bundle Tag Info'!$A$1," ",CHAR(10),'Bundle Tag Info'!$A$2," ",'Bundle Tag Info'!$A$3,CHAR(10),'Bundle Tag Info'!I$6,CHAR(10),'Bundle Tag Info'!I$13),"")</f>
        <v>KOC-JPF #1 
4P101 C.1
GEN
KA A2</v>
      </c>
    </row>
    <row r="72" spans="1:1" ht="12.6" customHeight="1" x14ac:dyDescent="0.25">
      <c r="A72" s="16" t="str">
        <f>IF('Bundle Tag Info'!I$14&lt;&gt;"",CONCATENATE('Bundle Tag Info'!$A$1," ",CHAR(10),'Bundle Tag Info'!$A$2," ",'Bundle Tag Info'!$A$3,CHAR(10),'Bundle Tag Info'!I$6,CHAR(10),'Bundle Tag Info'!I$14),"")</f>
        <v>KOC-JPF #1 
4P101 C.1
GEN
KA</v>
      </c>
    </row>
    <row r="73" spans="1:1" ht="12.6" customHeight="1" x14ac:dyDescent="0.25">
      <c r="A73" s="16" t="str">
        <f>IF('Bundle Tag Info'!J$7&lt;&gt;"",CONCATENATE('Bundle Tag Info'!$A$1," ",CHAR(10),'Bundle Tag Info'!$A$2," ",'Bundle Tag Info'!$A$3,CHAR(10),'Bundle Tag Info'!J$6,CHAR(10),'Bundle Tag Info'!J$7),"")</f>
        <v>KOC-JPF #1 
4P101 C.1
VFD
FU/BA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Panel Errors</vt:lpstr>
      <vt:lpstr>JB70 DOOR_S</vt:lpstr>
      <vt:lpstr>HMI-S PWR_S</vt:lpstr>
      <vt:lpstr>JB70 R RAIL_S</vt:lpstr>
      <vt:lpstr>PLC_S</vt:lpstr>
      <vt:lpstr>A_S</vt:lpstr>
      <vt:lpstr>B_S</vt:lpstr>
      <vt:lpstr>JB72 DOOR_S</vt:lpstr>
      <vt:lpstr>FG&amp;E CTRL_S</vt:lpstr>
      <vt:lpstr>GEN_S</vt:lpstr>
      <vt:lpstr>VFD_S</vt:lpstr>
      <vt:lpstr>Bundle Tag Info</vt:lpstr>
      <vt:lpstr>Bundle Tags2</vt:lpstr>
      <vt:lpstr>ALL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2026-02-25T06:25:12Z</cp:lastPrinted>
  <dcterms:created xsi:type="dcterms:W3CDTF">2026-02-20T00:52:30Z</dcterms:created>
  <dcterms:modified xsi:type="dcterms:W3CDTF">2026-02-25T06:44:36Z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2026-02-20T00:53:30Z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b1305009-9f58-4c5f-a6ef-fcc63d4f5128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