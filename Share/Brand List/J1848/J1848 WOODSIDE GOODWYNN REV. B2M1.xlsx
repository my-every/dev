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J1848 WOODSIDE GOODWYNN\"/>
    </mc:Choice>
  </mc:AlternateContent>
  <xr:revisionPtr revIDLastSave="0" documentId="13_ncr:1_{52AD235F-5243-4CCF-AC6D-CC8CB3BC76A3}" xr6:coauthVersionLast="47" xr6:coauthVersionMax="47" xr10:uidLastSave="{00000000-0000-0000-0000-000000000000}"/>
  <bookViews>
    <workbookView xWindow="-110" yWindow="-110" windowWidth="19420" windowHeight="10300" tabRatio="1000" firstSheet="5" activeTab="12" xr2:uid="{00000000-000D-0000-FFFF-FFFF00000000}"/>
  </bookViews>
  <sheets>
    <sheet name="Blue Labels" sheetId="12" r:id="rId1"/>
    <sheet name="White Labels" sheetId="11" r:id="rId2"/>
    <sheet name="Heat Shrink Labels" sheetId="10" r:id="rId3"/>
    <sheet name="Panel Errors" sheetId="3" r:id="rId4"/>
    <sheet name="Cable Part Numbers" sheetId="2" r:id="rId5"/>
    <sheet name="Part Number List" sheetId="1" r:id="rId6"/>
    <sheet name="CONSOLE_S" sheetId="14" r:id="rId7"/>
    <sheet name="SCS_S" sheetId="18" r:id="rId8"/>
    <sheet name="LEFT SIDE PANEL_S" sheetId="16" r:id="rId9"/>
    <sheet name="BACK PANEL_S" sheetId="13" r:id="rId10"/>
    <sheet name="RIGHT SIDE PANEL_S" sheetId="17" r:id="rId11"/>
    <sheet name="Bundle Tag Info" sheetId="20" r:id="rId12"/>
    <sheet name="Bundle Tags2" sheetId="21" r:id="rId13"/>
    <sheet name="ALL" sheetId="22" r:id="rId14"/>
    <sheet name="Sheet7" sheetId="19" r:id="rId15"/>
  </sheets>
  <definedNames>
    <definedName name="_xlnm._FilterDatabase" localSheetId="9" hidden="1">'BACK PANEL_S'!$H$1:$H$175</definedName>
    <definedName name="_xlnm._FilterDatabase" localSheetId="8" hidden="1">'LEFT SIDE PANEL_S'!$H$1:$H$259</definedName>
    <definedName name="_xlnm._FilterDatabase" localSheetId="10" hidden="1">'RIGHT SIDE PANEL_S'!$H$1:$H$35</definedName>
    <definedName name="_xlnm._FilterDatabase" localSheetId="7" hidden="1">SCS_S!$H$1:$H$61</definedName>
    <definedName name="_xlnm.Print_Titles" localSheetId="4">'Cable Part Numbers'!$12:$13</definedName>
    <definedName name="_xlnm.Print_Titles" localSheetId="3">'Panel Errors'!$12:$13</definedName>
    <definedName name="_xlnm.Print_Titles" localSheetId="5">'Part Number List'!$11:$11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22" l="1"/>
  <c r="AC31" i="22"/>
  <c r="AB31" i="22"/>
  <c r="AA31" i="22"/>
  <c r="Z31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A31" i="22"/>
  <c r="AD30" i="22"/>
  <c r="AC30" i="22"/>
  <c r="AB30" i="22"/>
  <c r="AA30" i="22"/>
  <c r="Z30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A30" i="22"/>
  <c r="AD29" i="22"/>
  <c r="AC29" i="22"/>
  <c r="AB29" i="22"/>
  <c r="AA29" i="22"/>
  <c r="Z29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A29" i="22"/>
  <c r="AD28" i="22"/>
  <c r="AC28" i="22"/>
  <c r="AB28" i="22"/>
  <c r="AA28" i="22"/>
  <c r="Z28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A28" i="22"/>
  <c r="AD27" i="22"/>
  <c r="AC27" i="22"/>
  <c r="AB27" i="22"/>
  <c r="AA27" i="22"/>
  <c r="Z27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A27" i="22"/>
  <c r="AD26" i="22"/>
  <c r="AC26" i="22"/>
  <c r="AB26" i="22"/>
  <c r="AA26" i="22"/>
  <c r="Z26" i="22"/>
  <c r="Y26" i="22"/>
  <c r="X26" i="22"/>
  <c r="W26" i="22"/>
  <c r="V26" i="22"/>
  <c r="U26" i="22"/>
  <c r="T26" i="22"/>
  <c r="S26" i="22"/>
  <c r="R26" i="22"/>
  <c r="Q26" i="22"/>
  <c r="P26" i="22"/>
  <c r="O26" i="22"/>
  <c r="N26" i="22"/>
  <c r="M26" i="22"/>
  <c r="L26" i="22"/>
  <c r="K26" i="22"/>
  <c r="J26" i="22"/>
  <c r="I26" i="22"/>
  <c r="H26" i="22"/>
  <c r="G26" i="22"/>
  <c r="F26" i="22"/>
  <c r="E26" i="22"/>
  <c r="D26" i="22"/>
  <c r="C26" i="22"/>
  <c r="B26" i="22"/>
  <c r="A26" i="22"/>
  <c r="AD25" i="22"/>
  <c r="AC25" i="22"/>
  <c r="AB25" i="22"/>
  <c r="AA25" i="22"/>
  <c r="Z25" i="22"/>
  <c r="Y25" i="22"/>
  <c r="X25" i="22"/>
  <c r="W25" i="22"/>
  <c r="V25" i="22"/>
  <c r="U25" i="22"/>
  <c r="T25" i="22"/>
  <c r="S25" i="22"/>
  <c r="R25" i="22"/>
  <c r="Q25" i="22"/>
  <c r="P25" i="22"/>
  <c r="O25" i="22"/>
  <c r="N25" i="22"/>
  <c r="M25" i="22"/>
  <c r="L25" i="22"/>
  <c r="K25" i="22"/>
  <c r="J25" i="22"/>
  <c r="I25" i="22"/>
  <c r="H25" i="22"/>
  <c r="G25" i="22"/>
  <c r="F25" i="22"/>
  <c r="E25" i="22"/>
  <c r="D25" i="22"/>
  <c r="C25" i="22"/>
  <c r="B25" i="22"/>
  <c r="A25" i="22"/>
  <c r="AD24" i="22"/>
  <c r="AC24" i="22"/>
  <c r="AB24" i="22"/>
  <c r="AA24" i="22"/>
  <c r="Z24" i="22"/>
  <c r="Y24" i="22"/>
  <c r="X24" i="22"/>
  <c r="W24" i="22"/>
  <c r="V24" i="22"/>
  <c r="U24" i="22"/>
  <c r="T24" i="22"/>
  <c r="S24" i="22"/>
  <c r="R24" i="22"/>
  <c r="Q24" i="22"/>
  <c r="P24" i="22"/>
  <c r="O24" i="22"/>
  <c r="N24" i="22"/>
  <c r="M24" i="22"/>
  <c r="L24" i="22"/>
  <c r="K24" i="22"/>
  <c r="J24" i="22"/>
  <c r="I24" i="22"/>
  <c r="H24" i="22"/>
  <c r="G24" i="22"/>
  <c r="F24" i="22"/>
  <c r="E24" i="22"/>
  <c r="D24" i="22"/>
  <c r="C24" i="22"/>
  <c r="B24" i="22"/>
  <c r="A24" i="22"/>
  <c r="AD23" i="22"/>
  <c r="AC23" i="22"/>
  <c r="AB23" i="22"/>
  <c r="AA23" i="22"/>
  <c r="Z23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A23" i="22"/>
  <c r="AD22" i="22"/>
  <c r="AC22" i="22"/>
  <c r="AB22" i="22"/>
  <c r="AA22" i="22"/>
  <c r="Z22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A22" i="22"/>
  <c r="AD21" i="22"/>
  <c r="AC21" i="22"/>
  <c r="AB21" i="22"/>
  <c r="AA21" i="22"/>
  <c r="Z21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A21" i="22"/>
  <c r="AD20" i="22"/>
  <c r="AC20" i="22"/>
  <c r="AB20" i="22"/>
  <c r="AA20" i="22"/>
  <c r="Z20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A20" i="22"/>
  <c r="AD19" i="22"/>
  <c r="AC19" i="22"/>
  <c r="AB19" i="22"/>
  <c r="AA19" i="22"/>
  <c r="Z19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A19" i="22"/>
  <c r="AD18" i="22"/>
  <c r="AC18" i="22"/>
  <c r="AB18" i="22"/>
  <c r="AA18" i="22"/>
  <c r="Z18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A18" i="22"/>
  <c r="AD17" i="22"/>
  <c r="AC17" i="22"/>
  <c r="AB17" i="22"/>
  <c r="AA17" i="22"/>
  <c r="Z17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A17" i="22"/>
  <c r="AD16" i="22"/>
  <c r="AC16" i="22"/>
  <c r="AB16" i="22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A16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E15" i="22"/>
  <c r="D15" i="22"/>
  <c r="C15" i="22"/>
  <c r="B15" i="22"/>
  <c r="A15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E14" i="22"/>
  <c r="D14" i="22"/>
  <c r="C14" i="22"/>
  <c r="B14" i="22"/>
  <c r="A14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E13" i="22"/>
  <c r="D13" i="22"/>
  <c r="C13" i="22"/>
  <c r="B13" i="22"/>
  <c r="A13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E12" i="22"/>
  <c r="D12" i="22"/>
  <c r="C12" i="22"/>
  <c r="B12" i="22"/>
  <c r="A12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E11" i="22"/>
  <c r="D11" i="22"/>
  <c r="C11" i="22"/>
  <c r="B11" i="22"/>
  <c r="A11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E10" i="22"/>
  <c r="D10" i="22"/>
  <c r="C10" i="22"/>
  <c r="B10" i="22"/>
  <c r="A10" i="22"/>
  <c r="AD9" i="22"/>
  <c r="AC9" i="22"/>
  <c r="AB9" i="22"/>
  <c r="AA9" i="22"/>
  <c r="Z9" i="22"/>
  <c r="Y9" i="22"/>
  <c r="X9" i="22"/>
  <c r="W9" i="22"/>
  <c r="V9" i="22"/>
  <c r="U9" i="22"/>
  <c r="T9" i="22"/>
  <c r="S9" i="22"/>
  <c r="R9" i="22"/>
  <c r="Q9" i="22"/>
  <c r="P9" i="22"/>
  <c r="O9" i="22"/>
  <c r="N9" i="22"/>
  <c r="M9" i="22"/>
  <c r="L9" i="22"/>
  <c r="K9" i="22"/>
  <c r="J9" i="22"/>
  <c r="I9" i="22"/>
  <c r="H9" i="22"/>
  <c r="G9" i="22"/>
  <c r="F9" i="22"/>
  <c r="E9" i="22"/>
  <c r="D9" i="22"/>
  <c r="C9" i="22"/>
  <c r="B9" i="22"/>
  <c r="A9" i="22"/>
  <c r="AD8" i="22"/>
  <c r="AC8" i="22"/>
  <c r="AB8" i="22"/>
  <c r="AA8" i="22"/>
  <c r="Z8" i="22"/>
  <c r="Y8" i="22"/>
  <c r="X8" i="22"/>
  <c r="W8" i="22"/>
  <c r="V8" i="22"/>
  <c r="U8" i="22"/>
  <c r="T8" i="22"/>
  <c r="S8" i="22"/>
  <c r="R8" i="22"/>
  <c r="Q8" i="22"/>
  <c r="P8" i="22"/>
  <c r="O8" i="22"/>
  <c r="N8" i="22"/>
  <c r="M8" i="22"/>
  <c r="L8" i="22"/>
  <c r="K8" i="22"/>
  <c r="J8" i="22"/>
  <c r="I8" i="22"/>
  <c r="H8" i="22"/>
  <c r="G8" i="22"/>
  <c r="F8" i="22"/>
  <c r="E8" i="22"/>
  <c r="D8" i="22"/>
  <c r="C8" i="22"/>
  <c r="B8" i="22"/>
  <c r="A8" i="22"/>
  <c r="AD7" i="22"/>
  <c r="AC7" i="22"/>
  <c r="AB7" i="22"/>
  <c r="AA7" i="22"/>
  <c r="Z7" i="22"/>
  <c r="Y7" i="22"/>
  <c r="X7" i="22"/>
  <c r="W7" i="22"/>
  <c r="V7" i="22"/>
  <c r="U7" i="22"/>
  <c r="T7" i="22"/>
  <c r="S7" i="22"/>
  <c r="R7" i="22"/>
  <c r="Q7" i="22"/>
  <c r="P7" i="22"/>
  <c r="O7" i="22"/>
  <c r="N7" i="22"/>
  <c r="M7" i="22"/>
  <c r="L7" i="22"/>
  <c r="K7" i="22"/>
  <c r="J7" i="22"/>
  <c r="I7" i="22"/>
  <c r="H7" i="22"/>
  <c r="G7" i="22"/>
  <c r="F7" i="22"/>
  <c r="E7" i="22"/>
  <c r="D7" i="22"/>
  <c r="C7" i="22"/>
  <c r="B7" i="22"/>
  <c r="A7" i="22"/>
  <c r="AD6" i="22"/>
  <c r="AC6" i="22"/>
  <c r="AB6" i="22"/>
  <c r="AA6" i="22"/>
  <c r="Z6" i="22"/>
  <c r="Y6" i="22"/>
  <c r="X6" i="22"/>
  <c r="W6" i="22"/>
  <c r="V6" i="22"/>
  <c r="U6" i="22"/>
  <c r="T6" i="22"/>
  <c r="S6" i="22"/>
  <c r="R6" i="22"/>
  <c r="Q6" i="22"/>
  <c r="P6" i="22"/>
  <c r="O6" i="22"/>
  <c r="N6" i="22"/>
  <c r="M6" i="22"/>
  <c r="L6" i="22"/>
  <c r="K6" i="22"/>
  <c r="J6" i="22"/>
  <c r="I6" i="22"/>
  <c r="H6" i="22"/>
  <c r="G6" i="22"/>
  <c r="F6" i="22"/>
  <c r="E6" i="22"/>
  <c r="D6" i="22"/>
  <c r="C6" i="22"/>
  <c r="B6" i="22"/>
  <c r="A6" i="22"/>
  <c r="AD5" i="22"/>
  <c r="AC5" i="22"/>
  <c r="AB5" i="22"/>
  <c r="AA5" i="22"/>
  <c r="Z5" i="22"/>
  <c r="Y5" i="22"/>
  <c r="X5" i="22"/>
  <c r="W5" i="22"/>
  <c r="V5" i="22"/>
  <c r="U5" i="22"/>
  <c r="T5" i="22"/>
  <c r="S5" i="22"/>
  <c r="R5" i="22"/>
  <c r="Q5" i="22"/>
  <c r="P5" i="22"/>
  <c r="O5" i="22"/>
  <c r="N5" i="22"/>
  <c r="M5" i="22"/>
  <c r="L5" i="22"/>
  <c r="K5" i="22"/>
  <c r="J5" i="22"/>
  <c r="I5" i="22"/>
  <c r="H5" i="22"/>
  <c r="G5" i="22"/>
  <c r="F5" i="22"/>
  <c r="E5" i="22"/>
  <c r="D5" i="22"/>
  <c r="C5" i="22"/>
  <c r="B5" i="22"/>
  <c r="A5" i="22"/>
  <c r="AD4" i="22"/>
  <c r="AC4" i="22"/>
  <c r="AB4" i="22"/>
  <c r="AA4" i="22"/>
  <c r="Z4" i="22"/>
  <c r="Y4" i="22"/>
  <c r="X4" i="22"/>
  <c r="W4" i="22"/>
  <c r="V4" i="22"/>
  <c r="U4" i="22"/>
  <c r="T4" i="22"/>
  <c r="S4" i="22"/>
  <c r="R4" i="22"/>
  <c r="Q4" i="22"/>
  <c r="P4" i="22"/>
  <c r="O4" i="22"/>
  <c r="N4" i="22"/>
  <c r="M4" i="22"/>
  <c r="L4" i="22"/>
  <c r="K4" i="22"/>
  <c r="J4" i="22"/>
  <c r="I4" i="22"/>
  <c r="H4" i="22"/>
  <c r="G4" i="22"/>
  <c r="F4" i="22"/>
  <c r="E4" i="22"/>
  <c r="D4" i="22"/>
  <c r="C4" i="22"/>
  <c r="B4" i="22"/>
  <c r="A4" i="22"/>
  <c r="AD3" i="22"/>
  <c r="AC3" i="22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3" i="22"/>
  <c r="C3" i="22"/>
  <c r="B3" i="22"/>
  <c r="A3" i="22"/>
  <c r="AD2" i="22"/>
  <c r="AC2" i="22"/>
  <c r="AB2" i="22"/>
  <c r="AA2" i="22"/>
  <c r="Z2" i="22"/>
  <c r="Y2" i="22"/>
  <c r="X2" i="22"/>
  <c r="W2" i="22"/>
  <c r="V2" i="22"/>
  <c r="U2" i="22"/>
  <c r="T2" i="22"/>
  <c r="S2" i="22"/>
  <c r="R2" i="22"/>
  <c r="Q2" i="22"/>
  <c r="P2" i="22"/>
  <c r="O2" i="22"/>
  <c r="N2" i="22"/>
  <c r="M2" i="22"/>
  <c r="L2" i="22"/>
  <c r="K2" i="22"/>
  <c r="J2" i="22"/>
  <c r="I2" i="22"/>
  <c r="H2" i="22"/>
  <c r="G2" i="22"/>
  <c r="F2" i="22"/>
  <c r="E2" i="22"/>
  <c r="D2" i="22"/>
  <c r="C2" i="22"/>
  <c r="B2" i="22"/>
  <c r="A2" i="22"/>
  <c r="AD1" i="22"/>
  <c r="AC1" i="22"/>
  <c r="AB1" i="22"/>
  <c r="AA1" i="22"/>
  <c r="Z1" i="22"/>
  <c r="Y1" i="22"/>
  <c r="X1" i="22"/>
  <c r="W1" i="22"/>
  <c r="V1" i="22"/>
  <c r="U1" i="22"/>
  <c r="T1" i="22"/>
  <c r="S1" i="22"/>
  <c r="R1" i="22"/>
  <c r="Q1" i="22"/>
  <c r="P1" i="22"/>
  <c r="O1" i="22"/>
  <c r="N1" i="22"/>
  <c r="M1" i="22"/>
  <c r="L1" i="22"/>
  <c r="K1" i="22"/>
  <c r="J1" i="22"/>
  <c r="I1" i="22"/>
  <c r="H1" i="22"/>
  <c r="G1" i="22"/>
  <c r="F1" i="22"/>
  <c r="E1" i="22"/>
  <c r="D1" i="22"/>
  <c r="C1" i="22"/>
  <c r="B1" i="22"/>
  <c r="A1" i="22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A31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A30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A29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A28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27" i="21"/>
  <c r="AD26" i="21"/>
  <c r="AC26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B26" i="21"/>
  <c r="A26" i="21"/>
  <c r="AD25" i="21"/>
  <c r="AC25" i="21"/>
  <c r="AB25" i="2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A25" i="21"/>
  <c r="AD24" i="21"/>
  <c r="AC24" i="21"/>
  <c r="AB24" i="21"/>
  <c r="AA24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A24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A23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A22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A21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A20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A19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A18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A17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A16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B15" i="21"/>
  <c r="A15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B14" i="21"/>
  <c r="A14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B13" i="21"/>
  <c r="A13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B12" i="21"/>
  <c r="A12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B11" i="21"/>
  <c r="A11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B10" i="21"/>
  <c r="A10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B9" i="21"/>
  <c r="A9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B8" i="21"/>
  <c r="A8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B7" i="21"/>
  <c r="A7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B6" i="21"/>
  <c r="A6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A5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C4" i="21"/>
  <c r="B4" i="21"/>
  <c r="A4" i="21"/>
  <c r="AD3" i="21"/>
  <c r="AC3" i="21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F3" i="21"/>
  <c r="E3" i="21"/>
  <c r="D3" i="21"/>
  <c r="C3" i="21"/>
  <c r="B3" i="21"/>
  <c r="A3" i="21"/>
  <c r="AD2" i="21"/>
  <c r="AC2" i="21"/>
  <c r="AB2" i="21"/>
  <c r="AA2" i="21"/>
  <c r="Z2" i="21"/>
  <c r="Y2" i="21"/>
  <c r="X2" i="21"/>
  <c r="W2" i="21"/>
  <c r="V2" i="21"/>
  <c r="U2" i="21"/>
  <c r="T2" i="21"/>
  <c r="S2" i="21"/>
  <c r="R2" i="21"/>
  <c r="Q2" i="21"/>
  <c r="P2" i="21"/>
  <c r="O2" i="21"/>
  <c r="N2" i="21"/>
  <c r="M2" i="21"/>
  <c r="L2" i="21"/>
  <c r="K2" i="21"/>
  <c r="J2" i="21"/>
  <c r="I2" i="21"/>
  <c r="H2" i="21"/>
  <c r="G2" i="21"/>
  <c r="F2" i="21"/>
  <c r="E2" i="21"/>
  <c r="D2" i="21"/>
  <c r="C2" i="21"/>
  <c r="B2" i="21"/>
  <c r="A2" i="21"/>
  <c r="AD1" i="21"/>
  <c r="AC1" i="21"/>
  <c r="AB1" i="21"/>
  <c r="AA1" i="21"/>
  <c r="Z1" i="21"/>
  <c r="Y1" i="21"/>
  <c r="X1" i="21"/>
  <c r="W1" i="21"/>
  <c r="V1" i="21"/>
  <c r="U1" i="21"/>
  <c r="T1" i="21"/>
  <c r="S1" i="21"/>
  <c r="R1" i="21"/>
  <c r="Q1" i="21"/>
  <c r="P1" i="21"/>
  <c r="O1" i="21"/>
  <c r="N1" i="21"/>
  <c r="M1" i="21"/>
  <c r="L1" i="21"/>
  <c r="K1" i="21"/>
  <c r="J1" i="21"/>
  <c r="I1" i="21"/>
  <c r="H1" i="21"/>
  <c r="G1" i="21"/>
  <c r="F1" i="21"/>
  <c r="E1" i="21"/>
  <c r="D1" i="21"/>
  <c r="C1" i="21"/>
  <c r="B1" i="21"/>
  <c r="A1" i="21"/>
</calcChain>
</file>

<file path=xl/sharedStrings.xml><?xml version="1.0" encoding="utf-8"?>
<sst xmlns="http://schemas.openxmlformats.org/spreadsheetml/2006/main" count="5022" uniqueCount="1689">
  <si>
    <t>Part Number List</t>
  </si>
  <si>
    <t>SolarTools ver. 24.0.84.24712 (Jul 31, 2025)</t>
  </si>
  <si>
    <t>Project #</t>
  </si>
  <si>
    <t>J1848</t>
  </si>
  <si>
    <t>Report date: 4/15/2026 10:11 AM</t>
  </si>
  <si>
    <t>Project Name</t>
  </si>
  <si>
    <t>Woodside Goodwyn LSP</t>
  </si>
  <si>
    <t>Revision</t>
  </si>
  <si>
    <t>B.2</t>
  </si>
  <si>
    <t>Controls DE</t>
  </si>
  <si>
    <t>B.HALBIG</t>
  </si>
  <si>
    <t>Phone:</t>
  </si>
  <si>
    <t>Controls ME</t>
  </si>
  <si>
    <t>N. CARPENTER</t>
  </si>
  <si>
    <t>Device ID</t>
  </si>
  <si>
    <t>Part Number</t>
  </si>
  <si>
    <t>Description</t>
  </si>
  <si>
    <t>Location</t>
  </si>
  <si>
    <t>AF0041</t>
  </si>
  <si>
    <t>2684693-12,2684693-23</t>
  </si>
  <si>
    <t>5094-IB16XT, 16 DISCRETE INPUT</t>
  </si>
  <si>
    <t>AF0042</t>
  </si>
  <si>
    <t>AF0043</t>
  </si>
  <si>
    <t>AF0044</t>
  </si>
  <si>
    <t>AF0045</t>
  </si>
  <si>
    <t>AF0046</t>
  </si>
  <si>
    <t>AF0047</t>
  </si>
  <si>
    <t>AF0051</t>
  </si>
  <si>
    <t>AF0052</t>
  </si>
  <si>
    <t>AF0053</t>
  </si>
  <si>
    <t>AF0054</t>
  </si>
  <si>
    <t>AF0061</t>
  </si>
  <si>
    <t>2684693-14,2684693-33</t>
  </si>
  <si>
    <t>5094-IY8XT, 8 ANALOG INPUT,TC/RTD/I&amp;V</t>
  </si>
  <si>
    <t>AF0062</t>
  </si>
  <si>
    <t>2684693-13,2684693-56</t>
  </si>
  <si>
    <t>5094-IF8IHXT, 8 ANALOG INPUT, ISOLATED</t>
  </si>
  <si>
    <t>AF0063</t>
  </si>
  <si>
    <t>AF0064</t>
  </si>
  <si>
    <t>AF0065</t>
  </si>
  <si>
    <t>AF0066</t>
  </si>
  <si>
    <t>AF0067</t>
  </si>
  <si>
    <t>AU0040</t>
  </si>
  <si>
    <t>2684693-22</t>
  </si>
  <si>
    <t>5094-AENTRXT, FLEX 5000 I/O</t>
  </si>
  <si>
    <t>AU0050</t>
  </si>
  <si>
    <t>AU0060</t>
  </si>
  <si>
    <t>FU0040</t>
  </si>
  <si>
    <t>1043265-1,1043265-5</t>
  </si>
  <si>
    <t>FUSE, 10A</t>
  </si>
  <si>
    <t>FU0050</t>
  </si>
  <si>
    <t>FU0060</t>
  </si>
  <si>
    <t>FU0136</t>
  </si>
  <si>
    <t>1043265-1,1043265-9</t>
  </si>
  <si>
    <t>FUSE, 30A</t>
  </si>
  <si>
    <t>FU0137</t>
  </si>
  <si>
    <t>1043265-1,1043265-7</t>
  </si>
  <si>
    <t>FUSE, 20A</t>
  </si>
  <si>
    <t>FU0138</t>
  </si>
  <si>
    <t>1043265-1,1043265-3</t>
  </si>
  <si>
    <t>FUSE, 2A</t>
  </si>
  <si>
    <t>FU0190</t>
  </si>
  <si>
    <t>FU0236</t>
  </si>
  <si>
    <t>FU0260</t>
  </si>
  <si>
    <t>FU9700</t>
  </si>
  <si>
    <t>1043265-4</t>
  </si>
  <si>
    <t>FUSE, 5A</t>
  </si>
  <si>
    <t>FU9701</t>
  </si>
  <si>
    <t>GR0110</t>
  </si>
  <si>
    <t>903849C1</t>
  </si>
  <si>
    <t>RAIL GROUND, DIN RAIL GROUNDING</t>
  </si>
  <si>
    <t>GR0111</t>
  </si>
  <si>
    <t>GR0131</t>
  </si>
  <si>
    <t>GR0132</t>
  </si>
  <si>
    <t>H09700</t>
  </si>
  <si>
    <t>1070320-101</t>
  </si>
  <si>
    <t>HEATER, SPACE, TURBINE BOX</t>
  </si>
  <si>
    <t>H09701</t>
  </si>
  <si>
    <t>H09702</t>
  </si>
  <si>
    <t>PEG0130</t>
  </si>
  <si>
    <t>232941-110</t>
  </si>
  <si>
    <t>BUS BAR, ONE-BAY CONSOLE</t>
  </si>
  <si>
    <t>QS0011</t>
  </si>
  <si>
    <t>1087370</t>
  </si>
  <si>
    <t>CIRCUIT BREAKER, DOUBLE POLE - RAIL MOUNTABLE</t>
  </si>
  <si>
    <t>QS0012</t>
  </si>
  <si>
    <t>RR0851</t>
  </si>
  <si>
    <t>981090C1</t>
  </si>
  <si>
    <t>RESISTOR, 3.01K OHM</t>
  </si>
  <si>
    <t>RR0852</t>
  </si>
  <si>
    <t>981089C1</t>
  </si>
  <si>
    <t>RESISTOR, 1.0K OHM</t>
  </si>
  <si>
    <t>TE0970</t>
  </si>
  <si>
    <t>700226C1</t>
  </si>
  <si>
    <t>TEMPERATURE ELEMENT, BOX INTERNAL TEMPERATURE</t>
  </si>
  <si>
    <t>TS0970</t>
  </si>
  <si>
    <t>1070320-200</t>
  </si>
  <si>
    <t>THERMOSTAT, 120VAC SPACE HEATER CONTROL</t>
  </si>
  <si>
    <t>UJ0131</t>
  </si>
  <si>
    <t>1286570-1</t>
  </si>
  <si>
    <t>POWER CONVERTER, AC/DC INPUT TO 28V DC OUTPUT</t>
  </si>
  <si>
    <t>UJ0231</t>
  </si>
  <si>
    <t>XT0011</t>
  </si>
  <si>
    <t>1067996-20</t>
  </si>
  <si>
    <t>TERMINAL STRIP, 2 CONDUCTOR</t>
  </si>
  <si>
    <t>XT0012</t>
  </si>
  <si>
    <t>XT0014</t>
  </si>
  <si>
    <t>XT0015</t>
  </si>
  <si>
    <t>1067996-7</t>
  </si>
  <si>
    <t>TERMINAL STRIP, 4 CONDUCTOR</t>
  </si>
  <si>
    <t>XT0016</t>
  </si>
  <si>
    <t>XT0017</t>
  </si>
  <si>
    <t>XT0018</t>
  </si>
  <si>
    <t>XT0134</t>
  </si>
  <si>
    <t>XT0135</t>
  </si>
  <si>
    <t>XT0138</t>
  </si>
  <si>
    <t>XT0139</t>
  </si>
  <si>
    <t>XT0201</t>
  </si>
  <si>
    <t>XT0260</t>
  </si>
  <si>
    <t>XT0261</t>
  </si>
  <si>
    <t>XT0262</t>
  </si>
  <si>
    <t>XT0900</t>
  </si>
  <si>
    <t>XT09701AC</t>
  </si>
  <si>
    <t>XT09702AC</t>
  </si>
  <si>
    <t>XT09703AC</t>
  </si>
  <si>
    <t>XT09704AC</t>
  </si>
  <si>
    <t>XT0970AC</t>
  </si>
  <si>
    <t>EL0273</t>
  </si>
  <si>
    <t>1015796,1022899,1024594-100</t>
  </si>
  <si>
    <t>LIGHT, LED, WHITE</t>
  </si>
  <si>
    <t>CONSOLE</t>
  </si>
  <si>
    <t>HA0273</t>
  </si>
  <si>
    <t>1113568-200</t>
  </si>
  <si>
    <t>HORN, ACOUSTIC DEVICE</t>
  </si>
  <si>
    <t>ZS0273</t>
  </si>
  <si>
    <t>1113474-2</t>
  </si>
  <si>
    <t>LIMIT SWITCH, CONSOLE DOOR</t>
  </si>
  <si>
    <t>AT0190</t>
  </si>
  <si>
    <t>1577354-5901</t>
  </si>
  <si>
    <t>WORKSTATION, VISUAL INTERFACE</t>
  </si>
  <si>
    <t>CONSOLE DOORS</t>
  </si>
  <si>
    <t>AT0190K</t>
  </si>
  <si>
    <t>1068334</t>
  </si>
  <si>
    <t>KEYBOARD, TYPING INTERFACE</t>
  </si>
  <si>
    <t>AT0191</t>
  </si>
  <si>
    <t>1577354-7000</t>
  </si>
  <si>
    <t>MONITOR, VISUAL INTERFACE</t>
  </si>
  <si>
    <t>AF0091</t>
  </si>
  <si>
    <t>2684693-12,2684693-24</t>
  </si>
  <si>
    <t>5094-OB16XT, 16 DISCRETE OUTPUT</t>
  </si>
  <si>
    <t>LEFT SIDE PANEL</t>
  </si>
  <si>
    <t>AF0092</t>
  </si>
  <si>
    <t>AF0093</t>
  </si>
  <si>
    <t>AF0094</t>
  </si>
  <si>
    <t>AF0095</t>
  </si>
  <si>
    <t>AF0101</t>
  </si>
  <si>
    <t>AF0102</t>
  </si>
  <si>
    <t>AF0103</t>
  </si>
  <si>
    <t>AF0104</t>
  </si>
  <si>
    <t>AF0105</t>
  </si>
  <si>
    <t>2684693-13,2684693-27</t>
  </si>
  <si>
    <t>5094-OF8IHXT, 8 ANALOG OUTPUT, ISOLATED</t>
  </si>
  <si>
    <t>AF0106</t>
  </si>
  <si>
    <t>AU0090</t>
  </si>
  <si>
    <t>1061979-1,2684693-22</t>
  </si>
  <si>
    <t>AU0100</t>
  </si>
  <si>
    <t>TERMINAL STRIP, FLEX 5000 I/O</t>
  </si>
  <si>
    <t>FU0090</t>
  </si>
  <si>
    <t>RELAY, FUSE AND CARTRIDGE HOLDER</t>
  </si>
  <si>
    <t>FU0091</t>
  </si>
  <si>
    <t>[2]1043265-1,[2]1043265-5,1061979-1</t>
  </si>
  <si>
    <t>FU0092</t>
  </si>
  <si>
    <t>FU0093</t>
  </si>
  <si>
    <t>FU0094</t>
  </si>
  <si>
    <t>FU0095</t>
  </si>
  <si>
    <t>FU0100</t>
  </si>
  <si>
    <t>1043265-1,1043265-5,1067996-7</t>
  </si>
  <si>
    <t>FU0101</t>
  </si>
  <si>
    <t>FU0102</t>
  </si>
  <si>
    <t>FU0103</t>
  </si>
  <si>
    <t>FU0104</t>
  </si>
  <si>
    <t>FU0105</t>
  </si>
  <si>
    <t>FU0106</t>
  </si>
  <si>
    <t>GR0133</t>
  </si>
  <si>
    <t>BUS BAR, DIN RAIL GROUNDING</t>
  </si>
  <si>
    <t>GR0134</t>
  </si>
  <si>
    <t>RELAY, DIN RAIL GROUNDING</t>
  </si>
  <si>
    <t>IEG0130</t>
  </si>
  <si>
    <t>232941-300,903849C1</t>
  </si>
  <si>
    <t>KA0001</t>
  </si>
  <si>
    <t>1061979-1</t>
  </si>
  <si>
    <t>RELAY, AM830-A9 OPEN</t>
  </si>
  <si>
    <t>KA0002</t>
  </si>
  <si>
    <t>RELAY, AM830-A15 OPEN</t>
  </si>
  <si>
    <t>KA0003</t>
  </si>
  <si>
    <t>RELAY, AM830-A17 OPEN</t>
  </si>
  <si>
    <t>KA0004</t>
  </si>
  <si>
    <t>RELAY, AM830-A18 OPEN</t>
  </si>
  <si>
    <t>KA0005</t>
  </si>
  <si>
    <t>RELAY, AM830-A19 OPEN</t>
  </si>
  <si>
    <t>KA0006</t>
  </si>
  <si>
    <t>RELAY, AM830-A20 OPEN</t>
  </si>
  <si>
    <t>KA0007</t>
  </si>
  <si>
    <t>RELAY, AM830-A21 OPEN</t>
  </si>
  <si>
    <t>KA0008</t>
  </si>
  <si>
    <t>RELAY, AM830-A22 OPEN</t>
  </si>
  <si>
    <t>KA0009</t>
  </si>
  <si>
    <t>RELAY, LOAD BREAKER #9 OPEN</t>
  </si>
  <si>
    <t>KA0010</t>
  </si>
  <si>
    <t>RELAY, LOAD BREAKER #10 OPEN</t>
  </si>
  <si>
    <t>KA0041</t>
  </si>
  <si>
    <t>RELAY, SPARE</t>
  </si>
  <si>
    <t>KA0042</t>
  </si>
  <si>
    <t>KA0043</t>
  </si>
  <si>
    <t>KA0044</t>
  </si>
  <si>
    <t>KA0045</t>
  </si>
  <si>
    <t>KA0046</t>
  </si>
  <si>
    <t>KA0047</t>
  </si>
  <si>
    <t>KA0048</t>
  </si>
  <si>
    <t>KA0049</t>
  </si>
  <si>
    <t>KA0050</t>
  </si>
  <si>
    <t>KA0051</t>
  </si>
  <si>
    <t>KA0052</t>
  </si>
  <si>
    <t>KA0053</t>
  </si>
  <si>
    <t>KA0054</t>
  </si>
  <si>
    <t>KA0055</t>
  </si>
  <si>
    <t>KA0056</t>
  </si>
  <si>
    <t>KA0081</t>
  </si>
  <si>
    <t>RELAY, TEMP WATER PUMPS INHIBIT</t>
  </si>
  <si>
    <t>KA0082</t>
  </si>
  <si>
    <t>RELAY, SEAWATER LIFT PUMPS INHIBIT</t>
  </si>
  <si>
    <t>KA0083</t>
  </si>
  <si>
    <t>RELAY, LARGE LOAD #3 INHIBIT</t>
  </si>
  <si>
    <t>KA0084</t>
  </si>
  <si>
    <t>KA0085</t>
  </si>
  <si>
    <t>RELAY, LARGE LOAD #5 INHIBIT</t>
  </si>
  <si>
    <t>KA0086</t>
  </si>
  <si>
    <t>RELAY, LARGE LOAD #6 INHIBIT</t>
  </si>
  <si>
    <t>KA0087</t>
  </si>
  <si>
    <t>RELAY, LARGE LOAD #7 INHIBIT</t>
  </si>
  <si>
    <t>KA0088</t>
  </si>
  <si>
    <t>RELAY, LARGE LOAD #8 INHIBIT</t>
  </si>
  <si>
    <t>KA0101</t>
  </si>
  <si>
    <t>RELAY, LOAD BREAKER #1 CLOSE</t>
  </si>
  <si>
    <t>KA0102</t>
  </si>
  <si>
    <t>RELAY, AM830-A15 CLOSE</t>
  </si>
  <si>
    <t>KA0103</t>
  </si>
  <si>
    <t>RELAY, AM830-A17 CLOSE</t>
  </si>
  <si>
    <t>KA0104</t>
  </si>
  <si>
    <t>RELAY, AM830-A18 CLOSE</t>
  </si>
  <si>
    <t>KA0105</t>
  </si>
  <si>
    <t>RELAY, AM830-A19 CLOSE</t>
  </si>
  <si>
    <t>KA0106</t>
  </si>
  <si>
    <t>RELAY, AM830-A20 CLOSE</t>
  </si>
  <si>
    <t>KA0107</t>
  </si>
  <si>
    <t>RELAY, AM830-A21 CLOSE</t>
  </si>
  <si>
    <t>KA0108</t>
  </si>
  <si>
    <t>RELAY, AM830-A22 CLOSE</t>
  </si>
  <si>
    <t>KA0109</t>
  </si>
  <si>
    <t>RELAY, LOAD BREAKER #9 CLOSE</t>
  </si>
  <si>
    <t>KA0110</t>
  </si>
  <si>
    <t>RELAY, LOAD BREAKER #10 CLOSE</t>
  </si>
  <si>
    <t>KA0141</t>
  </si>
  <si>
    <t>KA0142</t>
  </si>
  <si>
    <t>KA0143</t>
  </si>
  <si>
    <t>KA0144</t>
  </si>
  <si>
    <t>KA0145</t>
  </si>
  <si>
    <t>KA0146</t>
  </si>
  <si>
    <t>KA0147</t>
  </si>
  <si>
    <t>KA0148</t>
  </si>
  <si>
    <t>KA0149</t>
  </si>
  <si>
    <t>KA0150</t>
  </si>
  <si>
    <t>KA0151</t>
  </si>
  <si>
    <t>KA0152</t>
  </si>
  <si>
    <t>KA0153</t>
  </si>
  <si>
    <t>KA0154</t>
  </si>
  <si>
    <t>KA0155</t>
  </si>
  <si>
    <t>KA0156</t>
  </si>
  <si>
    <t>KA7400</t>
  </si>
  <si>
    <t>RELAY, SPINNING RESERVE LOW</t>
  </si>
  <si>
    <t>KA7500</t>
  </si>
  <si>
    <t>RELAY, LOAD SHED STAGE 2 ACTIVE</t>
  </si>
  <si>
    <t>KA7600</t>
  </si>
  <si>
    <t>RELAY, LSS HEALTH/AVAIL STATUS</t>
  </si>
  <si>
    <t>KA7700</t>
  </si>
  <si>
    <t>5094-OB16XT, LSS INIT PSD100</t>
  </si>
  <si>
    <t>KA7800</t>
  </si>
  <si>
    <t>RELAY, LSS INIT PSDCOM VIA CSS</t>
  </si>
  <si>
    <t>XT0090</t>
  </si>
  <si>
    <t>RELAY, 4 CONDUCTOR</t>
  </si>
  <si>
    <t>XT0095</t>
  </si>
  <si>
    <t>XT0100</t>
  </si>
  <si>
    <t>XT0910</t>
  </si>
  <si>
    <t>XT0920</t>
  </si>
  <si>
    <t>XT0930</t>
  </si>
  <si>
    <t>AP0801</t>
  </si>
  <si>
    <t>1089241-15</t>
  </si>
  <si>
    <t>MVI 56-MNETXT, ETHERNET/MODBUS</t>
  </si>
  <si>
    <t>PANEL</t>
  </si>
  <si>
    <t>AP0601</t>
  </si>
  <si>
    <t>1089241-40</t>
  </si>
  <si>
    <t>1756-EN2TRXT, ETHERNET</t>
  </si>
  <si>
    <t>RIGHT SIDE PANEL</t>
  </si>
  <si>
    <t>AP0602</t>
  </si>
  <si>
    <t>AP0603</t>
  </si>
  <si>
    <t>AP0604</t>
  </si>
  <si>
    <t>AP0605</t>
  </si>
  <si>
    <t>1089241-20</t>
  </si>
  <si>
    <t>MODULE, BLANK FILLER</t>
  </si>
  <si>
    <t>AP0606</t>
  </si>
  <si>
    <t>1089241-35</t>
  </si>
  <si>
    <t>REDUNDANCY MODULE, 1756-RM2XT</t>
  </si>
  <si>
    <t>AP0701</t>
  </si>
  <si>
    <t>AP0702</t>
  </si>
  <si>
    <t>AP0703</t>
  </si>
  <si>
    <t>AP0704</t>
  </si>
  <si>
    <t>AP0705</t>
  </si>
  <si>
    <t>AP0706</t>
  </si>
  <si>
    <t>AP0800</t>
  </si>
  <si>
    <t>1043265-1,1043265-5,1089241-40</t>
  </si>
  <si>
    <t>AP0802</t>
  </si>
  <si>
    <t>AP0803</t>
  </si>
  <si>
    <t>AP0804</t>
  </si>
  <si>
    <t>AP0805</t>
  </si>
  <si>
    <t>AP0806</t>
  </si>
  <si>
    <t>AR0600</t>
  </si>
  <si>
    <t>1043265-1,1043265-3,1089241-29</t>
  </si>
  <si>
    <t>RACK CHASSIS, 1756-A7XT (7 SLOT)</t>
  </si>
  <si>
    <t>AR0700</t>
  </si>
  <si>
    <t>1089241-29</t>
  </si>
  <si>
    <t>AR0800</t>
  </si>
  <si>
    <t>1067996-7,1089241-29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</si>
  <si>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</si>
  <si>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</si>
  <si>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</si>
  <si>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</si>
  <si>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</si>
  <si>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</si>
  <si>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AT0700</t>
  </si>
  <si>
    <t>BA0606</t>
  </si>
  <si>
    <t>1116671-10</t>
  </si>
  <si>
    <t>SWITCH, ETHERNET, AB STRATIX 2000</t>
  </si>
  <si>
    <t>BA0606DH+</t>
  </si>
  <si>
    <t>1144558-11</t>
  </si>
  <si>
    <t>ETHERNET, DH/RIO CONVERTER</t>
  </si>
  <si>
    <t>BA0680</t>
  </si>
  <si>
    <t>1116671-4</t>
  </si>
  <si>
    <t>FU0600</t>
  </si>
  <si>
    <t>FU0606</t>
  </si>
  <si>
    <t>1043265-1,1043265-3,1089241-40</t>
  </si>
  <si>
    <t>FU0606DH+</t>
  </si>
  <si>
    <t>1043265-1,1043265-3,1089241-28</t>
  </si>
  <si>
    <t>POWER SUPPLY, RSLOGIX CHASSIS</t>
  </si>
  <si>
    <t>FU0680</t>
  </si>
  <si>
    <t>1043265-1,1043265-4</t>
  </si>
  <si>
    <t>FU0681</t>
  </si>
  <si>
    <t>1043265-1,1043265-3,1089241-43</t>
  </si>
  <si>
    <t>FU0700</t>
  </si>
  <si>
    <t>FU0800</t>
  </si>
  <si>
    <t>GR0202</t>
  </si>
  <si>
    <t>GR0203</t>
  </si>
  <si>
    <t>GR0204</t>
  </si>
  <si>
    <t>UV0600</t>
  </si>
  <si>
    <t>1067996-7,1089241-28</t>
  </si>
  <si>
    <t>UV0700</t>
  </si>
  <si>
    <t>1043265-1,1043265-5,1089241-28</t>
  </si>
  <si>
    <t>UV0800</t>
  </si>
  <si>
    <t>XT0101</t>
  </si>
  <si>
    <t>XT0102</t>
  </si>
  <si>
    <t>XT0680</t>
  </si>
  <si>
    <t>XT0681</t>
  </si>
  <si>
    <t>AF0021</t>
  </si>
  <si>
    <t>2684693-46,2684693-51</t>
  </si>
  <si>
    <t>5094-IB32XT, 32 DISCRETE INPUT</t>
  </si>
  <si>
    <t>SCS</t>
  </si>
  <si>
    <t>AF0022</t>
  </si>
  <si>
    <t>2684693-47,2684693-57</t>
  </si>
  <si>
    <t>5094-OB32XT, 32  DISCRETE OUTPUT</t>
  </si>
  <si>
    <t>AU0020</t>
  </si>
  <si>
    <t>FU0020</t>
  </si>
  <si>
    <t>FU0023</t>
  </si>
  <si>
    <t>FU0273</t>
  </si>
  <si>
    <t>GR0120</t>
  </si>
  <si>
    <t>GR0121</t>
  </si>
  <si>
    <t>SA0500</t>
  </si>
  <si>
    <t>1035040-1833,2380746-5</t>
  </si>
  <si>
    <t>SELECTOR SWITCH, OFF/LOCAL/CUSTOMER</t>
  </si>
  <si>
    <t>SB0400</t>
  </si>
  <si>
    <t>1035040-32,2380746-4</t>
  </si>
  <si>
    <t>PUSHBUTTON SWITCH, EMERGENCY STOP</t>
  </si>
  <si>
    <t>SB0401</t>
  </si>
  <si>
    <t>1035040-15,964901C1</t>
  </si>
  <si>
    <t>PUSHBUTTON SWITCH, HORN SILENCE</t>
  </si>
  <si>
    <t>SB0402</t>
  </si>
  <si>
    <t>1035040-12,964901C1,[2]964904C1</t>
  </si>
  <si>
    <t>PUSHBUTTON SWITCH, ACKNOWLEDGE</t>
  </si>
  <si>
    <t>SB0403</t>
  </si>
  <si>
    <t>1035040-121,2380746-13</t>
  </si>
  <si>
    <t>PUSHBUTTON SWITCH, RESET</t>
  </si>
  <si>
    <t>SH0418</t>
  </si>
  <si>
    <t>1010205,1017501,1035040-122,1035040-813,964902C1,964904C1</t>
  </si>
  <si>
    <t>LIGHTED SWITCH, LAMP TEST</t>
  </si>
  <si>
    <t>XT0137</t>
  </si>
  <si>
    <t>XT0273</t>
  </si>
  <si>
    <t>Cable Part Numbers</t>
  </si>
  <si>
    <t>W0702</t>
  </si>
  <si>
    <t>1302073-36</t>
  </si>
  <si>
    <t>CABLE, ETHERNET - 36 INCHES</t>
  </si>
  <si>
    <t>W9700</t>
  </si>
  <si>
    <t>CF_CAB0_XXGA</t>
  </si>
  <si>
    <t>CABLE, SUPPLIED BY OTHERS</t>
  </si>
  <si>
    <t>WC0002</t>
  </si>
  <si>
    <t>WC0004</t>
  </si>
  <si>
    <t>WC0005</t>
  </si>
  <si>
    <t>WC0006</t>
  </si>
  <si>
    <t>WC0009</t>
  </si>
  <si>
    <t>WC0010</t>
  </si>
  <si>
    <t>WC0060</t>
  </si>
  <si>
    <t>WC00602</t>
  </si>
  <si>
    <t>WC0061</t>
  </si>
  <si>
    <t>1022941-13</t>
  </si>
  <si>
    <t>TPE, 1 TRIAD TWISTED SHIELDED</t>
  </si>
  <si>
    <t>WC0602</t>
  </si>
  <si>
    <t>WC06061</t>
  </si>
  <si>
    <t>1089241-12</t>
  </si>
  <si>
    <t>CABLE, SYSTEM FUNCTION</t>
  </si>
  <si>
    <t>WC06062</t>
  </si>
  <si>
    <t>WC0680</t>
  </si>
  <si>
    <t>CABLE, COMMUNICATION CABLE - 36 INCHES</t>
  </si>
  <si>
    <t>WC0970</t>
  </si>
  <si>
    <t>WC5540</t>
  </si>
  <si>
    <t>PART OF 1113568-200</t>
  </si>
  <si>
    <t>CABLE, 2 CONDUCTOR TRIMMED SHIELD PART OF HORN</t>
  </si>
  <si>
    <t>WC9700</t>
  </si>
  <si>
    <t>WC9701</t>
  </si>
  <si>
    <t>WC9702</t>
  </si>
  <si>
    <t>WCAP0601</t>
  </si>
  <si>
    <t>WCAP0603</t>
  </si>
  <si>
    <t>WCAP0604</t>
  </si>
  <si>
    <t>WCAP0701</t>
  </si>
  <si>
    <t>WCAP0703</t>
  </si>
  <si>
    <t>WCAP0704</t>
  </si>
  <si>
    <t>WCBA0005</t>
  </si>
  <si>
    <t>WCGTGACAP</t>
  </si>
  <si>
    <t>1022941-12</t>
  </si>
  <si>
    <t>TPE, 1 PAIR TWISTED SHIELDED</t>
  </si>
  <si>
    <t>WCGTGBCAP</t>
  </si>
  <si>
    <t>WCGTGCCAP</t>
  </si>
  <si>
    <t>WCGTGDCAP</t>
  </si>
  <si>
    <t>WCGTGFCAP</t>
  </si>
  <si>
    <t>WCSPINRES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</si>
  <si>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</si>
  <si>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</si>
  <si>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</si>
  <si>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</si>
  <si>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</si>
  <si>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</si>
  <si>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</si>
  <si>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</si>
  <si>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STATION CONSOLE</t>
  </si>
  <si>
    <t>AF0021:05</t>
  </si>
  <si>
    <t>SB0402NO</t>
  </si>
  <si>
    <t>WHT</t>
  </si>
  <si>
    <t>20</t>
  </si>
  <si>
    <t>SB0402:NO</t>
  </si>
  <si>
    <t>AF0021:06</t>
  </si>
  <si>
    <t>SA050012</t>
  </si>
  <si>
    <t>SA0500:12</t>
  </si>
  <si>
    <t>AF0021:07</t>
  </si>
  <si>
    <t>SA050014</t>
  </si>
  <si>
    <t>SA0500:14</t>
  </si>
  <si>
    <t>AF0021:08</t>
  </si>
  <si>
    <t>SH0418NO</t>
  </si>
  <si>
    <t>SH0418:NO</t>
  </si>
  <si>
    <t>AF0021:14</t>
  </si>
  <si>
    <t>SB0403B114</t>
  </si>
  <si>
    <t>SB0403:B1-14</t>
  </si>
  <si>
    <t>AF0021:15</t>
  </si>
  <si>
    <t>SB0401NO</t>
  </si>
  <si>
    <t>SB0401:NO</t>
  </si>
  <si>
    <t>AF0021:37</t>
  </si>
  <si>
    <t>SB0402C</t>
  </si>
  <si>
    <t>SB0402:C</t>
  </si>
  <si>
    <t>AF0021:38</t>
  </si>
  <si>
    <t>SA050011</t>
  </si>
  <si>
    <t>SA0500:11</t>
  </si>
  <si>
    <t>AF0021:39</t>
  </si>
  <si>
    <t>SA050013</t>
  </si>
  <si>
    <t>SA0500:13</t>
  </si>
  <si>
    <t>AF0021:40</t>
  </si>
  <si>
    <t>SH0418C</t>
  </si>
  <si>
    <t>SH0418:C</t>
  </si>
  <si>
    <t>AF0021:46</t>
  </si>
  <si>
    <t>SB0403B113</t>
  </si>
  <si>
    <t>SB0403:B1-13</t>
  </si>
  <si>
    <t>AF0021:47</t>
  </si>
  <si>
    <t>SB0401C</t>
  </si>
  <si>
    <t>SB0401:C</t>
  </si>
  <si>
    <t>AU0020:COM</t>
  </si>
  <si>
    <t>16</t>
  </si>
  <si>
    <t>AU0020:V+</t>
  </si>
  <si>
    <t>AF0022:11</t>
  </si>
  <si>
    <t>SH0418AP</t>
  </si>
  <si>
    <t>SH0418:A+</t>
  </si>
  <si>
    <t>AF0022:17</t>
  </si>
  <si>
    <t>SH0418BP</t>
  </si>
  <si>
    <t>SH0418:B+</t>
  </si>
  <si>
    <t>AF0022:43</t>
  </si>
  <si>
    <t>SH0418A</t>
  </si>
  <si>
    <t>SH0418:A</t>
  </si>
  <si>
    <t>AF0022:49</t>
  </si>
  <si>
    <t>SH0418B</t>
  </si>
  <si>
    <t>SH0418:B</t>
  </si>
  <si>
    <t>AF0022:V+</t>
  </si>
  <si>
    <t>14</t>
  </si>
  <si>
    <t>FU0023:LD</t>
  </si>
  <si>
    <t>FU0020:LD</t>
  </si>
  <si>
    <t>SB0400:B1-11</t>
  </si>
  <si>
    <t>XT0137:3</t>
  </si>
  <si>
    <t>SB0400:B2-12</t>
  </si>
  <si>
    <t>XT0137:4</t>
  </si>
  <si>
    <t>SB0403:B2-13</t>
  </si>
  <si>
    <t>SB0403B213</t>
  </si>
  <si>
    <t>XT0137:5</t>
  </si>
  <si>
    <t>SB0403:B2-14</t>
  </si>
  <si>
    <t>SB0403B214</t>
  </si>
  <si>
    <t>XT0137:6</t>
  </si>
  <si>
    <t>AF0022:COM</t>
  </si>
  <si>
    <t>XT0262:1</t>
  </si>
  <si>
    <t>XT0262:2</t>
  </si>
  <si>
    <t>AU0020G</t>
  </si>
  <si>
    <t>FU0020:LI</t>
  </si>
  <si>
    <t>XT0261:2</t>
  </si>
  <si>
    <t>FU0023:LI</t>
  </si>
  <si>
    <t>XT0261:1</t>
  </si>
  <si>
    <t>FU0273:LI</t>
  </si>
  <si>
    <t>XT0139:6</t>
  </si>
  <si>
    <t>FU0138:LD</t>
  </si>
  <si>
    <t>XT0135:5</t>
  </si>
  <si>
    <t>XT0273:1</t>
  </si>
  <si>
    <t>XT0135:6</t>
  </si>
  <si>
    <t>XT0101:2</t>
  </si>
  <si>
    <t>XT0101:1</t>
  </si>
  <si>
    <t>XT0102:2</t>
  </si>
  <si>
    <t>XT0102:1</t>
  </si>
  <si>
    <t>XT0680:1</t>
  </si>
  <si>
    <t>XT0680:2</t>
  </si>
  <si>
    <t>XT0681:1</t>
  </si>
  <si>
    <t>XT0681:2</t>
  </si>
  <si>
    <t>UV0600G</t>
  </si>
  <si>
    <t>UV0700G</t>
  </si>
  <si>
    <t>UV0800G</t>
  </si>
  <si>
    <t>AT0680:NEG</t>
  </si>
  <si>
    <t>AT0680:POS</t>
  </si>
  <si>
    <t>FU0680:LD</t>
  </si>
  <si>
    <t>BA0606:-</t>
  </si>
  <si>
    <t>BA0606:+</t>
  </si>
  <si>
    <t>FU0606:LD</t>
  </si>
  <si>
    <t>BA0606DH+:-</t>
  </si>
  <si>
    <t>BA0606DH+:+</t>
  </si>
  <si>
    <t>FU0606DH+:LD</t>
  </si>
  <si>
    <t>BA0680:NEG</t>
  </si>
  <si>
    <t>BA0680:POS</t>
  </si>
  <si>
    <t>FU0681:LD</t>
  </si>
  <si>
    <t>FU0600:LD</t>
  </si>
  <si>
    <t>UV0600:(+)</t>
  </si>
  <si>
    <t>FU0606:LI</t>
  </si>
  <si>
    <t>FU0606DH+:LI</t>
  </si>
  <si>
    <t>FU0680:LI</t>
  </si>
  <si>
    <t>FU0681:LI</t>
  </si>
  <si>
    <t>FU0700:LD</t>
  </si>
  <si>
    <t>UV0700:(+)</t>
  </si>
  <si>
    <t>FU0800:LD</t>
  </si>
  <si>
    <t>UV0800:(+)</t>
  </si>
  <si>
    <t>FU0600:LI</t>
  </si>
  <si>
    <t>XT0139:1</t>
  </si>
  <si>
    <t>FU0700:LI</t>
  </si>
  <si>
    <t>XT0139:5</t>
  </si>
  <si>
    <t>FU0800:LI</t>
  </si>
  <si>
    <t>UV0600:(-)</t>
  </si>
  <si>
    <t>XT0135:1</t>
  </si>
  <si>
    <t>UV0700:(-)</t>
  </si>
  <si>
    <t>UV0800:(-)</t>
  </si>
  <si>
    <t>XT0139:4</t>
  </si>
  <si>
    <t>XT0135:4</t>
  </si>
  <si>
    <t>IEG01301</t>
  </si>
  <si>
    <t>12</t>
  </si>
  <si>
    <t>IEG01304</t>
  </si>
  <si>
    <t>IEG01303</t>
  </si>
  <si>
    <t>XT0090:3</t>
  </si>
  <si>
    <t>XT0090:2</t>
  </si>
  <si>
    <t>XT0090:4</t>
  </si>
  <si>
    <t>XT0090:5</t>
  </si>
  <si>
    <t>XT0090:6</t>
  </si>
  <si>
    <t>XT0100:1</t>
  </si>
  <si>
    <t>XT0100:2</t>
  </si>
  <si>
    <t>XT0100:3</t>
  </si>
  <si>
    <t>XT0100:4</t>
  </si>
  <si>
    <t>XT0100:5</t>
  </si>
  <si>
    <t>XT0100:6</t>
  </si>
  <si>
    <t>XT0100:7</t>
  </si>
  <si>
    <t>AF0091:00</t>
  </si>
  <si>
    <t>KA7400A1</t>
  </si>
  <si>
    <t>KA7400:A1</t>
  </si>
  <si>
    <t>AF0091:01</t>
  </si>
  <si>
    <t>KA7500A1</t>
  </si>
  <si>
    <t>KA7500:A1</t>
  </si>
  <si>
    <t>AF0091:02</t>
  </si>
  <si>
    <t>KA7600A1</t>
  </si>
  <si>
    <t>KA7600:A1</t>
  </si>
  <si>
    <t>AF0091:03</t>
  </si>
  <si>
    <t>KA7700A1</t>
  </si>
  <si>
    <t>KA7700:A1</t>
  </si>
  <si>
    <t>AF0091:04</t>
  </si>
  <si>
    <t>KA7800A1</t>
  </si>
  <si>
    <t>KA7800:A1</t>
  </si>
  <si>
    <t>AF0091:08</t>
  </si>
  <si>
    <t>KA0081A1</t>
  </si>
  <si>
    <t>KA0081:A1</t>
  </si>
  <si>
    <t>AF0091:09</t>
  </si>
  <si>
    <t>KA0082A1</t>
  </si>
  <si>
    <t>KA0082:A1</t>
  </si>
  <si>
    <t>AF0091:10</t>
  </si>
  <si>
    <t>KA0083A1</t>
  </si>
  <si>
    <t>KA0083:A1</t>
  </si>
  <si>
    <t>AF0091:11</t>
  </si>
  <si>
    <t>KA0084A1</t>
  </si>
  <si>
    <t>KA0084:A1</t>
  </si>
  <si>
    <t>AF0091:14</t>
  </si>
  <si>
    <t>KA0043A1</t>
  </si>
  <si>
    <t>KA0043:A1</t>
  </si>
  <si>
    <t>AF0091:15</t>
  </si>
  <si>
    <t>KA0044A1</t>
  </si>
  <si>
    <t>KA0044:A1</t>
  </si>
  <si>
    <t>AF0091:16</t>
  </si>
  <si>
    <t>KA7400A2</t>
  </si>
  <si>
    <t>KA7400:A2</t>
  </si>
  <si>
    <t>AF0091:17</t>
  </si>
  <si>
    <t>KA7500A2</t>
  </si>
  <si>
    <t>KA7500:A2</t>
  </si>
  <si>
    <t>AF0091:18</t>
  </si>
  <si>
    <t>KA7600A2</t>
  </si>
  <si>
    <t>KA7600:A2</t>
  </si>
  <si>
    <t>AF0091:19</t>
  </si>
  <si>
    <t>KA7700A2</t>
  </si>
  <si>
    <t>KA7700:A2</t>
  </si>
  <si>
    <t>AF0091:20</t>
  </si>
  <si>
    <t>KA7800A2</t>
  </si>
  <si>
    <t>KA7800:A2</t>
  </si>
  <si>
    <t>AF0091:24</t>
  </si>
  <si>
    <t>KA0081A2</t>
  </si>
  <si>
    <t>KA0081:A2</t>
  </si>
  <si>
    <t>AF0091:25</t>
  </si>
  <si>
    <t>KA0082A2</t>
  </si>
  <si>
    <t>KA0082:A2</t>
  </si>
  <si>
    <t>AF0091:26</t>
  </si>
  <si>
    <t>KA0083A2</t>
  </si>
  <si>
    <t>KA0083:A2</t>
  </si>
  <si>
    <t>AF0091:27</t>
  </si>
  <si>
    <t>KA0084A2</t>
  </si>
  <si>
    <t>KA0084:A2</t>
  </si>
  <si>
    <t>AF0091:30</t>
  </si>
  <si>
    <t>KA0043A2</t>
  </si>
  <si>
    <t>KA0043:A2</t>
  </si>
  <si>
    <t>AF0091:31</t>
  </si>
  <si>
    <t>KA0044A2</t>
  </si>
  <si>
    <t>KA0044:A2</t>
  </si>
  <si>
    <t>AF0091:COM</t>
  </si>
  <si>
    <t>AF0091:V+</t>
  </si>
  <si>
    <t>FU0091:LD</t>
  </si>
  <si>
    <t>AF0092:00</t>
  </si>
  <si>
    <t>KA0001A1</t>
  </si>
  <si>
    <t>KA0001:A1</t>
  </si>
  <si>
    <t>AF0092:01</t>
  </si>
  <si>
    <t>KA0002A1</t>
  </si>
  <si>
    <t>KA0002:A1</t>
  </si>
  <si>
    <t>AF0092:02</t>
  </si>
  <si>
    <t>KA0003A1</t>
  </si>
  <si>
    <t>KA0003:A1</t>
  </si>
  <si>
    <t>AF0092:03</t>
  </si>
  <si>
    <t>KA0004A1</t>
  </si>
  <si>
    <t>KA0004:A1</t>
  </si>
  <si>
    <t>AF0092:04</t>
  </si>
  <si>
    <t>KA0005A1</t>
  </si>
  <si>
    <t>KA0005:A1</t>
  </si>
  <si>
    <t>AF0092:05</t>
  </si>
  <si>
    <t>KA0006A1</t>
  </si>
  <si>
    <t>KA0006:A1</t>
  </si>
  <si>
    <t>AF0092:06</t>
  </si>
  <si>
    <t>KA0007A1</t>
  </si>
  <si>
    <t>KA0007:A1</t>
  </si>
  <si>
    <t>AF0092:07</t>
  </si>
  <si>
    <t>KA0008A1</t>
  </si>
  <si>
    <t>KA0008:A1</t>
  </si>
  <si>
    <t>AF0092:08</t>
  </si>
  <si>
    <t>KA0009A1</t>
  </si>
  <si>
    <t>KA0009:A1</t>
  </si>
  <si>
    <t>AF0092:09</t>
  </si>
  <si>
    <t>KA0010A1</t>
  </si>
  <si>
    <t>KA0010:A1</t>
  </si>
  <si>
    <t>AF0092:10</t>
  </si>
  <si>
    <t>KA0085A1</t>
  </si>
  <si>
    <t>KA0085:A1</t>
  </si>
  <si>
    <t>AF0092:11</t>
  </si>
  <si>
    <t>KA0086A1</t>
  </si>
  <si>
    <t>KA0086:A1</t>
  </si>
  <si>
    <t>AF0092:12</t>
  </si>
  <si>
    <t>KA0087A2</t>
  </si>
  <si>
    <t>KA0087:A2</t>
  </si>
  <si>
    <t>AF0092:13</t>
  </si>
  <si>
    <t>KA0088A1</t>
  </si>
  <si>
    <t>KA0088:A1</t>
  </si>
  <si>
    <t>AF0092:14</t>
  </si>
  <si>
    <t>KA0041A1</t>
  </si>
  <si>
    <t>KA0041:A1</t>
  </si>
  <si>
    <t>AF0092:15</t>
  </si>
  <si>
    <t>KA0042A1</t>
  </si>
  <si>
    <t>KA0042:A1</t>
  </si>
  <si>
    <t>AF0092:16</t>
  </si>
  <si>
    <t>KA0001A2</t>
  </si>
  <si>
    <t>KA0001:A2</t>
  </si>
  <si>
    <t>AF0092:17</t>
  </si>
  <si>
    <t>KA0002A2</t>
  </si>
  <si>
    <t>KA0002:A2</t>
  </si>
  <si>
    <t>AF0092:18</t>
  </si>
  <si>
    <t>KA0003A2</t>
  </si>
  <si>
    <t>KA0003:A2</t>
  </si>
  <si>
    <t>AF0092:19</t>
  </si>
  <si>
    <t>KA0004A2</t>
  </si>
  <si>
    <t>KA0004:A2</t>
  </si>
  <si>
    <t>AF0092:20</t>
  </si>
  <si>
    <t>KA0005A2</t>
  </si>
  <si>
    <t>KA0005:A2</t>
  </si>
  <si>
    <t>AF0092:21</t>
  </si>
  <si>
    <t>KA0006A2</t>
  </si>
  <si>
    <t>KA0006:A2</t>
  </si>
  <si>
    <t>AF0092:22</t>
  </si>
  <si>
    <t>KA0007A2</t>
  </si>
  <si>
    <t>KA0007:A2</t>
  </si>
  <si>
    <t>AF0092:23</t>
  </si>
  <si>
    <t>KA0008A2</t>
  </si>
  <si>
    <t>KA0008:A2</t>
  </si>
  <si>
    <t>AF0092:24</t>
  </si>
  <si>
    <t>KA0009A2</t>
  </si>
  <si>
    <t>KA0009:A2</t>
  </si>
  <si>
    <t>AF0092:25</t>
  </si>
  <si>
    <t>KA0010A2</t>
  </si>
  <si>
    <t>KA0010:A2</t>
  </si>
  <si>
    <t>AF0092:26</t>
  </si>
  <si>
    <t>KA0085A2</t>
  </si>
  <si>
    <t>KA0085:A2</t>
  </si>
  <si>
    <t>AF0092:27</t>
  </si>
  <si>
    <t>KA0086A2</t>
  </si>
  <si>
    <t>KA0086:A2</t>
  </si>
  <si>
    <t>AF0092:29</t>
  </si>
  <si>
    <t>KA0088A2</t>
  </si>
  <si>
    <t>KA0088:A2</t>
  </si>
  <si>
    <t>AF0092:30</t>
  </si>
  <si>
    <t>KA0041A2</t>
  </si>
  <si>
    <t>KA0041:A2</t>
  </si>
  <si>
    <t>AF0092:31</t>
  </si>
  <si>
    <t>KA0042A2</t>
  </si>
  <si>
    <t>KA0042:A2</t>
  </si>
  <si>
    <t>AF0092:44</t>
  </si>
  <si>
    <t>KA0087A1</t>
  </si>
  <si>
    <t>KA0087:A1</t>
  </si>
  <si>
    <t>AF0092:COM</t>
  </si>
  <si>
    <t>AF0092:V+</t>
  </si>
  <si>
    <t>FU0092:LD</t>
  </si>
  <si>
    <t>AF0093:10</t>
  </si>
  <si>
    <t>KA0045A1</t>
  </si>
  <si>
    <t>KA0045:A1</t>
  </si>
  <si>
    <t>AF0093:11</t>
  </si>
  <si>
    <t>KA0046A1</t>
  </si>
  <si>
    <t>KA0046:A1</t>
  </si>
  <si>
    <t>AF0093:12</t>
  </si>
  <si>
    <t>KA0047A1</t>
  </si>
  <si>
    <t>KA0047:A1</t>
  </si>
  <si>
    <t>AF0093:13</t>
  </si>
  <si>
    <t>KA0048A1</t>
  </si>
  <si>
    <t>KA0048:A1</t>
  </si>
  <si>
    <t>AF0093:26</t>
  </si>
  <si>
    <t>KA0045A2</t>
  </si>
  <si>
    <t>KA0045:A2</t>
  </si>
  <si>
    <t>AF0093:27</t>
  </si>
  <si>
    <t>KA0046A2</t>
  </si>
  <si>
    <t>KA0046:A2</t>
  </si>
  <si>
    <t>AF0093:28</t>
  </si>
  <si>
    <t>KA0047A2</t>
  </si>
  <si>
    <t>KA0047:A2</t>
  </si>
  <si>
    <t>AF0093:29</t>
  </si>
  <si>
    <t>KA0048A2</t>
  </si>
  <si>
    <t>KA0048:A2</t>
  </si>
  <si>
    <t>AF0093:COM</t>
  </si>
  <si>
    <t>AF0093:V+</t>
  </si>
  <si>
    <t>FU0093:LD</t>
  </si>
  <si>
    <t>AF0094:00</t>
  </si>
  <si>
    <t>KA0101A1</t>
  </si>
  <si>
    <t>KA0101:A1</t>
  </si>
  <si>
    <t>AF0094:01</t>
  </si>
  <si>
    <t>KA0102A1</t>
  </si>
  <si>
    <t>KA0102:A1</t>
  </si>
  <si>
    <t>AF0094:02</t>
  </si>
  <si>
    <t>KA0103A1</t>
  </si>
  <si>
    <t>KA0103:A1</t>
  </si>
  <si>
    <t>AF0094:03</t>
  </si>
  <si>
    <t>KA0104A1</t>
  </si>
  <si>
    <t>KA0104:A1</t>
  </si>
  <si>
    <t>AF0094:04</t>
  </si>
  <si>
    <t>KA0105A1</t>
  </si>
  <si>
    <t>KA0105:A1</t>
  </si>
  <si>
    <t>AF0094:05</t>
  </si>
  <si>
    <t>KA0106A1</t>
  </si>
  <si>
    <t>KA0106:A1</t>
  </si>
  <si>
    <t>AF0094:06</t>
  </si>
  <si>
    <t>KA0107A1</t>
  </si>
  <si>
    <t>KA0107:A1</t>
  </si>
  <si>
    <t>AF0094:07</t>
  </si>
  <si>
    <t>KA0108A1</t>
  </si>
  <si>
    <t>KA0108:A1</t>
  </si>
  <si>
    <t>AF0094:08</t>
  </si>
  <si>
    <t>KA0109A1</t>
  </si>
  <si>
    <t>KA0109:A1</t>
  </si>
  <si>
    <t>AF0094:09</t>
  </si>
  <si>
    <t>KA0110A1</t>
  </si>
  <si>
    <t>KA0110:A1</t>
  </si>
  <si>
    <t>AF0094:10</t>
  </si>
  <si>
    <t>KA0141A1</t>
  </si>
  <si>
    <t>KA0141:A1</t>
  </si>
  <si>
    <t>AF0094:11</t>
  </si>
  <si>
    <t>KA0142A1</t>
  </si>
  <si>
    <t>KA0142:A1</t>
  </si>
  <si>
    <t>AF0094:12</t>
  </si>
  <si>
    <t>KA0143A1</t>
  </si>
  <si>
    <t>KA0143:A1</t>
  </si>
  <si>
    <t>AF0094:13</t>
  </si>
  <si>
    <t>KA0144A1</t>
  </si>
  <si>
    <t>KA0144:A1</t>
  </si>
  <si>
    <t>AF0094:16</t>
  </si>
  <si>
    <t>KA0101A2</t>
  </si>
  <si>
    <t>KA0101:A2</t>
  </si>
  <si>
    <t>AF0094:17</t>
  </si>
  <si>
    <t>KA0102A2</t>
  </si>
  <si>
    <t>KA0102:A2</t>
  </si>
  <si>
    <t>AF0094:18</t>
  </si>
  <si>
    <t>KA0103A2</t>
  </si>
  <si>
    <t>KA0103:A2</t>
  </si>
  <si>
    <t>AF0094:19</t>
  </si>
  <si>
    <t>KA0104A2</t>
  </si>
  <si>
    <t>KA0104:A2</t>
  </si>
  <si>
    <t>AF0094:20</t>
  </si>
  <si>
    <t>KA0105A2</t>
  </si>
  <si>
    <t>KA0105:A2</t>
  </si>
  <si>
    <t>AF0094:21</t>
  </si>
  <si>
    <t>KA0106A2</t>
  </si>
  <si>
    <t>KA0106:A2</t>
  </si>
  <si>
    <t>AF0094:22</t>
  </si>
  <si>
    <t>KA0107A2</t>
  </si>
  <si>
    <t>KA0107:A2</t>
  </si>
  <si>
    <t>AF0094:23</t>
  </si>
  <si>
    <t>KA0108A2</t>
  </si>
  <si>
    <t>KA0108:A2</t>
  </si>
  <si>
    <t>AF0094:24</t>
  </si>
  <si>
    <t>KA0109A2</t>
  </si>
  <si>
    <t>KA0109:A2</t>
  </si>
  <si>
    <t>AF0094:25</t>
  </si>
  <si>
    <t>KA0110A2</t>
  </si>
  <si>
    <t>KA0110:A2</t>
  </si>
  <si>
    <t>AF0094:26</t>
  </si>
  <si>
    <t>KA0141A2</t>
  </si>
  <si>
    <t>KA0141:A2</t>
  </si>
  <si>
    <t>AF0094:27</t>
  </si>
  <si>
    <t>KA0142A2</t>
  </si>
  <si>
    <t>KA0142:A2</t>
  </si>
  <si>
    <t>AF0094:28</t>
  </si>
  <si>
    <t>KA0143A2</t>
  </si>
  <si>
    <t>KA0143:A2</t>
  </si>
  <si>
    <t>AF0094:29</t>
  </si>
  <si>
    <t>KA0144A2</t>
  </si>
  <si>
    <t>KA0144:A2</t>
  </si>
  <si>
    <t>AF0094:COM</t>
  </si>
  <si>
    <t>AF0094:V+</t>
  </si>
  <si>
    <t>FU0094:LD</t>
  </si>
  <si>
    <t>AF0095:10</t>
  </si>
  <si>
    <t>KA0145A1</t>
  </si>
  <si>
    <t>KA0145:A1</t>
  </si>
  <si>
    <t>AF0095:11</t>
  </si>
  <si>
    <t>KA0146A1</t>
  </si>
  <si>
    <t>KA0146:A1</t>
  </si>
  <si>
    <t>AF0095:12</t>
  </si>
  <si>
    <t>KA0147A1</t>
  </si>
  <si>
    <t>KA0147:A1</t>
  </si>
  <si>
    <t>AF0095:13</t>
  </si>
  <si>
    <t>KA0148A1</t>
  </si>
  <si>
    <t>KA0148:A1</t>
  </si>
  <si>
    <t>AF0095:26</t>
  </si>
  <si>
    <t>KA0145A2</t>
  </si>
  <si>
    <t>KA0145:A2</t>
  </si>
  <si>
    <t>AF0095:27</t>
  </si>
  <si>
    <t>KA0146A2</t>
  </si>
  <si>
    <t>KA0146:A2</t>
  </si>
  <si>
    <t>AF0095:28</t>
  </si>
  <si>
    <t>KA0147A2</t>
  </si>
  <si>
    <t>KA0147:A2</t>
  </si>
  <si>
    <t>AF0095:29</t>
  </si>
  <si>
    <t>KA0148A2</t>
  </si>
  <si>
    <t>KA0148:A2</t>
  </si>
  <si>
    <t>AF0095:COM</t>
  </si>
  <si>
    <t>AF0095:V+</t>
  </si>
  <si>
    <t>FU0095:LD</t>
  </si>
  <si>
    <t>AF0101:10</t>
  </si>
  <si>
    <t>KA0049A1</t>
  </si>
  <si>
    <t>KA0049:A1</t>
  </si>
  <si>
    <t>AF0101:11</t>
  </si>
  <si>
    <t>KA0050A1</t>
  </si>
  <si>
    <t>KA0050:A1</t>
  </si>
  <si>
    <t>AF0101:12</t>
  </si>
  <si>
    <t>KA0051A1</t>
  </si>
  <si>
    <t>KA0051:A1</t>
  </si>
  <si>
    <t>AF0101:13</t>
  </si>
  <si>
    <t>KA0052A1</t>
  </si>
  <si>
    <t>KA0052:A1</t>
  </si>
  <si>
    <t>AF0101:26</t>
  </si>
  <si>
    <t>KA0049A2</t>
  </si>
  <si>
    <t>KA0049:A2</t>
  </si>
  <si>
    <t>AF0101:27</t>
  </si>
  <si>
    <t>KA0050A2</t>
  </si>
  <si>
    <t>KA0050:A2</t>
  </si>
  <si>
    <t>AF0101:28</t>
  </si>
  <si>
    <t>KA0051A2</t>
  </si>
  <si>
    <t>KA0051:A2</t>
  </si>
  <si>
    <t>AF0101:29</t>
  </si>
  <si>
    <t>KA0052A2</t>
  </si>
  <si>
    <t>KA0052:A2</t>
  </si>
  <si>
    <t>AF0101:COM</t>
  </si>
  <si>
    <t>AF0101:V+</t>
  </si>
  <si>
    <t>FU0101:LD</t>
  </si>
  <si>
    <t>AF0102:10</t>
  </si>
  <si>
    <t>KA0053A1</t>
  </si>
  <si>
    <t>KA0053:A1</t>
  </si>
  <si>
    <t>AF0102:11</t>
  </si>
  <si>
    <t>KA0054A1</t>
  </si>
  <si>
    <t>KA0054:A1</t>
  </si>
  <si>
    <t>AF0102:12</t>
  </si>
  <si>
    <t>KA0055A1</t>
  </si>
  <si>
    <t>KA0055:A1</t>
  </si>
  <si>
    <t>AF0102:13</t>
  </si>
  <si>
    <t>KA0056A1</t>
  </si>
  <si>
    <t>KA0056:A1</t>
  </si>
  <si>
    <t>AF0102:26</t>
  </si>
  <si>
    <t>KA0053A2</t>
  </si>
  <si>
    <t>KA0053:A2</t>
  </si>
  <si>
    <t>AF0102:27</t>
  </si>
  <si>
    <t>KA0054A2</t>
  </si>
  <si>
    <t>KA0054:A2</t>
  </si>
  <si>
    <t>AF0102:28</t>
  </si>
  <si>
    <t>KA0055A2</t>
  </si>
  <si>
    <t>KA0055:A2</t>
  </si>
  <si>
    <t>AF0102:29</t>
  </si>
  <si>
    <t>KA0056A2</t>
  </si>
  <si>
    <t>KA0056:A2</t>
  </si>
  <si>
    <t>AF0102:COM</t>
  </si>
  <si>
    <t>AF0102:V+</t>
  </si>
  <si>
    <t>FU0102:LD</t>
  </si>
  <si>
    <t>AF0103:10</t>
  </si>
  <si>
    <t>KA0149A1</t>
  </si>
  <si>
    <t>KA0149:A1</t>
  </si>
  <si>
    <t>AF0103:11</t>
  </si>
  <si>
    <t>KA0150A1</t>
  </si>
  <si>
    <t>KA0150:A1</t>
  </si>
  <si>
    <t>AF0103:12</t>
  </si>
  <si>
    <t>KA0151A1</t>
  </si>
  <si>
    <t>KA0151:A1</t>
  </si>
  <si>
    <t>AF0103:13</t>
  </si>
  <si>
    <t>KA0152A1</t>
  </si>
  <si>
    <t>KA0152:A1</t>
  </si>
  <si>
    <t>AF0103:26</t>
  </si>
  <si>
    <t>KA0149A2</t>
  </si>
  <si>
    <t>KA0149:A2</t>
  </si>
  <si>
    <t>AF0103:27</t>
  </si>
  <si>
    <t>KA0150A2</t>
  </si>
  <si>
    <t>KA0150:A2</t>
  </si>
  <si>
    <t>AF0103:28</t>
  </si>
  <si>
    <t>KA0151A2</t>
  </si>
  <si>
    <t>KA0151:A2</t>
  </si>
  <si>
    <t>AF0103:29</t>
  </si>
  <si>
    <t>KA0152A2</t>
  </si>
  <si>
    <t>KA0152:A2</t>
  </si>
  <si>
    <t>AF0103:COM</t>
  </si>
  <si>
    <t>AF0103:V+</t>
  </si>
  <si>
    <t>FU0103:LD</t>
  </si>
  <si>
    <t>AF0104:10</t>
  </si>
  <si>
    <t>KA0153A1</t>
  </si>
  <si>
    <t>KA0153:A1</t>
  </si>
  <si>
    <t>AF0104:11</t>
  </si>
  <si>
    <t>KA0154A1</t>
  </si>
  <si>
    <t>KA0154:A1</t>
  </si>
  <si>
    <t>AF0104:12</t>
  </si>
  <si>
    <t>KA0155A1</t>
  </si>
  <si>
    <t>KA0155:A1</t>
  </si>
  <si>
    <t>AF0104:13</t>
  </si>
  <si>
    <t>KA0156A1</t>
  </si>
  <si>
    <t>KA0156:A1</t>
  </si>
  <si>
    <t>AF0104:26</t>
  </si>
  <si>
    <t>KA0153A2</t>
  </si>
  <si>
    <t>KA0153:A2</t>
  </si>
  <si>
    <t>AF0104:27</t>
  </si>
  <si>
    <t>KA0154A2</t>
  </si>
  <si>
    <t>KA0154:A2</t>
  </si>
  <si>
    <t>AF0104:28</t>
  </si>
  <si>
    <t>KA0155A2</t>
  </si>
  <si>
    <t>KA0155:A2</t>
  </si>
  <si>
    <t>AF0104:29</t>
  </si>
  <si>
    <t>KA0156A2</t>
  </si>
  <si>
    <t>KA0156:A2</t>
  </si>
  <si>
    <t>AF0104:COM</t>
  </si>
  <si>
    <t>AF0104:V+</t>
  </si>
  <si>
    <t>FU0104:LD</t>
  </si>
  <si>
    <t>AF0105:COM</t>
  </si>
  <si>
    <t>AF0105:V+</t>
  </si>
  <si>
    <t>FU0105:LD</t>
  </si>
  <si>
    <t>AF0106:COM</t>
  </si>
  <si>
    <t>AF0106:V+</t>
  </si>
  <si>
    <t>FU0106:LD</t>
  </si>
  <si>
    <t>AU0090:COM</t>
  </si>
  <si>
    <t>AU0090:V+</t>
  </si>
  <si>
    <t>FU0090:LD</t>
  </si>
  <si>
    <t>AU0100:COM</t>
  </si>
  <si>
    <t>AU0100:V+</t>
  </si>
  <si>
    <t>FU0100:LD</t>
  </si>
  <si>
    <t>FU0090:LI</t>
  </si>
  <si>
    <t>XT0090:1</t>
  </si>
  <si>
    <t>FU0100:LI</t>
  </si>
  <si>
    <t>KA0081:11</t>
  </si>
  <si>
    <t>LOAD1-1</t>
  </si>
  <si>
    <t>XT0930:1</t>
  </si>
  <si>
    <t>KA0081:14</t>
  </si>
  <si>
    <t>LOAD1-2</t>
  </si>
  <si>
    <t>XT0930:2</t>
  </si>
  <si>
    <t>KA0082:11</t>
  </si>
  <si>
    <t>LOAD2-1</t>
  </si>
  <si>
    <t>XT0930:3</t>
  </si>
  <si>
    <t>KA0082:14</t>
  </si>
  <si>
    <t>LOAD2-2</t>
  </si>
  <si>
    <t>XT0930:4</t>
  </si>
  <si>
    <t>KA0083:11</t>
  </si>
  <si>
    <t>LOAD3-1</t>
  </si>
  <si>
    <t>XT0930:5</t>
  </si>
  <si>
    <t>KA0083:14</t>
  </si>
  <si>
    <t>LOAD3-2</t>
  </si>
  <si>
    <t>XT0930:6</t>
  </si>
  <si>
    <t>KA0084:11</t>
  </si>
  <si>
    <t>LOAD4-1</t>
  </si>
  <si>
    <t>XT0930:7</t>
  </si>
  <si>
    <t>KA0084:14</t>
  </si>
  <si>
    <t>LOAD4-2</t>
  </si>
  <si>
    <t>XT0930:8</t>
  </si>
  <si>
    <t>KA0085:11</t>
  </si>
  <si>
    <t>LOAD5-1</t>
  </si>
  <si>
    <t>XT0930:9</t>
  </si>
  <si>
    <t>KA0085:14</t>
  </si>
  <si>
    <t>LOAD5-2</t>
  </si>
  <si>
    <t>XT0930:10</t>
  </si>
  <si>
    <t>KA0086:11</t>
  </si>
  <si>
    <t>LOAD6-1</t>
  </si>
  <si>
    <t>XT0930:11</t>
  </si>
  <si>
    <t>KA0086:14</t>
  </si>
  <si>
    <t>LOAD6-2</t>
  </si>
  <si>
    <t>XT0930:12</t>
  </si>
  <si>
    <t>KA0087:11</t>
  </si>
  <si>
    <t>LOAD7-1</t>
  </si>
  <si>
    <t>XT0930:13</t>
  </si>
  <si>
    <t>KA0087:14</t>
  </si>
  <si>
    <t>LOAD7-2</t>
  </si>
  <si>
    <t>XT0930:14</t>
  </si>
  <si>
    <t>KA0088:11</t>
  </si>
  <si>
    <t>LOAD8-1</t>
  </si>
  <si>
    <t>XT0930:15</t>
  </si>
  <si>
    <t>KA0088:14</t>
  </si>
  <si>
    <t>LOAD8-2</t>
  </si>
  <si>
    <t>XT0930:16</t>
  </si>
  <si>
    <t>KA7400:11</t>
  </si>
  <si>
    <t>KA7400-1</t>
  </si>
  <si>
    <t>XT0910:1</t>
  </si>
  <si>
    <t>KA7400:14</t>
  </si>
  <si>
    <t>KA7400-2</t>
  </si>
  <si>
    <t>XT0910:2</t>
  </si>
  <si>
    <t>KA7500:11</t>
  </si>
  <si>
    <t>KA7500-1</t>
  </si>
  <si>
    <t>XT0910:3</t>
  </si>
  <si>
    <t>KA7500:14</t>
  </si>
  <si>
    <t>KA7500-2</t>
  </si>
  <si>
    <t>XT0910:4</t>
  </si>
  <si>
    <t>KA7600:11</t>
  </si>
  <si>
    <t>KA7600-1</t>
  </si>
  <si>
    <t>XT0910:5</t>
  </si>
  <si>
    <t>KA7600:14</t>
  </si>
  <si>
    <t>KA7600-2</t>
  </si>
  <si>
    <t>XT0910:6</t>
  </si>
  <si>
    <t>KA7700:11</t>
  </si>
  <si>
    <t>KA7700-1</t>
  </si>
  <si>
    <t>XT0910:7</t>
  </si>
  <si>
    <t>KA7700:14</t>
  </si>
  <si>
    <t>KA7700-2</t>
  </si>
  <si>
    <t>XT0910:8</t>
  </si>
  <si>
    <t>KA7800:11</t>
  </si>
  <si>
    <t>KA7800-1</t>
  </si>
  <si>
    <t>XT0910:9</t>
  </si>
  <si>
    <t>KA7800:14</t>
  </si>
  <si>
    <t>KA7800-2</t>
  </si>
  <si>
    <t>XT0910:10</t>
  </si>
  <si>
    <t>XT0095:1</t>
  </si>
  <si>
    <t>XT0095:2</t>
  </si>
  <si>
    <t>RED</t>
  </si>
  <si>
    <t>AU0090G</t>
  </si>
  <si>
    <t>AU0100G</t>
  </si>
  <si>
    <t>AU0060G</t>
  </si>
  <si>
    <t>KA0001:11</t>
  </si>
  <si>
    <t>CB01OP-1</t>
  </si>
  <si>
    <t>XT0900:10</t>
  </si>
  <si>
    <t>KA0001:14</t>
  </si>
  <si>
    <t>CB01OP-2</t>
  </si>
  <si>
    <t>XT0900:11</t>
  </si>
  <si>
    <t>KA0002:11</t>
  </si>
  <si>
    <t>CB02OP-1</t>
  </si>
  <si>
    <t>XT0900:23</t>
  </si>
  <si>
    <t>KA0002:14</t>
  </si>
  <si>
    <t>CB02OP-2</t>
  </si>
  <si>
    <t>XT0900:24</t>
  </si>
  <si>
    <t>KA0003:11</t>
  </si>
  <si>
    <t>CB03OP-1</t>
  </si>
  <si>
    <t>XT0900:36</t>
  </si>
  <si>
    <t>KA0003:14</t>
  </si>
  <si>
    <t>CB03OP-2</t>
  </si>
  <si>
    <t>XT0900:37</t>
  </si>
  <si>
    <t>KA0004:11</t>
  </si>
  <si>
    <t>CB04OP-1</t>
  </si>
  <si>
    <t>XT0900:49</t>
  </si>
  <si>
    <t>KA0004:14</t>
  </si>
  <si>
    <t>CB04OP-2</t>
  </si>
  <si>
    <t>XT0900:50</t>
  </si>
  <si>
    <t>KA0005:11</t>
  </si>
  <si>
    <t>CB05OP-1</t>
  </si>
  <si>
    <t>XT0900:62</t>
  </si>
  <si>
    <t>KA0005:14</t>
  </si>
  <si>
    <t>CB05OP-2</t>
  </si>
  <si>
    <t>XT0900:63</t>
  </si>
  <si>
    <t>KA0006:11</t>
  </si>
  <si>
    <t>CB06OP-1</t>
  </si>
  <si>
    <t>XT0900:75</t>
  </si>
  <si>
    <t>KA0006:14</t>
  </si>
  <si>
    <t>CB06OP-2</t>
  </si>
  <si>
    <t>XT0900:76</t>
  </si>
  <si>
    <t>KA0007:11</t>
  </si>
  <si>
    <t>CB07OP-1</t>
  </si>
  <si>
    <t>XT0900:88</t>
  </si>
  <si>
    <t>KA0007:14</t>
  </si>
  <si>
    <t>CB07OP-2</t>
  </si>
  <si>
    <t>XT0900:89</t>
  </si>
  <si>
    <t>KA0008:11</t>
  </si>
  <si>
    <t>CB08OP-1</t>
  </si>
  <si>
    <t>XT0900:101</t>
  </si>
  <si>
    <t>KA0008:14</t>
  </si>
  <si>
    <t>CB08OP-2</t>
  </si>
  <si>
    <t>XT0900:102</t>
  </si>
  <si>
    <t>KA0009:11</t>
  </si>
  <si>
    <t>CB09OP-1</t>
  </si>
  <si>
    <t>XT0900:114</t>
  </si>
  <si>
    <t>KA0009:14</t>
  </si>
  <si>
    <t>CB09OP-2</t>
  </si>
  <si>
    <t>XT0900:115</t>
  </si>
  <si>
    <t>KA0010:11</t>
  </si>
  <si>
    <t>CB10OP-1</t>
  </si>
  <si>
    <t>XT0900:127</t>
  </si>
  <si>
    <t>KA0010:14</t>
  </si>
  <si>
    <t>CB10OP-2</t>
  </si>
  <si>
    <t>XT0900:128</t>
  </si>
  <si>
    <t>KA0101:11</t>
  </si>
  <si>
    <t>CB01CL-1</t>
  </si>
  <si>
    <t>XT0900:12</t>
  </si>
  <si>
    <t>KA0101:14</t>
  </si>
  <si>
    <t>CB01CL-2</t>
  </si>
  <si>
    <t>XT0900:13</t>
  </si>
  <si>
    <t>KA0102:11</t>
  </si>
  <si>
    <t>CB02CL-1</t>
  </si>
  <si>
    <t>XT0900:25</t>
  </si>
  <si>
    <t>KA0102:14</t>
  </si>
  <si>
    <t>CB02CL-2</t>
  </si>
  <si>
    <t>XT0900:26</t>
  </si>
  <si>
    <t>KA0103:11</t>
  </si>
  <si>
    <t>CB03CL-1</t>
  </si>
  <si>
    <t>XT0900:38</t>
  </si>
  <si>
    <t>KA0103:14</t>
  </si>
  <si>
    <t>CB03CL-2</t>
  </si>
  <si>
    <t>XT0900:39</t>
  </si>
  <si>
    <t>KA0104:11</t>
  </si>
  <si>
    <t>CB04CL-1</t>
  </si>
  <si>
    <t>XT0900:51</t>
  </si>
  <si>
    <t>KA0104:14</t>
  </si>
  <si>
    <t>CB04CL-2</t>
  </si>
  <si>
    <t>XT0900:52</t>
  </si>
  <si>
    <t>KA0105:11</t>
  </si>
  <si>
    <t>CB05CL-1</t>
  </si>
  <si>
    <t>XT0900:64</t>
  </si>
  <si>
    <t>KA0105:14</t>
  </si>
  <si>
    <t>CB05CL-2</t>
  </si>
  <si>
    <t>XT0900:65</t>
  </si>
  <si>
    <t>KA0106:11</t>
  </si>
  <si>
    <t>CB06CL-1</t>
  </si>
  <si>
    <t>XT0900:77</t>
  </si>
  <si>
    <t>KA0106:14</t>
  </si>
  <si>
    <t>CB06CL-2</t>
  </si>
  <si>
    <t>XT0900:78</t>
  </si>
  <si>
    <t>KA0107:11</t>
  </si>
  <si>
    <t>CB07CL-1</t>
  </si>
  <si>
    <t>XT0900:90</t>
  </si>
  <si>
    <t>KA0107:14</t>
  </si>
  <si>
    <t>CB07CL-2</t>
  </si>
  <si>
    <t>XT0900:91</t>
  </si>
  <si>
    <t>KA0108:11</t>
  </si>
  <si>
    <t>CB08CL-1</t>
  </si>
  <si>
    <t>XT0900:103</t>
  </si>
  <si>
    <t>KA0108:14</t>
  </si>
  <si>
    <t>CB08CL-2</t>
  </si>
  <si>
    <t>XT0900:104</t>
  </si>
  <si>
    <t>KA0109:11</t>
  </si>
  <si>
    <t>CB09CL-1</t>
  </si>
  <si>
    <t>XT0900:116</t>
  </si>
  <si>
    <t>KA0109:14</t>
  </si>
  <si>
    <t>CB09CL-2</t>
  </si>
  <si>
    <t>XT0900:117</t>
  </si>
  <si>
    <t>KA0110:11</t>
  </si>
  <si>
    <t>CB10CL-1</t>
  </si>
  <si>
    <t>XT0900:129</t>
  </si>
  <si>
    <t>KA0110:14</t>
  </si>
  <si>
    <t>CB10CL-2</t>
  </si>
  <si>
    <t>XT0900:130</t>
  </si>
  <si>
    <t>AT0190:NEG</t>
  </si>
  <si>
    <t>XT0262:3</t>
  </si>
  <si>
    <t>AT0190:POS</t>
  </si>
  <si>
    <t>FU0190:LD</t>
  </si>
  <si>
    <t>AT0191:NEG</t>
  </si>
  <si>
    <t>AT0191:POS</t>
  </si>
  <si>
    <t>XT0014:1</t>
  </si>
  <si>
    <t>XT0014:3</t>
  </si>
  <si>
    <t>XT0016:3</t>
  </si>
  <si>
    <t>XT0134:1</t>
  </si>
  <si>
    <t>XT0134:2</t>
  </si>
  <si>
    <t>XT0135:2</t>
  </si>
  <si>
    <t>XT0135:3</t>
  </si>
  <si>
    <t>XT0138:2</t>
  </si>
  <si>
    <t>XT0139:2</t>
  </si>
  <si>
    <t>XT0139:3</t>
  </si>
  <si>
    <t>XT0261:3</t>
  </si>
  <si>
    <t>XT0262:5</t>
  </si>
  <si>
    <t>XT09701AC:1</t>
  </si>
  <si>
    <t>H09700L1</t>
  </si>
  <si>
    <t>XT09701AC:4</t>
  </si>
  <si>
    <t>H09700L2</t>
  </si>
  <si>
    <t>H09700G</t>
  </si>
  <si>
    <t>AU0040:COM</t>
  </si>
  <si>
    <t>AU0040:V+</t>
  </si>
  <si>
    <t>AF0042:09</t>
  </si>
  <si>
    <t>UJ0131OK2</t>
  </si>
  <si>
    <t>UJ0131:OK2</t>
  </si>
  <si>
    <t>AF0042:10</t>
  </si>
  <si>
    <t>UJ0231OK2</t>
  </si>
  <si>
    <t>UJ0231:OK2</t>
  </si>
  <si>
    <t>AF0042:41</t>
  </si>
  <si>
    <t>UJ0131OK1</t>
  </si>
  <si>
    <t>UJ0131:OK1</t>
  </si>
  <si>
    <t>AF0042:42</t>
  </si>
  <si>
    <t>UJ0231OK1</t>
  </si>
  <si>
    <t>UJ0231:OK1</t>
  </si>
  <si>
    <t>AF0043:00</t>
  </si>
  <si>
    <t>CB01-OP2</t>
  </si>
  <si>
    <t>XT0900:2</t>
  </si>
  <si>
    <t>AF0043:01</t>
  </si>
  <si>
    <t>CB02-OP2</t>
  </si>
  <si>
    <t>XT0900:15</t>
  </si>
  <si>
    <t>AF0043:02</t>
  </si>
  <si>
    <t>CB03-OP2</t>
  </si>
  <si>
    <t>XT0900:28</t>
  </si>
  <si>
    <t>AF0043:03</t>
  </si>
  <si>
    <t>CB04-OP2</t>
  </si>
  <si>
    <t>XT0900:41</t>
  </si>
  <si>
    <t>AF0043:04</t>
  </si>
  <si>
    <t>CB05-OP2</t>
  </si>
  <si>
    <t>XT0900:54</t>
  </si>
  <si>
    <t>AF0043:05</t>
  </si>
  <si>
    <t>CB06-OP2</t>
  </si>
  <si>
    <t>XT0900:67</t>
  </si>
  <si>
    <t>AF0043:06</t>
  </si>
  <si>
    <t>CB07-OP2</t>
  </si>
  <si>
    <t>XT0900:80</t>
  </si>
  <si>
    <t>AF0043:07</t>
  </si>
  <si>
    <t>CB08-OP2</t>
  </si>
  <si>
    <t>XT0900:93</t>
  </si>
  <si>
    <t>AF0043:08</t>
  </si>
  <si>
    <t>CB09-OP2</t>
  </si>
  <si>
    <t>XT0900:106</t>
  </si>
  <si>
    <t>AF0043:09</t>
  </si>
  <si>
    <t>CB10-OP2</t>
  </si>
  <si>
    <t>XT0900:119</t>
  </si>
  <si>
    <t>AF0043:32</t>
  </si>
  <si>
    <t>CB01-OP1</t>
  </si>
  <si>
    <t>XT0900:1</t>
  </si>
  <si>
    <t>AF0043:33</t>
  </si>
  <si>
    <t>CB02-OP1</t>
  </si>
  <si>
    <t>XT0900:14</t>
  </si>
  <si>
    <t>AF0043:34</t>
  </si>
  <si>
    <t>CB03-OP1</t>
  </si>
  <si>
    <t>XT0900:27</t>
  </si>
  <si>
    <t>AF0043:35</t>
  </si>
  <si>
    <t>CB04-OP1</t>
  </si>
  <si>
    <t>XT0900:40</t>
  </si>
  <si>
    <t>AF0043:36</t>
  </si>
  <si>
    <t>CB05-OP1</t>
  </si>
  <si>
    <t>XT0900:53</t>
  </si>
  <si>
    <t>AF0043:37</t>
  </si>
  <si>
    <t>CB06-OP1</t>
  </si>
  <si>
    <t>XT0900:66</t>
  </si>
  <si>
    <t>AF0043:38</t>
  </si>
  <si>
    <t>CB07-OP1</t>
  </si>
  <si>
    <t>XT0900:79</t>
  </si>
  <si>
    <t>AF0043:39</t>
  </si>
  <si>
    <t>CB08-OP1</t>
  </si>
  <si>
    <t>XT0900:92</t>
  </si>
  <si>
    <t>AF0043:40</t>
  </si>
  <si>
    <t>CB09-OP1</t>
  </si>
  <si>
    <t>XT0900:105</t>
  </si>
  <si>
    <t>AF0043:41</t>
  </si>
  <si>
    <t>CB10-OP1</t>
  </si>
  <si>
    <t>XT0900:118</t>
  </si>
  <si>
    <t>AF0045:00</t>
  </si>
  <si>
    <t>CB01-CL2</t>
  </si>
  <si>
    <t>XT0900:4</t>
  </si>
  <si>
    <t>AF0045:01</t>
  </si>
  <si>
    <t>CB02-CL2</t>
  </si>
  <si>
    <t>XT0900:17</t>
  </si>
  <si>
    <t>AF0045:02</t>
  </si>
  <si>
    <t>CB03-CL2</t>
  </si>
  <si>
    <t>XT0900:30</t>
  </si>
  <si>
    <t>AF0045:03</t>
  </si>
  <si>
    <t>CB04-CL2</t>
  </si>
  <si>
    <t>XT0900:43</t>
  </si>
  <si>
    <t>AF0045:04</t>
  </si>
  <si>
    <t>CB05-CL2</t>
  </si>
  <si>
    <t>XT0900:56</t>
  </si>
  <si>
    <t>AF0045:05</t>
  </si>
  <si>
    <t>CB06-CL2</t>
  </si>
  <si>
    <t>XT0900:69</t>
  </si>
  <si>
    <t>AF0045:06</t>
  </si>
  <si>
    <t>CB07-CL2</t>
  </si>
  <si>
    <t>XT0900:82</t>
  </si>
  <si>
    <t>AF0045:07</t>
  </si>
  <si>
    <t>CB08-CL2</t>
  </si>
  <si>
    <t>XT0900:95</t>
  </si>
  <si>
    <t>AF0045:08</t>
  </si>
  <si>
    <t>CB09-CL2</t>
  </si>
  <si>
    <t>XT0900:108</t>
  </si>
  <si>
    <t>AF0045:09</t>
  </si>
  <si>
    <t>CB10-CL2</t>
  </si>
  <si>
    <t>XT0900:121</t>
  </si>
  <si>
    <t>AF0045:32</t>
  </si>
  <si>
    <t>CB01-CL1</t>
  </si>
  <si>
    <t>XT0900:3</t>
  </si>
  <si>
    <t>AF0045:33</t>
  </si>
  <si>
    <t>CB02-CL1</t>
  </si>
  <si>
    <t>XT0900:16</t>
  </si>
  <si>
    <t>AF0045:34</t>
  </si>
  <si>
    <t>CB03-CL1</t>
  </si>
  <si>
    <t>XT0900:29</t>
  </si>
  <si>
    <t>AF0045:35</t>
  </si>
  <si>
    <t>CB04-CL1</t>
  </si>
  <si>
    <t>XT0900:42</t>
  </si>
  <si>
    <t>AF0045:36</t>
  </si>
  <si>
    <t>CB05-CL1</t>
  </si>
  <si>
    <t>XT0900:55</t>
  </si>
  <si>
    <t>AF0045:37</t>
  </si>
  <si>
    <t>CB06-CL1</t>
  </si>
  <si>
    <t>XT0900:68</t>
  </si>
  <si>
    <t>AF0045:38</t>
  </si>
  <si>
    <t>CB07-CL1</t>
  </si>
  <si>
    <t>XT0900:81</t>
  </si>
  <si>
    <t>AF0045:39</t>
  </si>
  <si>
    <t>CB08-CL1</t>
  </si>
  <si>
    <t>XT0900:94</t>
  </si>
  <si>
    <t>AF0045:40</t>
  </si>
  <si>
    <t>CB09-CL1</t>
  </si>
  <si>
    <t>XT0900:107</t>
  </si>
  <si>
    <t>AF0045:41</t>
  </si>
  <si>
    <t>CB10-CL1</t>
  </si>
  <si>
    <t>XT0900:120</t>
  </si>
  <si>
    <t>AF0047:00</t>
  </si>
  <si>
    <t>CB01-TR2</t>
  </si>
  <si>
    <t>XT0900:6</t>
  </si>
  <si>
    <t>AF0047:01</t>
  </si>
  <si>
    <t>CB02-TR2</t>
  </si>
  <si>
    <t>XT0900:19</t>
  </si>
  <si>
    <t>AF0047:02</t>
  </si>
  <si>
    <t>CB03-TR2</t>
  </si>
  <si>
    <t>XT0900:32</t>
  </si>
  <si>
    <t>AF0047:03</t>
  </si>
  <si>
    <t>CB04-TR2</t>
  </si>
  <si>
    <t>XT0900:45</t>
  </si>
  <si>
    <t>AF0047:04</t>
  </si>
  <si>
    <t>CB05-TR2</t>
  </si>
  <si>
    <t>XT0900:58</t>
  </si>
  <si>
    <t>AF0047:05</t>
  </si>
  <si>
    <t>CB06-TR2</t>
  </si>
  <si>
    <t>XT0900:71</t>
  </si>
  <si>
    <t>AF0047:06</t>
  </si>
  <si>
    <t>CB07-TR2</t>
  </si>
  <si>
    <t>XT0900:84</t>
  </si>
  <si>
    <t>AF0047:07</t>
  </si>
  <si>
    <t>CB08-TR2</t>
  </si>
  <si>
    <t>XT0900:97</t>
  </si>
  <si>
    <t>AF0047:08</t>
  </si>
  <si>
    <t>CB09-TR2</t>
  </si>
  <si>
    <t>XT0900:110</t>
  </si>
  <si>
    <t>AF0047:09</t>
  </si>
  <si>
    <t>CB10-TR2</t>
  </si>
  <si>
    <t>XT0900:123</t>
  </si>
  <si>
    <t>AF0047:32</t>
  </si>
  <si>
    <t>CB01-TR1</t>
  </si>
  <si>
    <t>XT0900:5</t>
  </si>
  <si>
    <t>AF0047:33</t>
  </si>
  <si>
    <t>CB02-TR1</t>
  </si>
  <si>
    <t>XT0900:18</t>
  </si>
  <si>
    <t>AF0047:34</t>
  </si>
  <si>
    <t>CB03-TR1</t>
  </si>
  <si>
    <t>XT0900:31</t>
  </si>
  <si>
    <t>AF0047:35</t>
  </si>
  <si>
    <t>CB04-TR1</t>
  </si>
  <si>
    <t>XT0900:44</t>
  </si>
  <si>
    <t>AF0047:36</t>
  </si>
  <si>
    <t>CB05-TR1</t>
  </si>
  <si>
    <t>XT0900:57</t>
  </si>
  <si>
    <t>AF0047:37</t>
  </si>
  <si>
    <t>CB06-TR1</t>
  </si>
  <si>
    <t>XT0900:70</t>
  </si>
  <si>
    <t>AF0047:38</t>
  </si>
  <si>
    <t>CB07-TR1</t>
  </si>
  <si>
    <t>XT0900:83</t>
  </si>
  <si>
    <t>AF0047:39</t>
  </si>
  <si>
    <t>CB08-TR1</t>
  </si>
  <si>
    <t>XT0900:96</t>
  </si>
  <si>
    <t>AF0047:40</t>
  </si>
  <si>
    <t>CB09-TR1</t>
  </si>
  <si>
    <t>XT0900:109</t>
  </si>
  <si>
    <t>AF0047:41</t>
  </si>
  <si>
    <t>CB10-TR1</t>
  </si>
  <si>
    <t>XT0900:122</t>
  </si>
  <si>
    <t>AU0050:COM</t>
  </si>
  <si>
    <t>AU0050:V+</t>
  </si>
  <si>
    <t>AF0061:00</t>
  </si>
  <si>
    <t>UJ0131VIN</t>
  </si>
  <si>
    <t>UJ0131:VIN</t>
  </si>
  <si>
    <t>AF0061:01</t>
  </si>
  <si>
    <t>XT0017:1</t>
  </si>
  <si>
    <t>AF0061:03</t>
  </si>
  <si>
    <t>XT0018:1</t>
  </si>
  <si>
    <t>AF0061:04</t>
  </si>
  <si>
    <t>UJ0231VIN</t>
  </si>
  <si>
    <t>UJ0231:VIN</t>
  </si>
  <si>
    <t>AF0061:05</t>
  </si>
  <si>
    <t>AF0061:06</t>
  </si>
  <si>
    <t>UJ0231IOUT</t>
  </si>
  <si>
    <t>UJ0231:IOUT</t>
  </si>
  <si>
    <t>AF0061:07</t>
  </si>
  <si>
    <t>AF0061:08</t>
  </si>
  <si>
    <t>XT0015:2</t>
  </si>
  <si>
    <t>AF0061:34</t>
  </si>
  <si>
    <t>UJ0131IOUT</t>
  </si>
  <si>
    <t>UJ0131:IOUT</t>
  </si>
  <si>
    <t>AU0060:COM</t>
  </si>
  <si>
    <t>AF0061G</t>
  </si>
  <si>
    <t>AU0060:V+</t>
  </si>
  <si>
    <t>AF0062:02</t>
  </si>
  <si>
    <t>KWCB012</t>
  </si>
  <si>
    <t>XT0900:8</t>
  </si>
  <si>
    <t>AF0062:04</t>
  </si>
  <si>
    <t>KWCB022</t>
  </si>
  <si>
    <t>XT0900:21</t>
  </si>
  <si>
    <t>AF0062:06</t>
  </si>
  <si>
    <t>KWCB032</t>
  </si>
  <si>
    <t>XT0900:34</t>
  </si>
  <si>
    <t>AF0062:08</t>
  </si>
  <si>
    <t>KWCB042</t>
  </si>
  <si>
    <t>XT0900:47</t>
  </si>
  <si>
    <t>AF0062:10</t>
  </si>
  <si>
    <t>KWCB052</t>
  </si>
  <si>
    <t>XT0900:60</t>
  </si>
  <si>
    <t>AF0062:12</t>
  </si>
  <si>
    <t>KWCB062</t>
  </si>
  <si>
    <t>XT0900:73</t>
  </si>
  <si>
    <t>AF0062:14</t>
  </si>
  <si>
    <t>KWCB072</t>
  </si>
  <si>
    <t>XT0900:86</t>
  </si>
  <si>
    <t>AF0062:34</t>
  </si>
  <si>
    <t>KWCB011</t>
  </si>
  <si>
    <t>XT0900:7</t>
  </si>
  <si>
    <t>AF0062:36</t>
  </si>
  <si>
    <t>KWCB021</t>
  </si>
  <si>
    <t>XT0900:20</t>
  </si>
  <si>
    <t>AF0062:38</t>
  </si>
  <si>
    <t>KWCB031</t>
  </si>
  <si>
    <t>XT0900:33</t>
  </si>
  <si>
    <t>AF0062:40</t>
  </si>
  <si>
    <t>KWCB041</t>
  </si>
  <si>
    <t>XT0900:46</t>
  </si>
  <si>
    <t>AF0062:42</t>
  </si>
  <si>
    <t>KWCB051</t>
  </si>
  <si>
    <t>XT0900:59</t>
  </si>
  <si>
    <t>AF0062:44</t>
  </si>
  <si>
    <t>KWCB061</t>
  </si>
  <si>
    <t>XT0900:72</t>
  </si>
  <si>
    <t>AF0062:46</t>
  </si>
  <si>
    <t>KWCB071</t>
  </si>
  <si>
    <t>XT0900:85</t>
  </si>
  <si>
    <t>AF0062:50</t>
  </si>
  <si>
    <t>KWCB01S</t>
  </si>
  <si>
    <t>XT0900:9</t>
  </si>
  <si>
    <t>AF0062:52</t>
  </si>
  <si>
    <t>KWCB02S</t>
  </si>
  <si>
    <t>XT0900:22</t>
  </si>
  <si>
    <t>AF0062:54</t>
  </si>
  <si>
    <t>KWCB03S</t>
  </si>
  <si>
    <t>XT0900:35</t>
  </si>
  <si>
    <t>AF0062:56</t>
  </si>
  <si>
    <t>KWCB04S</t>
  </si>
  <si>
    <t>XT0900:48</t>
  </si>
  <si>
    <t>AF0062:58</t>
  </si>
  <si>
    <t>KWCB05S</t>
  </si>
  <si>
    <t>XT0900:61</t>
  </si>
  <si>
    <t>AF0062:60</t>
  </si>
  <si>
    <t>KWCB06S</t>
  </si>
  <si>
    <t>XT0900:74</t>
  </si>
  <si>
    <t>AF0062:62</t>
  </si>
  <si>
    <t>KWCB07S</t>
  </si>
  <si>
    <t>XT0900:87</t>
  </si>
  <si>
    <t>AF0062G</t>
  </si>
  <si>
    <t>AF0063:00</t>
  </si>
  <si>
    <t>KWCB082</t>
  </si>
  <si>
    <t>XT0900:99</t>
  </si>
  <si>
    <t>AF0063:02</t>
  </si>
  <si>
    <t>KWCB092</t>
  </si>
  <si>
    <t>XT0900:112</t>
  </si>
  <si>
    <t>AF0063:04</t>
  </si>
  <si>
    <t>KWCB102</t>
  </si>
  <si>
    <t>XT0900:125</t>
  </si>
  <si>
    <t>AF0063:32</t>
  </si>
  <si>
    <t>KWCB081</t>
  </si>
  <si>
    <t>XT0900:98</t>
  </si>
  <si>
    <t>AF0063:34</t>
  </si>
  <si>
    <t>KWCB091</t>
  </si>
  <si>
    <t>XT0900:111</t>
  </si>
  <si>
    <t>AF0063:36</t>
  </si>
  <si>
    <t>KWCB101</t>
  </si>
  <si>
    <t>XT0900:124</t>
  </si>
  <si>
    <t>AF0063:48</t>
  </si>
  <si>
    <t>KWCB08S</t>
  </si>
  <si>
    <t>XT0900:100</t>
  </si>
  <si>
    <t>AF0063:50</t>
  </si>
  <si>
    <t>KWCB09S</t>
  </si>
  <si>
    <t>XT0900:113</t>
  </si>
  <si>
    <t>AF0063:52</t>
  </si>
  <si>
    <t>KWCB10S</t>
  </si>
  <si>
    <t>XT0900:126</t>
  </si>
  <si>
    <t>AF0063G</t>
  </si>
  <si>
    <t>AF0064G</t>
  </si>
  <si>
    <t>AF0065G</t>
  </si>
  <si>
    <t>AF0066G</t>
  </si>
  <si>
    <t>AU0040G</t>
  </si>
  <si>
    <t>FU0040:LD</t>
  </si>
  <si>
    <t>AU0050G</t>
  </si>
  <si>
    <t>FU0050:LD</t>
  </si>
  <si>
    <t>FU0060:LD</t>
  </si>
  <si>
    <t>FU0040:LI</t>
  </si>
  <si>
    <t>FU0050:LI</t>
  </si>
  <si>
    <t>FU0060:LI</t>
  </si>
  <si>
    <t>FU0137:LD</t>
  </si>
  <si>
    <t>FU0138:LI</t>
  </si>
  <si>
    <t>FU0190:LI</t>
  </si>
  <si>
    <t>FU0260:LD</t>
  </si>
  <si>
    <t>FU0260:LI</t>
  </si>
  <si>
    <t>FU9700:LD</t>
  </si>
  <si>
    <t>XT09702AC:1</t>
  </si>
  <si>
    <t>FU9700:LI</t>
  </si>
  <si>
    <t>H0970L1</t>
  </si>
  <si>
    <t>XT0970AC:1</t>
  </si>
  <si>
    <t>FU9701:LD</t>
  </si>
  <si>
    <t>FU9701:LI</t>
  </si>
  <si>
    <t>H0970L2</t>
  </si>
  <si>
    <t>XT0970AC:2</t>
  </si>
  <si>
    <t>QS0011:LD-1</t>
  </si>
  <si>
    <t>UJ0131P</t>
  </si>
  <si>
    <t>UJ0131:+</t>
  </si>
  <si>
    <t>QS0011:LD-3</t>
  </si>
  <si>
    <t>UJ0131N</t>
  </si>
  <si>
    <t>UJ0131:-</t>
  </si>
  <si>
    <t>QS0011:LI-2</t>
  </si>
  <si>
    <t>XT0011:1</t>
  </si>
  <si>
    <t>QS0011:LI-4</t>
  </si>
  <si>
    <t>XT0011:2</t>
  </si>
  <si>
    <t>QS0012:LD-1</t>
  </si>
  <si>
    <t>UJ0231P</t>
  </si>
  <si>
    <t>UJ0231:+</t>
  </si>
  <si>
    <t>QS0012:LD-3</t>
  </si>
  <si>
    <t>UJ0231N</t>
  </si>
  <si>
    <t>UJ0231:-</t>
  </si>
  <si>
    <t>QS0012:LI-2</t>
  </si>
  <si>
    <t>XT0012:1</t>
  </si>
  <si>
    <t>QS0012:LI-4</t>
  </si>
  <si>
    <t>XT0012:2</t>
  </si>
  <si>
    <t>XT0015:1</t>
  </si>
  <si>
    <t>XT0015:3</t>
  </si>
  <si>
    <t>XT09704AC:2</t>
  </si>
  <si>
    <t>XT09704AC:1</t>
  </si>
  <si>
    <t>UJ0131G</t>
  </si>
  <si>
    <t>UJ0131:IS</t>
  </si>
  <si>
    <t>UJ0131IS</t>
  </si>
  <si>
    <t>UJ0231:IS</t>
  </si>
  <si>
    <t>UJ0231G</t>
  </si>
  <si>
    <t>XT0260:1</t>
  </si>
  <si>
    <t>XT09702AC:2</t>
  </si>
  <si>
    <t>(SHT 6) LEFT SIDE PANEL</t>
  </si>
  <si>
    <t/>
  </si>
  <si>
    <t>(SHT 6) LEFT SIDE PANEL - (SHT 8) RIGHT SIDE PANEL</t>
  </si>
  <si>
    <t>(SHT 6) LEFT SIDE PANEL - (SHT 5) SCS</t>
  </si>
  <si>
    <t>(SHT 8) RIGHT SIDE PANEL</t>
  </si>
  <si>
    <t>(SHT 5) SCS</t>
  </si>
  <si>
    <t>(SHT 1) CONSOLE</t>
  </si>
  <si>
    <t>(SHT 2) CONSOLE DOORS</t>
  </si>
  <si>
    <t>FG0130</t>
  </si>
  <si>
    <t>FU0011</t>
  </si>
  <si>
    <t>FU0012</t>
  </si>
  <si>
    <t>FU0013</t>
  </si>
  <si>
    <t>FU0014</t>
  </si>
  <si>
    <t>FU0016</t>
  </si>
  <si>
    <t>Length</t>
  </si>
  <si>
    <t>Bundle Name</t>
  </si>
  <si>
    <t>-0V</t>
  </si>
  <si>
    <t>-0V1</t>
  </si>
  <si>
    <t>-006108</t>
  </si>
  <si>
    <t>-526POS</t>
  </si>
  <si>
    <t>-526NEG</t>
  </si>
  <si>
    <t>-525POS</t>
  </si>
  <si>
    <t>-525NEG</t>
  </si>
  <si>
    <t>AT-BACK</t>
  </si>
  <si>
    <t>(SHT 7) BACK PNL</t>
  </si>
  <si>
    <t>(SHT 7) BACK PNL - (SHT 6) LEFT SIDE PANEL</t>
  </si>
  <si>
    <t>(SHT 7) BACK PNL - (SHT 5) SCS</t>
  </si>
  <si>
    <t>BACK PNL</t>
  </si>
  <si>
    <t>AU/AF-BACK</t>
  </si>
  <si>
    <t>FU/XT-BACK</t>
  </si>
  <si>
    <t>L/S PNL</t>
  </si>
  <si>
    <t>80</t>
  </si>
  <si>
    <t>60</t>
  </si>
  <si>
    <t>R/S PNL</t>
  </si>
  <si>
    <t>UV</t>
  </si>
  <si>
    <t>FU</t>
  </si>
  <si>
    <t>280</t>
  </si>
  <si>
    <t>340</t>
  </si>
  <si>
    <t>AU/AF</t>
  </si>
  <si>
    <t>180</t>
  </si>
  <si>
    <t>160</t>
  </si>
  <si>
    <t xml:space="preserve">60 </t>
  </si>
  <si>
    <t>140</t>
  </si>
  <si>
    <t>200</t>
  </si>
  <si>
    <t>240</t>
  </si>
  <si>
    <t>XT-BACK</t>
  </si>
  <si>
    <t>KA-BACK</t>
  </si>
  <si>
    <t>FU/XT</t>
  </si>
  <si>
    <t>KA</t>
  </si>
  <si>
    <t>KA A2</t>
  </si>
  <si>
    <t>KA A1</t>
  </si>
  <si>
    <t>FU/XT RED</t>
  </si>
  <si>
    <t>120</t>
  </si>
  <si>
    <t>UJ</t>
  </si>
  <si>
    <t>QS</t>
  </si>
  <si>
    <t>QS RED</t>
  </si>
  <si>
    <t>XT-R/S</t>
  </si>
  <si>
    <t>12R</t>
  </si>
  <si>
    <t>Rev. B.2M1</t>
  </si>
  <si>
    <t>CONSOLE DOOR</t>
  </si>
  <si>
    <t>BACK PANEL</t>
  </si>
  <si>
    <t>WOODSIDE GOODWYNN 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</si>
</sst>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  <font>
      <b/>
      <sz val="14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47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2" fillId="0" borderId="5" xfId="0" applyNumberFormat="1" applyFont="1" applyBorder="1" applyAlignment="1">
      <alignment horizontal="center" vertical="center" wrapText="1" shrinkToFit="1" readingOrder="1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 shrinkToFit="1" readingOrder="1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0" xfId="1"/>
    <xf numFmtId="0" fontId="6" fillId="0" borderId="7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7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49" fontId="0" fillId="4" borderId="7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4" fillId="0" borderId="0" xfId="0" applyFont="1" applyAlignment="1">
      <alignment horizontal="center" vertical="center" wrapText="1" shrinkToFit="1" readingOrder="1"/>
    </xf>
    <xf numFmtId="0" fontId="5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0495DE5C-8BA4-4AE2-8856-27EB83EE45C6}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B04FB-5D24-4A51-927B-C66989EA84BC}">
  <sheetPr>
    <pageSetUpPr fitToPage="1"/>
  </sheetPr>
  <dimension ref="A1:F101"/>
  <sheetViews>
    <sheetView showGridLines="0" workbookViewId="0"/>
  </sheetViews>
  <sheetFormatPr defaultRowHeight="14.5" x14ac:dyDescent="0.35"/>
  <cols>
    <col min="1" max="1" width="15.08984375" style="12" bestFit="1" customWidth="1"/>
    <col min="2" max="2" width="21.6328125" style="12" bestFit="1" customWidth="1"/>
    <col min="3" max="3" width="10" style="12" bestFit="1" customWidth="1"/>
    <col min="4" max="4" width="21" style="12" bestFit="1" customWidth="1"/>
    <col min="5" max="5" width="17.453125" style="12" bestFit="1" customWidth="1"/>
    <col min="6" max="6" width="22.453125" style="12" bestFit="1" customWidth="1"/>
  </cols>
  <sheetData>
    <row r="1" spans="1:6" x14ac:dyDescent="0.35">
      <c r="A1" s="12" t="s">
        <v>1633</v>
      </c>
      <c r="B1" s="12" t="s">
        <v>1634</v>
      </c>
      <c r="C1" s="12" t="s">
        <v>1632</v>
      </c>
      <c r="D1" s="12" t="s">
        <v>1627</v>
      </c>
      <c r="E1" s="12" t="s">
        <v>1651</v>
      </c>
      <c r="F1" s="12" t="s">
        <v>1631</v>
      </c>
    </row>
    <row r="2" spans="1:6" x14ac:dyDescent="0.35">
      <c r="A2" s="12" t="s">
        <v>127</v>
      </c>
      <c r="B2" s="12" t="s">
        <v>144</v>
      </c>
      <c r="C2" s="12" t="s">
        <v>393</v>
      </c>
      <c r="D2" s="12" t="s">
        <v>187</v>
      </c>
      <c r="E2" s="12" t="s">
        <v>79</v>
      </c>
      <c r="F2" s="12" t="s">
        <v>359</v>
      </c>
    </row>
    <row r="3" spans="1:6" x14ac:dyDescent="0.35">
      <c r="A3" s="12" t="s">
        <v>131</v>
      </c>
      <c r="B3" s="12" t="s">
        <v>141</v>
      </c>
      <c r="C3" s="12" t="s">
        <v>399</v>
      </c>
      <c r="D3" s="12" t="s">
        <v>167</v>
      </c>
      <c r="E3" s="12" t="s">
        <v>82</v>
      </c>
      <c r="F3" s="12" t="s">
        <v>325</v>
      </c>
    </row>
    <row r="4" spans="1:6" x14ac:dyDescent="0.35">
      <c r="A4" s="12" t="s">
        <v>134</v>
      </c>
      <c r="B4" s="12" t="s">
        <v>137</v>
      </c>
      <c r="C4" s="12" t="s">
        <v>390</v>
      </c>
      <c r="D4" s="12" t="s">
        <v>169</v>
      </c>
      <c r="E4" s="12" t="s">
        <v>102</v>
      </c>
      <c r="F4" s="12" t="s">
        <v>328</v>
      </c>
    </row>
    <row r="5" spans="1:6" x14ac:dyDescent="0.35">
      <c r="A5" s="12" t="s">
        <v>1635</v>
      </c>
      <c r="B5" s="12" t="s">
        <v>1628</v>
      </c>
      <c r="C5" s="12" t="s">
        <v>402</v>
      </c>
      <c r="D5" s="12" t="s">
        <v>171</v>
      </c>
      <c r="E5" s="12" t="s">
        <v>85</v>
      </c>
      <c r="F5" s="12" t="s">
        <v>330</v>
      </c>
    </row>
    <row r="6" spans="1:6" x14ac:dyDescent="0.35">
      <c r="A6" s="12" t="s">
        <v>1628</v>
      </c>
      <c r="B6" s="12" t="s">
        <v>1628</v>
      </c>
      <c r="C6" s="12" t="s">
        <v>403</v>
      </c>
      <c r="D6" s="12" t="s">
        <v>172</v>
      </c>
      <c r="E6" s="12" t="s">
        <v>105</v>
      </c>
      <c r="F6" s="12" t="s">
        <v>339</v>
      </c>
    </row>
    <row r="7" spans="1:6" x14ac:dyDescent="0.35">
      <c r="A7" s="12" t="s">
        <v>1628</v>
      </c>
      <c r="B7" s="12" t="s">
        <v>1628</v>
      </c>
      <c r="C7" s="12" t="s">
        <v>381</v>
      </c>
      <c r="D7" s="12" t="s">
        <v>173</v>
      </c>
      <c r="E7" s="12" t="s">
        <v>126</v>
      </c>
      <c r="F7" s="12" t="s">
        <v>309</v>
      </c>
    </row>
    <row r="8" spans="1:6" x14ac:dyDescent="0.35">
      <c r="A8" s="12" t="s">
        <v>1628</v>
      </c>
      <c r="B8" s="12" t="s">
        <v>1628</v>
      </c>
      <c r="C8" s="12" t="s">
        <v>383</v>
      </c>
      <c r="D8" s="12" t="s">
        <v>174</v>
      </c>
      <c r="E8" s="12" t="s">
        <v>64</v>
      </c>
      <c r="F8" s="12" t="s">
        <v>306</v>
      </c>
    </row>
    <row r="9" spans="1:6" x14ac:dyDescent="0.35">
      <c r="A9" s="12" t="s">
        <v>1628</v>
      </c>
      <c r="B9" s="12" t="s">
        <v>1628</v>
      </c>
      <c r="C9" s="12" t="s">
        <v>387</v>
      </c>
      <c r="D9" s="12" t="s">
        <v>288</v>
      </c>
      <c r="E9" s="12" t="s">
        <v>67</v>
      </c>
      <c r="F9" s="12" t="s">
        <v>305</v>
      </c>
    </row>
    <row r="10" spans="1:6" x14ac:dyDescent="0.35">
      <c r="A10" s="12" t="s">
        <v>1628</v>
      </c>
      <c r="B10" s="12" t="s">
        <v>1628</v>
      </c>
      <c r="C10" s="12" t="s">
        <v>396</v>
      </c>
      <c r="D10" s="12" t="s">
        <v>163</v>
      </c>
      <c r="E10" s="12" t="s">
        <v>72</v>
      </c>
      <c r="F10" s="12" t="s">
        <v>304</v>
      </c>
    </row>
    <row r="11" spans="1:6" x14ac:dyDescent="0.35">
      <c r="A11" s="12" t="s">
        <v>1628</v>
      </c>
      <c r="B11" s="12" t="s">
        <v>1628</v>
      </c>
      <c r="C11" s="12" t="s">
        <v>384</v>
      </c>
      <c r="D11" s="12" t="s">
        <v>147</v>
      </c>
      <c r="E11" s="12" t="s">
        <v>122</v>
      </c>
      <c r="F11" s="12" t="s">
        <v>303</v>
      </c>
    </row>
    <row r="12" spans="1:6" x14ac:dyDescent="0.35">
      <c r="A12" s="12" t="s">
        <v>1628</v>
      </c>
      <c r="B12" s="12" t="s">
        <v>1628</v>
      </c>
      <c r="C12" s="12" t="s">
        <v>378</v>
      </c>
      <c r="D12" s="12" t="s">
        <v>151</v>
      </c>
      <c r="E12" s="12" t="s">
        <v>123</v>
      </c>
      <c r="F12" s="12" t="s">
        <v>299</v>
      </c>
    </row>
    <row r="13" spans="1:6" x14ac:dyDescent="0.35">
      <c r="A13" s="12" t="s">
        <v>1628</v>
      </c>
      <c r="B13" s="12" t="s">
        <v>1628</v>
      </c>
      <c r="C13" s="12" t="s">
        <v>371</v>
      </c>
      <c r="D13" s="12" t="s">
        <v>152</v>
      </c>
      <c r="E13" s="12" t="s">
        <v>124</v>
      </c>
      <c r="F13" s="12" t="s">
        <v>332</v>
      </c>
    </row>
    <row r="14" spans="1:6" x14ac:dyDescent="0.35">
      <c r="A14" s="12" t="s">
        <v>1628</v>
      </c>
      <c r="B14" s="12" t="s">
        <v>1628</v>
      </c>
      <c r="C14" s="12" t="s">
        <v>375</v>
      </c>
      <c r="D14" s="12" t="s">
        <v>153</v>
      </c>
      <c r="E14" s="12" t="s">
        <v>125</v>
      </c>
      <c r="F14" s="12" t="s">
        <v>362</v>
      </c>
    </row>
    <row r="15" spans="1:6" x14ac:dyDescent="0.35">
      <c r="A15" s="12" t="s">
        <v>1628</v>
      </c>
      <c r="B15" s="12" t="s">
        <v>1628</v>
      </c>
      <c r="C15" s="12" t="s">
        <v>380</v>
      </c>
      <c r="D15" s="12" t="s">
        <v>154</v>
      </c>
      <c r="E15" s="12" t="s">
        <v>74</v>
      </c>
      <c r="F15" s="12" t="s">
        <v>317</v>
      </c>
    </row>
    <row r="16" spans="1:6" x14ac:dyDescent="0.35">
      <c r="A16" s="12" t="s">
        <v>1628</v>
      </c>
      <c r="B16" s="12" t="s">
        <v>1628</v>
      </c>
      <c r="C16" s="12" t="s">
        <v>379</v>
      </c>
      <c r="D16" s="12" t="s">
        <v>189</v>
      </c>
      <c r="E16" s="12" t="s">
        <v>77</v>
      </c>
      <c r="F16" s="12" t="s">
        <v>316</v>
      </c>
    </row>
    <row r="17" spans="1:6" x14ac:dyDescent="0.35">
      <c r="A17" s="12" t="s">
        <v>1628</v>
      </c>
      <c r="B17" s="12" t="s">
        <v>1628</v>
      </c>
      <c r="C17" s="12" t="s">
        <v>382</v>
      </c>
      <c r="D17" s="12" t="s">
        <v>192</v>
      </c>
      <c r="E17" s="12" t="s">
        <v>78</v>
      </c>
      <c r="F17" s="12" t="s">
        <v>315</v>
      </c>
    </row>
    <row r="18" spans="1:6" x14ac:dyDescent="0.35">
      <c r="A18" s="12" t="s">
        <v>1628</v>
      </c>
      <c r="B18" s="12" t="s">
        <v>1628</v>
      </c>
      <c r="C18" s="12" t="s">
        <v>1628</v>
      </c>
      <c r="D18" s="12" t="s">
        <v>194</v>
      </c>
      <c r="E18" s="12" t="s">
        <v>73</v>
      </c>
      <c r="F18" s="12" t="s">
        <v>314</v>
      </c>
    </row>
    <row r="19" spans="1:6" x14ac:dyDescent="0.35">
      <c r="A19" s="12" t="s">
        <v>1628</v>
      </c>
      <c r="B19" s="12" t="s">
        <v>1628</v>
      </c>
      <c r="C19" s="12" t="s">
        <v>1628</v>
      </c>
      <c r="D19" s="12" t="s">
        <v>196</v>
      </c>
      <c r="E19" s="12" t="s">
        <v>115</v>
      </c>
      <c r="F19" s="12" t="s">
        <v>313</v>
      </c>
    </row>
    <row r="20" spans="1:6" x14ac:dyDescent="0.35">
      <c r="A20" s="12" t="s">
        <v>1628</v>
      </c>
      <c r="B20" s="12" t="s">
        <v>1628</v>
      </c>
      <c r="C20" s="12" t="s">
        <v>1628</v>
      </c>
      <c r="D20" s="12" t="s">
        <v>198</v>
      </c>
      <c r="E20" s="12" t="s">
        <v>116</v>
      </c>
      <c r="F20" s="12" t="s">
        <v>312</v>
      </c>
    </row>
    <row r="21" spans="1:6" x14ac:dyDescent="0.35">
      <c r="A21" s="12" t="s">
        <v>1628</v>
      </c>
      <c r="B21" s="12" t="s">
        <v>1628</v>
      </c>
      <c r="C21" s="12" t="s">
        <v>1628</v>
      </c>
      <c r="D21" s="12" t="s">
        <v>200</v>
      </c>
      <c r="E21" s="12" t="s">
        <v>113</v>
      </c>
      <c r="F21" s="12" t="s">
        <v>338</v>
      </c>
    </row>
    <row r="22" spans="1:6" x14ac:dyDescent="0.35">
      <c r="A22" s="12" t="s">
        <v>1628</v>
      </c>
      <c r="B22" s="12" t="s">
        <v>1628</v>
      </c>
      <c r="C22" s="12" t="s">
        <v>1628</v>
      </c>
      <c r="D22" s="12" t="s">
        <v>202</v>
      </c>
      <c r="E22" s="12" t="s">
        <v>114</v>
      </c>
      <c r="F22" s="12" t="s">
        <v>364</v>
      </c>
    </row>
    <row r="23" spans="1:6" x14ac:dyDescent="0.35">
      <c r="A23" s="12" t="s">
        <v>1628</v>
      </c>
      <c r="B23" s="12" t="s">
        <v>1628</v>
      </c>
      <c r="C23" s="12" t="s">
        <v>1628</v>
      </c>
      <c r="D23" s="12" t="s">
        <v>204</v>
      </c>
      <c r="E23" s="12" t="s">
        <v>55</v>
      </c>
      <c r="F23" s="12" t="s">
        <v>324</v>
      </c>
    </row>
    <row r="24" spans="1:6" x14ac:dyDescent="0.35">
      <c r="A24" s="12" t="s">
        <v>1628</v>
      </c>
      <c r="B24" s="12" t="s">
        <v>1628</v>
      </c>
      <c r="C24" s="12" t="s">
        <v>1628</v>
      </c>
      <c r="D24" s="12" t="s">
        <v>206</v>
      </c>
      <c r="E24" s="12" t="s">
        <v>58</v>
      </c>
      <c r="F24" s="12" t="s">
        <v>323</v>
      </c>
    </row>
    <row r="25" spans="1:6" x14ac:dyDescent="0.35">
      <c r="A25" s="12" t="s">
        <v>1628</v>
      </c>
      <c r="B25" s="12" t="s">
        <v>1628</v>
      </c>
      <c r="C25" s="12" t="s">
        <v>1628</v>
      </c>
      <c r="D25" s="12" t="s">
        <v>208</v>
      </c>
      <c r="E25" s="12" t="s">
        <v>63</v>
      </c>
      <c r="F25" s="12" t="s">
        <v>322</v>
      </c>
    </row>
    <row r="26" spans="1:6" x14ac:dyDescent="0.35">
      <c r="A26" s="12" t="s">
        <v>1628</v>
      </c>
      <c r="B26" s="12" t="s">
        <v>1628</v>
      </c>
      <c r="C26" s="12" t="s">
        <v>1628</v>
      </c>
      <c r="D26" s="12" t="s">
        <v>242</v>
      </c>
      <c r="E26" s="12" t="s">
        <v>61</v>
      </c>
      <c r="F26" s="12" t="s">
        <v>321</v>
      </c>
    </row>
    <row r="27" spans="1:6" x14ac:dyDescent="0.35">
      <c r="A27" s="12" t="s">
        <v>1628</v>
      </c>
      <c r="B27" s="12" t="s">
        <v>1628</v>
      </c>
      <c r="C27" s="12" t="s">
        <v>1628</v>
      </c>
      <c r="D27" s="12" t="s">
        <v>244</v>
      </c>
      <c r="E27" s="12" t="s">
        <v>117</v>
      </c>
      <c r="F27" s="12" t="s">
        <v>320</v>
      </c>
    </row>
    <row r="28" spans="1:6" x14ac:dyDescent="0.35">
      <c r="A28" s="12" t="s">
        <v>1628</v>
      </c>
      <c r="B28" s="12" t="s">
        <v>1628</v>
      </c>
      <c r="C28" s="12" t="s">
        <v>1628</v>
      </c>
      <c r="D28" s="12" t="s">
        <v>246</v>
      </c>
      <c r="E28" s="12" t="s">
        <v>118</v>
      </c>
      <c r="F28" s="12" t="s">
        <v>318</v>
      </c>
    </row>
    <row r="29" spans="1:6" x14ac:dyDescent="0.35">
      <c r="A29" s="12" t="s">
        <v>1628</v>
      </c>
      <c r="B29" s="12" t="s">
        <v>1628</v>
      </c>
      <c r="C29" s="12" t="s">
        <v>1628</v>
      </c>
      <c r="D29" s="12" t="s">
        <v>248</v>
      </c>
      <c r="E29" s="12" t="s">
        <v>119</v>
      </c>
      <c r="F29" s="12" t="s">
        <v>366</v>
      </c>
    </row>
    <row r="30" spans="1:6" x14ac:dyDescent="0.35">
      <c r="A30" s="12" t="s">
        <v>1628</v>
      </c>
      <c r="B30" s="12" t="s">
        <v>1628</v>
      </c>
      <c r="C30" s="12" t="s">
        <v>1628</v>
      </c>
      <c r="D30" s="12" t="s">
        <v>250</v>
      </c>
      <c r="E30" s="12" t="s">
        <v>120</v>
      </c>
      <c r="F30" s="12" t="s">
        <v>347</v>
      </c>
    </row>
    <row r="31" spans="1:6" x14ac:dyDescent="0.35">
      <c r="A31" s="12" t="s">
        <v>1628</v>
      </c>
      <c r="B31" s="12" t="s">
        <v>1628</v>
      </c>
      <c r="C31" s="12" t="s">
        <v>1628</v>
      </c>
      <c r="D31" s="12" t="s">
        <v>252</v>
      </c>
      <c r="E31" s="12" t="s">
        <v>50</v>
      </c>
      <c r="F31" s="12" t="s">
        <v>357</v>
      </c>
    </row>
    <row r="32" spans="1:6" x14ac:dyDescent="0.35">
      <c r="A32" s="12" t="s">
        <v>1628</v>
      </c>
      <c r="B32" s="12" t="s">
        <v>1628</v>
      </c>
      <c r="C32" s="12" t="s">
        <v>1628</v>
      </c>
      <c r="D32" s="12" t="s">
        <v>254</v>
      </c>
      <c r="E32" s="12" t="s">
        <v>45</v>
      </c>
      <c r="F32" s="12" t="s">
        <v>358</v>
      </c>
    </row>
    <row r="33" spans="1:6" x14ac:dyDescent="0.35">
      <c r="A33" s="12" t="s">
        <v>1628</v>
      </c>
      <c r="B33" s="12" t="s">
        <v>1628</v>
      </c>
      <c r="C33" s="12" t="s">
        <v>1628</v>
      </c>
      <c r="D33" s="12" t="s">
        <v>256</v>
      </c>
      <c r="E33" s="12" t="s">
        <v>27</v>
      </c>
      <c r="F33" s="12" t="s">
        <v>367</v>
      </c>
    </row>
    <row r="34" spans="1:6" x14ac:dyDescent="0.35">
      <c r="A34" s="12" t="s">
        <v>1628</v>
      </c>
      <c r="B34" s="12" t="s">
        <v>1628</v>
      </c>
      <c r="C34" s="12" t="s">
        <v>1628</v>
      </c>
      <c r="D34" s="12" t="s">
        <v>258</v>
      </c>
      <c r="E34" s="12" t="s">
        <v>28</v>
      </c>
      <c r="F34" s="12" t="s">
        <v>368</v>
      </c>
    </row>
    <row r="35" spans="1:6" x14ac:dyDescent="0.35">
      <c r="A35" s="12" t="s">
        <v>1628</v>
      </c>
      <c r="B35" s="12" t="s">
        <v>1628</v>
      </c>
      <c r="C35" s="12" t="s">
        <v>1628</v>
      </c>
      <c r="D35" s="12" t="s">
        <v>260</v>
      </c>
      <c r="E35" s="12" t="s">
        <v>29</v>
      </c>
      <c r="F35" s="12" t="s">
        <v>350</v>
      </c>
    </row>
    <row r="36" spans="1:6" x14ac:dyDescent="0.35">
      <c r="A36" s="12" t="s">
        <v>1628</v>
      </c>
      <c r="B36" s="12" t="s">
        <v>1628</v>
      </c>
      <c r="C36" s="12" t="s">
        <v>1628</v>
      </c>
      <c r="D36" s="12" t="s">
        <v>210</v>
      </c>
      <c r="E36" s="12" t="s">
        <v>30</v>
      </c>
      <c r="F36" s="12" t="s">
        <v>1636</v>
      </c>
    </row>
    <row r="37" spans="1:6" x14ac:dyDescent="0.35">
      <c r="A37" s="12" t="s">
        <v>1628</v>
      </c>
      <c r="B37" s="12" t="s">
        <v>1628</v>
      </c>
      <c r="C37" s="12" t="s">
        <v>1628</v>
      </c>
      <c r="D37" s="12" t="s">
        <v>212</v>
      </c>
      <c r="E37" s="12" t="s">
        <v>51</v>
      </c>
      <c r="F37" s="12" t="s">
        <v>1637</v>
      </c>
    </row>
    <row r="38" spans="1:6" x14ac:dyDescent="0.35">
      <c r="A38" s="12" t="s">
        <v>1628</v>
      </c>
      <c r="B38" s="12" t="s">
        <v>1628</v>
      </c>
      <c r="C38" s="12" t="s">
        <v>1628</v>
      </c>
      <c r="D38" s="12" t="s">
        <v>213</v>
      </c>
      <c r="E38" s="12" t="s">
        <v>46</v>
      </c>
      <c r="F38" s="12" t="s">
        <v>1638</v>
      </c>
    </row>
    <row r="39" spans="1:6" x14ac:dyDescent="0.35">
      <c r="A39" s="12" t="s">
        <v>1628</v>
      </c>
      <c r="B39" s="12" t="s">
        <v>1628</v>
      </c>
      <c r="C39" s="12" t="s">
        <v>1628</v>
      </c>
      <c r="D39" s="12" t="s">
        <v>214</v>
      </c>
      <c r="E39" s="12" t="s">
        <v>31</v>
      </c>
      <c r="F39" s="12" t="s">
        <v>1639</v>
      </c>
    </row>
    <row r="40" spans="1:6" x14ac:dyDescent="0.35">
      <c r="A40" s="12" t="s">
        <v>1628</v>
      </c>
      <c r="B40" s="12" t="s">
        <v>1628</v>
      </c>
      <c r="C40" s="12" t="s">
        <v>1628</v>
      </c>
      <c r="D40" s="12" t="s">
        <v>215</v>
      </c>
      <c r="E40" s="12" t="s">
        <v>34</v>
      </c>
      <c r="F40" s="12" t="s">
        <v>1640</v>
      </c>
    </row>
    <row r="41" spans="1:6" x14ac:dyDescent="0.35">
      <c r="A41" s="12" t="s">
        <v>1628</v>
      </c>
      <c r="B41" s="12" t="s">
        <v>1628</v>
      </c>
      <c r="C41" s="12" t="s">
        <v>1628</v>
      </c>
      <c r="D41" s="12" t="s">
        <v>216</v>
      </c>
      <c r="E41" s="12" t="s">
        <v>37</v>
      </c>
      <c r="F41" s="12" t="s">
        <v>348</v>
      </c>
    </row>
    <row r="42" spans="1:6" x14ac:dyDescent="0.35">
      <c r="A42" s="12" t="s">
        <v>1628</v>
      </c>
      <c r="B42" s="12" t="s">
        <v>1628</v>
      </c>
      <c r="C42" s="12" t="s">
        <v>1628</v>
      </c>
      <c r="D42" s="12" t="s">
        <v>217</v>
      </c>
      <c r="E42" s="12" t="s">
        <v>38</v>
      </c>
      <c r="F42" s="12" t="s">
        <v>353</v>
      </c>
    </row>
    <row r="43" spans="1:6" x14ac:dyDescent="0.35">
      <c r="A43" s="12" t="s">
        <v>1628</v>
      </c>
      <c r="B43" s="12" t="s">
        <v>1628</v>
      </c>
      <c r="C43" s="12" t="s">
        <v>1628</v>
      </c>
      <c r="D43" s="12" t="s">
        <v>218</v>
      </c>
      <c r="E43" s="12" t="s">
        <v>39</v>
      </c>
      <c r="F43" s="12" t="s">
        <v>355</v>
      </c>
    </row>
    <row r="44" spans="1:6" x14ac:dyDescent="0.35">
      <c r="A44" s="12" t="s">
        <v>1628</v>
      </c>
      <c r="B44" s="12" t="s">
        <v>1628</v>
      </c>
      <c r="C44" s="12" t="s">
        <v>1628</v>
      </c>
      <c r="D44" s="12" t="s">
        <v>262</v>
      </c>
      <c r="E44" s="12" t="s">
        <v>40</v>
      </c>
      <c r="F44" s="12" t="s">
        <v>369</v>
      </c>
    </row>
    <row r="45" spans="1:6" x14ac:dyDescent="0.35">
      <c r="A45" s="12" t="s">
        <v>1628</v>
      </c>
      <c r="B45" s="12" t="s">
        <v>1628</v>
      </c>
      <c r="C45" s="12" t="s">
        <v>1628</v>
      </c>
      <c r="D45" s="12" t="s">
        <v>263</v>
      </c>
      <c r="E45" s="12" t="s">
        <v>41</v>
      </c>
      <c r="F45" s="12" t="s">
        <v>370</v>
      </c>
    </row>
    <row r="46" spans="1:6" x14ac:dyDescent="0.35">
      <c r="A46" s="12" t="s">
        <v>1628</v>
      </c>
      <c r="B46" s="12" t="s">
        <v>1628</v>
      </c>
      <c r="C46" s="12" t="s">
        <v>1628</v>
      </c>
      <c r="D46" s="12" t="s">
        <v>264</v>
      </c>
      <c r="E46" s="12" t="s">
        <v>71</v>
      </c>
      <c r="F46" s="12" t="s">
        <v>345</v>
      </c>
    </row>
    <row r="47" spans="1:6" x14ac:dyDescent="0.35">
      <c r="A47" s="12" t="s">
        <v>1628</v>
      </c>
      <c r="B47" s="12" t="s">
        <v>1628</v>
      </c>
      <c r="C47" s="12" t="s">
        <v>1628</v>
      </c>
      <c r="D47" s="12" t="s">
        <v>265</v>
      </c>
      <c r="E47" s="12" t="s">
        <v>121</v>
      </c>
      <c r="F47" s="12" t="s">
        <v>335</v>
      </c>
    </row>
    <row r="48" spans="1:6" x14ac:dyDescent="0.35">
      <c r="A48" s="12" t="s">
        <v>1628</v>
      </c>
      <c r="B48" s="12" t="s">
        <v>1628</v>
      </c>
      <c r="C48" s="12" t="s">
        <v>1628</v>
      </c>
      <c r="D48" s="12" t="s">
        <v>266</v>
      </c>
      <c r="E48" s="12" t="s">
        <v>47</v>
      </c>
      <c r="F48" s="12" t="s">
        <v>342</v>
      </c>
    </row>
    <row r="49" spans="1:6" x14ac:dyDescent="0.35">
      <c r="A49" s="12" t="s">
        <v>1628</v>
      </c>
      <c r="B49" s="12" t="s">
        <v>1628</v>
      </c>
      <c r="C49" s="12" t="s">
        <v>1628</v>
      </c>
      <c r="D49" s="12" t="s">
        <v>267</v>
      </c>
      <c r="E49" s="12" t="s">
        <v>42</v>
      </c>
      <c r="F49" s="12" t="s">
        <v>360</v>
      </c>
    </row>
    <row r="50" spans="1:6" x14ac:dyDescent="0.35">
      <c r="A50" s="12" t="s">
        <v>1628</v>
      </c>
      <c r="B50" s="12" t="s">
        <v>1628</v>
      </c>
      <c r="C50" s="12" t="s">
        <v>1628</v>
      </c>
      <c r="D50" s="12" t="s">
        <v>268</v>
      </c>
      <c r="E50" s="12" t="s">
        <v>18</v>
      </c>
      <c r="F50" s="12" t="s">
        <v>361</v>
      </c>
    </row>
    <row r="51" spans="1:6" x14ac:dyDescent="0.35">
      <c r="A51" s="12" t="s">
        <v>1628</v>
      </c>
      <c r="B51" s="12" t="s">
        <v>1628</v>
      </c>
      <c r="C51" s="12" t="s">
        <v>1628</v>
      </c>
      <c r="D51" s="12" t="s">
        <v>269</v>
      </c>
      <c r="E51" s="12" t="s">
        <v>21</v>
      </c>
      <c r="F51" s="12" t="s">
        <v>1628</v>
      </c>
    </row>
    <row r="52" spans="1:6" x14ac:dyDescent="0.35">
      <c r="A52" s="12" t="s">
        <v>1628</v>
      </c>
      <c r="B52" s="12" t="s">
        <v>1628</v>
      </c>
      <c r="C52" s="12" t="s">
        <v>1628</v>
      </c>
      <c r="D52" s="12" t="s">
        <v>227</v>
      </c>
      <c r="E52" s="12" t="s">
        <v>22</v>
      </c>
      <c r="F52" s="12" t="s">
        <v>1628</v>
      </c>
    </row>
    <row r="53" spans="1:6" x14ac:dyDescent="0.35">
      <c r="A53" s="12" t="s">
        <v>1628</v>
      </c>
      <c r="B53" s="12" t="s">
        <v>1628</v>
      </c>
      <c r="C53" s="12" t="s">
        <v>1628</v>
      </c>
      <c r="D53" s="12" t="s">
        <v>229</v>
      </c>
      <c r="E53" s="12" t="s">
        <v>23</v>
      </c>
      <c r="F53" s="12" t="s">
        <v>1628</v>
      </c>
    </row>
    <row r="54" spans="1:6" x14ac:dyDescent="0.35">
      <c r="A54" s="12" t="s">
        <v>1628</v>
      </c>
      <c r="B54" s="12" t="s">
        <v>1628</v>
      </c>
      <c r="C54" s="12" t="s">
        <v>1628</v>
      </c>
      <c r="D54" s="12" t="s">
        <v>231</v>
      </c>
      <c r="E54" s="12" t="s">
        <v>24</v>
      </c>
      <c r="F54" s="12" t="s">
        <v>1628</v>
      </c>
    </row>
    <row r="55" spans="1:6" x14ac:dyDescent="0.35">
      <c r="A55" s="12" t="s">
        <v>1628</v>
      </c>
      <c r="B55" s="12" t="s">
        <v>1628</v>
      </c>
      <c r="C55" s="12" t="s">
        <v>1628</v>
      </c>
      <c r="D55" s="12" t="s">
        <v>233</v>
      </c>
      <c r="E55" s="12" t="s">
        <v>25</v>
      </c>
      <c r="F55" s="12" t="s">
        <v>1628</v>
      </c>
    </row>
    <row r="56" spans="1:6" x14ac:dyDescent="0.35">
      <c r="A56" s="12" t="s">
        <v>1628</v>
      </c>
      <c r="B56" s="12" t="s">
        <v>1628</v>
      </c>
      <c r="C56" s="12" t="s">
        <v>1628</v>
      </c>
      <c r="D56" s="12" t="s">
        <v>234</v>
      </c>
      <c r="E56" s="12" t="s">
        <v>26</v>
      </c>
      <c r="F56" s="12" t="s">
        <v>1628</v>
      </c>
    </row>
    <row r="57" spans="1:6" x14ac:dyDescent="0.35">
      <c r="A57" s="12" t="s">
        <v>1628</v>
      </c>
      <c r="B57" s="12" t="s">
        <v>1628</v>
      </c>
      <c r="C57" s="12" t="s">
        <v>1628</v>
      </c>
      <c r="D57" s="12" t="s">
        <v>236</v>
      </c>
      <c r="E57" s="12" t="s">
        <v>106</v>
      </c>
      <c r="F57" s="12" t="s">
        <v>1628</v>
      </c>
    </row>
    <row r="58" spans="1:6" x14ac:dyDescent="0.35">
      <c r="A58" s="12" t="s">
        <v>1628</v>
      </c>
      <c r="B58" s="12" t="s">
        <v>1628</v>
      </c>
      <c r="C58" s="12" t="s">
        <v>1628</v>
      </c>
      <c r="D58" s="12" t="s">
        <v>238</v>
      </c>
      <c r="E58" s="12" t="s">
        <v>107</v>
      </c>
      <c r="F58" s="12" t="s">
        <v>1628</v>
      </c>
    </row>
    <row r="59" spans="1:6" x14ac:dyDescent="0.35">
      <c r="A59" s="12" t="s">
        <v>1628</v>
      </c>
      <c r="B59" s="12" t="s">
        <v>1628</v>
      </c>
      <c r="C59" s="12" t="s">
        <v>1628</v>
      </c>
      <c r="D59" s="12" t="s">
        <v>240</v>
      </c>
      <c r="E59" s="12" t="s">
        <v>110</v>
      </c>
      <c r="F59" s="12" t="s">
        <v>1628</v>
      </c>
    </row>
    <row r="60" spans="1:6" x14ac:dyDescent="0.35">
      <c r="A60" s="12" t="s">
        <v>1628</v>
      </c>
      <c r="B60" s="12" t="s">
        <v>1628</v>
      </c>
      <c r="C60" s="12" t="s">
        <v>1628</v>
      </c>
      <c r="D60" s="12" t="s">
        <v>278</v>
      </c>
      <c r="E60" s="12" t="s">
        <v>111</v>
      </c>
      <c r="F60" s="12" t="s">
        <v>1628</v>
      </c>
    </row>
    <row r="61" spans="1:6" x14ac:dyDescent="0.35">
      <c r="A61" s="12" t="s">
        <v>1628</v>
      </c>
      <c r="B61" s="12" t="s">
        <v>1628</v>
      </c>
      <c r="C61" s="12" t="s">
        <v>1628</v>
      </c>
      <c r="D61" s="12" t="s">
        <v>280</v>
      </c>
      <c r="E61" s="12" t="s">
        <v>112</v>
      </c>
      <c r="F61" s="12" t="s">
        <v>1628</v>
      </c>
    </row>
    <row r="62" spans="1:6" x14ac:dyDescent="0.35">
      <c r="A62" s="12" t="s">
        <v>1628</v>
      </c>
      <c r="B62" s="12" t="s">
        <v>1628</v>
      </c>
      <c r="C62" s="12" t="s">
        <v>1628</v>
      </c>
      <c r="D62" s="12" t="s">
        <v>282</v>
      </c>
      <c r="E62" s="12" t="s">
        <v>52</v>
      </c>
      <c r="F62" s="12" t="s">
        <v>1628</v>
      </c>
    </row>
    <row r="63" spans="1:6" x14ac:dyDescent="0.35">
      <c r="A63" s="12" t="s">
        <v>1628</v>
      </c>
      <c r="B63" s="12" t="s">
        <v>1628</v>
      </c>
      <c r="C63" s="12" t="s">
        <v>1628</v>
      </c>
      <c r="D63" s="12" t="s">
        <v>284</v>
      </c>
      <c r="E63" s="12" t="s">
        <v>62</v>
      </c>
      <c r="F63" s="12" t="s">
        <v>1628</v>
      </c>
    </row>
    <row r="64" spans="1:6" x14ac:dyDescent="0.35">
      <c r="A64" s="12" t="s">
        <v>1628</v>
      </c>
      <c r="B64" s="12" t="s">
        <v>1628</v>
      </c>
      <c r="C64" s="12" t="s">
        <v>1628</v>
      </c>
      <c r="D64" s="12" t="s">
        <v>286</v>
      </c>
      <c r="E64" s="12" t="s">
        <v>68</v>
      </c>
      <c r="F64" s="12" t="s">
        <v>1628</v>
      </c>
    </row>
    <row r="65" spans="1:6" x14ac:dyDescent="0.35">
      <c r="A65" s="12" t="s">
        <v>1628</v>
      </c>
      <c r="B65" s="12" t="s">
        <v>1628</v>
      </c>
      <c r="C65" s="12" t="s">
        <v>1628</v>
      </c>
      <c r="D65" s="12" t="s">
        <v>185</v>
      </c>
      <c r="E65" s="12" t="s">
        <v>101</v>
      </c>
      <c r="F65" s="12" t="s">
        <v>1628</v>
      </c>
    </row>
    <row r="66" spans="1:6" x14ac:dyDescent="0.35">
      <c r="A66" s="12" t="s">
        <v>1628</v>
      </c>
      <c r="B66" s="12" t="s">
        <v>1628</v>
      </c>
      <c r="C66" s="12" t="s">
        <v>1628</v>
      </c>
      <c r="D66" s="12" t="s">
        <v>290</v>
      </c>
      <c r="E66" s="12" t="s">
        <v>98</v>
      </c>
      <c r="F66" s="12" t="s">
        <v>1628</v>
      </c>
    </row>
    <row r="67" spans="1:6" x14ac:dyDescent="0.35">
      <c r="A67" s="12" t="s">
        <v>1628</v>
      </c>
      <c r="B67" s="12" t="s">
        <v>1628</v>
      </c>
      <c r="C67" s="12" t="s">
        <v>1628</v>
      </c>
      <c r="D67" s="12" t="s">
        <v>292</v>
      </c>
      <c r="E67" s="12" t="s">
        <v>95</v>
      </c>
      <c r="F67" s="12" t="s">
        <v>1628</v>
      </c>
    </row>
    <row r="68" spans="1:6" x14ac:dyDescent="0.35">
      <c r="A68" s="12" t="s">
        <v>1628</v>
      </c>
      <c r="B68" s="12" t="s">
        <v>1628</v>
      </c>
      <c r="C68" s="12" t="s">
        <v>1628</v>
      </c>
      <c r="D68" s="12" t="s">
        <v>293</v>
      </c>
      <c r="E68" s="12" t="s">
        <v>92</v>
      </c>
      <c r="F68" s="12" t="s">
        <v>1628</v>
      </c>
    </row>
    <row r="69" spans="1:6" x14ac:dyDescent="0.35">
      <c r="A69" s="12" t="s">
        <v>1628</v>
      </c>
      <c r="B69" s="12" t="s">
        <v>1628</v>
      </c>
      <c r="C69" s="12" t="s">
        <v>1628</v>
      </c>
      <c r="D69" s="12" t="s">
        <v>294</v>
      </c>
      <c r="E69" s="12" t="s">
        <v>1628</v>
      </c>
      <c r="F69" s="12" t="s">
        <v>1628</v>
      </c>
    </row>
    <row r="70" spans="1:6" x14ac:dyDescent="0.35">
      <c r="A70" s="12" t="s">
        <v>1628</v>
      </c>
      <c r="B70" s="12" t="s">
        <v>1628</v>
      </c>
      <c r="C70" s="12" t="s">
        <v>1628</v>
      </c>
      <c r="D70" s="12" t="s">
        <v>175</v>
      </c>
      <c r="E70" s="12" t="s">
        <v>1628</v>
      </c>
      <c r="F70" s="12" t="s">
        <v>1628</v>
      </c>
    </row>
    <row r="71" spans="1:6" x14ac:dyDescent="0.35">
      <c r="A71" s="12" t="s">
        <v>1628</v>
      </c>
      <c r="B71" s="12" t="s">
        <v>1628</v>
      </c>
      <c r="C71" s="12" t="s">
        <v>1628</v>
      </c>
      <c r="D71" s="12" t="s">
        <v>177</v>
      </c>
      <c r="E71" s="12" t="s">
        <v>1628</v>
      </c>
      <c r="F71" s="12" t="s">
        <v>1628</v>
      </c>
    </row>
    <row r="72" spans="1:6" x14ac:dyDescent="0.35">
      <c r="A72" s="12" t="s">
        <v>1628</v>
      </c>
      <c r="B72" s="12" t="s">
        <v>1628</v>
      </c>
      <c r="C72" s="12" t="s">
        <v>1628</v>
      </c>
      <c r="D72" s="12" t="s">
        <v>178</v>
      </c>
      <c r="E72" s="12" t="s">
        <v>1628</v>
      </c>
      <c r="F72" s="12" t="s">
        <v>1628</v>
      </c>
    </row>
    <row r="73" spans="1:6" x14ac:dyDescent="0.35">
      <c r="A73" s="12" t="s">
        <v>1628</v>
      </c>
      <c r="B73" s="12" t="s">
        <v>1628</v>
      </c>
      <c r="C73" s="12" t="s">
        <v>1628</v>
      </c>
      <c r="D73" s="12" t="s">
        <v>179</v>
      </c>
      <c r="E73" s="12" t="s">
        <v>1628</v>
      </c>
      <c r="F73" s="12" t="s">
        <v>1628</v>
      </c>
    </row>
    <row r="74" spans="1:6" x14ac:dyDescent="0.35">
      <c r="A74" s="12" t="s">
        <v>1628</v>
      </c>
      <c r="B74" s="12" t="s">
        <v>1628</v>
      </c>
      <c r="C74" s="12" t="s">
        <v>1628</v>
      </c>
      <c r="D74" s="12" t="s">
        <v>180</v>
      </c>
      <c r="E74" s="12" t="s">
        <v>1628</v>
      </c>
      <c r="F74" s="12" t="s">
        <v>1628</v>
      </c>
    </row>
    <row r="75" spans="1:6" x14ac:dyDescent="0.35">
      <c r="A75" s="12" t="s">
        <v>1628</v>
      </c>
      <c r="B75" s="12" t="s">
        <v>1628</v>
      </c>
      <c r="C75" s="12" t="s">
        <v>1628</v>
      </c>
      <c r="D75" s="12" t="s">
        <v>181</v>
      </c>
      <c r="E75" s="12" t="s">
        <v>1628</v>
      </c>
      <c r="F75" s="12" t="s">
        <v>1628</v>
      </c>
    </row>
    <row r="76" spans="1:6" x14ac:dyDescent="0.35">
      <c r="A76" s="12" t="s">
        <v>1628</v>
      </c>
      <c r="B76" s="12" t="s">
        <v>1628</v>
      </c>
      <c r="C76" s="12" t="s">
        <v>1628</v>
      </c>
      <c r="D76" s="12" t="s">
        <v>182</v>
      </c>
      <c r="E76" s="12" t="s">
        <v>1628</v>
      </c>
      <c r="F76" s="12" t="s">
        <v>1628</v>
      </c>
    </row>
    <row r="77" spans="1:6" x14ac:dyDescent="0.35">
      <c r="A77" s="12" t="s">
        <v>1628</v>
      </c>
      <c r="B77" s="12" t="s">
        <v>1628</v>
      </c>
      <c r="C77" s="12" t="s">
        <v>1628</v>
      </c>
      <c r="D77" s="12" t="s">
        <v>291</v>
      </c>
      <c r="E77" s="12" t="s">
        <v>1628</v>
      </c>
      <c r="F77" s="12" t="s">
        <v>1628</v>
      </c>
    </row>
    <row r="78" spans="1:6" x14ac:dyDescent="0.35">
      <c r="A78" s="12" t="s">
        <v>1628</v>
      </c>
      <c r="B78" s="12" t="s">
        <v>1628</v>
      </c>
      <c r="C78" s="12" t="s">
        <v>1628</v>
      </c>
      <c r="D78" s="12" t="s">
        <v>165</v>
      </c>
      <c r="E78" s="12" t="s">
        <v>1628</v>
      </c>
      <c r="F78" s="12" t="s">
        <v>1628</v>
      </c>
    </row>
    <row r="79" spans="1:6" x14ac:dyDescent="0.35">
      <c r="A79" s="12" t="s">
        <v>1628</v>
      </c>
      <c r="B79" s="12" t="s">
        <v>1628</v>
      </c>
      <c r="C79" s="12" t="s">
        <v>1628</v>
      </c>
      <c r="D79" s="12" t="s">
        <v>155</v>
      </c>
      <c r="E79" s="12" t="s">
        <v>1628</v>
      </c>
      <c r="F79" s="12" t="s">
        <v>1628</v>
      </c>
    </row>
    <row r="80" spans="1:6" x14ac:dyDescent="0.35">
      <c r="A80" s="12" t="s">
        <v>1628</v>
      </c>
      <c r="B80" s="12" t="s">
        <v>1628</v>
      </c>
      <c r="C80" s="12" t="s">
        <v>1628</v>
      </c>
      <c r="D80" s="12" t="s">
        <v>156</v>
      </c>
      <c r="E80" s="12" t="s">
        <v>1628</v>
      </c>
      <c r="F80" s="12" t="s">
        <v>1628</v>
      </c>
    </row>
    <row r="81" spans="1:6" x14ac:dyDescent="0.35">
      <c r="A81" s="12" t="s">
        <v>1628</v>
      </c>
      <c r="B81" s="12" t="s">
        <v>1628</v>
      </c>
      <c r="C81" s="12" t="s">
        <v>1628</v>
      </c>
      <c r="D81" s="12" t="s">
        <v>157</v>
      </c>
      <c r="E81" s="12" t="s">
        <v>1628</v>
      </c>
      <c r="F81" s="12" t="s">
        <v>1628</v>
      </c>
    </row>
    <row r="82" spans="1:6" x14ac:dyDescent="0.35">
      <c r="A82" s="12" t="s">
        <v>1628</v>
      </c>
      <c r="B82" s="12" t="s">
        <v>1628</v>
      </c>
      <c r="C82" s="12" t="s">
        <v>1628</v>
      </c>
      <c r="D82" s="12" t="s">
        <v>158</v>
      </c>
      <c r="E82" s="12" t="s">
        <v>1628</v>
      </c>
      <c r="F82" s="12" t="s">
        <v>1628</v>
      </c>
    </row>
    <row r="83" spans="1:6" x14ac:dyDescent="0.35">
      <c r="A83" s="12" t="s">
        <v>1628</v>
      </c>
      <c r="B83" s="12" t="s">
        <v>1628</v>
      </c>
      <c r="C83" s="12" t="s">
        <v>1628</v>
      </c>
      <c r="D83" s="12" t="s">
        <v>159</v>
      </c>
      <c r="E83" s="12" t="s">
        <v>1628</v>
      </c>
      <c r="F83" s="12" t="s">
        <v>1628</v>
      </c>
    </row>
    <row r="84" spans="1:6" x14ac:dyDescent="0.35">
      <c r="A84" s="12" t="s">
        <v>1628</v>
      </c>
      <c r="B84" s="12" t="s">
        <v>1628</v>
      </c>
      <c r="C84" s="12" t="s">
        <v>1628</v>
      </c>
      <c r="D84" s="12" t="s">
        <v>162</v>
      </c>
      <c r="E84" s="12" t="s">
        <v>1628</v>
      </c>
      <c r="F84" s="12" t="s">
        <v>1628</v>
      </c>
    </row>
    <row r="85" spans="1:6" x14ac:dyDescent="0.35">
      <c r="A85" s="12" t="s">
        <v>1628</v>
      </c>
      <c r="B85" s="12" t="s">
        <v>1628</v>
      </c>
      <c r="C85" s="12" t="s">
        <v>1628</v>
      </c>
      <c r="D85" s="12" t="s">
        <v>219</v>
      </c>
      <c r="E85" s="12" t="s">
        <v>1628</v>
      </c>
      <c r="F85" s="12" t="s">
        <v>1628</v>
      </c>
    </row>
    <row r="86" spans="1:6" x14ac:dyDescent="0.35">
      <c r="A86" s="12" t="s">
        <v>1628</v>
      </c>
      <c r="B86" s="12" t="s">
        <v>1628</v>
      </c>
      <c r="C86" s="12" t="s">
        <v>1628</v>
      </c>
      <c r="D86" s="12" t="s">
        <v>220</v>
      </c>
      <c r="E86" s="12" t="s">
        <v>1628</v>
      </c>
      <c r="F86" s="12" t="s">
        <v>1628</v>
      </c>
    </row>
    <row r="87" spans="1:6" x14ac:dyDescent="0.35">
      <c r="A87" s="12" t="s">
        <v>1628</v>
      </c>
      <c r="B87" s="12" t="s">
        <v>1628</v>
      </c>
      <c r="C87" s="12" t="s">
        <v>1628</v>
      </c>
      <c r="D87" s="12" t="s">
        <v>221</v>
      </c>
      <c r="E87" s="12" t="s">
        <v>1628</v>
      </c>
      <c r="F87" s="12" t="s">
        <v>1628</v>
      </c>
    </row>
    <row r="88" spans="1:6" x14ac:dyDescent="0.35">
      <c r="A88" s="12" t="s">
        <v>1628</v>
      </c>
      <c r="B88" s="12" t="s">
        <v>1628</v>
      </c>
      <c r="C88" s="12" t="s">
        <v>1628</v>
      </c>
      <c r="D88" s="12" t="s">
        <v>222</v>
      </c>
      <c r="E88" s="12" t="s">
        <v>1628</v>
      </c>
      <c r="F88" s="12" t="s">
        <v>1628</v>
      </c>
    </row>
    <row r="89" spans="1:6" x14ac:dyDescent="0.35">
      <c r="A89" s="12" t="s">
        <v>1628</v>
      </c>
      <c r="B89" s="12" t="s">
        <v>1628</v>
      </c>
      <c r="C89" s="12" t="s">
        <v>1628</v>
      </c>
      <c r="D89" s="12" t="s">
        <v>223</v>
      </c>
      <c r="E89" s="12" t="s">
        <v>1628</v>
      </c>
      <c r="F89" s="12" t="s">
        <v>1628</v>
      </c>
    </row>
    <row r="90" spans="1:6" x14ac:dyDescent="0.35">
      <c r="A90" s="12" t="s">
        <v>1628</v>
      </c>
      <c r="B90" s="12" t="s">
        <v>1628</v>
      </c>
      <c r="C90" s="12" t="s">
        <v>1628</v>
      </c>
      <c r="D90" s="12" t="s">
        <v>224</v>
      </c>
      <c r="E90" s="12" t="s">
        <v>1628</v>
      </c>
      <c r="F90" s="12" t="s">
        <v>1628</v>
      </c>
    </row>
    <row r="91" spans="1:6" x14ac:dyDescent="0.35">
      <c r="A91" s="12" t="s">
        <v>1628</v>
      </c>
      <c r="B91" s="12" t="s">
        <v>1628</v>
      </c>
      <c r="C91" s="12" t="s">
        <v>1628</v>
      </c>
      <c r="D91" s="12" t="s">
        <v>225</v>
      </c>
      <c r="E91" s="12" t="s">
        <v>1628</v>
      </c>
      <c r="F91" s="12" t="s">
        <v>1628</v>
      </c>
    </row>
    <row r="92" spans="1:6" x14ac:dyDescent="0.35">
      <c r="A92" s="12" t="s">
        <v>1628</v>
      </c>
      <c r="B92" s="12" t="s">
        <v>1628</v>
      </c>
      <c r="C92" s="12" t="s">
        <v>1628</v>
      </c>
      <c r="D92" s="12" t="s">
        <v>226</v>
      </c>
      <c r="E92" s="12" t="s">
        <v>1628</v>
      </c>
      <c r="F92" s="12" t="s">
        <v>1628</v>
      </c>
    </row>
    <row r="93" spans="1:6" x14ac:dyDescent="0.35">
      <c r="A93" s="12" t="s">
        <v>1628</v>
      </c>
      <c r="B93" s="12" t="s">
        <v>1628</v>
      </c>
      <c r="C93" s="12" t="s">
        <v>1628</v>
      </c>
      <c r="D93" s="12" t="s">
        <v>270</v>
      </c>
      <c r="E93" s="12" t="s">
        <v>1628</v>
      </c>
      <c r="F93" s="12" t="s">
        <v>1628</v>
      </c>
    </row>
    <row r="94" spans="1:6" x14ac:dyDescent="0.35">
      <c r="A94" s="12" t="s">
        <v>1628</v>
      </c>
      <c r="B94" s="12" t="s">
        <v>1628</v>
      </c>
      <c r="C94" s="12" t="s">
        <v>1628</v>
      </c>
      <c r="D94" s="12" t="s">
        <v>271</v>
      </c>
      <c r="E94" s="12" t="s">
        <v>1628</v>
      </c>
      <c r="F94" s="12" t="s">
        <v>1628</v>
      </c>
    </row>
    <row r="95" spans="1:6" x14ac:dyDescent="0.35">
      <c r="A95" s="12" t="s">
        <v>1628</v>
      </c>
      <c r="B95" s="12" t="s">
        <v>1628</v>
      </c>
      <c r="C95" s="12" t="s">
        <v>1628</v>
      </c>
      <c r="D95" s="12" t="s">
        <v>272</v>
      </c>
      <c r="E95" s="12" t="s">
        <v>1628</v>
      </c>
      <c r="F95" s="12" t="s">
        <v>1628</v>
      </c>
    </row>
    <row r="96" spans="1:6" x14ac:dyDescent="0.35">
      <c r="A96" s="12" t="s">
        <v>1628</v>
      </c>
      <c r="B96" s="12" t="s">
        <v>1628</v>
      </c>
      <c r="C96" s="12" t="s">
        <v>1628</v>
      </c>
      <c r="D96" s="12" t="s">
        <v>273</v>
      </c>
      <c r="E96" s="12" t="s">
        <v>1628</v>
      </c>
      <c r="F96" s="12" t="s">
        <v>1628</v>
      </c>
    </row>
    <row r="97" spans="1:6" x14ac:dyDescent="0.35">
      <c r="A97" s="12" t="s">
        <v>1628</v>
      </c>
      <c r="B97" s="12" t="s">
        <v>1628</v>
      </c>
      <c r="C97" s="12" t="s">
        <v>1628</v>
      </c>
      <c r="D97" s="12" t="s">
        <v>274</v>
      </c>
      <c r="E97" s="12" t="s">
        <v>1628</v>
      </c>
      <c r="F97" s="12" t="s">
        <v>1628</v>
      </c>
    </row>
    <row r="98" spans="1:6" x14ac:dyDescent="0.35">
      <c r="A98" s="12" t="s">
        <v>1628</v>
      </c>
      <c r="B98" s="12" t="s">
        <v>1628</v>
      </c>
      <c r="C98" s="12" t="s">
        <v>1628</v>
      </c>
      <c r="D98" s="12" t="s">
        <v>275</v>
      </c>
      <c r="E98" s="12" t="s">
        <v>1628</v>
      </c>
      <c r="F98" s="12" t="s">
        <v>1628</v>
      </c>
    </row>
    <row r="99" spans="1:6" x14ac:dyDescent="0.35">
      <c r="A99" s="12" t="s">
        <v>1628</v>
      </c>
      <c r="B99" s="12" t="s">
        <v>1628</v>
      </c>
      <c r="C99" s="12" t="s">
        <v>1628</v>
      </c>
      <c r="D99" s="12" t="s">
        <v>276</v>
      </c>
      <c r="E99" s="12" t="s">
        <v>1628</v>
      </c>
      <c r="F99" s="12" t="s">
        <v>1628</v>
      </c>
    </row>
    <row r="100" spans="1:6" x14ac:dyDescent="0.35">
      <c r="A100" s="12" t="s">
        <v>1628</v>
      </c>
      <c r="B100" s="12" t="s">
        <v>1628</v>
      </c>
      <c r="C100" s="12" t="s">
        <v>1628</v>
      </c>
      <c r="D100" s="12" t="s">
        <v>277</v>
      </c>
      <c r="E100" s="12" t="s">
        <v>1628</v>
      </c>
      <c r="F100" s="12" t="s">
        <v>1628</v>
      </c>
    </row>
    <row r="101" spans="1:6" x14ac:dyDescent="0.35">
      <c r="A101" s="12" t="s">
        <v>1628</v>
      </c>
      <c r="B101" s="12" t="s">
        <v>1628</v>
      </c>
      <c r="C101" s="12" t="s">
        <v>1628</v>
      </c>
      <c r="D101" s="12" t="s">
        <v>183</v>
      </c>
      <c r="E101" s="12" t="s">
        <v>1628</v>
      </c>
      <c r="F101" s="12" t="s">
        <v>1628</v>
      </c>
    </row>
  </sheetData>
  <pageMargins left="0.7" right="0.7" top="0.75" bottom="0.75" header="0.3" footer="0.3"/>
  <pageSetup fitToHeight="999" orientation="landscape" horizontalDpi="200" verticalDpi="200" r:id="rId1"/>
  <headerFooter>
    <oddHeader>&amp;CJ1848 BLUE LABELS_B.2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ED43F-AD88-4C47-A47B-475CF7D0D3DC}">
  <sheetPr>
    <pageSetUpPr fitToPage="1"/>
  </sheetPr>
  <dimension ref="A1:H13"/>
  <sheetViews>
    <sheetView showGridLines="0" workbookViewId="0"/>
  </sheetViews>
  <sheetFormatPr defaultRowHeight="14.5" x14ac:dyDescent="0.35"/>
  <cols>
    <col min="1" max="1" width="17.453125" style="12" bestFit="1" customWidth="1"/>
    <col min="2" max="2" width="39.36328125" style="12" bestFit="1" customWidth="1"/>
    <col min="3" max="3" width="28.1796875" style="12" bestFit="1" customWidth="1"/>
    <col min="4" max="4" width="21" style="12" bestFit="1" customWidth="1"/>
    <col min="5" max="5" width="44.36328125" style="12" bestFit="1" customWidth="1"/>
    <col min="6" max="6" width="31.90625" style="12" bestFit="1" customWidth="1"/>
    <col min="7" max="7" width="22.453125" style="12" bestFit="1" customWidth="1"/>
    <col min="8" max="8" width="10" style="12" bestFit="1" customWidth="1"/>
  </cols>
  <sheetData>
    <row r="1" spans="1:8" x14ac:dyDescent="0.35">
      <c r="A1" s="12" t="s">
        <v>1651</v>
      </c>
      <c r="B1" s="12" t="s">
        <v>1652</v>
      </c>
      <c r="C1" s="12" t="s">
        <v>1653</v>
      </c>
      <c r="D1" s="12" t="s">
        <v>1627</v>
      </c>
      <c r="E1" s="12" t="s">
        <v>1629</v>
      </c>
      <c r="F1" s="12" t="s">
        <v>1630</v>
      </c>
      <c r="G1" s="12" t="s">
        <v>1631</v>
      </c>
      <c r="H1" s="12" t="s">
        <v>1632</v>
      </c>
    </row>
    <row r="2" spans="1:8" x14ac:dyDescent="0.35">
      <c r="A2" s="12" t="s">
        <v>1477</v>
      </c>
      <c r="B2" s="12" t="s">
        <v>1114</v>
      </c>
      <c r="C2" s="12" t="s">
        <v>530</v>
      </c>
      <c r="D2" s="12" t="s">
        <v>183</v>
      </c>
      <c r="E2" s="12" t="s">
        <v>585</v>
      </c>
      <c r="F2" s="12" t="s">
        <v>382</v>
      </c>
      <c r="G2" s="12" t="s">
        <v>549</v>
      </c>
      <c r="H2" s="12" t="s">
        <v>383</v>
      </c>
    </row>
    <row r="3" spans="1:8" x14ac:dyDescent="0.35">
      <c r="A3" s="12" t="s">
        <v>1542</v>
      </c>
      <c r="B3" s="12" t="s">
        <v>1115</v>
      </c>
      <c r="C3" s="12" t="s">
        <v>1628</v>
      </c>
      <c r="D3" s="12" t="s">
        <v>185</v>
      </c>
      <c r="E3" s="12" t="s">
        <v>588</v>
      </c>
      <c r="F3" s="12" t="s">
        <v>1628</v>
      </c>
      <c r="G3" s="12" t="s">
        <v>550</v>
      </c>
      <c r="H3" s="12" t="s">
        <v>1628</v>
      </c>
    </row>
    <row r="4" spans="1:8" x14ac:dyDescent="0.35">
      <c r="A4" s="12" t="s">
        <v>1570</v>
      </c>
      <c r="B4" s="12" t="s">
        <v>68</v>
      </c>
      <c r="C4" s="12" t="s">
        <v>1628</v>
      </c>
      <c r="D4" s="12" t="s">
        <v>1628</v>
      </c>
      <c r="E4" s="12" t="s">
        <v>587</v>
      </c>
      <c r="F4" s="12" t="s">
        <v>1628</v>
      </c>
      <c r="G4" s="12" t="s">
        <v>551</v>
      </c>
      <c r="H4" s="12" t="s">
        <v>1628</v>
      </c>
    </row>
    <row r="5" spans="1:8" x14ac:dyDescent="0.35">
      <c r="A5" s="12" t="s">
        <v>1571</v>
      </c>
      <c r="B5" s="12" t="s">
        <v>71</v>
      </c>
      <c r="C5" s="12" t="s">
        <v>1628</v>
      </c>
      <c r="D5" s="12" t="s">
        <v>1628</v>
      </c>
      <c r="E5" s="12" t="s">
        <v>1628</v>
      </c>
      <c r="F5" s="12" t="s">
        <v>1628</v>
      </c>
      <c r="G5" s="12" t="s">
        <v>1628</v>
      </c>
      <c r="H5" s="12" t="s">
        <v>1628</v>
      </c>
    </row>
    <row r="6" spans="1:8" x14ac:dyDescent="0.35">
      <c r="A6" s="12" t="s">
        <v>1572</v>
      </c>
      <c r="B6" s="12" t="s">
        <v>1628</v>
      </c>
      <c r="C6" s="12" t="s">
        <v>1628</v>
      </c>
      <c r="D6" s="12" t="s">
        <v>1628</v>
      </c>
      <c r="E6" s="12" t="s">
        <v>1628</v>
      </c>
      <c r="F6" s="12" t="s">
        <v>1628</v>
      </c>
      <c r="G6" s="12" t="s">
        <v>1628</v>
      </c>
      <c r="H6" s="12" t="s">
        <v>1628</v>
      </c>
    </row>
    <row r="7" spans="1:8" x14ac:dyDescent="0.35">
      <c r="A7" s="12" t="s">
        <v>1573</v>
      </c>
      <c r="B7" s="12" t="s">
        <v>1628</v>
      </c>
      <c r="C7" s="12" t="s">
        <v>1628</v>
      </c>
      <c r="D7" s="12" t="s">
        <v>1628</v>
      </c>
      <c r="E7" s="12" t="s">
        <v>1628</v>
      </c>
      <c r="F7" s="12" t="s">
        <v>1628</v>
      </c>
      <c r="G7" s="12" t="s">
        <v>1628</v>
      </c>
      <c r="H7" s="12" t="s">
        <v>1628</v>
      </c>
    </row>
    <row r="8" spans="1:8" x14ac:dyDescent="0.35">
      <c r="A8" s="12" t="s">
        <v>1574</v>
      </c>
      <c r="B8" s="12" t="s">
        <v>1628</v>
      </c>
      <c r="C8" s="12" t="s">
        <v>1628</v>
      </c>
      <c r="D8" s="12" t="s">
        <v>1628</v>
      </c>
      <c r="E8" s="12" t="s">
        <v>1628</v>
      </c>
      <c r="F8" s="12" t="s">
        <v>1628</v>
      </c>
      <c r="G8" s="12" t="s">
        <v>1628</v>
      </c>
      <c r="H8" s="12" t="s">
        <v>1628</v>
      </c>
    </row>
    <row r="9" spans="1:8" x14ac:dyDescent="0.35">
      <c r="A9" s="12" t="s">
        <v>1576</v>
      </c>
      <c r="B9" s="12" t="s">
        <v>1628</v>
      </c>
      <c r="C9" s="12" t="s">
        <v>1628</v>
      </c>
      <c r="D9" s="12" t="s">
        <v>1628</v>
      </c>
      <c r="E9" s="12" t="s">
        <v>1628</v>
      </c>
      <c r="F9" s="12" t="s">
        <v>1628</v>
      </c>
      <c r="G9" s="12" t="s">
        <v>1628</v>
      </c>
      <c r="H9" s="12" t="s">
        <v>1628</v>
      </c>
    </row>
    <row r="10" spans="1:8" x14ac:dyDescent="0.35">
      <c r="A10" s="12" t="s">
        <v>1116</v>
      </c>
      <c r="B10" s="12" t="s">
        <v>1628</v>
      </c>
      <c r="C10" s="12" t="s">
        <v>1628</v>
      </c>
      <c r="D10" s="12" t="s">
        <v>1628</v>
      </c>
      <c r="E10" s="12" t="s">
        <v>1628</v>
      </c>
      <c r="F10" s="12" t="s">
        <v>1628</v>
      </c>
      <c r="G10" s="12" t="s">
        <v>1628</v>
      </c>
      <c r="H10" s="12" t="s">
        <v>1628</v>
      </c>
    </row>
    <row r="11" spans="1:8" x14ac:dyDescent="0.35">
      <c r="A11" s="12" t="s">
        <v>1259</v>
      </c>
      <c r="B11" s="12" t="s">
        <v>1628</v>
      </c>
      <c r="C11" s="12" t="s">
        <v>1628</v>
      </c>
      <c r="D11" s="12" t="s">
        <v>1628</v>
      </c>
      <c r="E11" s="12" t="s">
        <v>1628</v>
      </c>
      <c r="F11" s="12" t="s">
        <v>1628</v>
      </c>
      <c r="G11" s="12" t="s">
        <v>1628</v>
      </c>
      <c r="H11" s="12" t="s">
        <v>1628</v>
      </c>
    </row>
    <row r="12" spans="1:8" x14ac:dyDescent="0.35">
      <c r="A12" s="12" t="s">
        <v>1620</v>
      </c>
      <c r="B12" s="12" t="s">
        <v>1628</v>
      </c>
      <c r="C12" s="12" t="s">
        <v>1628</v>
      </c>
      <c r="D12" s="12" t="s">
        <v>1628</v>
      </c>
      <c r="E12" s="12" t="s">
        <v>1628</v>
      </c>
      <c r="F12" s="12" t="s">
        <v>1628</v>
      </c>
      <c r="G12" s="12" t="s">
        <v>1628</v>
      </c>
      <c r="H12" s="12" t="s">
        <v>1628</v>
      </c>
    </row>
    <row r="13" spans="1:8" x14ac:dyDescent="0.35">
      <c r="A13" s="12" t="s">
        <v>1624</v>
      </c>
      <c r="B13" s="12" t="s">
        <v>1628</v>
      </c>
      <c r="C13" s="12" t="s">
        <v>1628</v>
      </c>
      <c r="D13" s="12" t="s">
        <v>1628</v>
      </c>
      <c r="E13" s="12" t="s">
        <v>1628</v>
      </c>
      <c r="F13" s="12" t="s">
        <v>1628</v>
      </c>
      <c r="G13" s="12" t="s">
        <v>1628</v>
      </c>
      <c r="H13" s="12" t="s">
        <v>1628</v>
      </c>
    </row>
  </sheetData>
  <pageMargins left="0.7" right="0.7" top="0.75" bottom="0.75" header="0.3" footer="0.3"/>
  <pageSetup fitToHeight="999" orientation="landscape" horizontalDpi="200" verticalDpi="200" r:id="rId1"/>
  <headerFooter>
    <oddHeader>&amp;CJ1848 WHITE LABELS_B.2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2EBC3-471A-43BA-9606-DB37792177E2}">
  <sheetPr>
    <pageSetUpPr fitToPage="1"/>
  </sheetPr>
  <dimension ref="A1:B7"/>
  <sheetViews>
    <sheetView showGridLines="0" workbookViewId="0"/>
  </sheetViews>
  <sheetFormatPr defaultRowHeight="14.5" x14ac:dyDescent="0.35"/>
  <cols>
    <col min="1" max="1" width="17.453125" style="12" bestFit="1" customWidth="1"/>
    <col min="2" max="2" width="21" style="12" bestFit="1" customWidth="1"/>
  </cols>
  <sheetData>
    <row r="1" spans="1:2" x14ac:dyDescent="0.35">
      <c r="A1" s="12" t="s">
        <v>1651</v>
      </c>
      <c r="B1" s="12" t="s">
        <v>1627</v>
      </c>
    </row>
    <row r="2" spans="1:2" x14ac:dyDescent="0.35">
      <c r="A2" s="12" t="s">
        <v>419</v>
      </c>
      <c r="B2" s="12" t="s">
        <v>443</v>
      </c>
    </row>
    <row r="3" spans="1:2" x14ac:dyDescent="0.35">
      <c r="A3" s="12" t="s">
        <v>429</v>
      </c>
      <c r="B3" s="12" t="s">
        <v>446</v>
      </c>
    </row>
    <row r="4" spans="1:2" x14ac:dyDescent="0.35">
      <c r="A4" s="12" t="s">
        <v>1628</v>
      </c>
      <c r="B4" s="12" t="s">
        <v>447</v>
      </c>
    </row>
    <row r="5" spans="1:2" x14ac:dyDescent="0.35">
      <c r="A5" s="12" t="s">
        <v>1628</v>
      </c>
      <c r="B5" s="12" t="s">
        <v>448</v>
      </c>
    </row>
    <row r="6" spans="1:2" x14ac:dyDescent="0.35">
      <c r="A6" s="12" t="s">
        <v>1628</v>
      </c>
      <c r="B6" s="12" t="s">
        <v>449</v>
      </c>
    </row>
    <row r="7" spans="1:2" x14ac:dyDescent="0.35">
      <c r="A7" s="12" t="s">
        <v>1628</v>
      </c>
      <c r="B7" s="12" t="s">
        <v>450</v>
      </c>
    </row>
  </sheetData>
  <pageMargins left="0.7" right="0.7" top="0.75" bottom="0.75" header="0.3" footer="0.3"/>
  <pageSetup fitToHeight="999" orientation="landscape" horizontalDpi="200" verticalDpi="200" r:id="rId1"/>
  <headerFooter>
    <oddHeader>&amp;CJ1848 HEAT SHRINK LABELS_B.2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DFFF9-E50A-48E4-8D5F-18E84556B9B5}">
  <sheetPr>
    <pageSetUpPr fitToPage="1"/>
  </sheetPr>
  <dimension ref="A1:J17"/>
  <sheetViews>
    <sheetView showGridLines="0" workbookViewId="0">
      <selection sqref="A1:C1"/>
    </sheetView>
  </sheetViews>
  <sheetFormatPr defaultRowHeight="14.5" x14ac:dyDescent="0.35"/>
  <cols>
    <col min="1" max="1" width="20.54296875" customWidth="1"/>
    <col min="2" max="2" width="17.08984375" customWidth="1"/>
    <col min="3" max="3" width="27.453125" customWidth="1"/>
    <col min="4" max="4" width="13.6328125" customWidth="1"/>
    <col min="5" max="6" width="17.08984375" customWidth="1"/>
    <col min="7" max="7" width="10.36328125" customWidth="1"/>
    <col min="8" max="8" width="20.54296875" customWidth="1"/>
    <col min="9" max="9" width="17.08984375" customWidth="1"/>
    <col min="10" max="10" width="10.36328125" customWidth="1"/>
  </cols>
  <sheetData>
    <row r="1" spans="1:10" ht="18" customHeight="1" x14ac:dyDescent="0.35">
      <c r="A1" s="29" t="s">
        <v>451</v>
      </c>
      <c r="B1" s="29"/>
      <c r="C1" s="29"/>
    </row>
    <row r="2" spans="1:10" ht="12" customHeight="1" x14ac:dyDescent="0.35">
      <c r="A2" s="30"/>
      <c r="B2" s="30"/>
      <c r="C2" s="30"/>
    </row>
    <row r="3" spans="1:10" ht="12.75" customHeight="1" x14ac:dyDescent="0.35">
      <c r="A3" s="2" t="s">
        <v>2</v>
      </c>
      <c r="B3" s="31" t="s">
        <v>3</v>
      </c>
      <c r="C3" s="31"/>
    </row>
    <row r="4" spans="1:10" ht="12" customHeight="1" x14ac:dyDescent="0.35">
      <c r="A4" s="2" t="s">
        <v>5</v>
      </c>
      <c r="B4" s="31" t="s">
        <v>6</v>
      </c>
      <c r="C4" s="31"/>
    </row>
    <row r="5" spans="1:10" ht="12.75" customHeight="1" x14ac:dyDescent="0.35">
      <c r="A5" s="2" t="s">
        <v>7</v>
      </c>
      <c r="B5" s="31" t="s">
        <v>8</v>
      </c>
      <c r="C5" s="31"/>
    </row>
    <row r="6" spans="1:10" ht="5.25" customHeight="1" x14ac:dyDescent="0.35"/>
    <row r="7" spans="1:10" ht="12" customHeight="1" x14ac:dyDescent="0.35">
      <c r="A7" s="2" t="s">
        <v>9</v>
      </c>
      <c r="B7" s="31" t="s">
        <v>10</v>
      </c>
      <c r="C7" s="31"/>
    </row>
    <row r="8" spans="1:10" ht="12.75" customHeight="1" x14ac:dyDescent="0.35">
      <c r="A8" s="2" t="s">
        <v>11</v>
      </c>
      <c r="B8" s="31"/>
      <c r="C8" s="31"/>
    </row>
    <row r="9" spans="1:10" ht="12" customHeight="1" x14ac:dyDescent="0.35">
      <c r="A9" s="2" t="s">
        <v>12</v>
      </c>
      <c r="B9" s="31" t="s">
        <v>13</v>
      </c>
      <c r="C9" s="31"/>
    </row>
    <row r="10" spans="1:10" ht="12.75" customHeight="1" x14ac:dyDescent="0.35">
      <c r="A10" s="2" t="s">
        <v>11</v>
      </c>
      <c r="B10" s="31"/>
      <c r="C10" s="31"/>
    </row>
    <row r="11" spans="1:10" ht="10.5" customHeight="1" x14ac:dyDescent="0.35"/>
    <row r="12" spans="1:10" ht="16.5" customHeight="1" x14ac:dyDescent="0.35">
      <c r="A12" s="32" t="s">
        <v>452</v>
      </c>
      <c r="B12" s="32"/>
      <c r="C12" s="32"/>
      <c r="D12" s="32"/>
      <c r="E12" s="32"/>
      <c r="F12" s="32"/>
      <c r="G12" s="32"/>
      <c r="H12" s="33" t="s">
        <v>453</v>
      </c>
      <c r="I12" s="33"/>
      <c r="J12" s="33"/>
    </row>
    <row r="13" spans="1:10" ht="43.5" customHeight="1" x14ac:dyDescent="0.35">
      <c r="A13" s="10" t="s">
        <v>14</v>
      </c>
      <c r="B13" s="11" t="s">
        <v>17</v>
      </c>
      <c r="C13" s="11" t="s">
        <v>454</v>
      </c>
      <c r="D13" s="11" t="s">
        <v>455</v>
      </c>
      <c r="E13" s="11" t="s">
        <v>456</v>
      </c>
      <c r="F13" s="11" t="s">
        <v>457</v>
      </c>
      <c r="G13" s="11" t="s">
        <v>458</v>
      </c>
      <c r="H13" s="11" t="s">
        <v>14</v>
      </c>
      <c r="I13" s="11" t="s">
        <v>17</v>
      </c>
      <c r="J13" s="11" t="s">
        <v>458</v>
      </c>
    </row>
    <row r="14" spans="1:10" ht="16.5" customHeight="1" x14ac:dyDescent="0.3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35"/>
    <row r="16" spans="1:10" ht="12" customHeight="1" x14ac:dyDescent="0.35">
      <c r="A16" s="27" t="s">
        <v>4</v>
      </c>
      <c r="B16" s="27"/>
      <c r="C16" s="27"/>
      <c r="E16" s="28" t="s">
        <v>1</v>
      </c>
      <c r="F16" s="28"/>
      <c r="G16" s="28"/>
      <c r="H16" s="28"/>
      <c r="I16" s="28"/>
    </row>
    <row r="17" spans="1:3" ht="0.75" customHeight="1" x14ac:dyDescent="0.35">
      <c r="A17" s="27"/>
      <c r="B17" s="27"/>
      <c r="C17" s="2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200" verticalDpi="200" r:id="rId1"/>
  <headerFooter>
    <oddHeader>&amp;CJ1848 PANEL ERRORS_B.2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DC368-6E55-45DB-BCE5-C3D75DB3DB6E}">
  <sheetPr>
    <pageSetUpPr fitToPage="1"/>
  </sheetPr>
  <dimension ref="A1:F47"/>
  <sheetViews>
    <sheetView showGridLines="0" workbookViewId="0">
      <selection sqref="A1:C1"/>
    </sheetView>
  </sheetViews>
  <sheetFormatPr defaultRowHeight="14.5" x14ac:dyDescent="0.35"/>
  <cols>
    <col min="1" max="1" width="17.08984375" customWidth="1"/>
    <col min="2" max="2" width="5.6328125" customWidth="1"/>
    <col min="3" max="3" width="25.08984375" customWidth="1"/>
    <col min="4" max="4" width="16" customWidth="1"/>
    <col min="5" max="5" width="38.90625" customWidth="1"/>
    <col min="6" max="6" width="34.36328125" customWidth="1"/>
  </cols>
  <sheetData>
    <row r="1" spans="1:6" ht="18" customHeight="1" x14ac:dyDescent="0.35">
      <c r="A1" s="29" t="s">
        <v>404</v>
      </c>
      <c r="B1" s="29"/>
      <c r="C1" s="29"/>
      <c r="D1" s="37" t="s">
        <v>1</v>
      </c>
      <c r="E1" s="37"/>
    </row>
    <row r="2" spans="1:6" ht="3.75" customHeight="1" x14ac:dyDescent="0.35">
      <c r="A2" s="38" t="s">
        <v>2</v>
      </c>
      <c r="B2" s="31" t="s">
        <v>3</v>
      </c>
      <c r="C2" s="31"/>
    </row>
    <row r="3" spans="1:6" ht="9" customHeight="1" x14ac:dyDescent="0.35">
      <c r="A3" s="38"/>
      <c r="B3" s="31"/>
      <c r="C3" s="31"/>
      <c r="D3" s="37" t="s">
        <v>4</v>
      </c>
      <c r="E3" s="37"/>
    </row>
    <row r="4" spans="1:6" ht="9" customHeight="1" x14ac:dyDescent="0.35">
      <c r="A4" s="38" t="s">
        <v>5</v>
      </c>
      <c r="B4" s="31" t="s">
        <v>6</v>
      </c>
      <c r="C4" s="31"/>
      <c r="D4" s="37"/>
      <c r="E4" s="37"/>
    </row>
    <row r="5" spans="1:6" ht="3" customHeight="1" x14ac:dyDescent="0.35">
      <c r="A5" s="38"/>
      <c r="B5" s="31"/>
      <c r="C5" s="31"/>
    </row>
    <row r="6" spans="1:6" ht="12.75" customHeight="1" x14ac:dyDescent="0.35">
      <c r="A6" s="2" t="s">
        <v>7</v>
      </c>
      <c r="B6" s="31" t="s">
        <v>8</v>
      </c>
      <c r="C6" s="31"/>
    </row>
    <row r="7" spans="1:6" ht="4.5" customHeight="1" x14ac:dyDescent="0.35"/>
    <row r="8" spans="1:6" ht="12.75" customHeight="1" x14ac:dyDescent="0.35">
      <c r="A8" s="2" t="s">
        <v>9</v>
      </c>
      <c r="B8" s="31" t="s">
        <v>10</v>
      </c>
      <c r="C8" s="31"/>
    </row>
    <row r="9" spans="1:6" ht="12" customHeight="1" x14ac:dyDescent="0.35">
      <c r="A9" s="2" t="s">
        <v>11</v>
      </c>
      <c r="B9" s="31"/>
      <c r="C9" s="31"/>
    </row>
    <row r="10" spans="1:6" ht="12.75" customHeight="1" x14ac:dyDescent="0.35">
      <c r="A10" s="2" t="s">
        <v>12</v>
      </c>
      <c r="B10" s="31" t="s">
        <v>13</v>
      </c>
      <c r="C10" s="31"/>
    </row>
    <row r="11" spans="1:6" ht="12" customHeight="1" x14ac:dyDescent="0.35">
      <c r="A11" s="2" t="s">
        <v>11</v>
      </c>
      <c r="B11" s="31"/>
      <c r="C11" s="31"/>
    </row>
    <row r="12" spans="1:6" ht="9" customHeight="1" x14ac:dyDescent="0.35"/>
    <row r="13" spans="1:6" ht="16.5" customHeight="1" x14ac:dyDescent="0.35">
      <c r="A13" s="32" t="s">
        <v>14</v>
      </c>
      <c r="B13" s="32"/>
      <c r="C13" s="33" t="s">
        <v>15</v>
      </c>
      <c r="D13" s="33"/>
      <c r="E13" s="33" t="s">
        <v>16</v>
      </c>
      <c r="F13" s="33"/>
    </row>
    <row r="14" spans="1:6" ht="16.5" customHeight="1" x14ac:dyDescent="0.35">
      <c r="A14" s="39" t="s">
        <v>405</v>
      </c>
      <c r="B14" s="39"/>
      <c r="C14" s="40" t="s">
        <v>406</v>
      </c>
      <c r="D14" s="40"/>
      <c r="E14" s="40" t="s">
        <v>407</v>
      </c>
      <c r="F14" s="40"/>
    </row>
    <row r="15" spans="1:6" ht="16.5" customHeight="1" x14ac:dyDescent="0.35">
      <c r="A15" s="34" t="s">
        <v>408</v>
      </c>
      <c r="B15" s="34"/>
      <c r="C15" s="35" t="s">
        <v>409</v>
      </c>
      <c r="D15" s="35"/>
      <c r="E15" s="35" t="s">
        <v>410</v>
      </c>
      <c r="F15" s="35"/>
    </row>
    <row r="16" spans="1:6" ht="16.5" customHeight="1" x14ac:dyDescent="0.35">
      <c r="A16" s="34" t="s">
        <v>411</v>
      </c>
      <c r="B16" s="34"/>
      <c r="C16" s="35" t="s">
        <v>406</v>
      </c>
      <c r="D16" s="35"/>
      <c r="E16" s="35" t="s">
        <v>407</v>
      </c>
      <c r="F16" s="35"/>
    </row>
    <row r="17" spans="1:6" ht="16.5" customHeight="1" x14ac:dyDescent="0.35">
      <c r="A17" s="34" t="s">
        <v>412</v>
      </c>
      <c r="B17" s="34"/>
      <c r="C17" s="35" t="s">
        <v>406</v>
      </c>
      <c r="D17" s="35"/>
      <c r="E17" s="35" t="s">
        <v>407</v>
      </c>
      <c r="F17" s="35"/>
    </row>
    <row r="18" spans="1:6" ht="16.5" customHeight="1" x14ac:dyDescent="0.35">
      <c r="A18" s="34" t="s">
        <v>413</v>
      </c>
      <c r="B18" s="34"/>
      <c r="C18" s="35" t="s">
        <v>406</v>
      </c>
      <c r="D18" s="35"/>
      <c r="E18" s="35" t="s">
        <v>407</v>
      </c>
      <c r="F18" s="35"/>
    </row>
    <row r="19" spans="1:6" ht="16.5" customHeight="1" x14ac:dyDescent="0.35">
      <c r="A19" s="34" t="s">
        <v>414</v>
      </c>
      <c r="B19" s="34"/>
      <c r="C19" s="35" t="s">
        <v>406</v>
      </c>
      <c r="D19" s="35"/>
      <c r="E19" s="35" t="s">
        <v>407</v>
      </c>
      <c r="F19" s="35"/>
    </row>
    <row r="20" spans="1:6" ht="17.25" customHeight="1" x14ac:dyDescent="0.35">
      <c r="A20" s="34" t="s">
        <v>415</v>
      </c>
      <c r="B20" s="34"/>
      <c r="C20" s="35" t="s">
        <v>406</v>
      </c>
      <c r="D20" s="35"/>
      <c r="E20" s="35" t="s">
        <v>407</v>
      </c>
      <c r="F20" s="35"/>
    </row>
    <row r="21" spans="1:6" ht="16.5" customHeight="1" x14ac:dyDescent="0.35">
      <c r="A21" s="34" t="s">
        <v>416</v>
      </c>
      <c r="B21" s="34"/>
      <c r="C21" s="35" t="s">
        <v>406</v>
      </c>
      <c r="D21" s="35"/>
      <c r="E21" s="35" t="s">
        <v>407</v>
      </c>
      <c r="F21" s="35"/>
    </row>
    <row r="22" spans="1:6" ht="16.5" customHeight="1" x14ac:dyDescent="0.35">
      <c r="A22" s="34" t="s">
        <v>417</v>
      </c>
      <c r="B22" s="34"/>
      <c r="C22" s="35" t="s">
        <v>406</v>
      </c>
      <c r="D22" s="35"/>
      <c r="E22" s="35" t="s">
        <v>407</v>
      </c>
      <c r="F22" s="35"/>
    </row>
    <row r="23" spans="1:6" ht="16.5" customHeight="1" x14ac:dyDescent="0.35">
      <c r="A23" s="34" t="s">
        <v>418</v>
      </c>
      <c r="B23" s="34"/>
      <c r="C23" s="35" t="s">
        <v>406</v>
      </c>
      <c r="D23" s="35"/>
      <c r="E23" s="35" t="s">
        <v>407</v>
      </c>
      <c r="F23" s="35"/>
    </row>
    <row r="24" spans="1:6" ht="16.5" customHeight="1" x14ac:dyDescent="0.35">
      <c r="A24" s="34" t="s">
        <v>419</v>
      </c>
      <c r="B24" s="34"/>
      <c r="C24" s="35" t="s">
        <v>420</v>
      </c>
      <c r="D24" s="35"/>
      <c r="E24" s="35" t="s">
        <v>421</v>
      </c>
      <c r="F24" s="35"/>
    </row>
    <row r="25" spans="1:6" ht="16.5" customHeight="1" x14ac:dyDescent="0.35">
      <c r="A25" s="34" t="s">
        <v>422</v>
      </c>
      <c r="B25" s="34"/>
      <c r="C25" s="35" t="s">
        <v>406</v>
      </c>
      <c r="D25" s="35"/>
      <c r="E25" s="35" t="s">
        <v>407</v>
      </c>
      <c r="F25" s="35"/>
    </row>
    <row r="26" spans="1:6" ht="16.5" customHeight="1" x14ac:dyDescent="0.35">
      <c r="A26" s="34" t="s">
        <v>423</v>
      </c>
      <c r="B26" s="34"/>
      <c r="C26" s="35" t="s">
        <v>424</v>
      </c>
      <c r="D26" s="35"/>
      <c r="E26" s="35" t="s">
        <v>425</v>
      </c>
      <c r="F26" s="35"/>
    </row>
    <row r="27" spans="1:6" ht="16.5" customHeight="1" x14ac:dyDescent="0.35">
      <c r="A27" s="34" t="s">
        <v>426</v>
      </c>
      <c r="B27" s="34"/>
      <c r="C27" s="35" t="s">
        <v>424</v>
      </c>
      <c r="D27" s="35"/>
      <c r="E27" s="35" t="s">
        <v>425</v>
      </c>
      <c r="F27" s="35"/>
    </row>
    <row r="28" spans="1:6" ht="16.5" customHeight="1" x14ac:dyDescent="0.35">
      <c r="A28" s="34" t="s">
        <v>427</v>
      </c>
      <c r="B28" s="34"/>
      <c r="C28" s="35" t="s">
        <v>406</v>
      </c>
      <c r="D28" s="35"/>
      <c r="E28" s="35" t="s">
        <v>428</v>
      </c>
      <c r="F28" s="35"/>
    </row>
    <row r="29" spans="1:6" ht="16.5" customHeight="1" x14ac:dyDescent="0.35">
      <c r="A29" s="34" t="s">
        <v>429</v>
      </c>
      <c r="B29" s="34"/>
      <c r="C29" s="35" t="s">
        <v>420</v>
      </c>
      <c r="D29" s="35"/>
      <c r="E29" s="35" t="s">
        <v>421</v>
      </c>
      <c r="F29" s="35"/>
    </row>
    <row r="30" spans="1:6" ht="16.5" customHeight="1" x14ac:dyDescent="0.35">
      <c r="A30" s="34" t="s">
        <v>430</v>
      </c>
      <c r="B30" s="34"/>
      <c r="C30" s="35" t="s">
        <v>431</v>
      </c>
      <c r="D30" s="35"/>
      <c r="E30" s="35" t="s">
        <v>432</v>
      </c>
      <c r="F30" s="35"/>
    </row>
    <row r="31" spans="1:6" ht="16.5" customHeight="1" x14ac:dyDescent="0.35">
      <c r="A31" s="34" t="s">
        <v>433</v>
      </c>
      <c r="B31" s="34"/>
      <c r="C31" s="35" t="s">
        <v>409</v>
      </c>
      <c r="D31" s="35"/>
      <c r="E31" s="35" t="s">
        <v>410</v>
      </c>
      <c r="F31" s="35"/>
    </row>
    <row r="32" spans="1:6" ht="17.25" customHeight="1" x14ac:dyDescent="0.35">
      <c r="A32" s="34" t="s">
        <v>434</v>
      </c>
      <c r="B32" s="34"/>
      <c r="C32" s="35" t="s">
        <v>409</v>
      </c>
      <c r="D32" s="35"/>
      <c r="E32" s="35" t="s">
        <v>410</v>
      </c>
      <c r="F32" s="35"/>
    </row>
    <row r="33" spans="1:6" ht="16.5" customHeight="1" x14ac:dyDescent="0.35">
      <c r="A33" s="34" t="s">
        <v>435</v>
      </c>
      <c r="B33" s="34"/>
      <c r="C33" s="35" t="s">
        <v>409</v>
      </c>
      <c r="D33" s="35"/>
      <c r="E33" s="35" t="s">
        <v>410</v>
      </c>
      <c r="F33" s="35"/>
    </row>
    <row r="34" spans="1:6" ht="16.5" customHeight="1" x14ac:dyDescent="0.35">
      <c r="A34" s="34" t="s">
        <v>436</v>
      </c>
      <c r="B34" s="34"/>
      <c r="C34" s="35" t="s">
        <v>406</v>
      </c>
      <c r="D34" s="35"/>
      <c r="E34" s="35" t="s">
        <v>407</v>
      </c>
      <c r="F34" s="35"/>
    </row>
    <row r="35" spans="1:6" ht="16.5" customHeight="1" x14ac:dyDescent="0.35">
      <c r="A35" s="34" t="s">
        <v>437</v>
      </c>
      <c r="B35" s="34"/>
      <c r="C35" s="35" t="s">
        <v>406</v>
      </c>
      <c r="D35" s="35"/>
      <c r="E35" s="35" t="s">
        <v>407</v>
      </c>
      <c r="F35" s="35"/>
    </row>
    <row r="36" spans="1:6" ht="16.5" customHeight="1" x14ac:dyDescent="0.35">
      <c r="A36" s="34" t="s">
        <v>438</v>
      </c>
      <c r="B36" s="34"/>
      <c r="C36" s="35" t="s">
        <v>406</v>
      </c>
      <c r="D36" s="35"/>
      <c r="E36" s="35" t="s">
        <v>407</v>
      </c>
      <c r="F36" s="35"/>
    </row>
    <row r="37" spans="1:6" ht="16.5" customHeight="1" x14ac:dyDescent="0.35">
      <c r="A37" s="34" t="s">
        <v>439</v>
      </c>
      <c r="B37" s="34"/>
      <c r="C37" s="35" t="s">
        <v>406</v>
      </c>
      <c r="D37" s="35"/>
      <c r="E37" s="35" t="s">
        <v>407</v>
      </c>
      <c r="F37" s="35"/>
    </row>
    <row r="38" spans="1:6" ht="16.5" customHeight="1" x14ac:dyDescent="0.35">
      <c r="A38" s="34" t="s">
        <v>440</v>
      </c>
      <c r="B38" s="34"/>
      <c r="C38" s="35" t="s">
        <v>406</v>
      </c>
      <c r="D38" s="35"/>
      <c r="E38" s="35" t="s">
        <v>407</v>
      </c>
      <c r="F38" s="35"/>
    </row>
    <row r="39" spans="1:6" ht="16.5" customHeight="1" x14ac:dyDescent="0.35">
      <c r="A39" s="34" t="s">
        <v>441</v>
      </c>
      <c r="B39" s="34"/>
      <c r="C39" s="35" t="s">
        <v>406</v>
      </c>
      <c r="D39" s="35"/>
      <c r="E39" s="35" t="s">
        <v>407</v>
      </c>
      <c r="F39" s="35"/>
    </row>
    <row r="40" spans="1:6" ht="16.5" customHeight="1" x14ac:dyDescent="0.35">
      <c r="A40" s="34" t="s">
        <v>442</v>
      </c>
      <c r="B40" s="34"/>
      <c r="C40" s="35" t="s">
        <v>406</v>
      </c>
      <c r="D40" s="35"/>
      <c r="E40" s="35" t="s">
        <v>407</v>
      </c>
      <c r="F40" s="35"/>
    </row>
    <row r="41" spans="1:6" ht="16.5" customHeight="1" x14ac:dyDescent="0.35">
      <c r="A41" s="34" t="s">
        <v>443</v>
      </c>
      <c r="B41" s="34"/>
      <c r="C41" s="35" t="s">
        <v>444</v>
      </c>
      <c r="D41" s="35"/>
      <c r="E41" s="35" t="s">
        <v>445</v>
      </c>
      <c r="F41" s="35"/>
    </row>
    <row r="42" spans="1:6" ht="16.5" customHeight="1" x14ac:dyDescent="0.35">
      <c r="A42" s="34" t="s">
        <v>446</v>
      </c>
      <c r="B42" s="34"/>
      <c r="C42" s="35" t="s">
        <v>444</v>
      </c>
      <c r="D42" s="35"/>
      <c r="E42" s="35" t="s">
        <v>445</v>
      </c>
      <c r="F42" s="35"/>
    </row>
    <row r="43" spans="1:6" ht="16.5" customHeight="1" x14ac:dyDescent="0.35">
      <c r="A43" s="34" t="s">
        <v>447</v>
      </c>
      <c r="B43" s="34"/>
      <c r="C43" s="35" t="s">
        <v>444</v>
      </c>
      <c r="D43" s="35"/>
      <c r="E43" s="35" t="s">
        <v>445</v>
      </c>
      <c r="F43" s="35"/>
    </row>
    <row r="44" spans="1:6" ht="16.5" customHeight="1" x14ac:dyDescent="0.35">
      <c r="A44" s="34" t="s">
        <v>448</v>
      </c>
      <c r="B44" s="34"/>
      <c r="C44" s="35" t="s">
        <v>444</v>
      </c>
      <c r="D44" s="35"/>
      <c r="E44" s="35" t="s">
        <v>445</v>
      </c>
      <c r="F44" s="35"/>
    </row>
    <row r="45" spans="1:6" ht="17.25" customHeight="1" x14ac:dyDescent="0.35">
      <c r="A45" s="34" t="s">
        <v>449</v>
      </c>
      <c r="B45" s="34"/>
      <c r="C45" s="35" t="s">
        <v>444</v>
      </c>
      <c r="D45" s="35"/>
      <c r="E45" s="35" t="s">
        <v>445</v>
      </c>
      <c r="F45" s="35"/>
    </row>
    <row r="46" spans="1:6" ht="16.5" customHeight="1" x14ac:dyDescent="0.35">
      <c r="A46" s="34" t="s">
        <v>450</v>
      </c>
      <c r="B46" s="34"/>
      <c r="C46" s="35" t="s">
        <v>444</v>
      </c>
      <c r="D46" s="35"/>
      <c r="E46" s="35" t="s">
        <v>445</v>
      </c>
      <c r="F46" s="35"/>
    </row>
    <row r="47" spans="1:6" ht="12" customHeight="1" x14ac:dyDescent="0.35">
      <c r="A47" s="36"/>
      <c r="B47" s="36"/>
      <c r="C47" s="36"/>
      <c r="D47" s="36"/>
      <c r="E47" s="36"/>
      <c r="F47" s="36"/>
    </row>
  </sheetData>
  <mergeCells count="115"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  <mergeCell ref="A15:B15"/>
    <mergeCell ref="C15:D15"/>
    <mergeCell ref="E15:F15"/>
    <mergeCell ref="B6:C6"/>
    <mergeCell ref="B8:C8"/>
    <mergeCell ref="B9:C9"/>
    <mergeCell ref="B10:C10"/>
    <mergeCell ref="B11:C11"/>
    <mergeCell ref="A13:B13"/>
    <mergeCell ref="C13:D13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46:B46"/>
    <mergeCell ref="C46:D46"/>
    <mergeCell ref="E46:F46"/>
    <mergeCell ref="A47:F47"/>
    <mergeCell ref="A44:B44"/>
    <mergeCell ref="C44:D44"/>
    <mergeCell ref="E44:F44"/>
    <mergeCell ref="A45:B45"/>
    <mergeCell ref="C45:D45"/>
    <mergeCell ref="E45:F45"/>
  </mergeCells>
  <pageMargins left="0.7" right="0.7" top="0.75" bottom="0.75" header="0.3" footer="0.3"/>
  <pageSetup fitToHeight="999" orientation="landscape" horizontalDpi="200" verticalDpi="200" r:id="rId1"/>
  <headerFooter>
    <oddHeader>&amp;CJ1848 CABLE PART NUMBERS_B.2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256"/>
  <sheetViews>
    <sheetView showGridLines="0" workbookViewId="0">
      <selection sqref="A1:B1"/>
    </sheetView>
  </sheetViews>
  <sheetFormatPr defaultRowHeight="14.5" x14ac:dyDescent="0.35"/>
  <cols>
    <col min="1" max="1" width="17.08984375" customWidth="1"/>
    <col min="2" max="2" width="30.90625" customWidth="1"/>
    <col min="3" max="3" width="54.90625" customWidth="1"/>
    <col min="4" max="4" width="34.36328125" customWidth="1"/>
  </cols>
  <sheetData>
    <row r="1" spans="1:4" ht="18" customHeight="1" x14ac:dyDescent="0.35">
      <c r="A1" s="29" t="s">
        <v>0</v>
      </c>
      <c r="B1" s="29"/>
      <c r="C1" s="1" t="s">
        <v>1</v>
      </c>
    </row>
    <row r="2" spans="1:4" ht="3.75" customHeight="1" x14ac:dyDescent="0.35">
      <c r="A2" s="38" t="s">
        <v>2</v>
      </c>
      <c r="B2" s="31" t="s">
        <v>3</v>
      </c>
    </row>
    <row r="3" spans="1:4" ht="9" customHeight="1" x14ac:dyDescent="0.35">
      <c r="A3" s="38"/>
      <c r="B3" s="31"/>
      <c r="C3" s="37" t="s">
        <v>4</v>
      </c>
    </row>
    <row r="4" spans="1:4" ht="9" customHeight="1" x14ac:dyDescent="0.35">
      <c r="A4" s="38" t="s">
        <v>5</v>
      </c>
      <c r="B4" s="31" t="s">
        <v>6</v>
      </c>
      <c r="C4" s="37"/>
    </row>
    <row r="5" spans="1:4" ht="3" customHeight="1" x14ac:dyDescent="0.35">
      <c r="A5" s="38"/>
      <c r="B5" s="31"/>
    </row>
    <row r="6" spans="1:4" ht="12.75" customHeight="1" x14ac:dyDescent="0.35">
      <c r="A6" s="2" t="s">
        <v>7</v>
      </c>
      <c r="B6" s="3" t="s">
        <v>8</v>
      </c>
    </row>
    <row r="7" spans="1:4" ht="4.5" customHeight="1" x14ac:dyDescent="0.35"/>
    <row r="8" spans="1:4" ht="12.75" customHeight="1" x14ac:dyDescent="0.35">
      <c r="A8" s="2" t="s">
        <v>9</v>
      </c>
      <c r="B8" s="3" t="s">
        <v>10</v>
      </c>
    </row>
    <row r="9" spans="1:4" ht="12" customHeight="1" x14ac:dyDescent="0.35">
      <c r="A9" s="2" t="s">
        <v>11</v>
      </c>
      <c r="B9" s="3"/>
    </row>
    <row r="10" spans="1:4" ht="12.75" customHeight="1" x14ac:dyDescent="0.35">
      <c r="A10" s="2" t="s">
        <v>12</v>
      </c>
      <c r="B10" s="3" t="s">
        <v>13</v>
      </c>
    </row>
    <row r="11" spans="1:4" ht="12" customHeight="1" x14ac:dyDescent="0.35">
      <c r="A11" s="2" t="s">
        <v>11</v>
      </c>
      <c r="B11" s="3"/>
    </row>
    <row r="12" spans="1:4" ht="9" customHeight="1" x14ac:dyDescent="0.35"/>
    <row r="13" spans="1:4" ht="16.5" customHeight="1" x14ac:dyDescent="0.3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35">
      <c r="A14" s="6" t="s">
        <v>18</v>
      </c>
      <c r="B14" s="7" t="s">
        <v>19</v>
      </c>
      <c r="C14" s="7" t="s">
        <v>20</v>
      </c>
      <c r="D14" s="7" t="s">
        <v>1654</v>
      </c>
    </row>
    <row r="15" spans="1:4" ht="16.5" customHeight="1" x14ac:dyDescent="0.35">
      <c r="A15" s="8" t="s">
        <v>21</v>
      </c>
      <c r="B15" s="9" t="s">
        <v>19</v>
      </c>
      <c r="C15" s="9" t="s">
        <v>20</v>
      </c>
      <c r="D15" s="9" t="s">
        <v>1654</v>
      </c>
    </row>
    <row r="16" spans="1:4" ht="16.5" customHeight="1" x14ac:dyDescent="0.35">
      <c r="A16" s="8" t="s">
        <v>22</v>
      </c>
      <c r="B16" s="9" t="s">
        <v>19</v>
      </c>
      <c r="C16" s="9" t="s">
        <v>20</v>
      </c>
      <c r="D16" s="9" t="s">
        <v>1654</v>
      </c>
    </row>
    <row r="17" spans="1:4" ht="16.5" customHeight="1" x14ac:dyDescent="0.35">
      <c r="A17" s="8" t="s">
        <v>23</v>
      </c>
      <c r="B17" s="9" t="s">
        <v>19</v>
      </c>
      <c r="C17" s="9" t="s">
        <v>20</v>
      </c>
      <c r="D17" s="9" t="s">
        <v>1654</v>
      </c>
    </row>
    <row r="18" spans="1:4" ht="16.5" customHeight="1" x14ac:dyDescent="0.35">
      <c r="A18" s="8" t="s">
        <v>24</v>
      </c>
      <c r="B18" s="9" t="s">
        <v>19</v>
      </c>
      <c r="C18" s="9" t="s">
        <v>20</v>
      </c>
      <c r="D18" s="9" t="s">
        <v>1654</v>
      </c>
    </row>
    <row r="19" spans="1:4" ht="16.5" customHeight="1" x14ac:dyDescent="0.35">
      <c r="A19" s="8" t="s">
        <v>25</v>
      </c>
      <c r="B19" s="9" t="s">
        <v>19</v>
      </c>
      <c r="C19" s="9" t="s">
        <v>20</v>
      </c>
      <c r="D19" s="9" t="s">
        <v>1654</v>
      </c>
    </row>
    <row r="20" spans="1:4" ht="17.25" customHeight="1" x14ac:dyDescent="0.35">
      <c r="A20" s="8" t="s">
        <v>26</v>
      </c>
      <c r="B20" s="9" t="s">
        <v>19</v>
      </c>
      <c r="C20" s="9" t="s">
        <v>20</v>
      </c>
      <c r="D20" s="9" t="s">
        <v>1654</v>
      </c>
    </row>
    <row r="21" spans="1:4" ht="16.5" customHeight="1" x14ac:dyDescent="0.35">
      <c r="A21" s="8" t="s">
        <v>27</v>
      </c>
      <c r="B21" s="9" t="s">
        <v>19</v>
      </c>
      <c r="C21" s="9" t="s">
        <v>20</v>
      </c>
      <c r="D21" s="9" t="s">
        <v>1654</v>
      </c>
    </row>
    <row r="22" spans="1:4" ht="16.5" customHeight="1" x14ac:dyDescent="0.35">
      <c r="A22" s="8" t="s">
        <v>28</v>
      </c>
      <c r="B22" s="9" t="s">
        <v>19</v>
      </c>
      <c r="C22" s="9" t="s">
        <v>20</v>
      </c>
      <c r="D22" s="9" t="s">
        <v>1654</v>
      </c>
    </row>
    <row r="23" spans="1:4" ht="16.5" customHeight="1" x14ac:dyDescent="0.35">
      <c r="A23" s="8" t="s">
        <v>29</v>
      </c>
      <c r="B23" s="9" t="s">
        <v>19</v>
      </c>
      <c r="C23" s="9" t="s">
        <v>20</v>
      </c>
      <c r="D23" s="9" t="s">
        <v>1654</v>
      </c>
    </row>
    <row r="24" spans="1:4" ht="16.5" customHeight="1" x14ac:dyDescent="0.35">
      <c r="A24" s="8" t="s">
        <v>30</v>
      </c>
      <c r="B24" s="9" t="s">
        <v>19</v>
      </c>
      <c r="C24" s="9" t="s">
        <v>20</v>
      </c>
      <c r="D24" s="9" t="s">
        <v>1654</v>
      </c>
    </row>
    <row r="25" spans="1:4" ht="16.5" customHeight="1" x14ac:dyDescent="0.35">
      <c r="A25" s="8" t="s">
        <v>31</v>
      </c>
      <c r="B25" s="9" t="s">
        <v>32</v>
      </c>
      <c r="C25" s="9" t="s">
        <v>33</v>
      </c>
      <c r="D25" s="9" t="s">
        <v>1654</v>
      </c>
    </row>
    <row r="26" spans="1:4" ht="16.5" customHeight="1" x14ac:dyDescent="0.35">
      <c r="A26" s="8" t="s">
        <v>34</v>
      </c>
      <c r="B26" s="9" t="s">
        <v>35</v>
      </c>
      <c r="C26" s="9" t="s">
        <v>36</v>
      </c>
      <c r="D26" s="9" t="s">
        <v>1654</v>
      </c>
    </row>
    <row r="27" spans="1:4" ht="16.5" customHeight="1" x14ac:dyDescent="0.35">
      <c r="A27" s="8" t="s">
        <v>37</v>
      </c>
      <c r="B27" s="9" t="s">
        <v>35</v>
      </c>
      <c r="C27" s="9" t="s">
        <v>36</v>
      </c>
      <c r="D27" s="9" t="s">
        <v>1654</v>
      </c>
    </row>
    <row r="28" spans="1:4" ht="16.5" customHeight="1" x14ac:dyDescent="0.35">
      <c r="A28" s="8" t="s">
        <v>38</v>
      </c>
      <c r="B28" s="9" t="s">
        <v>35</v>
      </c>
      <c r="C28" s="9" t="s">
        <v>36</v>
      </c>
      <c r="D28" s="9" t="s">
        <v>1654</v>
      </c>
    </row>
    <row r="29" spans="1:4" ht="16.5" customHeight="1" x14ac:dyDescent="0.35">
      <c r="A29" s="8" t="s">
        <v>39</v>
      </c>
      <c r="B29" s="9" t="s">
        <v>35</v>
      </c>
      <c r="C29" s="9" t="s">
        <v>36</v>
      </c>
      <c r="D29" s="9" t="s">
        <v>1654</v>
      </c>
    </row>
    <row r="30" spans="1:4" ht="16.5" customHeight="1" x14ac:dyDescent="0.35">
      <c r="A30" s="8" t="s">
        <v>40</v>
      </c>
      <c r="B30" s="9" t="s">
        <v>35</v>
      </c>
      <c r="C30" s="9" t="s">
        <v>36</v>
      </c>
      <c r="D30" s="9" t="s">
        <v>1654</v>
      </c>
    </row>
    <row r="31" spans="1:4" ht="16.5" customHeight="1" x14ac:dyDescent="0.35">
      <c r="A31" s="8" t="s">
        <v>41</v>
      </c>
      <c r="B31" s="9" t="s">
        <v>35</v>
      </c>
      <c r="C31" s="9" t="s">
        <v>36</v>
      </c>
      <c r="D31" s="9" t="s">
        <v>1654</v>
      </c>
    </row>
    <row r="32" spans="1:4" ht="17.25" customHeight="1" x14ac:dyDescent="0.35">
      <c r="A32" s="8" t="s">
        <v>42</v>
      </c>
      <c r="B32" s="9" t="s">
        <v>43</v>
      </c>
      <c r="C32" s="9" t="s">
        <v>44</v>
      </c>
      <c r="D32" s="9" t="s">
        <v>1654</v>
      </c>
    </row>
    <row r="33" spans="1:4" ht="16.5" customHeight="1" x14ac:dyDescent="0.35">
      <c r="A33" s="8" t="s">
        <v>45</v>
      </c>
      <c r="B33" s="9" t="s">
        <v>43</v>
      </c>
      <c r="C33" s="9" t="s">
        <v>44</v>
      </c>
      <c r="D33" s="9" t="s">
        <v>1654</v>
      </c>
    </row>
    <row r="34" spans="1:4" ht="16.5" customHeight="1" x14ac:dyDescent="0.35">
      <c r="A34" s="8" t="s">
        <v>46</v>
      </c>
      <c r="B34" s="9" t="s">
        <v>43</v>
      </c>
      <c r="C34" s="9" t="s">
        <v>44</v>
      </c>
      <c r="D34" s="9" t="s">
        <v>1654</v>
      </c>
    </row>
    <row r="35" spans="1:4" ht="16.5" customHeight="1" x14ac:dyDescent="0.35">
      <c r="A35" s="8" t="s">
        <v>47</v>
      </c>
      <c r="B35" s="9" t="s">
        <v>48</v>
      </c>
      <c r="C35" s="9" t="s">
        <v>49</v>
      </c>
      <c r="D35" s="9" t="s">
        <v>1654</v>
      </c>
    </row>
    <row r="36" spans="1:4" ht="16.5" customHeight="1" x14ac:dyDescent="0.35">
      <c r="A36" s="8" t="s">
        <v>50</v>
      </c>
      <c r="B36" s="9" t="s">
        <v>48</v>
      </c>
      <c r="C36" s="9" t="s">
        <v>49</v>
      </c>
      <c r="D36" s="9" t="s">
        <v>1654</v>
      </c>
    </row>
    <row r="37" spans="1:4" ht="16.5" customHeight="1" x14ac:dyDescent="0.35">
      <c r="A37" s="8" t="s">
        <v>51</v>
      </c>
      <c r="B37" s="9" t="s">
        <v>48</v>
      </c>
      <c r="C37" s="9" t="s">
        <v>49</v>
      </c>
      <c r="D37" s="9" t="s">
        <v>1654</v>
      </c>
    </row>
    <row r="38" spans="1:4" ht="16.5" customHeight="1" x14ac:dyDescent="0.35">
      <c r="A38" s="8" t="s">
        <v>52</v>
      </c>
      <c r="B38" s="9" t="s">
        <v>53</v>
      </c>
      <c r="C38" s="9" t="s">
        <v>54</v>
      </c>
      <c r="D38" s="9" t="s">
        <v>1654</v>
      </c>
    </row>
    <row r="39" spans="1:4" ht="16.5" customHeight="1" x14ac:dyDescent="0.35">
      <c r="A39" s="8" t="s">
        <v>55</v>
      </c>
      <c r="B39" s="9" t="s">
        <v>56</v>
      </c>
      <c r="C39" s="9" t="s">
        <v>57</v>
      </c>
      <c r="D39" s="9" t="s">
        <v>1654</v>
      </c>
    </row>
    <row r="40" spans="1:4" ht="16.5" customHeight="1" x14ac:dyDescent="0.35">
      <c r="A40" s="8" t="s">
        <v>58</v>
      </c>
      <c r="B40" s="9" t="s">
        <v>59</v>
      </c>
      <c r="C40" s="9" t="s">
        <v>60</v>
      </c>
      <c r="D40" s="9" t="s">
        <v>1654</v>
      </c>
    </row>
    <row r="41" spans="1:4" ht="16.5" customHeight="1" x14ac:dyDescent="0.35">
      <c r="A41" s="8" t="s">
        <v>61</v>
      </c>
      <c r="B41" s="9" t="s">
        <v>48</v>
      </c>
      <c r="C41" s="9" t="s">
        <v>49</v>
      </c>
      <c r="D41" s="9" t="s">
        <v>1654</v>
      </c>
    </row>
    <row r="42" spans="1:4" ht="16.5" customHeight="1" x14ac:dyDescent="0.35">
      <c r="A42" s="8" t="s">
        <v>62</v>
      </c>
      <c r="B42" s="9" t="s">
        <v>53</v>
      </c>
      <c r="C42" s="9" t="s">
        <v>54</v>
      </c>
      <c r="D42" s="9" t="s">
        <v>1654</v>
      </c>
    </row>
    <row r="43" spans="1:4" ht="16.5" customHeight="1" x14ac:dyDescent="0.35">
      <c r="A43" s="8" t="s">
        <v>63</v>
      </c>
      <c r="B43" s="9" t="s">
        <v>56</v>
      </c>
      <c r="C43" s="9" t="s">
        <v>57</v>
      </c>
      <c r="D43" s="9" t="s">
        <v>1654</v>
      </c>
    </row>
    <row r="44" spans="1:4" ht="16.5" customHeight="1" x14ac:dyDescent="0.35">
      <c r="A44" s="8" t="s">
        <v>64</v>
      </c>
      <c r="B44" s="9" t="s">
        <v>65</v>
      </c>
      <c r="C44" s="9" t="s">
        <v>66</v>
      </c>
      <c r="D44" s="9" t="s">
        <v>1654</v>
      </c>
    </row>
    <row r="45" spans="1:4" ht="17.25" customHeight="1" x14ac:dyDescent="0.35">
      <c r="A45" s="8" t="s">
        <v>67</v>
      </c>
      <c r="B45" s="9" t="s">
        <v>65</v>
      </c>
      <c r="C45" s="9" t="s">
        <v>66</v>
      </c>
      <c r="D45" s="9" t="s">
        <v>1654</v>
      </c>
    </row>
    <row r="46" spans="1:4" ht="16.5" customHeight="1" x14ac:dyDescent="0.35">
      <c r="A46" s="8" t="s">
        <v>68</v>
      </c>
      <c r="B46" s="9" t="s">
        <v>69</v>
      </c>
      <c r="C46" s="9" t="s">
        <v>70</v>
      </c>
      <c r="D46" s="9" t="s">
        <v>1654</v>
      </c>
    </row>
    <row r="47" spans="1:4" ht="16.5" customHeight="1" x14ac:dyDescent="0.35">
      <c r="A47" s="8" t="s">
        <v>71</v>
      </c>
      <c r="B47" s="9" t="s">
        <v>69</v>
      </c>
      <c r="C47" s="9" t="s">
        <v>70</v>
      </c>
      <c r="D47" s="9" t="s">
        <v>1654</v>
      </c>
    </row>
    <row r="48" spans="1:4" ht="16.5" customHeight="1" x14ac:dyDescent="0.35">
      <c r="A48" s="8" t="s">
        <v>72</v>
      </c>
      <c r="B48" s="9" t="s">
        <v>69</v>
      </c>
      <c r="C48" s="9" t="s">
        <v>70</v>
      </c>
      <c r="D48" s="9" t="s">
        <v>1654</v>
      </c>
    </row>
    <row r="49" spans="1:4" ht="16.5" customHeight="1" x14ac:dyDescent="0.35">
      <c r="A49" s="8" t="s">
        <v>73</v>
      </c>
      <c r="B49" s="9" t="s">
        <v>69</v>
      </c>
      <c r="C49" s="9" t="s">
        <v>70</v>
      </c>
      <c r="D49" s="9" t="s">
        <v>1654</v>
      </c>
    </row>
    <row r="50" spans="1:4" ht="16.5" customHeight="1" x14ac:dyDescent="0.35">
      <c r="A50" s="8" t="s">
        <v>74</v>
      </c>
      <c r="B50" s="9" t="s">
        <v>75</v>
      </c>
      <c r="C50" s="9" t="s">
        <v>76</v>
      </c>
      <c r="D50" s="9" t="s">
        <v>1654</v>
      </c>
    </row>
    <row r="51" spans="1:4" ht="16.5" customHeight="1" x14ac:dyDescent="0.35">
      <c r="A51" s="8" t="s">
        <v>77</v>
      </c>
      <c r="B51" s="9" t="s">
        <v>75</v>
      </c>
      <c r="C51" s="9" t="s">
        <v>76</v>
      </c>
      <c r="D51" s="9" t="s">
        <v>1654</v>
      </c>
    </row>
    <row r="52" spans="1:4" ht="16.5" customHeight="1" x14ac:dyDescent="0.35">
      <c r="A52" s="8" t="s">
        <v>78</v>
      </c>
      <c r="B52" s="9" t="s">
        <v>75</v>
      </c>
      <c r="C52" s="9" t="s">
        <v>76</v>
      </c>
      <c r="D52" s="9" t="s">
        <v>1654</v>
      </c>
    </row>
    <row r="53" spans="1:4" ht="16.5" customHeight="1" x14ac:dyDescent="0.35">
      <c r="A53" s="8" t="s">
        <v>79</v>
      </c>
      <c r="B53" s="9" t="s">
        <v>80</v>
      </c>
      <c r="C53" s="9" t="s">
        <v>81</v>
      </c>
      <c r="D53" s="9" t="s">
        <v>1654</v>
      </c>
    </row>
    <row r="54" spans="1:4" ht="16.5" customHeight="1" x14ac:dyDescent="0.35">
      <c r="A54" s="8" t="s">
        <v>82</v>
      </c>
      <c r="B54" s="9" t="s">
        <v>83</v>
      </c>
      <c r="C54" s="9" t="s">
        <v>84</v>
      </c>
      <c r="D54" s="9" t="s">
        <v>1654</v>
      </c>
    </row>
    <row r="55" spans="1:4" ht="16.5" customHeight="1" x14ac:dyDescent="0.35">
      <c r="A55" s="8" t="s">
        <v>85</v>
      </c>
      <c r="B55" s="9" t="s">
        <v>83</v>
      </c>
      <c r="C55" s="9" t="s">
        <v>84</v>
      </c>
      <c r="D55" s="9" t="s">
        <v>1654</v>
      </c>
    </row>
    <row r="56" spans="1:4" ht="16.5" customHeight="1" x14ac:dyDescent="0.35">
      <c r="A56" s="8" t="s">
        <v>86</v>
      </c>
      <c r="B56" s="9" t="s">
        <v>87</v>
      </c>
      <c r="C56" s="9" t="s">
        <v>88</v>
      </c>
      <c r="D56" s="9" t="s">
        <v>1654</v>
      </c>
    </row>
    <row r="57" spans="1:4" ht="17.25" customHeight="1" x14ac:dyDescent="0.35">
      <c r="A57" s="8" t="s">
        <v>89</v>
      </c>
      <c r="B57" s="9" t="s">
        <v>90</v>
      </c>
      <c r="C57" s="9" t="s">
        <v>91</v>
      </c>
      <c r="D57" s="9" t="s">
        <v>1654</v>
      </c>
    </row>
    <row r="58" spans="1:4" ht="16.5" customHeight="1" x14ac:dyDescent="0.35">
      <c r="A58" s="8" t="s">
        <v>92</v>
      </c>
      <c r="B58" s="9" t="s">
        <v>93</v>
      </c>
      <c r="C58" s="9" t="s">
        <v>94</v>
      </c>
      <c r="D58" s="9" t="s">
        <v>1654</v>
      </c>
    </row>
    <row r="59" spans="1:4" ht="16.5" customHeight="1" x14ac:dyDescent="0.35">
      <c r="A59" s="8" t="s">
        <v>95</v>
      </c>
      <c r="B59" s="9" t="s">
        <v>96</v>
      </c>
      <c r="C59" s="9" t="s">
        <v>97</v>
      </c>
      <c r="D59" s="9" t="s">
        <v>1654</v>
      </c>
    </row>
    <row r="60" spans="1:4" ht="16.5" customHeight="1" x14ac:dyDescent="0.35">
      <c r="A60" s="8" t="s">
        <v>98</v>
      </c>
      <c r="B60" s="9" t="s">
        <v>99</v>
      </c>
      <c r="C60" s="9" t="s">
        <v>100</v>
      </c>
      <c r="D60" s="9" t="s">
        <v>1654</v>
      </c>
    </row>
    <row r="61" spans="1:4" ht="16.5" customHeight="1" x14ac:dyDescent="0.35">
      <c r="A61" s="8" t="s">
        <v>101</v>
      </c>
      <c r="B61" s="9" t="s">
        <v>99</v>
      </c>
      <c r="C61" s="9" t="s">
        <v>100</v>
      </c>
      <c r="D61" s="9" t="s">
        <v>1654</v>
      </c>
    </row>
    <row r="62" spans="1:4" ht="16.5" customHeight="1" x14ac:dyDescent="0.35">
      <c r="A62" s="8" t="s">
        <v>102</v>
      </c>
      <c r="B62" s="9" t="s">
        <v>103</v>
      </c>
      <c r="C62" s="9" t="s">
        <v>104</v>
      </c>
      <c r="D62" s="9" t="s">
        <v>1654</v>
      </c>
    </row>
    <row r="63" spans="1:4" ht="16.5" customHeight="1" x14ac:dyDescent="0.35">
      <c r="A63" s="8" t="s">
        <v>105</v>
      </c>
      <c r="B63" s="9" t="s">
        <v>103</v>
      </c>
      <c r="C63" s="9" t="s">
        <v>104</v>
      </c>
      <c r="D63" s="9" t="s">
        <v>1654</v>
      </c>
    </row>
    <row r="64" spans="1:4" ht="16.5" customHeight="1" x14ac:dyDescent="0.35">
      <c r="A64" s="8" t="s">
        <v>106</v>
      </c>
      <c r="B64" s="9" t="s">
        <v>103</v>
      </c>
      <c r="C64" s="9" t="s">
        <v>104</v>
      </c>
      <c r="D64" s="9" t="s">
        <v>1654</v>
      </c>
    </row>
    <row r="65" spans="1:4" ht="16.5" customHeight="1" x14ac:dyDescent="0.35">
      <c r="A65" s="8" t="s">
        <v>107</v>
      </c>
      <c r="B65" s="9" t="s">
        <v>108</v>
      </c>
      <c r="C65" s="9" t="s">
        <v>109</v>
      </c>
      <c r="D65" s="9" t="s">
        <v>1654</v>
      </c>
    </row>
    <row r="66" spans="1:4" ht="16.5" customHeight="1" x14ac:dyDescent="0.35">
      <c r="A66" s="8" t="s">
        <v>110</v>
      </c>
      <c r="B66" s="9" t="s">
        <v>103</v>
      </c>
      <c r="C66" s="9" t="s">
        <v>104</v>
      </c>
      <c r="D66" s="9" t="s">
        <v>1654</v>
      </c>
    </row>
    <row r="67" spans="1:4" ht="16.5" customHeight="1" x14ac:dyDescent="0.35">
      <c r="A67" s="8" t="s">
        <v>111</v>
      </c>
      <c r="B67" s="9" t="s">
        <v>108</v>
      </c>
      <c r="C67" s="9" t="s">
        <v>109</v>
      </c>
      <c r="D67" s="9" t="s">
        <v>1654</v>
      </c>
    </row>
    <row r="68" spans="1:4" ht="16.5" customHeight="1" x14ac:dyDescent="0.35">
      <c r="A68" s="8" t="s">
        <v>112</v>
      </c>
      <c r="B68" s="9" t="s">
        <v>108</v>
      </c>
      <c r="C68" s="9" t="s">
        <v>109</v>
      </c>
      <c r="D68" s="9" t="s">
        <v>1654</v>
      </c>
    </row>
    <row r="69" spans="1:4" ht="16.5" customHeight="1" x14ac:dyDescent="0.35">
      <c r="A69" s="8" t="s">
        <v>113</v>
      </c>
      <c r="B69" s="9" t="s">
        <v>103</v>
      </c>
      <c r="C69" s="9" t="s">
        <v>104</v>
      </c>
      <c r="D69" s="9" t="s">
        <v>1654</v>
      </c>
    </row>
    <row r="70" spans="1:4" ht="17.25" customHeight="1" x14ac:dyDescent="0.35">
      <c r="A70" s="8" t="s">
        <v>114</v>
      </c>
      <c r="B70" s="9" t="s">
        <v>108</v>
      </c>
      <c r="C70" s="9" t="s">
        <v>109</v>
      </c>
      <c r="D70" s="9" t="s">
        <v>1654</v>
      </c>
    </row>
    <row r="71" spans="1:4" ht="16.5" customHeight="1" x14ac:dyDescent="0.35">
      <c r="A71" s="8" t="s">
        <v>115</v>
      </c>
      <c r="B71" s="9" t="s">
        <v>103</v>
      </c>
      <c r="C71" s="9" t="s">
        <v>104</v>
      </c>
      <c r="D71" s="9" t="s">
        <v>1654</v>
      </c>
    </row>
    <row r="72" spans="1:4" ht="16.5" customHeight="1" x14ac:dyDescent="0.35">
      <c r="A72" s="8" t="s">
        <v>116</v>
      </c>
      <c r="B72" s="9" t="s">
        <v>108</v>
      </c>
      <c r="C72" s="9" t="s">
        <v>109</v>
      </c>
      <c r="D72" s="9" t="s">
        <v>1654</v>
      </c>
    </row>
    <row r="73" spans="1:4" ht="16.5" customHeight="1" x14ac:dyDescent="0.35">
      <c r="A73" s="8" t="s">
        <v>117</v>
      </c>
      <c r="B73" s="9" t="s">
        <v>108</v>
      </c>
      <c r="C73" s="9" t="s">
        <v>109</v>
      </c>
      <c r="D73" s="9" t="s">
        <v>1654</v>
      </c>
    </row>
    <row r="74" spans="1:4" ht="16.5" customHeight="1" x14ac:dyDescent="0.35">
      <c r="A74" s="8" t="s">
        <v>118</v>
      </c>
      <c r="B74" s="9" t="s">
        <v>108</v>
      </c>
      <c r="C74" s="9" t="s">
        <v>109</v>
      </c>
      <c r="D74" s="9" t="s">
        <v>1654</v>
      </c>
    </row>
    <row r="75" spans="1:4" ht="16.5" customHeight="1" x14ac:dyDescent="0.35">
      <c r="A75" s="8" t="s">
        <v>119</v>
      </c>
      <c r="B75" s="9" t="s">
        <v>108</v>
      </c>
      <c r="C75" s="9" t="s">
        <v>109</v>
      </c>
      <c r="D75" s="9" t="s">
        <v>1654</v>
      </c>
    </row>
    <row r="76" spans="1:4" ht="16.5" customHeight="1" x14ac:dyDescent="0.35">
      <c r="A76" s="8" t="s">
        <v>120</v>
      </c>
      <c r="B76" s="9" t="s">
        <v>108</v>
      </c>
      <c r="C76" s="9" t="s">
        <v>109</v>
      </c>
      <c r="D76" s="9" t="s">
        <v>1654</v>
      </c>
    </row>
    <row r="77" spans="1:4" ht="16.5" customHeight="1" x14ac:dyDescent="0.35">
      <c r="A77" s="8" t="s">
        <v>121</v>
      </c>
      <c r="B77" s="9" t="s">
        <v>108</v>
      </c>
      <c r="C77" s="9" t="s">
        <v>109</v>
      </c>
      <c r="D77" s="9" t="s">
        <v>1654</v>
      </c>
    </row>
    <row r="78" spans="1:4" ht="16.5" customHeight="1" x14ac:dyDescent="0.35">
      <c r="A78" s="8" t="s">
        <v>122</v>
      </c>
      <c r="B78" s="9" t="s">
        <v>108</v>
      </c>
      <c r="C78" s="9" t="s">
        <v>109</v>
      </c>
      <c r="D78" s="9" t="s">
        <v>1654</v>
      </c>
    </row>
    <row r="79" spans="1:4" ht="16.5" customHeight="1" x14ac:dyDescent="0.35">
      <c r="A79" s="8" t="s">
        <v>123</v>
      </c>
      <c r="B79" s="9" t="s">
        <v>108</v>
      </c>
      <c r="C79" s="9" t="s">
        <v>109</v>
      </c>
      <c r="D79" s="9" t="s">
        <v>1654</v>
      </c>
    </row>
    <row r="80" spans="1:4" ht="16.5" customHeight="1" x14ac:dyDescent="0.35">
      <c r="A80" s="8" t="s">
        <v>124</v>
      </c>
      <c r="B80" s="9" t="s">
        <v>108</v>
      </c>
      <c r="C80" s="9" t="s">
        <v>109</v>
      </c>
      <c r="D80" s="9" t="s">
        <v>1654</v>
      </c>
    </row>
    <row r="81" spans="1:4" ht="16.5" customHeight="1" x14ac:dyDescent="0.35">
      <c r="A81" s="8" t="s">
        <v>125</v>
      </c>
      <c r="B81" s="9" t="s">
        <v>108</v>
      </c>
      <c r="C81" s="9" t="s">
        <v>109</v>
      </c>
      <c r="D81" s="9" t="s">
        <v>1654</v>
      </c>
    </row>
    <row r="82" spans="1:4" ht="17.25" customHeight="1" x14ac:dyDescent="0.35">
      <c r="A82" s="8" t="s">
        <v>126</v>
      </c>
      <c r="B82" s="9" t="s">
        <v>103</v>
      </c>
      <c r="C82" s="9" t="s">
        <v>104</v>
      </c>
      <c r="D82" s="9" t="s">
        <v>1654</v>
      </c>
    </row>
    <row r="83" spans="1:4" ht="12" customHeight="1" x14ac:dyDescent="0.35">
      <c r="A83" s="36"/>
      <c r="B83" s="36"/>
      <c r="C83" s="36"/>
      <c r="D83" s="36"/>
    </row>
    <row r="84" spans="1:4" ht="16.5" customHeight="1" x14ac:dyDescent="0.35">
      <c r="A84" s="8" t="s">
        <v>127</v>
      </c>
      <c r="B84" s="9" t="s">
        <v>128</v>
      </c>
      <c r="C84" s="9" t="s">
        <v>129</v>
      </c>
      <c r="D84" s="9" t="s">
        <v>130</v>
      </c>
    </row>
    <row r="85" spans="1:4" ht="16.5" customHeight="1" x14ac:dyDescent="0.35">
      <c r="A85" s="8" t="s">
        <v>131</v>
      </c>
      <c r="B85" s="9" t="s">
        <v>132</v>
      </c>
      <c r="C85" s="9" t="s">
        <v>133</v>
      </c>
      <c r="D85" s="9" t="s">
        <v>130</v>
      </c>
    </row>
    <row r="86" spans="1:4" ht="16.5" customHeight="1" x14ac:dyDescent="0.35">
      <c r="A86" s="8" t="s">
        <v>134</v>
      </c>
      <c r="B86" s="9" t="s">
        <v>135</v>
      </c>
      <c r="C86" s="9" t="s">
        <v>136</v>
      </c>
      <c r="D86" s="9" t="s">
        <v>130</v>
      </c>
    </row>
    <row r="87" spans="1:4" ht="12" customHeight="1" x14ac:dyDescent="0.35">
      <c r="A87" s="36"/>
      <c r="B87" s="36"/>
      <c r="C87" s="36"/>
      <c r="D87" s="36"/>
    </row>
    <row r="88" spans="1:4" ht="16.5" customHeight="1" x14ac:dyDescent="0.35">
      <c r="A88" s="8" t="s">
        <v>137</v>
      </c>
      <c r="B88" s="9" t="s">
        <v>138</v>
      </c>
      <c r="C88" s="9" t="s">
        <v>139</v>
      </c>
      <c r="D88" s="9" t="s">
        <v>140</v>
      </c>
    </row>
    <row r="89" spans="1:4" ht="17.25" customHeight="1" x14ac:dyDescent="0.35">
      <c r="A89" s="8" t="s">
        <v>141</v>
      </c>
      <c r="B89" s="9" t="s">
        <v>142</v>
      </c>
      <c r="C89" s="9" t="s">
        <v>143</v>
      </c>
      <c r="D89" s="9" t="s">
        <v>140</v>
      </c>
    </row>
    <row r="90" spans="1:4" ht="16.5" customHeight="1" x14ac:dyDescent="0.35">
      <c r="A90" s="8" t="s">
        <v>144</v>
      </c>
      <c r="B90" s="9" t="s">
        <v>145</v>
      </c>
      <c r="C90" s="9" t="s">
        <v>146</v>
      </c>
      <c r="D90" s="9" t="s">
        <v>140</v>
      </c>
    </row>
    <row r="91" spans="1:4" ht="12" customHeight="1" x14ac:dyDescent="0.35">
      <c r="A91" s="36"/>
      <c r="B91" s="36"/>
      <c r="C91" s="36"/>
      <c r="D91" s="36"/>
    </row>
    <row r="92" spans="1:4" ht="16.5" customHeight="1" x14ac:dyDescent="0.35">
      <c r="A92" s="8" t="s">
        <v>147</v>
      </c>
      <c r="B92" s="9" t="s">
        <v>148</v>
      </c>
      <c r="C92" s="9" t="s">
        <v>149</v>
      </c>
      <c r="D92" s="9" t="s">
        <v>150</v>
      </c>
    </row>
    <row r="93" spans="1:4" ht="16.5" customHeight="1" x14ac:dyDescent="0.35">
      <c r="A93" s="8" t="s">
        <v>151</v>
      </c>
      <c r="B93" s="9" t="s">
        <v>148</v>
      </c>
      <c r="C93" s="9" t="s">
        <v>149</v>
      </c>
      <c r="D93" s="9" t="s">
        <v>150</v>
      </c>
    </row>
    <row r="94" spans="1:4" ht="16.5" customHeight="1" x14ac:dyDescent="0.35">
      <c r="A94" s="8" t="s">
        <v>152</v>
      </c>
      <c r="B94" s="9" t="s">
        <v>148</v>
      </c>
      <c r="C94" s="9" t="s">
        <v>149</v>
      </c>
      <c r="D94" s="9" t="s">
        <v>150</v>
      </c>
    </row>
    <row r="95" spans="1:4" ht="16.5" customHeight="1" x14ac:dyDescent="0.35">
      <c r="A95" s="8" t="s">
        <v>153</v>
      </c>
      <c r="B95" s="9" t="s">
        <v>148</v>
      </c>
      <c r="C95" s="9" t="s">
        <v>149</v>
      </c>
      <c r="D95" s="9" t="s">
        <v>150</v>
      </c>
    </row>
    <row r="96" spans="1:4" ht="16.5" customHeight="1" x14ac:dyDescent="0.35">
      <c r="A96" s="8" t="s">
        <v>154</v>
      </c>
      <c r="B96" s="9" t="s">
        <v>148</v>
      </c>
      <c r="C96" s="9" t="s">
        <v>149</v>
      </c>
      <c r="D96" s="9" t="s">
        <v>150</v>
      </c>
    </row>
    <row r="97" spans="1:4" ht="16.5" customHeight="1" x14ac:dyDescent="0.35">
      <c r="A97" s="8" t="s">
        <v>155</v>
      </c>
      <c r="B97" s="9" t="s">
        <v>148</v>
      </c>
      <c r="C97" s="9" t="s">
        <v>149</v>
      </c>
      <c r="D97" s="9" t="s">
        <v>150</v>
      </c>
    </row>
    <row r="98" spans="1:4" ht="17.25" customHeight="1" x14ac:dyDescent="0.35">
      <c r="A98" s="8" t="s">
        <v>156</v>
      </c>
      <c r="B98" s="9" t="s">
        <v>148</v>
      </c>
      <c r="C98" s="9" t="s">
        <v>149</v>
      </c>
      <c r="D98" s="9" t="s">
        <v>150</v>
      </c>
    </row>
    <row r="99" spans="1:4" ht="16.5" customHeight="1" x14ac:dyDescent="0.35">
      <c r="A99" s="8" t="s">
        <v>157</v>
      </c>
      <c r="B99" s="9" t="s">
        <v>148</v>
      </c>
      <c r="C99" s="9" t="s">
        <v>149</v>
      </c>
      <c r="D99" s="9" t="s">
        <v>150</v>
      </c>
    </row>
    <row r="100" spans="1:4" ht="16.5" customHeight="1" x14ac:dyDescent="0.35">
      <c r="A100" s="8" t="s">
        <v>158</v>
      </c>
      <c r="B100" s="9" t="s">
        <v>148</v>
      </c>
      <c r="C100" s="9" t="s">
        <v>149</v>
      </c>
      <c r="D100" s="9" t="s">
        <v>150</v>
      </c>
    </row>
    <row r="101" spans="1:4" ht="16.5" customHeight="1" x14ac:dyDescent="0.35">
      <c r="A101" s="8" t="s">
        <v>159</v>
      </c>
      <c r="B101" s="9" t="s">
        <v>160</v>
      </c>
      <c r="C101" s="9" t="s">
        <v>161</v>
      </c>
      <c r="D101" s="9" t="s">
        <v>150</v>
      </c>
    </row>
    <row r="102" spans="1:4" ht="16.5" customHeight="1" x14ac:dyDescent="0.35">
      <c r="A102" s="8" t="s">
        <v>162</v>
      </c>
      <c r="B102" s="9" t="s">
        <v>160</v>
      </c>
      <c r="C102" s="9" t="s">
        <v>161</v>
      </c>
      <c r="D102" s="9" t="s">
        <v>150</v>
      </c>
    </row>
    <row r="103" spans="1:4" ht="16.5" customHeight="1" x14ac:dyDescent="0.35">
      <c r="A103" s="8" t="s">
        <v>163</v>
      </c>
      <c r="B103" s="9" t="s">
        <v>164</v>
      </c>
      <c r="C103" s="9" t="s">
        <v>44</v>
      </c>
      <c r="D103" s="9" t="s">
        <v>150</v>
      </c>
    </row>
    <row r="104" spans="1:4" ht="16.5" customHeight="1" x14ac:dyDescent="0.35">
      <c r="A104" s="8" t="s">
        <v>165</v>
      </c>
      <c r="B104" s="9" t="s">
        <v>43</v>
      </c>
      <c r="C104" s="9" t="s">
        <v>166</v>
      </c>
      <c r="D104" s="9" t="s">
        <v>150</v>
      </c>
    </row>
    <row r="105" spans="1:4" ht="16.5" customHeight="1" x14ac:dyDescent="0.35">
      <c r="A105" s="8" t="s">
        <v>167</v>
      </c>
      <c r="B105" s="9" t="s">
        <v>48</v>
      </c>
      <c r="C105" s="9" t="s">
        <v>168</v>
      </c>
      <c r="D105" s="9" t="s">
        <v>150</v>
      </c>
    </row>
    <row r="106" spans="1:4" ht="24.75" customHeight="1" x14ac:dyDescent="0.35">
      <c r="A106" s="8" t="s">
        <v>169</v>
      </c>
      <c r="B106" s="9" t="s">
        <v>170</v>
      </c>
      <c r="C106" s="9" t="s">
        <v>168</v>
      </c>
      <c r="D106" s="9" t="s">
        <v>150</v>
      </c>
    </row>
    <row r="107" spans="1:4" ht="16.5" customHeight="1" x14ac:dyDescent="0.35">
      <c r="A107" s="8" t="s">
        <v>171</v>
      </c>
      <c r="B107" s="9" t="s">
        <v>48</v>
      </c>
      <c r="C107" s="9" t="s">
        <v>168</v>
      </c>
      <c r="D107" s="9" t="s">
        <v>150</v>
      </c>
    </row>
    <row r="108" spans="1:4" ht="16.5" customHeight="1" x14ac:dyDescent="0.35">
      <c r="A108" s="8" t="s">
        <v>172</v>
      </c>
      <c r="B108" s="9" t="s">
        <v>48</v>
      </c>
      <c r="C108" s="9" t="s">
        <v>168</v>
      </c>
      <c r="D108" s="9" t="s">
        <v>150</v>
      </c>
    </row>
    <row r="109" spans="1:4" ht="16.5" customHeight="1" x14ac:dyDescent="0.35">
      <c r="A109" s="8" t="s">
        <v>173</v>
      </c>
      <c r="B109" s="9" t="s">
        <v>48</v>
      </c>
      <c r="C109" s="9" t="s">
        <v>168</v>
      </c>
      <c r="D109" s="9" t="s">
        <v>150</v>
      </c>
    </row>
    <row r="110" spans="1:4" ht="16.5" customHeight="1" x14ac:dyDescent="0.35">
      <c r="A110" s="8" t="s">
        <v>174</v>
      </c>
      <c r="B110" s="9" t="s">
        <v>48</v>
      </c>
      <c r="C110" s="9" t="s">
        <v>168</v>
      </c>
      <c r="D110" s="9" t="s">
        <v>150</v>
      </c>
    </row>
    <row r="111" spans="1:4" ht="16.5" customHeight="1" x14ac:dyDescent="0.35">
      <c r="A111" s="8" t="s">
        <v>175</v>
      </c>
      <c r="B111" s="9" t="s">
        <v>176</v>
      </c>
      <c r="C111" s="9" t="s">
        <v>109</v>
      </c>
      <c r="D111" s="9" t="s">
        <v>150</v>
      </c>
    </row>
    <row r="112" spans="1:4" ht="16.5" customHeight="1" x14ac:dyDescent="0.35">
      <c r="A112" s="8" t="s">
        <v>177</v>
      </c>
      <c r="B112" s="9" t="s">
        <v>48</v>
      </c>
      <c r="C112" s="9" t="s">
        <v>109</v>
      </c>
      <c r="D112" s="9" t="s">
        <v>150</v>
      </c>
    </row>
    <row r="113" spans="1:4" ht="17.25" customHeight="1" x14ac:dyDescent="0.35">
      <c r="A113" s="8" t="s">
        <v>178</v>
      </c>
      <c r="B113" s="9" t="s">
        <v>48</v>
      </c>
      <c r="C113" s="9" t="s">
        <v>109</v>
      </c>
      <c r="D113" s="9" t="s">
        <v>150</v>
      </c>
    </row>
    <row r="114" spans="1:4" ht="16.5" customHeight="1" x14ac:dyDescent="0.35">
      <c r="A114" s="8" t="s">
        <v>179</v>
      </c>
      <c r="B114" s="9" t="s">
        <v>48</v>
      </c>
      <c r="C114" s="9" t="s">
        <v>109</v>
      </c>
      <c r="D114" s="9" t="s">
        <v>150</v>
      </c>
    </row>
    <row r="115" spans="1:4" ht="16.5" customHeight="1" x14ac:dyDescent="0.35">
      <c r="A115" s="8" t="s">
        <v>180</v>
      </c>
      <c r="B115" s="9" t="s">
        <v>48</v>
      </c>
      <c r="C115" s="9" t="s">
        <v>109</v>
      </c>
      <c r="D115" s="9" t="s">
        <v>150</v>
      </c>
    </row>
    <row r="116" spans="1:4" ht="16.5" customHeight="1" x14ac:dyDescent="0.35">
      <c r="A116" s="8" t="s">
        <v>181</v>
      </c>
      <c r="B116" s="9" t="s">
        <v>48</v>
      </c>
      <c r="C116" s="9" t="s">
        <v>109</v>
      </c>
      <c r="D116" s="9" t="s">
        <v>150</v>
      </c>
    </row>
    <row r="117" spans="1:4" ht="16.5" customHeight="1" x14ac:dyDescent="0.35">
      <c r="A117" s="8" t="s">
        <v>182</v>
      </c>
      <c r="B117" s="9" t="s">
        <v>48</v>
      </c>
      <c r="C117" s="9" t="s">
        <v>109</v>
      </c>
      <c r="D117" s="9" t="s">
        <v>150</v>
      </c>
    </row>
    <row r="118" spans="1:4" ht="16.5" customHeight="1" x14ac:dyDescent="0.35">
      <c r="A118" s="8" t="s">
        <v>183</v>
      </c>
      <c r="B118" s="9" t="s">
        <v>69</v>
      </c>
      <c r="C118" s="9" t="s">
        <v>184</v>
      </c>
      <c r="D118" s="9" t="s">
        <v>150</v>
      </c>
    </row>
    <row r="119" spans="1:4" ht="16.5" customHeight="1" x14ac:dyDescent="0.35">
      <c r="A119" s="8" t="s">
        <v>185</v>
      </c>
      <c r="B119" s="9" t="s">
        <v>69</v>
      </c>
      <c r="C119" s="9" t="s">
        <v>186</v>
      </c>
      <c r="D119" s="9" t="s">
        <v>150</v>
      </c>
    </row>
    <row r="120" spans="1:4" ht="16.5" customHeight="1" x14ac:dyDescent="0.35">
      <c r="A120" s="8" t="s">
        <v>187</v>
      </c>
      <c r="B120" s="9" t="s">
        <v>188</v>
      </c>
      <c r="C120" s="9" t="s">
        <v>81</v>
      </c>
      <c r="D120" s="9" t="s">
        <v>150</v>
      </c>
    </row>
    <row r="121" spans="1:4" ht="16.5" customHeight="1" x14ac:dyDescent="0.35">
      <c r="A121" s="8" t="s">
        <v>189</v>
      </c>
      <c r="B121" s="9" t="s">
        <v>190</v>
      </c>
      <c r="C121" s="9" t="s">
        <v>191</v>
      </c>
      <c r="D121" s="9" t="s">
        <v>150</v>
      </c>
    </row>
    <row r="122" spans="1:4" ht="16.5" customHeight="1" x14ac:dyDescent="0.35">
      <c r="A122" s="8" t="s">
        <v>192</v>
      </c>
      <c r="B122" s="9" t="s">
        <v>190</v>
      </c>
      <c r="C122" s="9" t="s">
        <v>193</v>
      </c>
      <c r="D122" s="9" t="s">
        <v>150</v>
      </c>
    </row>
    <row r="123" spans="1:4" ht="16.5" customHeight="1" x14ac:dyDescent="0.35">
      <c r="A123" s="8" t="s">
        <v>194</v>
      </c>
      <c r="B123" s="9" t="s">
        <v>190</v>
      </c>
      <c r="C123" s="9" t="s">
        <v>195</v>
      </c>
      <c r="D123" s="9" t="s">
        <v>150</v>
      </c>
    </row>
    <row r="124" spans="1:4" ht="16.5" customHeight="1" x14ac:dyDescent="0.35">
      <c r="A124" s="8" t="s">
        <v>196</v>
      </c>
      <c r="B124" s="9" t="s">
        <v>190</v>
      </c>
      <c r="C124" s="9" t="s">
        <v>197</v>
      </c>
      <c r="D124" s="9" t="s">
        <v>150</v>
      </c>
    </row>
    <row r="125" spans="1:4" ht="16.5" customHeight="1" x14ac:dyDescent="0.35">
      <c r="A125" s="8" t="s">
        <v>198</v>
      </c>
      <c r="B125" s="9" t="s">
        <v>190</v>
      </c>
      <c r="C125" s="9" t="s">
        <v>199</v>
      </c>
      <c r="D125" s="9" t="s">
        <v>150</v>
      </c>
    </row>
    <row r="126" spans="1:4" ht="17.25" customHeight="1" x14ac:dyDescent="0.35">
      <c r="A126" s="8" t="s">
        <v>200</v>
      </c>
      <c r="B126" s="9" t="s">
        <v>190</v>
      </c>
      <c r="C126" s="9" t="s">
        <v>201</v>
      </c>
      <c r="D126" s="9" t="s">
        <v>150</v>
      </c>
    </row>
    <row r="127" spans="1:4" ht="16.5" customHeight="1" x14ac:dyDescent="0.35">
      <c r="A127" s="8" t="s">
        <v>202</v>
      </c>
      <c r="B127" s="9" t="s">
        <v>190</v>
      </c>
      <c r="C127" s="9" t="s">
        <v>203</v>
      </c>
      <c r="D127" s="9" t="s">
        <v>150</v>
      </c>
    </row>
    <row r="128" spans="1:4" ht="16.5" customHeight="1" x14ac:dyDescent="0.35">
      <c r="A128" s="8" t="s">
        <v>204</v>
      </c>
      <c r="B128" s="9" t="s">
        <v>190</v>
      </c>
      <c r="C128" s="9" t="s">
        <v>205</v>
      </c>
      <c r="D128" s="9" t="s">
        <v>150</v>
      </c>
    </row>
    <row r="129" spans="1:4" ht="16.5" customHeight="1" x14ac:dyDescent="0.35">
      <c r="A129" s="8" t="s">
        <v>206</v>
      </c>
      <c r="B129" s="9" t="s">
        <v>190</v>
      </c>
      <c r="C129" s="9" t="s">
        <v>207</v>
      </c>
      <c r="D129" s="9" t="s">
        <v>150</v>
      </c>
    </row>
    <row r="130" spans="1:4" ht="16.5" customHeight="1" x14ac:dyDescent="0.35">
      <c r="A130" s="8" t="s">
        <v>208</v>
      </c>
      <c r="B130" s="9" t="s">
        <v>190</v>
      </c>
      <c r="C130" s="9" t="s">
        <v>209</v>
      </c>
      <c r="D130" s="9" t="s">
        <v>150</v>
      </c>
    </row>
    <row r="131" spans="1:4" ht="16.5" customHeight="1" x14ac:dyDescent="0.35">
      <c r="A131" s="8" t="s">
        <v>210</v>
      </c>
      <c r="B131" s="9" t="s">
        <v>190</v>
      </c>
      <c r="C131" s="9" t="s">
        <v>211</v>
      </c>
      <c r="D131" s="9" t="s">
        <v>150</v>
      </c>
    </row>
    <row r="132" spans="1:4" ht="16.5" customHeight="1" x14ac:dyDescent="0.35">
      <c r="A132" s="8" t="s">
        <v>212</v>
      </c>
      <c r="B132" s="9" t="s">
        <v>190</v>
      </c>
      <c r="C132" s="9" t="s">
        <v>211</v>
      </c>
      <c r="D132" s="9" t="s">
        <v>150</v>
      </c>
    </row>
    <row r="133" spans="1:4" ht="16.5" customHeight="1" x14ac:dyDescent="0.35">
      <c r="A133" s="8" t="s">
        <v>213</v>
      </c>
      <c r="B133" s="9" t="s">
        <v>190</v>
      </c>
      <c r="C133" s="9" t="s">
        <v>211</v>
      </c>
      <c r="D133" s="9" t="s">
        <v>150</v>
      </c>
    </row>
    <row r="134" spans="1:4" ht="16.5" customHeight="1" x14ac:dyDescent="0.35">
      <c r="A134" s="8" t="s">
        <v>214</v>
      </c>
      <c r="B134" s="9" t="s">
        <v>190</v>
      </c>
      <c r="C134" s="9" t="s">
        <v>211</v>
      </c>
      <c r="D134" s="9" t="s">
        <v>150</v>
      </c>
    </row>
    <row r="135" spans="1:4" ht="16.5" customHeight="1" x14ac:dyDescent="0.35">
      <c r="A135" s="8" t="s">
        <v>215</v>
      </c>
      <c r="B135" s="9" t="s">
        <v>190</v>
      </c>
      <c r="C135" s="9" t="s">
        <v>161</v>
      </c>
      <c r="D135" s="9" t="s">
        <v>150</v>
      </c>
    </row>
    <row r="136" spans="1:4" ht="16.5" customHeight="1" x14ac:dyDescent="0.35">
      <c r="A136" s="8" t="s">
        <v>216</v>
      </c>
      <c r="B136" s="9" t="s">
        <v>190</v>
      </c>
      <c r="C136" s="9" t="s">
        <v>211</v>
      </c>
      <c r="D136" s="9" t="s">
        <v>150</v>
      </c>
    </row>
    <row r="137" spans="1:4" ht="16.5" customHeight="1" x14ac:dyDescent="0.35">
      <c r="A137" s="8" t="s">
        <v>217</v>
      </c>
      <c r="B137" s="9" t="s">
        <v>190</v>
      </c>
      <c r="C137" s="9" t="s">
        <v>211</v>
      </c>
      <c r="D137" s="9" t="s">
        <v>150</v>
      </c>
    </row>
    <row r="138" spans="1:4" ht="17.25" customHeight="1" x14ac:dyDescent="0.35">
      <c r="A138" s="8" t="s">
        <v>218</v>
      </c>
      <c r="B138" s="9" t="s">
        <v>190</v>
      </c>
      <c r="C138" s="9" t="s">
        <v>211</v>
      </c>
      <c r="D138" s="9" t="s">
        <v>150</v>
      </c>
    </row>
    <row r="139" spans="1:4" ht="16.5" customHeight="1" x14ac:dyDescent="0.35">
      <c r="A139" s="8" t="s">
        <v>219</v>
      </c>
      <c r="B139" s="9" t="s">
        <v>190</v>
      </c>
      <c r="C139" s="9" t="s">
        <v>109</v>
      </c>
      <c r="D139" s="9" t="s">
        <v>150</v>
      </c>
    </row>
    <row r="140" spans="1:4" ht="16.5" customHeight="1" x14ac:dyDescent="0.35">
      <c r="A140" s="8" t="s">
        <v>220</v>
      </c>
      <c r="B140" s="9" t="s">
        <v>190</v>
      </c>
      <c r="C140" s="9" t="s">
        <v>109</v>
      </c>
      <c r="D140" s="9" t="s">
        <v>150</v>
      </c>
    </row>
    <row r="141" spans="1:4" ht="16.5" customHeight="1" x14ac:dyDescent="0.35">
      <c r="A141" s="8" t="s">
        <v>221</v>
      </c>
      <c r="B141" s="9" t="s">
        <v>190</v>
      </c>
      <c r="C141" s="9" t="s">
        <v>49</v>
      </c>
      <c r="D141" s="9" t="s">
        <v>150</v>
      </c>
    </row>
    <row r="142" spans="1:4" ht="16.5" customHeight="1" x14ac:dyDescent="0.35">
      <c r="A142" s="8" t="s">
        <v>222</v>
      </c>
      <c r="B142" s="9" t="s">
        <v>190</v>
      </c>
      <c r="C142" s="9" t="s">
        <v>109</v>
      </c>
      <c r="D142" s="9" t="s">
        <v>150</v>
      </c>
    </row>
    <row r="143" spans="1:4" ht="16.5" customHeight="1" x14ac:dyDescent="0.35">
      <c r="A143" s="8" t="s">
        <v>223</v>
      </c>
      <c r="B143" s="9" t="s">
        <v>190</v>
      </c>
      <c r="C143" s="9" t="s">
        <v>109</v>
      </c>
      <c r="D143" s="9" t="s">
        <v>150</v>
      </c>
    </row>
    <row r="144" spans="1:4" ht="16.5" customHeight="1" x14ac:dyDescent="0.35">
      <c r="A144" s="8" t="s">
        <v>224</v>
      </c>
      <c r="B144" s="9" t="s">
        <v>190</v>
      </c>
      <c r="C144" s="9" t="s">
        <v>109</v>
      </c>
      <c r="D144" s="9" t="s">
        <v>150</v>
      </c>
    </row>
    <row r="145" spans="1:4" ht="16.5" customHeight="1" x14ac:dyDescent="0.35">
      <c r="A145" s="8" t="s">
        <v>225</v>
      </c>
      <c r="B145" s="9" t="s">
        <v>190</v>
      </c>
      <c r="C145" s="9" t="s">
        <v>49</v>
      </c>
      <c r="D145" s="9" t="s">
        <v>150</v>
      </c>
    </row>
    <row r="146" spans="1:4" ht="16.5" customHeight="1" x14ac:dyDescent="0.35">
      <c r="A146" s="8" t="s">
        <v>226</v>
      </c>
      <c r="B146" s="9" t="s">
        <v>190</v>
      </c>
      <c r="C146" s="9" t="s">
        <v>109</v>
      </c>
      <c r="D146" s="9" t="s">
        <v>150</v>
      </c>
    </row>
    <row r="147" spans="1:4" ht="16.5" customHeight="1" x14ac:dyDescent="0.35">
      <c r="A147" s="8" t="s">
        <v>227</v>
      </c>
      <c r="B147" s="9" t="s">
        <v>190</v>
      </c>
      <c r="C147" s="9" t="s">
        <v>228</v>
      </c>
      <c r="D147" s="9" t="s">
        <v>150</v>
      </c>
    </row>
    <row r="148" spans="1:4" ht="16.5" customHeight="1" x14ac:dyDescent="0.35">
      <c r="A148" s="8" t="s">
        <v>229</v>
      </c>
      <c r="B148" s="9" t="s">
        <v>190</v>
      </c>
      <c r="C148" s="9" t="s">
        <v>230</v>
      </c>
      <c r="D148" s="9" t="s">
        <v>150</v>
      </c>
    </row>
    <row r="149" spans="1:4" ht="16.5" customHeight="1" x14ac:dyDescent="0.35">
      <c r="A149" s="8" t="s">
        <v>231</v>
      </c>
      <c r="B149" s="9" t="s">
        <v>190</v>
      </c>
      <c r="C149" s="9" t="s">
        <v>232</v>
      </c>
      <c r="D149" s="9" t="s">
        <v>150</v>
      </c>
    </row>
    <row r="150" spans="1:4" ht="16.5" customHeight="1" x14ac:dyDescent="0.35">
      <c r="A150" s="8" t="s">
        <v>233</v>
      </c>
      <c r="B150" s="9" t="s">
        <v>190</v>
      </c>
      <c r="C150" s="9" t="s">
        <v>149</v>
      </c>
      <c r="D150" s="9" t="s">
        <v>150</v>
      </c>
    </row>
    <row r="151" spans="1:4" ht="17.25" customHeight="1" x14ac:dyDescent="0.35">
      <c r="A151" s="8" t="s">
        <v>234</v>
      </c>
      <c r="B151" s="9" t="s">
        <v>190</v>
      </c>
      <c r="C151" s="9" t="s">
        <v>235</v>
      </c>
      <c r="D151" s="9" t="s">
        <v>150</v>
      </c>
    </row>
    <row r="152" spans="1:4" ht="16.5" customHeight="1" x14ac:dyDescent="0.35">
      <c r="A152" s="8" t="s">
        <v>236</v>
      </c>
      <c r="B152" s="9" t="s">
        <v>190</v>
      </c>
      <c r="C152" s="9" t="s">
        <v>237</v>
      </c>
      <c r="D152" s="9" t="s">
        <v>150</v>
      </c>
    </row>
    <row r="153" spans="1:4" ht="16.5" customHeight="1" x14ac:dyDescent="0.35">
      <c r="A153" s="8" t="s">
        <v>238</v>
      </c>
      <c r="B153" s="9" t="s">
        <v>190</v>
      </c>
      <c r="C153" s="9" t="s">
        <v>239</v>
      </c>
      <c r="D153" s="9" t="s">
        <v>150</v>
      </c>
    </row>
    <row r="154" spans="1:4" ht="16.5" customHeight="1" x14ac:dyDescent="0.35">
      <c r="A154" s="8" t="s">
        <v>240</v>
      </c>
      <c r="B154" s="9" t="s">
        <v>190</v>
      </c>
      <c r="C154" s="9" t="s">
        <v>241</v>
      </c>
      <c r="D154" s="9" t="s">
        <v>150</v>
      </c>
    </row>
    <row r="155" spans="1:4" ht="16.5" customHeight="1" x14ac:dyDescent="0.35">
      <c r="A155" s="8" t="s">
        <v>242</v>
      </c>
      <c r="B155" s="9" t="s">
        <v>190</v>
      </c>
      <c r="C155" s="9" t="s">
        <v>243</v>
      </c>
      <c r="D155" s="9" t="s">
        <v>150</v>
      </c>
    </row>
    <row r="156" spans="1:4" ht="16.5" customHeight="1" x14ac:dyDescent="0.35">
      <c r="A156" s="8" t="s">
        <v>244</v>
      </c>
      <c r="B156" s="9" t="s">
        <v>190</v>
      </c>
      <c r="C156" s="9" t="s">
        <v>245</v>
      </c>
      <c r="D156" s="9" t="s">
        <v>150</v>
      </c>
    </row>
    <row r="157" spans="1:4" ht="16.5" customHeight="1" x14ac:dyDescent="0.35">
      <c r="A157" s="8" t="s">
        <v>246</v>
      </c>
      <c r="B157" s="9" t="s">
        <v>190</v>
      </c>
      <c r="C157" s="9" t="s">
        <v>247</v>
      </c>
      <c r="D157" s="9" t="s">
        <v>150</v>
      </c>
    </row>
    <row r="158" spans="1:4" ht="16.5" customHeight="1" x14ac:dyDescent="0.35">
      <c r="A158" s="8" t="s">
        <v>248</v>
      </c>
      <c r="B158" s="9" t="s">
        <v>190</v>
      </c>
      <c r="C158" s="9" t="s">
        <v>249</v>
      </c>
      <c r="D158" s="9" t="s">
        <v>150</v>
      </c>
    </row>
    <row r="159" spans="1:4" ht="16.5" customHeight="1" x14ac:dyDescent="0.35">
      <c r="A159" s="8" t="s">
        <v>250</v>
      </c>
      <c r="B159" s="9" t="s">
        <v>190</v>
      </c>
      <c r="C159" s="9" t="s">
        <v>251</v>
      </c>
      <c r="D159" s="9" t="s">
        <v>150</v>
      </c>
    </row>
    <row r="160" spans="1:4" ht="16.5" customHeight="1" x14ac:dyDescent="0.35">
      <c r="A160" s="8" t="s">
        <v>252</v>
      </c>
      <c r="B160" s="9" t="s">
        <v>190</v>
      </c>
      <c r="C160" s="9" t="s">
        <v>253</v>
      </c>
      <c r="D160" s="9" t="s">
        <v>150</v>
      </c>
    </row>
    <row r="161" spans="1:4" ht="16.5" customHeight="1" x14ac:dyDescent="0.35">
      <c r="A161" s="8" t="s">
        <v>254</v>
      </c>
      <c r="B161" s="9" t="s">
        <v>190</v>
      </c>
      <c r="C161" s="9" t="s">
        <v>255</v>
      </c>
      <c r="D161" s="9" t="s">
        <v>150</v>
      </c>
    </row>
    <row r="162" spans="1:4" ht="16.5" customHeight="1" x14ac:dyDescent="0.35">
      <c r="A162" s="8" t="s">
        <v>256</v>
      </c>
      <c r="B162" s="9" t="s">
        <v>190</v>
      </c>
      <c r="C162" s="9" t="s">
        <v>257</v>
      </c>
      <c r="D162" s="9" t="s">
        <v>150</v>
      </c>
    </row>
    <row r="163" spans="1:4" ht="17.25" customHeight="1" x14ac:dyDescent="0.35">
      <c r="A163" s="8" t="s">
        <v>258</v>
      </c>
      <c r="B163" s="9" t="s">
        <v>190</v>
      </c>
      <c r="C163" s="9" t="s">
        <v>259</v>
      </c>
      <c r="D163" s="9" t="s">
        <v>150</v>
      </c>
    </row>
    <row r="164" spans="1:4" ht="16.5" customHeight="1" x14ac:dyDescent="0.35">
      <c r="A164" s="8" t="s">
        <v>260</v>
      </c>
      <c r="B164" s="9" t="s">
        <v>190</v>
      </c>
      <c r="C164" s="9" t="s">
        <v>261</v>
      </c>
      <c r="D164" s="9" t="s">
        <v>150</v>
      </c>
    </row>
    <row r="165" spans="1:4" ht="16.5" customHeight="1" x14ac:dyDescent="0.35">
      <c r="A165" s="8" t="s">
        <v>262</v>
      </c>
      <c r="B165" s="9" t="s">
        <v>190</v>
      </c>
      <c r="C165" s="9" t="s">
        <v>211</v>
      </c>
      <c r="D165" s="9" t="s">
        <v>150</v>
      </c>
    </row>
    <row r="166" spans="1:4" ht="16.5" customHeight="1" x14ac:dyDescent="0.35">
      <c r="A166" s="8" t="s">
        <v>263</v>
      </c>
      <c r="B166" s="9" t="s">
        <v>190</v>
      </c>
      <c r="C166" s="9" t="s">
        <v>211</v>
      </c>
      <c r="D166" s="9" t="s">
        <v>150</v>
      </c>
    </row>
    <row r="167" spans="1:4" ht="16.5" customHeight="1" x14ac:dyDescent="0.35">
      <c r="A167" s="8" t="s">
        <v>264</v>
      </c>
      <c r="B167" s="9" t="s">
        <v>190</v>
      </c>
      <c r="C167" s="9" t="s">
        <v>211</v>
      </c>
      <c r="D167" s="9" t="s">
        <v>150</v>
      </c>
    </row>
    <row r="168" spans="1:4" ht="16.5" customHeight="1" x14ac:dyDescent="0.35">
      <c r="A168" s="8" t="s">
        <v>265</v>
      </c>
      <c r="B168" s="9" t="s">
        <v>190</v>
      </c>
      <c r="C168" s="9" t="s">
        <v>211</v>
      </c>
      <c r="D168" s="9" t="s">
        <v>150</v>
      </c>
    </row>
    <row r="169" spans="1:4" ht="16.5" customHeight="1" x14ac:dyDescent="0.35">
      <c r="A169" s="8" t="s">
        <v>266</v>
      </c>
      <c r="B169" s="9" t="s">
        <v>190</v>
      </c>
      <c r="C169" s="9" t="s">
        <v>161</v>
      </c>
      <c r="D169" s="9" t="s">
        <v>150</v>
      </c>
    </row>
    <row r="170" spans="1:4" ht="16.5" customHeight="1" x14ac:dyDescent="0.35">
      <c r="A170" s="8" t="s">
        <v>267</v>
      </c>
      <c r="B170" s="9" t="s">
        <v>190</v>
      </c>
      <c r="C170" s="9" t="s">
        <v>211</v>
      </c>
      <c r="D170" s="9" t="s">
        <v>150</v>
      </c>
    </row>
    <row r="171" spans="1:4" ht="16.5" customHeight="1" x14ac:dyDescent="0.35">
      <c r="A171" s="8" t="s">
        <v>268</v>
      </c>
      <c r="B171" s="9" t="s">
        <v>190</v>
      </c>
      <c r="C171" s="9" t="s">
        <v>211</v>
      </c>
      <c r="D171" s="9" t="s">
        <v>150</v>
      </c>
    </row>
    <row r="172" spans="1:4" ht="16.5" customHeight="1" x14ac:dyDescent="0.35">
      <c r="A172" s="8" t="s">
        <v>269</v>
      </c>
      <c r="B172" s="9" t="s">
        <v>190</v>
      </c>
      <c r="C172" s="9" t="s">
        <v>211</v>
      </c>
      <c r="D172" s="9" t="s">
        <v>150</v>
      </c>
    </row>
    <row r="173" spans="1:4" ht="16.5" customHeight="1" x14ac:dyDescent="0.35">
      <c r="A173" s="8" t="s">
        <v>270</v>
      </c>
      <c r="B173" s="9" t="s">
        <v>190</v>
      </c>
      <c r="C173" s="9" t="s">
        <v>109</v>
      </c>
      <c r="D173" s="9" t="s">
        <v>150</v>
      </c>
    </row>
    <row r="174" spans="1:4" ht="16.5" customHeight="1" x14ac:dyDescent="0.35">
      <c r="A174" s="8" t="s">
        <v>271</v>
      </c>
      <c r="B174" s="9" t="s">
        <v>190</v>
      </c>
      <c r="C174" s="9" t="s">
        <v>109</v>
      </c>
      <c r="D174" s="9" t="s">
        <v>150</v>
      </c>
    </row>
    <row r="175" spans="1:4" ht="16.5" customHeight="1" x14ac:dyDescent="0.35">
      <c r="A175" s="8" t="s">
        <v>272</v>
      </c>
      <c r="B175" s="9" t="s">
        <v>190</v>
      </c>
      <c r="C175" s="9" t="s">
        <v>49</v>
      </c>
      <c r="D175" s="9" t="s">
        <v>150</v>
      </c>
    </row>
    <row r="176" spans="1:4" ht="17.25" customHeight="1" x14ac:dyDescent="0.35">
      <c r="A176" s="8" t="s">
        <v>273</v>
      </c>
      <c r="B176" s="9" t="s">
        <v>190</v>
      </c>
      <c r="C176" s="9" t="s">
        <v>211</v>
      </c>
      <c r="D176" s="9" t="s">
        <v>150</v>
      </c>
    </row>
    <row r="177" spans="1:4" ht="16.5" customHeight="1" x14ac:dyDescent="0.35">
      <c r="A177" s="8" t="s">
        <v>274</v>
      </c>
      <c r="B177" s="9" t="s">
        <v>190</v>
      </c>
      <c r="C177" s="9" t="s">
        <v>49</v>
      </c>
      <c r="D177" s="9" t="s">
        <v>150</v>
      </c>
    </row>
    <row r="178" spans="1:4" ht="16.5" customHeight="1" x14ac:dyDescent="0.35">
      <c r="A178" s="8" t="s">
        <v>275</v>
      </c>
      <c r="B178" s="9" t="s">
        <v>190</v>
      </c>
      <c r="C178" s="9" t="s">
        <v>104</v>
      </c>
      <c r="D178" s="9" t="s">
        <v>150</v>
      </c>
    </row>
    <row r="179" spans="1:4" ht="16.5" customHeight="1" x14ac:dyDescent="0.35">
      <c r="A179" s="8" t="s">
        <v>276</v>
      </c>
      <c r="B179" s="9" t="s">
        <v>190</v>
      </c>
      <c r="C179" s="9" t="s">
        <v>104</v>
      </c>
      <c r="D179" s="9" t="s">
        <v>150</v>
      </c>
    </row>
    <row r="180" spans="1:4" ht="16.5" customHeight="1" x14ac:dyDescent="0.35">
      <c r="A180" s="8" t="s">
        <v>277</v>
      </c>
      <c r="B180" s="9" t="s">
        <v>190</v>
      </c>
      <c r="C180" s="9" t="s">
        <v>49</v>
      </c>
      <c r="D180" s="9" t="s">
        <v>150</v>
      </c>
    </row>
    <row r="181" spans="1:4" ht="16.5" customHeight="1" x14ac:dyDescent="0.35">
      <c r="A181" s="8" t="s">
        <v>278</v>
      </c>
      <c r="B181" s="9" t="s">
        <v>190</v>
      </c>
      <c r="C181" s="9" t="s">
        <v>279</v>
      </c>
      <c r="D181" s="9" t="s">
        <v>150</v>
      </c>
    </row>
    <row r="182" spans="1:4" ht="16.5" customHeight="1" x14ac:dyDescent="0.35">
      <c r="A182" s="8" t="s">
        <v>280</v>
      </c>
      <c r="B182" s="9" t="s">
        <v>190</v>
      </c>
      <c r="C182" s="9" t="s">
        <v>281</v>
      </c>
      <c r="D182" s="9" t="s">
        <v>150</v>
      </c>
    </row>
    <row r="183" spans="1:4" ht="16.5" customHeight="1" x14ac:dyDescent="0.35">
      <c r="A183" s="8" t="s">
        <v>282</v>
      </c>
      <c r="B183" s="9" t="s">
        <v>190</v>
      </c>
      <c r="C183" s="9" t="s">
        <v>283</v>
      </c>
      <c r="D183" s="9" t="s">
        <v>150</v>
      </c>
    </row>
    <row r="184" spans="1:4" ht="16.5" customHeight="1" x14ac:dyDescent="0.35">
      <c r="A184" s="8" t="s">
        <v>284</v>
      </c>
      <c r="B184" s="9" t="s">
        <v>190</v>
      </c>
      <c r="C184" s="9" t="s">
        <v>285</v>
      </c>
      <c r="D184" s="9" t="s">
        <v>150</v>
      </c>
    </row>
    <row r="185" spans="1:4" ht="16.5" customHeight="1" x14ac:dyDescent="0.35">
      <c r="A185" s="8" t="s">
        <v>286</v>
      </c>
      <c r="B185" s="9" t="s">
        <v>190</v>
      </c>
      <c r="C185" s="9" t="s">
        <v>287</v>
      </c>
      <c r="D185" s="9" t="s">
        <v>150</v>
      </c>
    </row>
    <row r="186" spans="1:4" ht="16.5" customHeight="1" x14ac:dyDescent="0.35">
      <c r="A186" s="8" t="s">
        <v>288</v>
      </c>
      <c r="B186" s="9" t="s">
        <v>108</v>
      </c>
      <c r="C186" s="9" t="s">
        <v>289</v>
      </c>
      <c r="D186" s="9" t="s">
        <v>150</v>
      </c>
    </row>
    <row r="187" spans="1:4" ht="16.5" customHeight="1" x14ac:dyDescent="0.35">
      <c r="A187" s="8" t="s">
        <v>290</v>
      </c>
      <c r="B187" s="9" t="s">
        <v>103</v>
      </c>
      <c r="C187" s="9" t="s">
        <v>109</v>
      </c>
      <c r="D187" s="9" t="s">
        <v>150</v>
      </c>
    </row>
    <row r="188" spans="1:4" ht="17.25" customHeight="1" x14ac:dyDescent="0.35">
      <c r="A188" s="8" t="s">
        <v>291</v>
      </c>
      <c r="B188" s="9" t="s">
        <v>108</v>
      </c>
      <c r="C188" s="9" t="s">
        <v>109</v>
      </c>
      <c r="D188" s="9" t="s">
        <v>150</v>
      </c>
    </row>
    <row r="189" spans="1:4" ht="16.5" customHeight="1" x14ac:dyDescent="0.35">
      <c r="A189" s="8" t="s">
        <v>292</v>
      </c>
      <c r="B189" s="9" t="s">
        <v>108</v>
      </c>
      <c r="C189" s="9" t="s">
        <v>109</v>
      </c>
      <c r="D189" s="9" t="s">
        <v>150</v>
      </c>
    </row>
    <row r="190" spans="1:4" ht="16.5" customHeight="1" x14ac:dyDescent="0.35">
      <c r="A190" s="8" t="s">
        <v>293</v>
      </c>
      <c r="B190" s="9" t="s">
        <v>108</v>
      </c>
      <c r="C190" s="9" t="s">
        <v>109</v>
      </c>
      <c r="D190" s="9" t="s">
        <v>150</v>
      </c>
    </row>
    <row r="191" spans="1:4" ht="16.5" customHeight="1" x14ac:dyDescent="0.35">
      <c r="A191" s="8" t="s">
        <v>294</v>
      </c>
      <c r="B191" s="9" t="s">
        <v>108</v>
      </c>
      <c r="C191" s="9" t="s">
        <v>109</v>
      </c>
      <c r="D191" s="9" t="s">
        <v>150</v>
      </c>
    </row>
    <row r="192" spans="1:4" ht="12" customHeight="1" x14ac:dyDescent="0.35">
      <c r="A192" s="36"/>
      <c r="B192" s="36"/>
      <c r="C192" s="36"/>
      <c r="D192" s="36"/>
    </row>
    <row r="193" spans="1:4" ht="16.5" customHeight="1" x14ac:dyDescent="0.35">
      <c r="A193" s="8" t="s">
        <v>295</v>
      </c>
      <c r="B193" s="9" t="s">
        <v>296</v>
      </c>
      <c r="C193" s="9" t="s">
        <v>297</v>
      </c>
      <c r="D193" s="9" t="s">
        <v>298</v>
      </c>
    </row>
    <row r="194" spans="1:4" ht="12" customHeight="1" x14ac:dyDescent="0.35">
      <c r="A194" s="36"/>
      <c r="B194" s="36"/>
      <c r="C194" s="36"/>
      <c r="D194" s="36"/>
    </row>
    <row r="195" spans="1:4" ht="17.25" customHeight="1" x14ac:dyDescent="0.35">
      <c r="A195" s="8" t="s">
        <v>299</v>
      </c>
      <c r="B195" s="9" t="s">
        <v>300</v>
      </c>
      <c r="C195" s="9" t="s">
        <v>301</v>
      </c>
      <c r="D195" s="9" t="s">
        <v>302</v>
      </c>
    </row>
    <row r="196" spans="1:4" ht="16.5" customHeight="1" x14ac:dyDescent="0.35">
      <c r="A196" s="8" t="s">
        <v>303</v>
      </c>
      <c r="B196" s="9" t="s">
        <v>300</v>
      </c>
      <c r="C196" s="9" t="s">
        <v>301</v>
      </c>
      <c r="D196" s="9" t="s">
        <v>302</v>
      </c>
    </row>
    <row r="197" spans="1:4" ht="16.5" customHeight="1" x14ac:dyDescent="0.35">
      <c r="A197" s="8" t="s">
        <v>304</v>
      </c>
      <c r="B197" s="9" t="s">
        <v>300</v>
      </c>
      <c r="C197" s="9" t="s">
        <v>301</v>
      </c>
      <c r="D197" s="9" t="s">
        <v>302</v>
      </c>
    </row>
    <row r="198" spans="1:4" ht="16.5" customHeight="1" x14ac:dyDescent="0.35">
      <c r="A198" s="8" t="s">
        <v>305</v>
      </c>
      <c r="B198" s="9" t="s">
        <v>300</v>
      </c>
      <c r="C198" s="9" t="s">
        <v>301</v>
      </c>
      <c r="D198" s="9" t="s">
        <v>302</v>
      </c>
    </row>
    <row r="199" spans="1:4" ht="16.5" customHeight="1" x14ac:dyDescent="0.35">
      <c r="A199" s="8" t="s">
        <v>306</v>
      </c>
      <c r="B199" s="9" t="s">
        <v>307</v>
      </c>
      <c r="C199" s="9" t="s">
        <v>308</v>
      </c>
      <c r="D199" s="9" t="s">
        <v>302</v>
      </c>
    </row>
    <row r="200" spans="1:4" ht="16.5" customHeight="1" x14ac:dyDescent="0.35">
      <c r="A200" s="8" t="s">
        <v>309</v>
      </c>
      <c r="B200" s="9" t="s">
        <v>310</v>
      </c>
      <c r="C200" s="9" t="s">
        <v>311</v>
      </c>
      <c r="D200" s="9" t="s">
        <v>302</v>
      </c>
    </row>
    <row r="201" spans="1:4" ht="16.5" customHeight="1" x14ac:dyDescent="0.35">
      <c r="A201" s="8" t="s">
        <v>312</v>
      </c>
      <c r="B201" s="9" t="s">
        <v>300</v>
      </c>
      <c r="C201" s="9" t="s">
        <v>301</v>
      </c>
      <c r="D201" s="9" t="s">
        <v>302</v>
      </c>
    </row>
    <row r="202" spans="1:4" ht="16.5" customHeight="1" x14ac:dyDescent="0.35">
      <c r="A202" s="8" t="s">
        <v>313</v>
      </c>
      <c r="B202" s="9" t="s">
        <v>300</v>
      </c>
      <c r="C202" s="9" t="s">
        <v>301</v>
      </c>
      <c r="D202" s="9" t="s">
        <v>302</v>
      </c>
    </row>
    <row r="203" spans="1:4" ht="16.5" customHeight="1" x14ac:dyDescent="0.35">
      <c r="A203" s="8" t="s">
        <v>314</v>
      </c>
      <c r="B203" s="9" t="s">
        <v>300</v>
      </c>
      <c r="C203" s="9" t="s">
        <v>301</v>
      </c>
      <c r="D203" s="9" t="s">
        <v>302</v>
      </c>
    </row>
    <row r="204" spans="1:4" ht="16.5" customHeight="1" x14ac:dyDescent="0.35">
      <c r="A204" s="8" t="s">
        <v>315</v>
      </c>
      <c r="B204" s="9" t="s">
        <v>300</v>
      </c>
      <c r="C204" s="9" t="s">
        <v>301</v>
      </c>
      <c r="D204" s="9" t="s">
        <v>302</v>
      </c>
    </row>
    <row r="205" spans="1:4" ht="16.5" customHeight="1" x14ac:dyDescent="0.35">
      <c r="A205" s="8" t="s">
        <v>316</v>
      </c>
      <c r="B205" s="9" t="s">
        <v>307</v>
      </c>
      <c r="C205" s="9" t="s">
        <v>308</v>
      </c>
      <c r="D205" s="9" t="s">
        <v>302</v>
      </c>
    </row>
    <row r="206" spans="1:4" ht="16.5" customHeight="1" x14ac:dyDescent="0.35">
      <c r="A206" s="8" t="s">
        <v>317</v>
      </c>
      <c r="B206" s="9" t="s">
        <v>310</v>
      </c>
      <c r="C206" s="9" t="s">
        <v>311</v>
      </c>
      <c r="D206" s="9" t="s">
        <v>302</v>
      </c>
    </row>
    <row r="207" spans="1:4" ht="17.25" customHeight="1" x14ac:dyDescent="0.35">
      <c r="A207" s="8" t="s">
        <v>318</v>
      </c>
      <c r="B207" s="9" t="s">
        <v>319</v>
      </c>
      <c r="C207" s="9" t="s">
        <v>301</v>
      </c>
      <c r="D207" s="9" t="s">
        <v>302</v>
      </c>
    </row>
    <row r="208" spans="1:4" ht="16.5" customHeight="1" x14ac:dyDescent="0.35">
      <c r="A208" s="8" t="s">
        <v>320</v>
      </c>
      <c r="B208" s="9" t="s">
        <v>307</v>
      </c>
      <c r="C208" s="9" t="s">
        <v>308</v>
      </c>
      <c r="D208" s="9" t="s">
        <v>302</v>
      </c>
    </row>
    <row r="209" spans="1:4" ht="16.5" customHeight="1" x14ac:dyDescent="0.35">
      <c r="A209" s="8" t="s">
        <v>321</v>
      </c>
      <c r="B209" s="9" t="s">
        <v>307</v>
      </c>
      <c r="C209" s="9" t="s">
        <v>308</v>
      </c>
      <c r="D209" s="9" t="s">
        <v>302</v>
      </c>
    </row>
    <row r="210" spans="1:4" ht="16.5" customHeight="1" x14ac:dyDescent="0.35">
      <c r="A210" s="8" t="s">
        <v>322</v>
      </c>
      <c r="B210" s="9" t="s">
        <v>307</v>
      </c>
      <c r="C210" s="9" t="s">
        <v>308</v>
      </c>
      <c r="D210" s="9" t="s">
        <v>302</v>
      </c>
    </row>
    <row r="211" spans="1:4" ht="16.5" customHeight="1" x14ac:dyDescent="0.35">
      <c r="A211" s="8" t="s">
        <v>323</v>
      </c>
      <c r="B211" s="9" t="s">
        <v>307</v>
      </c>
      <c r="C211" s="9" t="s">
        <v>308</v>
      </c>
      <c r="D211" s="9" t="s">
        <v>302</v>
      </c>
    </row>
    <row r="212" spans="1:4" ht="16.5" customHeight="1" x14ac:dyDescent="0.35">
      <c r="A212" s="8" t="s">
        <v>324</v>
      </c>
      <c r="B212" s="9" t="s">
        <v>307</v>
      </c>
      <c r="C212" s="9" t="s">
        <v>308</v>
      </c>
      <c r="D212" s="9" t="s">
        <v>302</v>
      </c>
    </row>
    <row r="213" spans="1:4" ht="16.5" customHeight="1" x14ac:dyDescent="0.35">
      <c r="A213" s="8" t="s">
        <v>325</v>
      </c>
      <c r="B213" s="9" t="s">
        <v>326</v>
      </c>
      <c r="C213" s="9" t="s">
        <v>327</v>
      </c>
      <c r="D213" s="9" t="s">
        <v>302</v>
      </c>
    </row>
    <row r="214" spans="1:4" ht="16.5" customHeight="1" x14ac:dyDescent="0.35">
      <c r="A214" s="8" t="s">
        <v>328</v>
      </c>
      <c r="B214" s="9" t="s">
        <v>329</v>
      </c>
      <c r="C214" s="9" t="s">
        <v>327</v>
      </c>
      <c r="D214" s="9" t="s">
        <v>302</v>
      </c>
    </row>
    <row r="215" spans="1:4" ht="16.5" customHeight="1" x14ac:dyDescent="0.35">
      <c r="A215" s="8" t="s">
        <v>330</v>
      </c>
      <c r="B215" s="9" t="s">
        <v>331</v>
      </c>
      <c r="C215" s="9" t="s">
        <v>327</v>
      </c>
      <c r="D215" s="9" t="s">
        <v>302</v>
      </c>
    </row>
    <row r="216" spans="1:4" ht="16.5" customHeight="1" x14ac:dyDescent="0.35">
      <c r="A216" s="8" t="s">
        <v>332</v>
      </c>
      <c r="B216" s="9" t="s">
        <v>333</v>
      </c>
      <c r="C216" s="9" t="s">
        <v>334</v>
      </c>
      <c r="D216" s="9" t="s">
        <v>302</v>
      </c>
    </row>
    <row r="217" spans="1:4" ht="16.5" customHeight="1" x14ac:dyDescent="0.35">
      <c r="A217" s="8" t="s">
        <v>335</v>
      </c>
      <c r="B217" s="9" t="s">
        <v>336</v>
      </c>
      <c r="C217" s="9" t="s">
        <v>337</v>
      </c>
      <c r="D217" s="9" t="s">
        <v>302</v>
      </c>
    </row>
    <row r="218" spans="1:4" ht="16.5" customHeight="1" x14ac:dyDescent="0.35">
      <c r="A218" s="8" t="s">
        <v>338</v>
      </c>
      <c r="B218" s="9" t="s">
        <v>333</v>
      </c>
      <c r="C218" s="9" t="s">
        <v>334</v>
      </c>
      <c r="D218" s="9" t="s">
        <v>302</v>
      </c>
    </row>
    <row r="219" spans="1:4" ht="16.5" customHeight="1" x14ac:dyDescent="0.35">
      <c r="A219" s="8" t="s">
        <v>339</v>
      </c>
      <c r="B219" s="9" t="s">
        <v>340</v>
      </c>
      <c r="C219" s="9" t="s">
        <v>341</v>
      </c>
      <c r="D219" s="9" t="s">
        <v>302</v>
      </c>
    </row>
    <row r="220" spans="1:4" ht="17.25" customHeight="1" x14ac:dyDescent="0.35">
      <c r="A220" s="8" t="s">
        <v>342</v>
      </c>
      <c r="B220" s="9" t="s">
        <v>343</v>
      </c>
      <c r="C220" s="9" t="s">
        <v>344</v>
      </c>
      <c r="D220" s="9" t="s">
        <v>302</v>
      </c>
    </row>
    <row r="221" spans="1:4" ht="16.5" customHeight="1" x14ac:dyDescent="0.35">
      <c r="A221" s="8" t="s">
        <v>345</v>
      </c>
      <c r="B221" s="9" t="s">
        <v>346</v>
      </c>
      <c r="C221" s="9" t="s">
        <v>341</v>
      </c>
      <c r="D221" s="9" t="s">
        <v>302</v>
      </c>
    </row>
    <row r="222" spans="1:4" ht="16.5" customHeight="1" x14ac:dyDescent="0.35">
      <c r="A222" s="8" t="s">
        <v>347</v>
      </c>
      <c r="B222" s="9" t="s">
        <v>48</v>
      </c>
      <c r="C222" s="9" t="s">
        <v>308</v>
      </c>
      <c r="D222" s="9" t="s">
        <v>302</v>
      </c>
    </row>
    <row r="223" spans="1:4" ht="16.5" customHeight="1" x14ac:dyDescent="0.35">
      <c r="A223" s="8" t="s">
        <v>348</v>
      </c>
      <c r="B223" s="9" t="s">
        <v>349</v>
      </c>
      <c r="C223" s="9" t="s">
        <v>301</v>
      </c>
      <c r="D223" s="9" t="s">
        <v>302</v>
      </c>
    </row>
    <row r="224" spans="1:4" ht="16.5" customHeight="1" x14ac:dyDescent="0.35">
      <c r="A224" s="8" t="s">
        <v>350</v>
      </c>
      <c r="B224" s="9" t="s">
        <v>351</v>
      </c>
      <c r="C224" s="9" t="s">
        <v>352</v>
      </c>
      <c r="D224" s="9" t="s">
        <v>302</v>
      </c>
    </row>
    <row r="225" spans="1:4" ht="16.5" customHeight="1" x14ac:dyDescent="0.35">
      <c r="A225" s="8" t="s">
        <v>353</v>
      </c>
      <c r="B225" s="9" t="s">
        <v>354</v>
      </c>
      <c r="C225" s="9" t="s">
        <v>301</v>
      </c>
      <c r="D225" s="9" t="s">
        <v>302</v>
      </c>
    </row>
    <row r="226" spans="1:4" ht="16.5" customHeight="1" x14ac:dyDescent="0.35">
      <c r="A226" s="8" t="s">
        <v>355</v>
      </c>
      <c r="B226" s="9" t="s">
        <v>356</v>
      </c>
      <c r="C226" s="9" t="s">
        <v>334</v>
      </c>
      <c r="D226" s="9" t="s">
        <v>302</v>
      </c>
    </row>
    <row r="227" spans="1:4" ht="16.5" customHeight="1" x14ac:dyDescent="0.35">
      <c r="A227" s="8" t="s">
        <v>357</v>
      </c>
      <c r="B227" s="9" t="s">
        <v>48</v>
      </c>
      <c r="C227" s="9" t="s">
        <v>327</v>
      </c>
      <c r="D227" s="9" t="s">
        <v>302</v>
      </c>
    </row>
    <row r="228" spans="1:4" ht="16.5" customHeight="1" x14ac:dyDescent="0.35">
      <c r="A228" s="8" t="s">
        <v>358</v>
      </c>
      <c r="B228" s="9" t="s">
        <v>48</v>
      </c>
      <c r="C228" s="9" t="s">
        <v>308</v>
      </c>
      <c r="D228" s="9" t="s">
        <v>302</v>
      </c>
    </row>
    <row r="229" spans="1:4" ht="16.5" customHeight="1" x14ac:dyDescent="0.35">
      <c r="A229" s="8" t="s">
        <v>359</v>
      </c>
      <c r="B229" s="9" t="s">
        <v>69</v>
      </c>
      <c r="C229" s="9" t="s">
        <v>70</v>
      </c>
      <c r="D229" s="9" t="s">
        <v>302</v>
      </c>
    </row>
    <row r="230" spans="1:4" ht="16.5" customHeight="1" x14ac:dyDescent="0.35">
      <c r="A230" s="8" t="s">
        <v>360</v>
      </c>
      <c r="B230" s="9" t="s">
        <v>69</v>
      </c>
      <c r="C230" s="9" t="s">
        <v>70</v>
      </c>
      <c r="D230" s="9" t="s">
        <v>302</v>
      </c>
    </row>
    <row r="231" spans="1:4" ht="16.5" customHeight="1" x14ac:dyDescent="0.35">
      <c r="A231" s="8" t="s">
        <v>361</v>
      </c>
      <c r="B231" s="9" t="s">
        <v>69</v>
      </c>
      <c r="C231" s="9" t="s">
        <v>109</v>
      </c>
      <c r="D231" s="9" t="s">
        <v>302</v>
      </c>
    </row>
    <row r="232" spans="1:4" ht="17.25" customHeight="1" x14ac:dyDescent="0.35">
      <c r="A232" s="8" t="s">
        <v>362</v>
      </c>
      <c r="B232" s="9" t="s">
        <v>363</v>
      </c>
      <c r="C232" s="9" t="s">
        <v>352</v>
      </c>
      <c r="D232" s="9" t="s">
        <v>302</v>
      </c>
    </row>
    <row r="233" spans="1:4" ht="16.5" customHeight="1" x14ac:dyDescent="0.35">
      <c r="A233" s="8" t="s">
        <v>364</v>
      </c>
      <c r="B233" s="9" t="s">
        <v>365</v>
      </c>
      <c r="C233" s="9" t="s">
        <v>352</v>
      </c>
      <c r="D233" s="9" t="s">
        <v>302</v>
      </c>
    </row>
    <row r="234" spans="1:4" ht="16.5" customHeight="1" x14ac:dyDescent="0.35">
      <c r="A234" s="8" t="s">
        <v>366</v>
      </c>
      <c r="B234" s="9" t="s">
        <v>365</v>
      </c>
      <c r="C234" s="9" t="s">
        <v>352</v>
      </c>
      <c r="D234" s="9" t="s">
        <v>302</v>
      </c>
    </row>
    <row r="235" spans="1:4" ht="16.5" customHeight="1" x14ac:dyDescent="0.35">
      <c r="A235" s="8" t="s">
        <v>367</v>
      </c>
      <c r="B235" s="9" t="s">
        <v>108</v>
      </c>
      <c r="C235" s="9" t="s">
        <v>308</v>
      </c>
      <c r="D235" s="9" t="s">
        <v>302</v>
      </c>
    </row>
    <row r="236" spans="1:4" ht="16.5" customHeight="1" x14ac:dyDescent="0.35">
      <c r="A236" s="8" t="s">
        <v>368</v>
      </c>
      <c r="B236" s="9" t="s">
        <v>108</v>
      </c>
      <c r="C236" s="9" t="s">
        <v>301</v>
      </c>
      <c r="D236" s="9" t="s">
        <v>302</v>
      </c>
    </row>
    <row r="237" spans="1:4" ht="16.5" customHeight="1" x14ac:dyDescent="0.35">
      <c r="A237" s="8" t="s">
        <v>369</v>
      </c>
      <c r="B237" s="9" t="s">
        <v>108</v>
      </c>
      <c r="C237" s="9" t="s">
        <v>308</v>
      </c>
      <c r="D237" s="9" t="s">
        <v>302</v>
      </c>
    </row>
    <row r="238" spans="1:4" ht="16.5" customHeight="1" x14ac:dyDescent="0.35">
      <c r="A238" s="8" t="s">
        <v>370</v>
      </c>
      <c r="B238" s="9" t="s">
        <v>108</v>
      </c>
      <c r="C238" s="9" t="s">
        <v>301</v>
      </c>
      <c r="D238" s="9" t="s">
        <v>302</v>
      </c>
    </row>
    <row r="239" spans="1:4" ht="12" customHeight="1" x14ac:dyDescent="0.35">
      <c r="A239" s="36"/>
      <c r="B239" s="36"/>
      <c r="C239" s="36"/>
      <c r="D239" s="36"/>
    </row>
    <row r="240" spans="1:4" ht="16.5" customHeight="1" x14ac:dyDescent="0.35">
      <c r="A240" s="8" t="s">
        <v>371</v>
      </c>
      <c r="B240" s="9" t="s">
        <v>372</v>
      </c>
      <c r="C240" s="9" t="s">
        <v>373</v>
      </c>
      <c r="D240" s="9" t="s">
        <v>374</v>
      </c>
    </row>
    <row r="241" spans="1:4" ht="16.5" customHeight="1" x14ac:dyDescent="0.35">
      <c r="A241" s="8" t="s">
        <v>375</v>
      </c>
      <c r="B241" s="9" t="s">
        <v>376</v>
      </c>
      <c r="C241" s="9" t="s">
        <v>377</v>
      </c>
      <c r="D241" s="9" t="s">
        <v>374</v>
      </c>
    </row>
    <row r="242" spans="1:4" ht="17.25" customHeight="1" x14ac:dyDescent="0.35">
      <c r="A242" s="8" t="s">
        <v>378</v>
      </c>
      <c r="B242" s="9" t="s">
        <v>43</v>
      </c>
      <c r="C242" s="9" t="s">
        <v>44</v>
      </c>
      <c r="D242" s="9" t="s">
        <v>374</v>
      </c>
    </row>
    <row r="243" spans="1:4" ht="16.5" customHeight="1" x14ac:dyDescent="0.35">
      <c r="A243" s="8" t="s">
        <v>379</v>
      </c>
      <c r="B243" s="9" t="s">
        <v>48</v>
      </c>
      <c r="C243" s="9" t="s">
        <v>49</v>
      </c>
      <c r="D243" s="9" t="s">
        <v>374</v>
      </c>
    </row>
    <row r="244" spans="1:4" ht="16.5" customHeight="1" x14ac:dyDescent="0.35">
      <c r="A244" s="8" t="s">
        <v>380</v>
      </c>
      <c r="B244" s="9" t="s">
        <v>48</v>
      </c>
      <c r="C244" s="9" t="s">
        <v>49</v>
      </c>
      <c r="D244" s="9" t="s">
        <v>374</v>
      </c>
    </row>
    <row r="245" spans="1:4" ht="16.5" customHeight="1" x14ac:dyDescent="0.35">
      <c r="A245" s="8" t="s">
        <v>381</v>
      </c>
      <c r="B245" s="9" t="s">
        <v>59</v>
      </c>
      <c r="C245" s="9" t="s">
        <v>60</v>
      </c>
      <c r="D245" s="9" t="s">
        <v>374</v>
      </c>
    </row>
    <row r="246" spans="1:4" ht="16.5" customHeight="1" x14ac:dyDescent="0.35">
      <c r="A246" s="8" t="s">
        <v>382</v>
      </c>
      <c r="B246" s="9" t="s">
        <v>69</v>
      </c>
      <c r="C246" s="9" t="s">
        <v>70</v>
      </c>
      <c r="D246" s="9" t="s">
        <v>374</v>
      </c>
    </row>
    <row r="247" spans="1:4" ht="16.5" customHeight="1" x14ac:dyDescent="0.35">
      <c r="A247" s="8" t="s">
        <v>383</v>
      </c>
      <c r="B247" s="9" t="s">
        <v>69</v>
      </c>
      <c r="C247" s="9" t="s">
        <v>70</v>
      </c>
      <c r="D247" s="9" t="s">
        <v>374</v>
      </c>
    </row>
    <row r="248" spans="1:4" ht="16.5" customHeight="1" x14ac:dyDescent="0.35">
      <c r="A248" s="8" t="s">
        <v>384</v>
      </c>
      <c r="B248" s="9" t="s">
        <v>385</v>
      </c>
      <c r="C248" s="9" t="s">
        <v>386</v>
      </c>
      <c r="D248" s="9" t="s">
        <v>374</v>
      </c>
    </row>
    <row r="249" spans="1:4" ht="16.5" customHeight="1" x14ac:dyDescent="0.35">
      <c r="A249" s="8" t="s">
        <v>387</v>
      </c>
      <c r="B249" s="9" t="s">
        <v>388</v>
      </c>
      <c r="C249" s="9" t="s">
        <v>389</v>
      </c>
      <c r="D249" s="9" t="s">
        <v>374</v>
      </c>
    </row>
    <row r="250" spans="1:4" ht="16.5" customHeight="1" x14ac:dyDescent="0.35">
      <c r="A250" s="8" t="s">
        <v>390</v>
      </c>
      <c r="B250" s="9" t="s">
        <v>391</v>
      </c>
      <c r="C250" s="9" t="s">
        <v>392</v>
      </c>
      <c r="D250" s="9" t="s">
        <v>374</v>
      </c>
    </row>
    <row r="251" spans="1:4" ht="24.75" customHeight="1" x14ac:dyDescent="0.35">
      <c r="A251" s="8" t="s">
        <v>393</v>
      </c>
      <c r="B251" s="9" t="s">
        <v>394</v>
      </c>
      <c r="C251" s="9" t="s">
        <v>395</v>
      </c>
      <c r="D251" s="9" t="s">
        <v>374</v>
      </c>
    </row>
    <row r="252" spans="1:4" ht="16.5" customHeight="1" x14ac:dyDescent="0.35">
      <c r="A252" s="8" t="s">
        <v>396</v>
      </c>
      <c r="B252" s="9" t="s">
        <v>397</v>
      </c>
      <c r="C252" s="9" t="s">
        <v>398</v>
      </c>
      <c r="D252" s="9" t="s">
        <v>374</v>
      </c>
    </row>
    <row r="253" spans="1:4" ht="36" customHeight="1" x14ac:dyDescent="0.35">
      <c r="A253" s="8" t="s">
        <v>399</v>
      </c>
      <c r="B253" s="9" t="s">
        <v>400</v>
      </c>
      <c r="C253" s="9" t="s">
        <v>401</v>
      </c>
      <c r="D253" s="9" t="s">
        <v>374</v>
      </c>
    </row>
    <row r="254" spans="1:4" ht="16.5" customHeight="1" x14ac:dyDescent="0.35">
      <c r="A254" s="8" t="s">
        <v>402</v>
      </c>
      <c r="B254" s="9" t="s">
        <v>108</v>
      </c>
      <c r="C254" s="9" t="s">
        <v>109</v>
      </c>
      <c r="D254" s="9" t="s">
        <v>374</v>
      </c>
    </row>
    <row r="255" spans="1:4" ht="16.5" customHeight="1" x14ac:dyDescent="0.35">
      <c r="A255" s="8" t="s">
        <v>403</v>
      </c>
      <c r="B255" s="9" t="s">
        <v>108</v>
      </c>
      <c r="C255" s="9" t="s">
        <v>109</v>
      </c>
      <c r="D255" s="9" t="s">
        <v>374</v>
      </c>
    </row>
    <row r="256" spans="1:4" ht="12.75" customHeight="1" x14ac:dyDescent="0.35">
      <c r="A256" s="36"/>
      <c r="B256" s="36"/>
      <c r="C256" s="36"/>
      <c r="D256" s="36"/>
    </row>
  </sheetData>
  <mergeCells count="13">
    <mergeCell ref="A239:D239"/>
    <mergeCell ref="A256:D256"/>
    <mergeCell ref="A83:D83"/>
    <mergeCell ref="A87:D87"/>
    <mergeCell ref="A91:D91"/>
    <mergeCell ref="A192:D192"/>
    <mergeCell ref="A194:D194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&amp;CJ1848 PART NUMBER LIST_B.2</oddHeader>
    <oddFooter>&amp;L&amp;D_x000D_&amp;1#&amp;"Aptos"&amp;10&amp;K737373 Caterpillar: Confidential Green&amp;CPage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1B7A9-2B77-47DD-BB54-6516EAB834AF}">
  <sheetPr>
    <tabColor rgb="FFFFCCFF"/>
  </sheetPr>
  <dimension ref="A1:H17"/>
  <sheetViews>
    <sheetView showGridLines="0" zoomScaleNormal="100" workbookViewId="0">
      <selection activeCell="J8" sqref="J8"/>
    </sheetView>
  </sheetViews>
  <sheetFormatPr defaultRowHeight="17" customHeight="1" x14ac:dyDescent="0.35"/>
  <cols>
    <col min="1" max="1" width="11.54296875" style="13" bestFit="1" customWidth="1"/>
    <col min="2" max="2" width="7.54296875" style="13" bestFit="1" customWidth="1"/>
    <col min="3" max="3" width="6.54296875" style="13" bestFit="1" customWidth="1"/>
    <col min="4" max="4" width="6.54296875" style="13" customWidth="1"/>
    <col min="5" max="5" width="6.36328125" style="13" bestFit="1" customWidth="1"/>
    <col min="6" max="6" width="11.453125" style="13" bestFit="1" customWidth="1"/>
    <col min="7" max="7" width="12.36328125" bestFit="1" customWidth="1"/>
    <col min="8" max="8" width="11.26953125" bestFit="1" customWidth="1"/>
  </cols>
  <sheetData>
    <row r="1" spans="1:8" ht="18" customHeight="1" x14ac:dyDescent="0.35">
      <c r="A1" s="43" t="s">
        <v>1686</v>
      </c>
      <c r="B1" s="44"/>
      <c r="C1" s="44"/>
      <c r="D1" s="44"/>
    </row>
    <row r="2" spans="1:8" ht="12.75" customHeight="1" x14ac:dyDescent="0.35">
      <c r="A2" s="45" t="s">
        <v>459</v>
      </c>
      <c r="B2" s="45"/>
      <c r="C2" s="45"/>
      <c r="D2" s="45"/>
    </row>
    <row r="3" spans="1:8" ht="12" customHeight="1" x14ac:dyDescent="0.35">
      <c r="A3" s="3" t="s">
        <v>2</v>
      </c>
      <c r="B3" s="31" t="s">
        <v>3</v>
      </c>
      <c r="C3" s="31"/>
      <c r="D3" s="31"/>
    </row>
    <row r="4" spans="1:8" ht="14.5" customHeight="1" x14ac:dyDescent="0.35">
      <c r="A4" s="3" t="s">
        <v>5</v>
      </c>
      <c r="B4" s="31" t="s">
        <v>6</v>
      </c>
      <c r="C4" s="31"/>
      <c r="D4" s="31"/>
    </row>
    <row r="5" spans="1:8" ht="12" customHeight="1" x14ac:dyDescent="0.35">
      <c r="A5" s="3" t="s">
        <v>7</v>
      </c>
      <c r="B5" s="31" t="s">
        <v>8</v>
      </c>
      <c r="C5" s="31"/>
      <c r="D5" s="31"/>
    </row>
    <row r="6" spans="1:8" ht="5.25" customHeight="1" x14ac:dyDescent="0.35"/>
    <row r="7" spans="1:8" ht="14.5" customHeight="1" x14ac:dyDescent="0.35">
      <c r="A7" s="3" t="s">
        <v>9</v>
      </c>
      <c r="B7" s="31" t="s">
        <v>10</v>
      </c>
      <c r="C7" s="31"/>
      <c r="D7" s="31"/>
    </row>
    <row r="8" spans="1:8" ht="12.75" customHeight="1" x14ac:dyDescent="0.35">
      <c r="A8" s="3" t="s">
        <v>11</v>
      </c>
      <c r="B8" s="31"/>
      <c r="C8" s="31"/>
      <c r="D8" s="31"/>
    </row>
    <row r="9" spans="1:8" ht="14.5" customHeight="1" x14ac:dyDescent="0.35">
      <c r="A9" s="3" t="s">
        <v>12</v>
      </c>
      <c r="B9" s="31" t="s">
        <v>13</v>
      </c>
      <c r="C9" s="31"/>
      <c r="D9" s="31"/>
    </row>
    <row r="10" spans="1:8" ht="12.75" customHeight="1" x14ac:dyDescent="0.35">
      <c r="A10" s="3" t="s">
        <v>11</v>
      </c>
      <c r="B10" s="31"/>
      <c r="C10" s="31"/>
      <c r="D10" s="31"/>
    </row>
    <row r="11" spans="1:8" ht="10.5" customHeight="1" x14ac:dyDescent="0.35"/>
    <row r="12" spans="1:8" ht="16.5" customHeight="1" x14ac:dyDescent="0.35">
      <c r="A12" s="39" t="s">
        <v>452</v>
      </c>
      <c r="B12" s="39"/>
      <c r="C12" s="39"/>
      <c r="D12" s="39"/>
      <c r="E12" s="39"/>
      <c r="F12" s="39"/>
      <c r="G12" s="41" t="s">
        <v>453</v>
      </c>
      <c r="H12" s="42"/>
    </row>
    <row r="13" spans="1:8" ht="34.5" customHeight="1" x14ac:dyDescent="0.35">
      <c r="A13" s="14" t="s">
        <v>14</v>
      </c>
      <c r="B13" s="15" t="s">
        <v>456</v>
      </c>
      <c r="C13" s="15" t="s">
        <v>455</v>
      </c>
      <c r="D13" s="15" t="s">
        <v>457</v>
      </c>
      <c r="E13" s="15" t="s">
        <v>1641</v>
      </c>
      <c r="F13" s="16" t="s">
        <v>14</v>
      </c>
      <c r="G13" s="16" t="s">
        <v>17</v>
      </c>
      <c r="H13" s="16" t="s">
        <v>1642</v>
      </c>
    </row>
    <row r="14" spans="1:8" ht="17" customHeight="1" x14ac:dyDescent="0.35">
      <c r="A14" s="17" t="s">
        <v>1241</v>
      </c>
      <c r="B14" s="17" t="s">
        <v>1643</v>
      </c>
      <c r="C14" s="17" t="s">
        <v>462</v>
      </c>
      <c r="D14" s="17" t="s">
        <v>514</v>
      </c>
      <c r="E14" s="17" t="s">
        <v>1663</v>
      </c>
      <c r="F14" s="18" t="s">
        <v>1238</v>
      </c>
      <c r="G14" s="18" t="s">
        <v>1654</v>
      </c>
      <c r="H14" s="18" t="s">
        <v>1650</v>
      </c>
    </row>
    <row r="15" spans="1:8" ht="17" customHeight="1" x14ac:dyDescent="0.35">
      <c r="A15" s="17" t="s">
        <v>1237</v>
      </c>
      <c r="B15" s="17" t="s">
        <v>1643</v>
      </c>
      <c r="C15" s="17" t="s">
        <v>462</v>
      </c>
      <c r="D15" s="17" t="s">
        <v>514</v>
      </c>
      <c r="E15" s="17" t="s">
        <v>1664</v>
      </c>
      <c r="F15" s="18" t="s">
        <v>1238</v>
      </c>
      <c r="G15" s="18" t="s">
        <v>1654</v>
      </c>
      <c r="H15" s="18"/>
    </row>
    <row r="16" spans="1:8" ht="17" customHeight="1" x14ac:dyDescent="0.35">
      <c r="A16" s="17" t="s">
        <v>1242</v>
      </c>
      <c r="B16" s="17" t="s">
        <v>61</v>
      </c>
      <c r="C16" s="17" t="s">
        <v>462</v>
      </c>
      <c r="D16" s="17" t="s">
        <v>514</v>
      </c>
      <c r="E16" s="17" t="s">
        <v>1663</v>
      </c>
      <c r="F16" s="18" t="s">
        <v>1240</v>
      </c>
      <c r="G16" s="18" t="s">
        <v>1654</v>
      </c>
      <c r="H16" s="18"/>
    </row>
    <row r="17" spans="1:8" ht="17" customHeight="1" x14ac:dyDescent="0.35">
      <c r="A17" s="17" t="s">
        <v>1239</v>
      </c>
      <c r="B17" s="17" t="s">
        <v>61</v>
      </c>
      <c r="C17" s="17" t="s">
        <v>462</v>
      </c>
      <c r="D17" s="17" t="s">
        <v>514</v>
      </c>
      <c r="E17" s="17" t="s">
        <v>1664</v>
      </c>
      <c r="F17" s="18" t="s">
        <v>1240</v>
      </c>
      <c r="G17" s="18" t="s">
        <v>1654</v>
      </c>
      <c r="H17" s="18"/>
    </row>
  </sheetData>
  <sortState xmlns:xlrd2="http://schemas.microsoft.com/office/spreadsheetml/2017/richdata2" ref="A14:G17">
    <sortCondition ref="B14:B1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6D11B-1DB1-4B57-B200-FA7AF4DE5353}">
  <sheetPr>
    <tabColor rgb="FFFFCCFF"/>
  </sheetPr>
  <dimension ref="A1:H52"/>
  <sheetViews>
    <sheetView showGridLines="0" zoomScale="55" zoomScaleNormal="55" workbookViewId="0">
      <selection activeCell="K14" sqref="K14"/>
    </sheetView>
  </sheetViews>
  <sheetFormatPr defaultRowHeight="17" customHeight="1" x14ac:dyDescent="0.35"/>
  <cols>
    <col min="1" max="1" width="13.81640625" style="13" bestFit="1" customWidth="1"/>
    <col min="2" max="2" width="11.36328125" style="13" bestFit="1" customWidth="1"/>
    <col min="3" max="3" width="6.54296875" style="13" customWidth="1"/>
    <col min="4" max="4" width="8.1796875" style="13" bestFit="1" customWidth="1"/>
    <col min="5" max="5" width="7.36328125" style="13" customWidth="1"/>
    <col min="6" max="6" width="10" style="13" bestFit="1" customWidth="1"/>
    <col min="7" max="7" width="9.54296875" bestFit="1" customWidth="1"/>
    <col min="8" max="8" width="11.453125" customWidth="1"/>
  </cols>
  <sheetData>
    <row r="1" spans="1:8" ht="18" customHeight="1" x14ac:dyDescent="0.35">
      <c r="A1" s="44" t="s">
        <v>374</v>
      </c>
      <c r="B1" s="44"/>
      <c r="C1" s="44"/>
      <c r="D1" s="44"/>
    </row>
    <row r="2" spans="1:8" ht="12.75" customHeight="1" x14ac:dyDescent="0.35">
      <c r="A2" s="45" t="s">
        <v>459</v>
      </c>
      <c r="B2" s="45"/>
      <c r="C2" s="45"/>
      <c r="D2" s="45"/>
    </row>
    <row r="3" spans="1:8" ht="12" customHeight="1" x14ac:dyDescent="0.35">
      <c r="A3" s="3" t="s">
        <v>2</v>
      </c>
      <c r="B3" s="31" t="s">
        <v>3</v>
      </c>
      <c r="C3" s="31"/>
      <c r="D3" s="31"/>
    </row>
    <row r="4" spans="1:8" ht="12.75" customHeight="1" x14ac:dyDescent="0.35">
      <c r="A4" s="3" t="s">
        <v>5</v>
      </c>
      <c r="B4" s="31" t="s">
        <v>6</v>
      </c>
      <c r="C4" s="31"/>
      <c r="D4" s="31"/>
    </row>
    <row r="5" spans="1:8" ht="12" customHeight="1" x14ac:dyDescent="0.35">
      <c r="A5" s="3" t="s">
        <v>7</v>
      </c>
      <c r="B5" s="31" t="s">
        <v>8</v>
      </c>
      <c r="C5" s="31"/>
      <c r="D5" s="31"/>
    </row>
    <row r="6" spans="1:8" ht="5.25" customHeight="1" x14ac:dyDescent="0.35"/>
    <row r="7" spans="1:8" ht="12" customHeight="1" x14ac:dyDescent="0.35">
      <c r="A7" s="3" t="s">
        <v>9</v>
      </c>
      <c r="B7" s="31" t="s">
        <v>10</v>
      </c>
      <c r="C7" s="31"/>
      <c r="D7" s="31"/>
    </row>
    <row r="8" spans="1:8" ht="12.75" customHeight="1" x14ac:dyDescent="0.35">
      <c r="A8" s="3" t="s">
        <v>11</v>
      </c>
      <c r="B8" s="31"/>
      <c r="C8" s="31"/>
      <c r="D8" s="31"/>
    </row>
    <row r="9" spans="1:8" ht="12" customHeight="1" x14ac:dyDescent="0.35">
      <c r="A9" s="3" t="s">
        <v>12</v>
      </c>
      <c r="B9" s="31" t="s">
        <v>13</v>
      </c>
      <c r="C9" s="31"/>
      <c r="D9" s="31"/>
    </row>
    <row r="10" spans="1:8" ht="12.75" customHeight="1" x14ac:dyDescent="0.35">
      <c r="A10" s="3" t="s">
        <v>11</v>
      </c>
      <c r="B10" s="31"/>
      <c r="C10" s="31"/>
      <c r="D10" s="31"/>
    </row>
    <row r="11" spans="1:8" ht="10.5" customHeight="1" x14ac:dyDescent="0.35"/>
    <row r="12" spans="1:8" ht="16.5" customHeight="1" x14ac:dyDescent="0.35">
      <c r="A12" s="39" t="s">
        <v>452</v>
      </c>
      <c r="B12" s="39"/>
      <c r="C12" s="39"/>
      <c r="D12" s="39"/>
      <c r="E12" s="39"/>
      <c r="F12" s="39"/>
      <c r="G12" s="41" t="s">
        <v>453</v>
      </c>
      <c r="H12" s="42"/>
    </row>
    <row r="13" spans="1:8" ht="43.5" customHeight="1" x14ac:dyDescent="0.35">
      <c r="A13" s="14" t="s">
        <v>14</v>
      </c>
      <c r="B13" s="15" t="s">
        <v>456</v>
      </c>
      <c r="C13" s="15" t="s">
        <v>455</v>
      </c>
      <c r="D13" s="15" t="s">
        <v>457</v>
      </c>
      <c r="E13" s="15" t="s">
        <v>1641</v>
      </c>
      <c r="F13" s="16" t="s">
        <v>14</v>
      </c>
      <c r="G13" s="16" t="s">
        <v>17</v>
      </c>
      <c r="H13" s="16" t="s">
        <v>1642</v>
      </c>
    </row>
    <row r="14" spans="1:8" ht="17" customHeight="1" x14ac:dyDescent="0.35">
      <c r="A14" s="17" t="s">
        <v>519</v>
      </c>
      <c r="B14" s="17" t="s">
        <v>1643</v>
      </c>
      <c r="C14" s="17" t="s">
        <v>462</v>
      </c>
      <c r="D14" s="17" t="s">
        <v>463</v>
      </c>
      <c r="E14" s="17" t="s">
        <v>1658</v>
      </c>
      <c r="F14" s="18" t="s">
        <v>520</v>
      </c>
      <c r="G14" s="18" t="s">
        <v>374</v>
      </c>
      <c r="H14" s="18" t="s">
        <v>387</v>
      </c>
    </row>
    <row r="15" spans="1:8" ht="19" customHeight="1" x14ac:dyDescent="0.35">
      <c r="A15" s="17" t="s">
        <v>517</v>
      </c>
      <c r="B15" s="17" t="s">
        <v>58</v>
      </c>
      <c r="C15" s="17" t="s">
        <v>462</v>
      </c>
      <c r="D15" s="17" t="s">
        <v>463</v>
      </c>
      <c r="E15" s="17" t="s">
        <v>1658</v>
      </c>
      <c r="F15" s="18" t="s">
        <v>518</v>
      </c>
      <c r="G15" s="18" t="s">
        <v>374</v>
      </c>
      <c r="H15" s="18"/>
    </row>
    <row r="16" spans="1:8" ht="19" customHeight="1" x14ac:dyDescent="0.35">
      <c r="A16" s="23"/>
      <c r="B16" s="23"/>
      <c r="C16" s="23"/>
      <c r="D16" s="23"/>
      <c r="E16" s="23"/>
      <c r="F16" s="24"/>
      <c r="G16" s="24"/>
      <c r="H16" s="24"/>
    </row>
    <row r="17" spans="1:8" ht="17" customHeight="1" x14ac:dyDescent="0.35">
      <c r="A17" s="18" t="s">
        <v>494</v>
      </c>
      <c r="B17" s="17" t="s">
        <v>493</v>
      </c>
      <c r="C17" s="17" t="s">
        <v>462</v>
      </c>
      <c r="D17" s="17" t="s">
        <v>463</v>
      </c>
      <c r="E17" s="17" t="s">
        <v>1658</v>
      </c>
      <c r="F17" s="17" t="s">
        <v>492</v>
      </c>
      <c r="G17" s="18" t="s">
        <v>374</v>
      </c>
      <c r="H17" s="18" t="s">
        <v>396</v>
      </c>
    </row>
    <row r="18" spans="1:8" ht="17" customHeight="1" x14ac:dyDescent="0.35">
      <c r="A18" s="18" t="s">
        <v>476</v>
      </c>
      <c r="B18" s="17" t="s">
        <v>475</v>
      </c>
      <c r="C18" s="17" t="s">
        <v>462</v>
      </c>
      <c r="D18" s="17" t="s">
        <v>463</v>
      </c>
      <c r="E18" s="17" t="s">
        <v>1658</v>
      </c>
      <c r="F18" s="17" t="s">
        <v>474</v>
      </c>
      <c r="G18" s="18" t="s">
        <v>374</v>
      </c>
      <c r="H18" s="18"/>
    </row>
    <row r="19" spans="1:8" ht="17" customHeight="1" x14ac:dyDescent="0.35">
      <c r="A19" s="17" t="s">
        <v>521</v>
      </c>
      <c r="B19" s="17" t="s">
        <v>522</v>
      </c>
      <c r="C19" s="17" t="s">
        <v>462</v>
      </c>
      <c r="D19" s="17" t="s">
        <v>463</v>
      </c>
      <c r="E19" s="17" t="s">
        <v>1658</v>
      </c>
      <c r="F19" s="18" t="s">
        <v>523</v>
      </c>
      <c r="G19" s="18" t="s">
        <v>374</v>
      </c>
      <c r="H19" s="18"/>
    </row>
    <row r="20" spans="1:8" ht="17" customHeight="1" x14ac:dyDescent="0.35">
      <c r="A20" s="17" t="s">
        <v>524</v>
      </c>
      <c r="B20" s="17" t="s">
        <v>525</v>
      </c>
      <c r="C20" s="17" t="s">
        <v>462</v>
      </c>
      <c r="D20" s="17" t="s">
        <v>463</v>
      </c>
      <c r="E20" s="17" t="s">
        <v>1658</v>
      </c>
      <c r="F20" s="18" t="s">
        <v>526</v>
      </c>
      <c r="G20" s="18" t="s">
        <v>374</v>
      </c>
      <c r="H20" s="18"/>
    </row>
    <row r="21" spans="1:8" ht="17" customHeight="1" x14ac:dyDescent="0.35">
      <c r="A21" s="24"/>
      <c r="B21" s="23"/>
      <c r="C21" s="23"/>
      <c r="D21" s="23"/>
      <c r="E21" s="23"/>
      <c r="F21" s="23"/>
      <c r="G21" s="24"/>
      <c r="H21" s="24"/>
    </row>
    <row r="22" spans="1:8" ht="17" customHeight="1" x14ac:dyDescent="0.35">
      <c r="A22" s="18" t="s">
        <v>485</v>
      </c>
      <c r="B22" s="17" t="s">
        <v>484</v>
      </c>
      <c r="C22" s="17" t="s">
        <v>462</v>
      </c>
      <c r="D22" s="17" t="s">
        <v>463</v>
      </c>
      <c r="E22" s="17" t="s">
        <v>1658</v>
      </c>
      <c r="F22" s="17" t="s">
        <v>483</v>
      </c>
      <c r="G22" s="18" t="s">
        <v>374</v>
      </c>
      <c r="H22" s="18" t="s">
        <v>384</v>
      </c>
    </row>
    <row r="23" spans="1:8" ht="17" customHeight="1" x14ac:dyDescent="0.35">
      <c r="A23" s="18" t="s">
        <v>467</v>
      </c>
      <c r="B23" s="17" t="s">
        <v>466</v>
      </c>
      <c r="C23" s="17" t="s">
        <v>462</v>
      </c>
      <c r="D23" s="17" t="s">
        <v>463</v>
      </c>
      <c r="E23" s="17" t="s">
        <v>1658</v>
      </c>
      <c r="F23" s="17" t="s">
        <v>465</v>
      </c>
      <c r="G23" s="18" t="s">
        <v>374</v>
      </c>
      <c r="H23" s="18"/>
    </row>
    <row r="24" spans="1:8" ht="17" customHeight="1" x14ac:dyDescent="0.35">
      <c r="A24" s="18" t="s">
        <v>488</v>
      </c>
      <c r="B24" s="17" t="s">
        <v>487</v>
      </c>
      <c r="C24" s="17" t="s">
        <v>462</v>
      </c>
      <c r="D24" s="17" t="s">
        <v>463</v>
      </c>
      <c r="E24" s="17" t="s">
        <v>1658</v>
      </c>
      <c r="F24" s="17" t="s">
        <v>486</v>
      </c>
      <c r="G24" s="18" t="s">
        <v>374</v>
      </c>
      <c r="H24" s="18"/>
    </row>
    <row r="25" spans="1:8" ht="17" customHeight="1" x14ac:dyDescent="0.35">
      <c r="A25" s="18" t="s">
        <v>470</v>
      </c>
      <c r="B25" s="17" t="s">
        <v>469</v>
      </c>
      <c r="C25" s="17" t="s">
        <v>462</v>
      </c>
      <c r="D25" s="17" t="s">
        <v>463</v>
      </c>
      <c r="E25" s="17" t="s">
        <v>1658</v>
      </c>
      <c r="F25" s="17" t="s">
        <v>468</v>
      </c>
      <c r="G25" s="18" t="s">
        <v>374</v>
      </c>
      <c r="H25" s="18"/>
    </row>
    <row r="26" spans="1:8" ht="17" customHeight="1" x14ac:dyDescent="0.35">
      <c r="A26" s="24"/>
      <c r="B26" s="23"/>
      <c r="C26" s="23"/>
      <c r="D26" s="23"/>
      <c r="E26" s="23"/>
      <c r="F26" s="23"/>
      <c r="G26" s="24"/>
      <c r="H26" s="24"/>
    </row>
    <row r="27" spans="1:8" ht="17" customHeight="1" x14ac:dyDescent="0.35">
      <c r="A27" s="18" t="s">
        <v>482</v>
      </c>
      <c r="B27" s="17" t="s">
        <v>481</v>
      </c>
      <c r="C27" s="17" t="s">
        <v>462</v>
      </c>
      <c r="D27" s="17" t="s">
        <v>463</v>
      </c>
      <c r="E27" s="17" t="s">
        <v>1658</v>
      </c>
      <c r="F27" s="17" t="s">
        <v>480</v>
      </c>
      <c r="G27" s="18" t="s">
        <v>374</v>
      </c>
      <c r="H27" s="18" t="s">
        <v>393</v>
      </c>
    </row>
    <row r="28" spans="1:8" ht="17" customHeight="1" x14ac:dyDescent="0.35">
      <c r="A28" s="18" t="s">
        <v>464</v>
      </c>
      <c r="B28" s="17" t="s">
        <v>461</v>
      </c>
      <c r="C28" s="17" t="s">
        <v>462</v>
      </c>
      <c r="D28" s="17" t="s">
        <v>463</v>
      </c>
      <c r="E28" s="17" t="s">
        <v>1658</v>
      </c>
      <c r="F28" s="17" t="s">
        <v>460</v>
      </c>
      <c r="G28" s="18" t="s">
        <v>374</v>
      </c>
      <c r="H28" s="18"/>
    </row>
    <row r="29" spans="1:8" ht="17" customHeight="1" x14ac:dyDescent="0.35">
      <c r="A29" s="24"/>
      <c r="B29" s="23"/>
      <c r="C29" s="23"/>
      <c r="D29" s="23"/>
      <c r="E29" s="23"/>
      <c r="F29" s="23"/>
      <c r="G29" s="24"/>
      <c r="H29" s="24"/>
    </row>
    <row r="30" spans="1:8" ht="17" customHeight="1" x14ac:dyDescent="0.35">
      <c r="A30" s="18" t="s">
        <v>497</v>
      </c>
      <c r="B30" s="17" t="s">
        <v>496</v>
      </c>
      <c r="C30" s="17" t="s">
        <v>462</v>
      </c>
      <c r="D30" s="17" t="s">
        <v>463</v>
      </c>
      <c r="E30" s="17" t="s">
        <v>1658</v>
      </c>
      <c r="F30" s="17" t="s">
        <v>495</v>
      </c>
      <c r="G30" s="18" t="s">
        <v>374</v>
      </c>
      <c r="H30" s="18" t="s">
        <v>390</v>
      </c>
    </row>
    <row r="31" spans="1:8" ht="17" customHeight="1" x14ac:dyDescent="0.35">
      <c r="A31" s="18" t="s">
        <v>479</v>
      </c>
      <c r="B31" s="17" t="s">
        <v>478</v>
      </c>
      <c r="C31" s="17" t="s">
        <v>462</v>
      </c>
      <c r="D31" s="17" t="s">
        <v>463</v>
      </c>
      <c r="E31" s="17" t="s">
        <v>1658</v>
      </c>
      <c r="F31" s="17" t="s">
        <v>477</v>
      </c>
      <c r="G31" s="18" t="s">
        <v>374</v>
      </c>
      <c r="H31" s="18"/>
    </row>
    <row r="32" spans="1:8" ht="17" customHeight="1" x14ac:dyDescent="0.35">
      <c r="A32" s="24"/>
      <c r="B32" s="23"/>
      <c r="C32" s="23"/>
      <c r="D32" s="23"/>
      <c r="E32" s="23"/>
      <c r="F32" s="23"/>
      <c r="G32" s="24"/>
      <c r="H32" s="24"/>
    </row>
    <row r="33" spans="1:8" ht="17" customHeight="1" x14ac:dyDescent="0.35">
      <c r="A33" s="18" t="s">
        <v>509</v>
      </c>
      <c r="B33" s="17" t="s">
        <v>508</v>
      </c>
      <c r="C33" s="17" t="s">
        <v>462</v>
      </c>
      <c r="D33" s="17" t="s">
        <v>463</v>
      </c>
      <c r="E33" s="17" t="s">
        <v>1658</v>
      </c>
      <c r="F33" s="17" t="s">
        <v>507</v>
      </c>
      <c r="G33" s="18" t="s">
        <v>374</v>
      </c>
      <c r="H33" s="18" t="s">
        <v>399</v>
      </c>
    </row>
    <row r="34" spans="1:8" ht="17" customHeight="1" x14ac:dyDescent="0.35">
      <c r="A34" s="18" t="s">
        <v>503</v>
      </c>
      <c r="B34" s="17" t="s">
        <v>502</v>
      </c>
      <c r="C34" s="17" t="s">
        <v>462</v>
      </c>
      <c r="D34" s="17" t="s">
        <v>463</v>
      </c>
      <c r="E34" s="17" t="s">
        <v>1658</v>
      </c>
      <c r="F34" s="17" t="s">
        <v>501</v>
      </c>
      <c r="G34" s="18" t="s">
        <v>374</v>
      </c>
      <c r="H34" s="18"/>
    </row>
    <row r="35" spans="1:8" ht="17" customHeight="1" x14ac:dyDescent="0.35">
      <c r="A35" s="18" t="s">
        <v>512</v>
      </c>
      <c r="B35" s="17" t="s">
        <v>511</v>
      </c>
      <c r="C35" s="17" t="s">
        <v>462</v>
      </c>
      <c r="D35" s="17" t="s">
        <v>463</v>
      </c>
      <c r="E35" s="17" t="s">
        <v>1658</v>
      </c>
      <c r="F35" s="17" t="s">
        <v>510</v>
      </c>
      <c r="G35" s="18" t="s">
        <v>374</v>
      </c>
      <c r="H35" s="18"/>
    </row>
    <row r="36" spans="1:8" ht="17" customHeight="1" x14ac:dyDescent="0.35">
      <c r="A36" s="18" t="s">
        <v>506</v>
      </c>
      <c r="B36" s="17" t="s">
        <v>505</v>
      </c>
      <c r="C36" s="17" t="s">
        <v>462</v>
      </c>
      <c r="D36" s="17" t="s">
        <v>463</v>
      </c>
      <c r="E36" s="17" t="s">
        <v>1658</v>
      </c>
      <c r="F36" s="17" t="s">
        <v>504</v>
      </c>
      <c r="G36" s="18" t="s">
        <v>374</v>
      </c>
      <c r="H36" s="18"/>
    </row>
    <row r="37" spans="1:8" ht="17" customHeight="1" x14ac:dyDescent="0.35">
      <c r="A37" s="18" t="s">
        <v>491</v>
      </c>
      <c r="B37" s="17" t="s">
        <v>490</v>
      </c>
      <c r="C37" s="17" t="s">
        <v>462</v>
      </c>
      <c r="D37" s="17" t="s">
        <v>463</v>
      </c>
      <c r="E37" s="17" t="s">
        <v>1658</v>
      </c>
      <c r="F37" s="17" t="s">
        <v>489</v>
      </c>
      <c r="G37" s="18" t="s">
        <v>374</v>
      </c>
      <c r="H37" s="18"/>
    </row>
    <row r="38" spans="1:8" ht="17" customHeight="1" x14ac:dyDescent="0.35">
      <c r="A38" s="18" t="s">
        <v>473</v>
      </c>
      <c r="B38" s="17" t="s">
        <v>472</v>
      </c>
      <c r="C38" s="17" t="s">
        <v>462</v>
      </c>
      <c r="D38" s="17" t="s">
        <v>463</v>
      </c>
      <c r="E38" s="17" t="s">
        <v>1658</v>
      </c>
      <c r="F38" s="17" t="s">
        <v>471</v>
      </c>
      <c r="G38" s="18" t="s">
        <v>374</v>
      </c>
      <c r="H38" s="18"/>
    </row>
    <row r="39" spans="1:8" ht="17" customHeight="1" x14ac:dyDescent="0.35">
      <c r="A39" s="24"/>
      <c r="B39" s="23"/>
      <c r="C39" s="23"/>
      <c r="D39" s="23"/>
      <c r="E39" s="23"/>
      <c r="F39" s="23"/>
      <c r="G39" s="24"/>
      <c r="H39" s="24"/>
    </row>
    <row r="40" spans="1:8" ht="17" customHeight="1" x14ac:dyDescent="0.35">
      <c r="A40" s="17" t="s">
        <v>500</v>
      </c>
      <c r="B40" s="17" t="s">
        <v>379</v>
      </c>
      <c r="C40" s="17" t="s">
        <v>462</v>
      </c>
      <c r="D40" s="17" t="s">
        <v>514</v>
      </c>
      <c r="E40" s="17" t="s">
        <v>1659</v>
      </c>
      <c r="F40" s="18" t="s">
        <v>516</v>
      </c>
      <c r="G40" s="18" t="s">
        <v>374</v>
      </c>
      <c r="H40" s="18" t="s">
        <v>1665</v>
      </c>
    </row>
    <row r="41" spans="1:8" ht="17" customHeight="1" x14ac:dyDescent="0.35">
      <c r="A41" s="17" t="s">
        <v>513</v>
      </c>
      <c r="B41" s="17" t="s">
        <v>380</v>
      </c>
      <c r="C41" s="17" t="s">
        <v>462</v>
      </c>
      <c r="D41" s="17" t="s">
        <v>514</v>
      </c>
      <c r="E41" s="17" t="s">
        <v>1659</v>
      </c>
      <c r="F41" s="18" t="s">
        <v>515</v>
      </c>
      <c r="G41" s="18" t="s">
        <v>374</v>
      </c>
      <c r="H41" s="18"/>
    </row>
    <row r="42" spans="1:8" ht="17" customHeight="1" x14ac:dyDescent="0.35">
      <c r="A42" s="25"/>
      <c r="B42" s="25"/>
      <c r="C42" s="25"/>
      <c r="D42" s="25"/>
      <c r="E42" s="25"/>
      <c r="F42" s="26"/>
      <c r="G42" s="26"/>
      <c r="H42" s="26"/>
    </row>
    <row r="43" spans="1:8" ht="17" customHeight="1" x14ac:dyDescent="0.35">
      <c r="A43" s="17" t="s">
        <v>527</v>
      </c>
      <c r="B43" s="17" t="s">
        <v>1643</v>
      </c>
      <c r="C43" s="17" t="s">
        <v>462</v>
      </c>
      <c r="D43" s="17" t="s">
        <v>514</v>
      </c>
      <c r="E43" s="17" t="s">
        <v>1663</v>
      </c>
      <c r="F43" s="18" t="s">
        <v>528</v>
      </c>
      <c r="G43" s="18" t="s">
        <v>1654</v>
      </c>
      <c r="H43" s="18" t="s">
        <v>1655</v>
      </c>
    </row>
    <row r="44" spans="1:8" ht="17" customHeight="1" x14ac:dyDescent="0.35">
      <c r="A44" s="17" t="s">
        <v>498</v>
      </c>
      <c r="B44" s="17" t="s">
        <v>1643</v>
      </c>
      <c r="C44" s="17" t="s">
        <v>462</v>
      </c>
      <c r="D44" s="17" t="s">
        <v>514</v>
      </c>
      <c r="E44" s="17" t="s">
        <v>1663</v>
      </c>
      <c r="F44" s="18" t="s">
        <v>529</v>
      </c>
      <c r="G44" s="18" t="s">
        <v>1654</v>
      </c>
      <c r="H44" s="18"/>
    </row>
    <row r="45" spans="1:8" ht="17" customHeight="1" x14ac:dyDescent="0.35">
      <c r="A45" s="23"/>
      <c r="B45" s="23"/>
      <c r="C45" s="23"/>
      <c r="D45" s="23"/>
      <c r="E45" s="23"/>
      <c r="F45" s="24"/>
      <c r="G45" s="24"/>
      <c r="H45" s="24"/>
    </row>
    <row r="46" spans="1:8" ht="17" customHeight="1" x14ac:dyDescent="0.35">
      <c r="A46" s="17" t="s">
        <v>520</v>
      </c>
      <c r="B46" s="17" t="s">
        <v>1643</v>
      </c>
      <c r="C46" s="17" t="s">
        <v>462</v>
      </c>
      <c r="D46" s="17" t="s">
        <v>463</v>
      </c>
      <c r="E46" s="17" t="s">
        <v>1663</v>
      </c>
      <c r="F46" s="18" t="s">
        <v>538</v>
      </c>
      <c r="G46" s="18" t="s">
        <v>1654</v>
      </c>
      <c r="H46" s="18" t="s">
        <v>1656</v>
      </c>
    </row>
    <row r="47" spans="1:8" ht="17" customHeight="1" x14ac:dyDescent="0.35">
      <c r="A47" s="17" t="s">
        <v>518</v>
      </c>
      <c r="B47" s="17" t="s">
        <v>58</v>
      </c>
      <c r="C47" s="17" t="s">
        <v>462</v>
      </c>
      <c r="D47" s="17" t="s">
        <v>463</v>
      </c>
      <c r="E47" s="17" t="s">
        <v>1663</v>
      </c>
      <c r="F47" s="18" t="s">
        <v>537</v>
      </c>
      <c r="G47" s="18" t="s">
        <v>1654</v>
      </c>
      <c r="H47" s="18"/>
    </row>
    <row r="48" spans="1:8" ht="17" customHeight="1" x14ac:dyDescent="0.35">
      <c r="A48" s="17"/>
      <c r="B48" s="17"/>
      <c r="C48" s="17"/>
      <c r="D48" s="17"/>
      <c r="E48" s="17"/>
      <c r="F48" s="18"/>
      <c r="G48" s="18"/>
      <c r="H48" s="18"/>
    </row>
    <row r="49" spans="1:8" ht="17" customHeight="1" x14ac:dyDescent="0.35">
      <c r="A49" s="17" t="s">
        <v>539</v>
      </c>
      <c r="B49" s="17" t="s">
        <v>1644</v>
      </c>
      <c r="C49" s="17" t="s">
        <v>462</v>
      </c>
      <c r="D49" s="17" t="s">
        <v>514</v>
      </c>
      <c r="E49" s="17" t="s">
        <v>1663</v>
      </c>
      <c r="F49" s="18" t="s">
        <v>540</v>
      </c>
      <c r="G49" s="18" t="s">
        <v>1654</v>
      </c>
      <c r="H49" s="18"/>
    </row>
    <row r="50" spans="1:8" ht="17" customHeight="1" x14ac:dyDescent="0.35">
      <c r="A50" s="17" t="s">
        <v>535</v>
      </c>
      <c r="B50" s="17" t="s">
        <v>55</v>
      </c>
      <c r="C50" s="17" t="s">
        <v>462</v>
      </c>
      <c r="D50" s="17" t="s">
        <v>514</v>
      </c>
      <c r="E50" s="17" t="s">
        <v>1663</v>
      </c>
      <c r="F50" s="18" t="s">
        <v>536</v>
      </c>
      <c r="G50" s="18" t="s">
        <v>1654</v>
      </c>
      <c r="H50" s="18"/>
    </row>
    <row r="51" spans="1:8" ht="17" customHeight="1" x14ac:dyDescent="0.35">
      <c r="A51" s="17" t="s">
        <v>531</v>
      </c>
      <c r="B51" s="17" t="s">
        <v>63</v>
      </c>
      <c r="C51" s="17" t="s">
        <v>462</v>
      </c>
      <c r="D51" s="17" t="s">
        <v>514</v>
      </c>
      <c r="E51" s="17" t="s">
        <v>1663</v>
      </c>
      <c r="F51" s="18" t="s">
        <v>532</v>
      </c>
      <c r="G51" s="18" t="s">
        <v>1654</v>
      </c>
      <c r="H51" s="18"/>
    </row>
    <row r="52" spans="1:8" ht="17" customHeight="1" x14ac:dyDescent="0.35">
      <c r="A52" s="17" t="s">
        <v>533</v>
      </c>
      <c r="B52" s="17" t="s">
        <v>63</v>
      </c>
      <c r="C52" s="17" t="s">
        <v>462</v>
      </c>
      <c r="D52" s="17" t="s">
        <v>514</v>
      </c>
      <c r="E52" s="17" t="s">
        <v>1663</v>
      </c>
      <c r="F52" s="18" t="s">
        <v>534</v>
      </c>
      <c r="G52" s="18" t="s">
        <v>1654</v>
      </c>
      <c r="H52" s="18"/>
    </row>
  </sheetData>
  <sortState xmlns:xlrd2="http://schemas.microsoft.com/office/spreadsheetml/2017/richdata2" ref="A49:G52">
    <sortCondition ref="B49:B52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990E1-C7F2-4A56-947A-74FCBE2256AA}">
  <sheetPr>
    <tabColor rgb="FFFFCCFF"/>
  </sheetPr>
  <dimension ref="A1:H248"/>
  <sheetViews>
    <sheetView showGridLines="0" zoomScale="40" zoomScaleNormal="40" workbookViewId="0">
      <selection activeCell="K13" sqref="K13"/>
    </sheetView>
  </sheetViews>
  <sheetFormatPr defaultRowHeight="17" customHeight="1" x14ac:dyDescent="0.35"/>
  <cols>
    <col min="1" max="1" width="14.90625" style="13" bestFit="1" customWidth="1"/>
    <col min="2" max="2" width="11.90625" style="13" bestFit="1" customWidth="1"/>
    <col min="3" max="3" width="6.54296875" style="13" customWidth="1"/>
    <col min="4" max="4" width="8" style="13" bestFit="1" customWidth="1"/>
    <col min="5" max="5" width="8.81640625" style="13" customWidth="1"/>
    <col min="6" max="6" width="12.1796875" style="13" bestFit="1" customWidth="1"/>
    <col min="7" max="7" width="12.36328125" bestFit="1" customWidth="1"/>
    <col min="8" max="8" width="11.26953125" bestFit="1" customWidth="1"/>
  </cols>
  <sheetData>
    <row r="1" spans="1:8" ht="18" customHeight="1" x14ac:dyDescent="0.35">
      <c r="A1" s="44" t="s">
        <v>150</v>
      </c>
      <c r="B1" s="44"/>
      <c r="C1" s="44"/>
      <c r="D1" s="44"/>
    </row>
    <row r="2" spans="1:8" ht="12.75" customHeight="1" x14ac:dyDescent="0.35">
      <c r="A2" s="45" t="s">
        <v>459</v>
      </c>
      <c r="B2" s="45"/>
      <c r="C2" s="45"/>
      <c r="D2" s="45"/>
    </row>
    <row r="3" spans="1:8" ht="12" customHeight="1" x14ac:dyDescent="0.35">
      <c r="A3" s="3" t="s">
        <v>2</v>
      </c>
      <c r="B3" s="31" t="s">
        <v>3</v>
      </c>
      <c r="C3" s="31"/>
      <c r="D3" s="31"/>
    </row>
    <row r="4" spans="1:8" ht="12.75" customHeight="1" x14ac:dyDescent="0.35">
      <c r="A4" s="3" t="s">
        <v>5</v>
      </c>
      <c r="B4" s="31" t="s">
        <v>6</v>
      </c>
      <c r="C4" s="31"/>
      <c r="D4" s="31"/>
    </row>
    <row r="5" spans="1:8" ht="12" customHeight="1" x14ac:dyDescent="0.35">
      <c r="A5" s="3" t="s">
        <v>7</v>
      </c>
      <c r="B5" s="31" t="s">
        <v>8</v>
      </c>
      <c r="C5" s="31"/>
      <c r="D5" s="31"/>
    </row>
    <row r="6" spans="1:8" ht="5.25" customHeight="1" x14ac:dyDescent="0.35"/>
    <row r="7" spans="1:8" ht="12" customHeight="1" x14ac:dyDescent="0.35">
      <c r="A7" s="3" t="s">
        <v>9</v>
      </c>
      <c r="B7" s="31" t="s">
        <v>10</v>
      </c>
      <c r="C7" s="31"/>
      <c r="D7" s="31"/>
    </row>
    <row r="8" spans="1:8" ht="12.75" customHeight="1" x14ac:dyDescent="0.35">
      <c r="A8" s="3" t="s">
        <v>11</v>
      </c>
      <c r="B8" s="31"/>
      <c r="C8" s="31"/>
      <c r="D8" s="31"/>
    </row>
    <row r="9" spans="1:8" ht="12" customHeight="1" x14ac:dyDescent="0.35">
      <c r="A9" s="3" t="s">
        <v>12</v>
      </c>
      <c r="B9" s="31" t="s">
        <v>13</v>
      </c>
      <c r="C9" s="31"/>
      <c r="D9" s="31"/>
    </row>
    <row r="10" spans="1:8" ht="12.75" customHeight="1" x14ac:dyDescent="0.35">
      <c r="A10" s="3" t="s">
        <v>11</v>
      </c>
      <c r="B10" s="31"/>
      <c r="C10" s="31"/>
      <c r="D10" s="31"/>
    </row>
    <row r="11" spans="1:8" ht="10.5" customHeight="1" x14ac:dyDescent="0.35"/>
    <row r="12" spans="1:8" ht="16.5" customHeight="1" x14ac:dyDescent="0.35">
      <c r="A12" s="39" t="s">
        <v>452</v>
      </c>
      <c r="B12" s="39"/>
      <c r="C12" s="39"/>
      <c r="D12" s="39"/>
      <c r="E12" s="39"/>
      <c r="F12" s="39"/>
      <c r="G12" s="41" t="s">
        <v>453</v>
      </c>
      <c r="H12" s="42"/>
    </row>
    <row r="13" spans="1:8" ht="43.5" customHeight="1" x14ac:dyDescent="0.35">
      <c r="A13" s="14" t="s">
        <v>14</v>
      </c>
      <c r="B13" s="15" t="s">
        <v>456</v>
      </c>
      <c r="C13" s="15" t="s">
        <v>455</v>
      </c>
      <c r="D13" s="15" t="s">
        <v>457</v>
      </c>
      <c r="E13" s="15" t="s">
        <v>1641</v>
      </c>
      <c r="F13" s="16" t="s">
        <v>14</v>
      </c>
      <c r="G13" s="16" t="s">
        <v>17</v>
      </c>
      <c r="H13" s="16" t="s">
        <v>1642</v>
      </c>
    </row>
    <row r="14" spans="1:8" ht="17" customHeight="1" x14ac:dyDescent="0.35">
      <c r="A14" s="17" t="s">
        <v>667</v>
      </c>
      <c r="B14" s="17" t="s">
        <v>1643</v>
      </c>
      <c r="C14" s="17" t="s">
        <v>462</v>
      </c>
      <c r="D14" s="17" t="s">
        <v>514</v>
      </c>
      <c r="E14" s="17" t="s">
        <v>1659</v>
      </c>
      <c r="F14" s="18" t="s">
        <v>589</v>
      </c>
      <c r="G14" s="18" t="s">
        <v>1657</v>
      </c>
      <c r="H14" s="18" t="s">
        <v>1665</v>
      </c>
    </row>
    <row r="15" spans="1:8" ht="17" customHeight="1" x14ac:dyDescent="0.35">
      <c r="A15" s="17" t="s">
        <v>766</v>
      </c>
      <c r="B15" s="17" t="s">
        <v>1643</v>
      </c>
      <c r="C15" s="17" t="s">
        <v>462</v>
      </c>
      <c r="D15" s="17" t="s">
        <v>514</v>
      </c>
      <c r="E15" s="17" t="s">
        <v>1659</v>
      </c>
      <c r="F15" s="18" t="s">
        <v>589</v>
      </c>
      <c r="G15" s="18" t="s">
        <v>1657</v>
      </c>
      <c r="H15" s="18"/>
    </row>
    <row r="16" spans="1:8" ht="17" customHeight="1" x14ac:dyDescent="0.35">
      <c r="A16" s="17" t="s">
        <v>793</v>
      </c>
      <c r="B16" s="17" t="s">
        <v>1643</v>
      </c>
      <c r="C16" s="17" t="s">
        <v>462</v>
      </c>
      <c r="D16" s="17" t="s">
        <v>514</v>
      </c>
      <c r="E16" s="17" t="s">
        <v>1659</v>
      </c>
      <c r="F16" s="18" t="s">
        <v>591</v>
      </c>
      <c r="G16" s="18" t="s">
        <v>1657</v>
      </c>
      <c r="H16" s="18"/>
    </row>
    <row r="17" spans="1:8" ht="17" customHeight="1" x14ac:dyDescent="0.35">
      <c r="A17" s="17" t="s">
        <v>880</v>
      </c>
      <c r="B17" s="17" t="s">
        <v>1643</v>
      </c>
      <c r="C17" s="17" t="s">
        <v>462</v>
      </c>
      <c r="D17" s="17" t="s">
        <v>514</v>
      </c>
      <c r="E17" s="17" t="s">
        <v>1659</v>
      </c>
      <c r="F17" s="18" t="s">
        <v>591</v>
      </c>
      <c r="G17" s="18" t="s">
        <v>1657</v>
      </c>
      <c r="H17" s="18"/>
    </row>
    <row r="18" spans="1:8" ht="17" customHeight="1" x14ac:dyDescent="0.35">
      <c r="A18" s="17" t="s">
        <v>907</v>
      </c>
      <c r="B18" s="17" t="s">
        <v>1643</v>
      </c>
      <c r="C18" s="17" t="s">
        <v>462</v>
      </c>
      <c r="D18" s="17" t="s">
        <v>514</v>
      </c>
      <c r="E18" s="17" t="s">
        <v>1659</v>
      </c>
      <c r="F18" s="18" t="s">
        <v>592</v>
      </c>
      <c r="G18" s="18" t="s">
        <v>1657</v>
      </c>
      <c r="H18" s="18"/>
    </row>
    <row r="19" spans="1:8" ht="17" customHeight="1" x14ac:dyDescent="0.35">
      <c r="A19" s="17" t="s">
        <v>934</v>
      </c>
      <c r="B19" s="17" t="s">
        <v>1643</v>
      </c>
      <c r="C19" s="17" t="s">
        <v>462</v>
      </c>
      <c r="D19" s="17" t="s">
        <v>514</v>
      </c>
      <c r="E19" s="17" t="s">
        <v>1659</v>
      </c>
      <c r="F19" s="18" t="s">
        <v>595</v>
      </c>
      <c r="G19" s="18" t="s">
        <v>1657</v>
      </c>
      <c r="H19" s="18"/>
    </row>
    <row r="20" spans="1:8" ht="17" customHeight="1" x14ac:dyDescent="0.35">
      <c r="A20" s="17" t="s">
        <v>961</v>
      </c>
      <c r="B20" s="17" t="s">
        <v>1643</v>
      </c>
      <c r="C20" s="17" t="s">
        <v>462</v>
      </c>
      <c r="D20" s="17" t="s">
        <v>514</v>
      </c>
      <c r="E20" s="17" t="s">
        <v>1659</v>
      </c>
      <c r="F20" s="18" t="s">
        <v>596</v>
      </c>
      <c r="G20" s="18" t="s">
        <v>1657</v>
      </c>
      <c r="H20" s="18"/>
    </row>
    <row r="21" spans="1:8" ht="17" customHeight="1" x14ac:dyDescent="0.35">
      <c r="A21" s="17" t="s">
        <v>988</v>
      </c>
      <c r="B21" s="17" t="s">
        <v>1643</v>
      </c>
      <c r="C21" s="17" t="s">
        <v>462</v>
      </c>
      <c r="D21" s="17" t="s">
        <v>514</v>
      </c>
      <c r="E21" s="17" t="s">
        <v>1659</v>
      </c>
      <c r="F21" s="18" t="s">
        <v>597</v>
      </c>
      <c r="G21" s="18" t="s">
        <v>1657</v>
      </c>
      <c r="H21" s="18"/>
    </row>
    <row r="22" spans="1:8" ht="17" customHeight="1" x14ac:dyDescent="0.35">
      <c r="A22" s="17" t="s">
        <v>1015</v>
      </c>
      <c r="B22" s="17" t="s">
        <v>1643</v>
      </c>
      <c r="C22" s="17" t="s">
        <v>462</v>
      </c>
      <c r="D22" s="17" t="s">
        <v>514</v>
      </c>
      <c r="E22" s="17" t="s">
        <v>1659</v>
      </c>
      <c r="F22" s="18" t="s">
        <v>598</v>
      </c>
      <c r="G22" s="18" t="s">
        <v>1657</v>
      </c>
      <c r="H22" s="18"/>
    </row>
    <row r="23" spans="1:8" ht="17" customHeight="1" x14ac:dyDescent="0.35">
      <c r="A23" s="17" t="s">
        <v>1018</v>
      </c>
      <c r="B23" s="17" t="s">
        <v>1643</v>
      </c>
      <c r="C23" s="17" t="s">
        <v>462</v>
      </c>
      <c r="D23" s="17" t="s">
        <v>514</v>
      </c>
      <c r="E23" s="17" t="s">
        <v>1659</v>
      </c>
      <c r="F23" s="18" t="s">
        <v>599</v>
      </c>
      <c r="G23" s="18" t="s">
        <v>1657</v>
      </c>
      <c r="H23" s="18"/>
    </row>
    <row r="24" spans="1:8" ht="17" customHeight="1" x14ac:dyDescent="0.35">
      <c r="A24" s="17" t="s">
        <v>1021</v>
      </c>
      <c r="B24" s="17" t="s">
        <v>1643</v>
      </c>
      <c r="C24" s="17" t="s">
        <v>462</v>
      </c>
      <c r="D24" s="17" t="s">
        <v>514</v>
      </c>
      <c r="E24" s="17" t="s">
        <v>1659</v>
      </c>
      <c r="F24" s="18" t="s">
        <v>600</v>
      </c>
      <c r="G24" s="18" t="s">
        <v>1657</v>
      </c>
      <c r="H24" s="18"/>
    </row>
    <row r="25" spans="1:8" ht="17" customHeight="1" x14ac:dyDescent="0.35">
      <c r="A25" s="17" t="s">
        <v>1024</v>
      </c>
      <c r="B25" s="17" t="s">
        <v>1643</v>
      </c>
      <c r="C25" s="17" t="s">
        <v>462</v>
      </c>
      <c r="D25" s="17" t="s">
        <v>514</v>
      </c>
      <c r="E25" s="17" t="s">
        <v>1659</v>
      </c>
      <c r="F25" s="18" t="s">
        <v>590</v>
      </c>
      <c r="G25" s="18" t="s">
        <v>1657</v>
      </c>
      <c r="H25" s="18"/>
    </row>
    <row r="26" spans="1:8" ht="17" customHeight="1" x14ac:dyDescent="0.35">
      <c r="A26" s="17" t="s">
        <v>1027</v>
      </c>
      <c r="B26" s="17" t="s">
        <v>1643</v>
      </c>
      <c r="C26" s="17" t="s">
        <v>462</v>
      </c>
      <c r="D26" s="17" t="s">
        <v>514</v>
      </c>
      <c r="E26" s="17" t="s">
        <v>1659</v>
      </c>
      <c r="F26" s="18" t="s">
        <v>594</v>
      </c>
      <c r="G26" s="18" t="s">
        <v>1657</v>
      </c>
      <c r="H26" s="18"/>
    </row>
    <row r="27" spans="1:8" ht="17" customHeight="1" x14ac:dyDescent="0.35">
      <c r="A27" s="17" t="s">
        <v>1025</v>
      </c>
      <c r="B27" s="17" t="s">
        <v>167</v>
      </c>
      <c r="C27" s="17" t="s">
        <v>462</v>
      </c>
      <c r="D27" s="17" t="s">
        <v>514</v>
      </c>
      <c r="E27" s="17" t="s">
        <v>1666</v>
      </c>
      <c r="F27" s="18" t="s">
        <v>1026</v>
      </c>
      <c r="G27" s="18" t="s">
        <v>1657</v>
      </c>
      <c r="H27" s="18"/>
    </row>
    <row r="28" spans="1:8" ht="17" customHeight="1" x14ac:dyDescent="0.35">
      <c r="A28" s="17" t="s">
        <v>668</v>
      </c>
      <c r="B28" s="17" t="s">
        <v>169</v>
      </c>
      <c r="C28" s="17" t="s">
        <v>462</v>
      </c>
      <c r="D28" s="17" t="s">
        <v>514</v>
      </c>
      <c r="E28" s="17" t="s">
        <v>1666</v>
      </c>
      <c r="F28" s="18" t="s">
        <v>669</v>
      </c>
      <c r="G28" s="18" t="s">
        <v>1657</v>
      </c>
      <c r="H28" s="18"/>
    </row>
    <row r="29" spans="1:8" ht="17" customHeight="1" x14ac:dyDescent="0.35">
      <c r="A29" s="17" t="s">
        <v>767</v>
      </c>
      <c r="B29" s="17" t="s">
        <v>171</v>
      </c>
      <c r="C29" s="17" t="s">
        <v>462</v>
      </c>
      <c r="D29" s="17" t="s">
        <v>514</v>
      </c>
      <c r="E29" s="17" t="s">
        <v>1666</v>
      </c>
      <c r="F29" s="18" t="s">
        <v>768</v>
      </c>
      <c r="G29" s="18" t="s">
        <v>1657</v>
      </c>
      <c r="H29" s="18"/>
    </row>
    <row r="30" spans="1:8" ht="17" customHeight="1" x14ac:dyDescent="0.35">
      <c r="A30" s="17" t="s">
        <v>794</v>
      </c>
      <c r="B30" s="17" t="s">
        <v>172</v>
      </c>
      <c r="C30" s="17" t="s">
        <v>462</v>
      </c>
      <c r="D30" s="17" t="s">
        <v>514</v>
      </c>
      <c r="E30" s="17" t="s">
        <v>1666</v>
      </c>
      <c r="F30" s="18" t="s">
        <v>795</v>
      </c>
      <c r="G30" s="18" t="s">
        <v>1657</v>
      </c>
      <c r="H30" s="18"/>
    </row>
    <row r="31" spans="1:8" ht="17" customHeight="1" x14ac:dyDescent="0.35">
      <c r="A31" s="17" t="s">
        <v>881</v>
      </c>
      <c r="B31" s="17" t="s">
        <v>173</v>
      </c>
      <c r="C31" s="17" t="s">
        <v>462</v>
      </c>
      <c r="D31" s="17" t="s">
        <v>514</v>
      </c>
      <c r="E31" s="17" t="s">
        <v>1666</v>
      </c>
      <c r="F31" s="18" t="s">
        <v>882</v>
      </c>
      <c r="G31" s="18" t="s">
        <v>1657</v>
      </c>
      <c r="H31" s="18"/>
    </row>
    <row r="32" spans="1:8" ht="17" customHeight="1" x14ac:dyDescent="0.35">
      <c r="A32" s="17" t="s">
        <v>908</v>
      </c>
      <c r="B32" s="17" t="s">
        <v>174</v>
      </c>
      <c r="C32" s="17" t="s">
        <v>462</v>
      </c>
      <c r="D32" s="17" t="s">
        <v>514</v>
      </c>
      <c r="E32" s="17" t="s">
        <v>1666</v>
      </c>
      <c r="F32" s="18" t="s">
        <v>909</v>
      </c>
      <c r="G32" s="18" t="s">
        <v>1657</v>
      </c>
      <c r="H32" s="18"/>
    </row>
    <row r="33" spans="1:8" ht="17" customHeight="1" x14ac:dyDescent="0.35">
      <c r="A33" s="17" t="s">
        <v>1028</v>
      </c>
      <c r="B33" s="17" t="s">
        <v>175</v>
      </c>
      <c r="C33" s="17" t="s">
        <v>462</v>
      </c>
      <c r="D33" s="17" t="s">
        <v>514</v>
      </c>
      <c r="E33" s="17" t="s">
        <v>1667</v>
      </c>
      <c r="F33" s="18" t="s">
        <v>1029</v>
      </c>
      <c r="G33" s="18" t="s">
        <v>1657</v>
      </c>
      <c r="H33" s="18"/>
    </row>
    <row r="34" spans="1:8" ht="17" customHeight="1" x14ac:dyDescent="0.35">
      <c r="A34" s="17" t="s">
        <v>935</v>
      </c>
      <c r="B34" s="17" t="s">
        <v>177</v>
      </c>
      <c r="C34" s="17" t="s">
        <v>462</v>
      </c>
      <c r="D34" s="17" t="s">
        <v>514</v>
      </c>
      <c r="E34" s="17" t="s">
        <v>1667</v>
      </c>
      <c r="F34" s="18" t="s">
        <v>936</v>
      </c>
      <c r="G34" s="18" t="s">
        <v>1657</v>
      </c>
      <c r="H34" s="18"/>
    </row>
    <row r="35" spans="1:8" ht="17" customHeight="1" x14ac:dyDescent="0.35">
      <c r="A35" s="17" t="s">
        <v>962</v>
      </c>
      <c r="B35" s="17" t="s">
        <v>178</v>
      </c>
      <c r="C35" s="17" t="s">
        <v>462</v>
      </c>
      <c r="D35" s="17" t="s">
        <v>514</v>
      </c>
      <c r="E35" s="17" t="s">
        <v>1667</v>
      </c>
      <c r="F35" s="18" t="s">
        <v>963</v>
      </c>
      <c r="G35" s="18" t="s">
        <v>1657</v>
      </c>
      <c r="H35" s="18"/>
    </row>
    <row r="36" spans="1:8" ht="17" customHeight="1" x14ac:dyDescent="0.35">
      <c r="A36" s="17" t="s">
        <v>989</v>
      </c>
      <c r="B36" s="17" t="s">
        <v>179</v>
      </c>
      <c r="C36" s="17" t="s">
        <v>462</v>
      </c>
      <c r="D36" s="17" t="s">
        <v>514</v>
      </c>
      <c r="E36" s="17" t="s">
        <v>1667</v>
      </c>
      <c r="F36" s="18" t="s">
        <v>990</v>
      </c>
      <c r="G36" s="18" t="s">
        <v>1657</v>
      </c>
      <c r="H36" s="18"/>
    </row>
    <row r="37" spans="1:8" ht="17" customHeight="1" x14ac:dyDescent="0.35">
      <c r="A37" s="17" t="s">
        <v>1016</v>
      </c>
      <c r="B37" s="17" t="s">
        <v>180</v>
      </c>
      <c r="C37" s="17" t="s">
        <v>462</v>
      </c>
      <c r="D37" s="17" t="s">
        <v>514</v>
      </c>
      <c r="E37" s="17" t="s">
        <v>1667</v>
      </c>
      <c r="F37" s="18" t="s">
        <v>1017</v>
      </c>
      <c r="G37" s="18" t="s">
        <v>1657</v>
      </c>
      <c r="H37" s="18"/>
    </row>
    <row r="38" spans="1:8" ht="17" customHeight="1" x14ac:dyDescent="0.35">
      <c r="A38" s="17" t="s">
        <v>1019</v>
      </c>
      <c r="B38" s="17" t="s">
        <v>181</v>
      </c>
      <c r="C38" s="17" t="s">
        <v>462</v>
      </c>
      <c r="D38" s="17" t="s">
        <v>514</v>
      </c>
      <c r="E38" s="17" t="s">
        <v>1667</v>
      </c>
      <c r="F38" s="18" t="s">
        <v>1020</v>
      </c>
      <c r="G38" s="18" t="s">
        <v>1657</v>
      </c>
      <c r="H38" s="18"/>
    </row>
    <row r="39" spans="1:8" ht="17" customHeight="1" x14ac:dyDescent="0.35">
      <c r="A39" s="17" t="s">
        <v>1022</v>
      </c>
      <c r="B39" s="17" t="s">
        <v>182</v>
      </c>
      <c r="C39" s="17" t="s">
        <v>462</v>
      </c>
      <c r="D39" s="17" t="s">
        <v>514</v>
      </c>
      <c r="E39" s="17" t="s">
        <v>1667</v>
      </c>
      <c r="F39" s="18" t="s">
        <v>1023</v>
      </c>
      <c r="G39" s="18" t="s">
        <v>1657</v>
      </c>
      <c r="H39" s="18"/>
    </row>
    <row r="40" spans="1:8" ht="17" customHeight="1" x14ac:dyDescent="0.35">
      <c r="A40" s="23"/>
      <c r="B40" s="23"/>
      <c r="C40" s="23"/>
      <c r="D40" s="23"/>
      <c r="E40" s="23"/>
      <c r="F40" s="24"/>
      <c r="G40" s="24"/>
      <c r="H40" s="24"/>
    </row>
    <row r="41" spans="1:8" ht="17" customHeight="1" x14ac:dyDescent="0.35">
      <c r="A41" s="17" t="s">
        <v>672</v>
      </c>
      <c r="B41" s="17" t="s">
        <v>671</v>
      </c>
      <c r="C41" s="17" t="s">
        <v>462</v>
      </c>
      <c r="D41" s="17" t="s">
        <v>463</v>
      </c>
      <c r="E41" s="17" t="s">
        <v>1659</v>
      </c>
      <c r="F41" s="18" t="s">
        <v>670</v>
      </c>
      <c r="G41" s="18" t="s">
        <v>1657</v>
      </c>
      <c r="H41" s="18" t="s">
        <v>1677</v>
      </c>
    </row>
    <row r="42" spans="1:8" ht="17" customHeight="1" x14ac:dyDescent="0.35">
      <c r="A42" s="17" t="s">
        <v>675</v>
      </c>
      <c r="B42" s="17" t="s">
        <v>674</v>
      </c>
      <c r="C42" s="17" t="s">
        <v>462</v>
      </c>
      <c r="D42" s="17" t="s">
        <v>463</v>
      </c>
      <c r="E42" s="17" t="s">
        <v>1659</v>
      </c>
      <c r="F42" s="18" t="s">
        <v>673</v>
      </c>
      <c r="G42" s="18" t="s">
        <v>1657</v>
      </c>
      <c r="H42" s="18"/>
    </row>
    <row r="43" spans="1:8" ht="17" customHeight="1" x14ac:dyDescent="0.35">
      <c r="A43" s="17" t="s">
        <v>678</v>
      </c>
      <c r="B43" s="17" t="s">
        <v>677</v>
      </c>
      <c r="C43" s="17" t="s">
        <v>462</v>
      </c>
      <c r="D43" s="17" t="s">
        <v>463</v>
      </c>
      <c r="E43" s="17" t="s">
        <v>1659</v>
      </c>
      <c r="F43" s="18" t="s">
        <v>676</v>
      </c>
      <c r="G43" s="18" t="s">
        <v>1657</v>
      </c>
      <c r="H43" s="18"/>
    </row>
    <row r="44" spans="1:8" ht="17" customHeight="1" x14ac:dyDescent="0.35">
      <c r="A44" s="17" t="s">
        <v>681</v>
      </c>
      <c r="B44" s="17" t="s">
        <v>680</v>
      </c>
      <c r="C44" s="17" t="s">
        <v>462</v>
      </c>
      <c r="D44" s="17" t="s">
        <v>463</v>
      </c>
      <c r="E44" s="17" t="s">
        <v>1659</v>
      </c>
      <c r="F44" s="18" t="s">
        <v>679</v>
      </c>
      <c r="G44" s="18" t="s">
        <v>1657</v>
      </c>
      <c r="H44" s="18"/>
    </row>
    <row r="45" spans="1:8" ht="17" customHeight="1" x14ac:dyDescent="0.35">
      <c r="A45" s="17" t="s">
        <v>684</v>
      </c>
      <c r="B45" s="17" t="s">
        <v>683</v>
      </c>
      <c r="C45" s="17" t="s">
        <v>462</v>
      </c>
      <c r="D45" s="17" t="s">
        <v>463</v>
      </c>
      <c r="E45" s="17" t="s">
        <v>1659</v>
      </c>
      <c r="F45" s="18" t="s">
        <v>682</v>
      </c>
      <c r="G45" s="18" t="s">
        <v>1657</v>
      </c>
      <c r="H45" s="18"/>
    </row>
    <row r="46" spans="1:8" ht="17" customHeight="1" x14ac:dyDescent="0.35">
      <c r="A46" s="17" t="s">
        <v>687</v>
      </c>
      <c r="B46" s="17" t="s">
        <v>686</v>
      </c>
      <c r="C46" s="17" t="s">
        <v>462</v>
      </c>
      <c r="D46" s="17" t="s">
        <v>463</v>
      </c>
      <c r="E46" s="17" t="s">
        <v>1659</v>
      </c>
      <c r="F46" s="18" t="s">
        <v>685</v>
      </c>
      <c r="G46" s="18" t="s">
        <v>1657</v>
      </c>
      <c r="H46" s="18"/>
    </row>
    <row r="47" spans="1:8" ht="17" customHeight="1" x14ac:dyDescent="0.35">
      <c r="A47" s="17" t="s">
        <v>690</v>
      </c>
      <c r="B47" s="17" t="s">
        <v>689</v>
      </c>
      <c r="C47" s="17" t="s">
        <v>462</v>
      </c>
      <c r="D47" s="17" t="s">
        <v>463</v>
      </c>
      <c r="E47" s="17" t="s">
        <v>1659</v>
      </c>
      <c r="F47" s="18" t="s">
        <v>688</v>
      </c>
      <c r="G47" s="18" t="s">
        <v>1657</v>
      </c>
      <c r="H47" s="18"/>
    </row>
    <row r="48" spans="1:8" ht="17" customHeight="1" x14ac:dyDescent="0.35">
      <c r="A48" s="17" t="s">
        <v>693</v>
      </c>
      <c r="B48" s="17" t="s">
        <v>692</v>
      </c>
      <c r="C48" s="17" t="s">
        <v>462</v>
      </c>
      <c r="D48" s="17" t="s">
        <v>463</v>
      </c>
      <c r="E48" s="17" t="s">
        <v>1659</v>
      </c>
      <c r="F48" s="18" t="s">
        <v>691</v>
      </c>
      <c r="G48" s="18" t="s">
        <v>1657</v>
      </c>
      <c r="H48" s="18"/>
    </row>
    <row r="49" spans="1:8" ht="17" customHeight="1" x14ac:dyDescent="0.35">
      <c r="A49" s="17" t="s">
        <v>696</v>
      </c>
      <c r="B49" s="17" t="s">
        <v>695</v>
      </c>
      <c r="C49" s="17" t="s">
        <v>462</v>
      </c>
      <c r="D49" s="17" t="s">
        <v>463</v>
      </c>
      <c r="E49" s="17" t="s">
        <v>1659</v>
      </c>
      <c r="F49" s="18" t="s">
        <v>694</v>
      </c>
      <c r="G49" s="18" t="s">
        <v>1657</v>
      </c>
      <c r="H49" s="18"/>
    </row>
    <row r="50" spans="1:8" ht="17" customHeight="1" x14ac:dyDescent="0.35">
      <c r="A50" s="17" t="s">
        <v>699</v>
      </c>
      <c r="B50" s="17" t="s">
        <v>698</v>
      </c>
      <c r="C50" s="17" t="s">
        <v>462</v>
      </c>
      <c r="D50" s="17" t="s">
        <v>463</v>
      </c>
      <c r="E50" s="17" t="s">
        <v>1659</v>
      </c>
      <c r="F50" s="18" t="s">
        <v>697</v>
      </c>
      <c r="G50" s="18" t="s">
        <v>1657</v>
      </c>
      <c r="H50" s="18"/>
    </row>
    <row r="51" spans="1:8" ht="17" customHeight="1" x14ac:dyDescent="0.35">
      <c r="A51" s="17" t="s">
        <v>714</v>
      </c>
      <c r="B51" s="17" t="s">
        <v>713</v>
      </c>
      <c r="C51" s="17" t="s">
        <v>462</v>
      </c>
      <c r="D51" s="17" t="s">
        <v>463</v>
      </c>
      <c r="E51" s="17" t="s">
        <v>1659</v>
      </c>
      <c r="F51" s="18" t="s">
        <v>712</v>
      </c>
      <c r="G51" s="18" t="s">
        <v>1657</v>
      </c>
      <c r="H51" s="18"/>
    </row>
    <row r="52" spans="1:8" ht="17" customHeight="1" x14ac:dyDescent="0.35">
      <c r="A52" s="17" t="s">
        <v>717</v>
      </c>
      <c r="B52" s="17" t="s">
        <v>716</v>
      </c>
      <c r="C52" s="17" t="s">
        <v>462</v>
      </c>
      <c r="D52" s="17" t="s">
        <v>463</v>
      </c>
      <c r="E52" s="17" t="s">
        <v>1659</v>
      </c>
      <c r="F52" s="18" t="s">
        <v>715</v>
      </c>
      <c r="G52" s="18" t="s">
        <v>1657</v>
      </c>
      <c r="H52" s="18"/>
    </row>
    <row r="53" spans="1:8" ht="17" customHeight="1" x14ac:dyDescent="0.35">
      <c r="A53" s="17" t="s">
        <v>630</v>
      </c>
      <c r="B53" s="17" t="s">
        <v>629</v>
      </c>
      <c r="C53" s="17" t="s">
        <v>462</v>
      </c>
      <c r="D53" s="17" t="s">
        <v>463</v>
      </c>
      <c r="E53" s="17" t="s">
        <v>1659</v>
      </c>
      <c r="F53" s="18" t="s">
        <v>628</v>
      </c>
      <c r="G53" s="18" t="s">
        <v>1657</v>
      </c>
      <c r="H53" s="18"/>
    </row>
    <row r="54" spans="1:8" ht="17" customHeight="1" x14ac:dyDescent="0.35">
      <c r="A54" s="17" t="s">
        <v>633</v>
      </c>
      <c r="B54" s="17" t="s">
        <v>632</v>
      </c>
      <c r="C54" s="17" t="s">
        <v>462</v>
      </c>
      <c r="D54" s="17" t="s">
        <v>463</v>
      </c>
      <c r="E54" s="17" t="s">
        <v>1659</v>
      </c>
      <c r="F54" s="18" t="s">
        <v>631</v>
      </c>
      <c r="G54" s="18" t="s">
        <v>1657</v>
      </c>
      <c r="H54" s="18"/>
    </row>
    <row r="55" spans="1:8" ht="17" customHeight="1" x14ac:dyDescent="0.35">
      <c r="A55" s="17" t="s">
        <v>771</v>
      </c>
      <c r="B55" s="17" t="s">
        <v>770</v>
      </c>
      <c r="C55" s="17" t="s">
        <v>462</v>
      </c>
      <c r="D55" s="17" t="s">
        <v>463</v>
      </c>
      <c r="E55" s="17" t="s">
        <v>1659</v>
      </c>
      <c r="F55" s="18" t="s">
        <v>769</v>
      </c>
      <c r="G55" s="18" t="s">
        <v>1657</v>
      </c>
      <c r="H55" s="18"/>
    </row>
    <row r="56" spans="1:8" ht="17" customHeight="1" x14ac:dyDescent="0.35">
      <c r="A56" s="17" t="s">
        <v>774</v>
      </c>
      <c r="B56" s="17" t="s">
        <v>773</v>
      </c>
      <c r="C56" s="17" t="s">
        <v>462</v>
      </c>
      <c r="D56" s="17" t="s">
        <v>463</v>
      </c>
      <c r="E56" s="17" t="s">
        <v>1659</v>
      </c>
      <c r="F56" s="18" t="s">
        <v>772</v>
      </c>
      <c r="G56" s="18" t="s">
        <v>1657</v>
      </c>
      <c r="H56" s="18"/>
    </row>
    <row r="57" spans="1:8" ht="17" customHeight="1" x14ac:dyDescent="0.35">
      <c r="A57" s="17" t="s">
        <v>777</v>
      </c>
      <c r="B57" s="17" t="s">
        <v>776</v>
      </c>
      <c r="C57" s="17" t="s">
        <v>462</v>
      </c>
      <c r="D57" s="17" t="s">
        <v>463</v>
      </c>
      <c r="E57" s="17" t="s">
        <v>1659</v>
      </c>
      <c r="F57" s="18" t="s">
        <v>775</v>
      </c>
      <c r="G57" s="18" t="s">
        <v>1657</v>
      </c>
      <c r="H57" s="18"/>
    </row>
    <row r="58" spans="1:8" ht="17" customHeight="1" x14ac:dyDescent="0.35">
      <c r="A58" s="17" t="s">
        <v>780</v>
      </c>
      <c r="B58" s="17" t="s">
        <v>779</v>
      </c>
      <c r="C58" s="17" t="s">
        <v>462</v>
      </c>
      <c r="D58" s="17" t="s">
        <v>463</v>
      </c>
      <c r="E58" s="17" t="s">
        <v>1659</v>
      </c>
      <c r="F58" s="18" t="s">
        <v>778</v>
      </c>
      <c r="G58" s="18" t="s">
        <v>1657</v>
      </c>
      <c r="H58" s="18"/>
    </row>
    <row r="59" spans="1:8" ht="17" customHeight="1" x14ac:dyDescent="0.35">
      <c r="A59" s="17" t="s">
        <v>912</v>
      </c>
      <c r="B59" s="17" t="s">
        <v>911</v>
      </c>
      <c r="C59" s="17" t="s">
        <v>462</v>
      </c>
      <c r="D59" s="17" t="s">
        <v>463</v>
      </c>
      <c r="E59" s="17" t="s">
        <v>1668</v>
      </c>
      <c r="F59" s="18" t="s">
        <v>910</v>
      </c>
      <c r="G59" s="18" t="s">
        <v>1657</v>
      </c>
      <c r="H59" s="18"/>
    </row>
    <row r="60" spans="1:8" ht="17" customHeight="1" x14ac:dyDescent="0.35">
      <c r="A60" s="17" t="s">
        <v>915</v>
      </c>
      <c r="B60" s="17" t="s">
        <v>914</v>
      </c>
      <c r="C60" s="17" t="s">
        <v>462</v>
      </c>
      <c r="D60" s="17" t="s">
        <v>463</v>
      </c>
      <c r="E60" s="17" t="s">
        <v>1659</v>
      </c>
      <c r="F60" s="18" t="s">
        <v>913</v>
      </c>
      <c r="G60" s="18" t="s">
        <v>1657</v>
      </c>
      <c r="H60" s="18"/>
    </row>
    <row r="61" spans="1:8" ht="17" customHeight="1" x14ac:dyDescent="0.35">
      <c r="A61" s="17" t="s">
        <v>918</v>
      </c>
      <c r="B61" s="17" t="s">
        <v>917</v>
      </c>
      <c r="C61" s="17" t="s">
        <v>462</v>
      </c>
      <c r="D61" s="17" t="s">
        <v>463</v>
      </c>
      <c r="E61" s="17" t="s">
        <v>1659</v>
      </c>
      <c r="F61" s="18" t="s">
        <v>916</v>
      </c>
      <c r="G61" s="18" t="s">
        <v>1657</v>
      </c>
      <c r="H61" s="18"/>
    </row>
    <row r="62" spans="1:8" ht="17" customHeight="1" x14ac:dyDescent="0.35">
      <c r="A62" s="17" t="s">
        <v>921</v>
      </c>
      <c r="B62" s="17" t="s">
        <v>920</v>
      </c>
      <c r="C62" s="17" t="s">
        <v>462</v>
      </c>
      <c r="D62" s="17" t="s">
        <v>463</v>
      </c>
      <c r="E62" s="17" t="s">
        <v>1659</v>
      </c>
      <c r="F62" s="18" t="s">
        <v>919</v>
      </c>
      <c r="G62" s="18" t="s">
        <v>1657</v>
      </c>
      <c r="H62" s="18"/>
    </row>
    <row r="63" spans="1:8" ht="17" customHeight="1" x14ac:dyDescent="0.35">
      <c r="A63" s="17" t="s">
        <v>939</v>
      </c>
      <c r="B63" s="17" t="s">
        <v>938</v>
      </c>
      <c r="C63" s="17" t="s">
        <v>462</v>
      </c>
      <c r="D63" s="17" t="s">
        <v>463</v>
      </c>
      <c r="E63" s="17" t="s">
        <v>1659</v>
      </c>
      <c r="F63" s="18" t="s">
        <v>937</v>
      </c>
      <c r="G63" s="18" t="s">
        <v>1657</v>
      </c>
      <c r="H63" s="18"/>
    </row>
    <row r="64" spans="1:8" ht="17" customHeight="1" x14ac:dyDescent="0.35">
      <c r="A64" s="17" t="s">
        <v>942</v>
      </c>
      <c r="B64" s="17" t="s">
        <v>941</v>
      </c>
      <c r="C64" s="17" t="s">
        <v>462</v>
      </c>
      <c r="D64" s="17" t="s">
        <v>463</v>
      </c>
      <c r="E64" s="17" t="s">
        <v>1659</v>
      </c>
      <c r="F64" s="18" t="s">
        <v>940</v>
      </c>
      <c r="G64" s="18" t="s">
        <v>1657</v>
      </c>
      <c r="H64" s="18"/>
    </row>
    <row r="65" spans="1:8" ht="17" customHeight="1" x14ac:dyDescent="0.35">
      <c r="A65" s="17" t="s">
        <v>945</v>
      </c>
      <c r="B65" s="17" t="s">
        <v>944</v>
      </c>
      <c r="C65" s="17" t="s">
        <v>462</v>
      </c>
      <c r="D65" s="17" t="s">
        <v>463</v>
      </c>
      <c r="E65" s="17" t="s">
        <v>1659</v>
      </c>
      <c r="F65" s="18" t="s">
        <v>943</v>
      </c>
      <c r="G65" s="18" t="s">
        <v>1657</v>
      </c>
      <c r="H65" s="18"/>
    </row>
    <row r="66" spans="1:8" ht="17" customHeight="1" x14ac:dyDescent="0.35">
      <c r="A66" s="17" t="s">
        <v>948</v>
      </c>
      <c r="B66" s="17" t="s">
        <v>947</v>
      </c>
      <c r="C66" s="17" t="s">
        <v>462</v>
      </c>
      <c r="D66" s="17" t="s">
        <v>463</v>
      </c>
      <c r="E66" s="17" t="s">
        <v>1659</v>
      </c>
      <c r="F66" s="18" t="s">
        <v>946</v>
      </c>
      <c r="G66" s="18" t="s">
        <v>1657</v>
      </c>
      <c r="H66" s="18"/>
    </row>
    <row r="67" spans="1:8" ht="17" customHeight="1" x14ac:dyDescent="0.35">
      <c r="A67" s="17" t="s">
        <v>618</v>
      </c>
      <c r="B67" s="17" t="s">
        <v>617</v>
      </c>
      <c r="C67" s="17" t="s">
        <v>462</v>
      </c>
      <c r="D67" s="17" t="s">
        <v>463</v>
      </c>
      <c r="E67" s="17" t="s">
        <v>1658</v>
      </c>
      <c r="F67" s="18" t="s">
        <v>616</v>
      </c>
      <c r="G67" s="18" t="s">
        <v>1657</v>
      </c>
      <c r="H67" s="18"/>
    </row>
    <row r="68" spans="1:8" ht="17" customHeight="1" x14ac:dyDescent="0.35">
      <c r="A68" s="17" t="s">
        <v>621</v>
      </c>
      <c r="B68" s="17" t="s">
        <v>620</v>
      </c>
      <c r="C68" s="17" t="s">
        <v>462</v>
      </c>
      <c r="D68" s="17" t="s">
        <v>463</v>
      </c>
      <c r="E68" s="17" t="s">
        <v>1658</v>
      </c>
      <c r="F68" s="18" t="s">
        <v>619</v>
      </c>
      <c r="G68" s="18" t="s">
        <v>1657</v>
      </c>
      <c r="H68" s="18"/>
    </row>
    <row r="69" spans="1:8" ht="17" customHeight="1" x14ac:dyDescent="0.35">
      <c r="A69" s="17" t="s">
        <v>624</v>
      </c>
      <c r="B69" s="17" t="s">
        <v>623</v>
      </c>
      <c r="C69" s="17" t="s">
        <v>462</v>
      </c>
      <c r="D69" s="17" t="s">
        <v>463</v>
      </c>
      <c r="E69" s="17" t="s">
        <v>1658</v>
      </c>
      <c r="F69" s="18" t="s">
        <v>622</v>
      </c>
      <c r="G69" s="18" t="s">
        <v>1657</v>
      </c>
      <c r="H69" s="18"/>
    </row>
    <row r="70" spans="1:8" ht="17" customHeight="1" x14ac:dyDescent="0.35">
      <c r="A70" s="17" t="s">
        <v>627</v>
      </c>
      <c r="B70" s="17" t="s">
        <v>626</v>
      </c>
      <c r="C70" s="17" t="s">
        <v>462</v>
      </c>
      <c r="D70" s="17" t="s">
        <v>463</v>
      </c>
      <c r="E70" s="17" t="s">
        <v>1658</v>
      </c>
      <c r="F70" s="18" t="s">
        <v>625</v>
      </c>
      <c r="G70" s="18" t="s">
        <v>1657</v>
      </c>
      <c r="H70" s="18"/>
    </row>
    <row r="71" spans="1:8" ht="17" customHeight="1" x14ac:dyDescent="0.35">
      <c r="A71" s="17" t="s">
        <v>702</v>
      </c>
      <c r="B71" s="17" t="s">
        <v>701</v>
      </c>
      <c r="C71" s="17" t="s">
        <v>462</v>
      </c>
      <c r="D71" s="17" t="s">
        <v>463</v>
      </c>
      <c r="E71" s="17" t="s">
        <v>1658</v>
      </c>
      <c r="F71" s="18" t="s">
        <v>700</v>
      </c>
      <c r="G71" s="18" t="s">
        <v>1657</v>
      </c>
      <c r="H71" s="18"/>
    </row>
    <row r="72" spans="1:8" ht="17" customHeight="1" x14ac:dyDescent="0.35">
      <c r="A72" s="17" t="s">
        <v>705</v>
      </c>
      <c r="B72" s="17" t="s">
        <v>704</v>
      </c>
      <c r="C72" s="17" t="s">
        <v>462</v>
      </c>
      <c r="D72" s="17" t="s">
        <v>463</v>
      </c>
      <c r="E72" s="17" t="s">
        <v>1658</v>
      </c>
      <c r="F72" s="18" t="s">
        <v>703</v>
      </c>
      <c r="G72" s="18" t="s">
        <v>1657</v>
      </c>
      <c r="H72" s="18"/>
    </row>
    <row r="73" spans="1:8" ht="17" customHeight="1" x14ac:dyDescent="0.35">
      <c r="A73" s="17" t="s">
        <v>765</v>
      </c>
      <c r="B73" s="17" t="s">
        <v>764</v>
      </c>
      <c r="C73" s="17" t="s">
        <v>462</v>
      </c>
      <c r="D73" s="17" t="s">
        <v>463</v>
      </c>
      <c r="E73" s="17" t="s">
        <v>1658</v>
      </c>
      <c r="F73" s="18" t="s">
        <v>763</v>
      </c>
      <c r="G73" s="18" t="s">
        <v>1657</v>
      </c>
      <c r="H73" s="18"/>
    </row>
    <row r="74" spans="1:8" ht="17" customHeight="1" x14ac:dyDescent="0.35">
      <c r="A74" s="17" t="s">
        <v>711</v>
      </c>
      <c r="B74" s="17" t="s">
        <v>710</v>
      </c>
      <c r="C74" s="17" t="s">
        <v>462</v>
      </c>
      <c r="D74" s="17" t="s">
        <v>463</v>
      </c>
      <c r="E74" s="17" t="s">
        <v>1658</v>
      </c>
      <c r="F74" s="18" t="s">
        <v>709</v>
      </c>
      <c r="G74" s="18" t="s">
        <v>1657</v>
      </c>
      <c r="H74" s="18"/>
    </row>
    <row r="75" spans="1:8" ht="17" customHeight="1" x14ac:dyDescent="0.35">
      <c r="A75" s="17" t="s">
        <v>798</v>
      </c>
      <c r="B75" s="17" t="s">
        <v>797</v>
      </c>
      <c r="C75" s="17" t="s">
        <v>462</v>
      </c>
      <c r="D75" s="17" t="s">
        <v>463</v>
      </c>
      <c r="E75" s="17" t="s">
        <v>1659</v>
      </c>
      <c r="F75" s="18" t="s">
        <v>796</v>
      </c>
      <c r="G75" s="18" t="s">
        <v>1657</v>
      </c>
      <c r="H75" s="18"/>
    </row>
    <row r="76" spans="1:8" ht="17" customHeight="1" x14ac:dyDescent="0.35">
      <c r="A76" s="17" t="s">
        <v>801</v>
      </c>
      <c r="B76" s="17" t="s">
        <v>800</v>
      </c>
      <c r="C76" s="17" t="s">
        <v>462</v>
      </c>
      <c r="D76" s="17" t="s">
        <v>463</v>
      </c>
      <c r="E76" s="17" t="s">
        <v>1659</v>
      </c>
      <c r="F76" s="18" t="s">
        <v>799</v>
      </c>
      <c r="G76" s="18" t="s">
        <v>1657</v>
      </c>
      <c r="H76" s="18"/>
    </row>
    <row r="77" spans="1:8" ht="17" customHeight="1" x14ac:dyDescent="0.35">
      <c r="A77" s="17" t="s">
        <v>804</v>
      </c>
      <c r="B77" s="17" t="s">
        <v>803</v>
      </c>
      <c r="C77" s="17" t="s">
        <v>462</v>
      </c>
      <c r="D77" s="17" t="s">
        <v>463</v>
      </c>
      <c r="E77" s="17" t="s">
        <v>1659</v>
      </c>
      <c r="F77" s="18" t="s">
        <v>802</v>
      </c>
      <c r="G77" s="18" t="s">
        <v>1657</v>
      </c>
      <c r="H77" s="18"/>
    </row>
    <row r="78" spans="1:8" ht="17" customHeight="1" x14ac:dyDescent="0.35">
      <c r="A78" s="17" t="s">
        <v>807</v>
      </c>
      <c r="B78" s="17" t="s">
        <v>806</v>
      </c>
      <c r="C78" s="17" t="s">
        <v>462</v>
      </c>
      <c r="D78" s="17" t="s">
        <v>463</v>
      </c>
      <c r="E78" s="17" t="s">
        <v>1659</v>
      </c>
      <c r="F78" s="18" t="s">
        <v>805</v>
      </c>
      <c r="G78" s="18" t="s">
        <v>1657</v>
      </c>
      <c r="H78" s="18"/>
    </row>
    <row r="79" spans="1:8" ht="17" customHeight="1" x14ac:dyDescent="0.35">
      <c r="A79" s="17" t="s">
        <v>810</v>
      </c>
      <c r="B79" s="17" t="s">
        <v>809</v>
      </c>
      <c r="C79" s="17" t="s">
        <v>462</v>
      </c>
      <c r="D79" s="17" t="s">
        <v>463</v>
      </c>
      <c r="E79" s="17" t="s">
        <v>1659</v>
      </c>
      <c r="F79" s="18" t="s">
        <v>808</v>
      </c>
      <c r="G79" s="18" t="s">
        <v>1657</v>
      </c>
      <c r="H79" s="18"/>
    </row>
    <row r="80" spans="1:8" ht="17" customHeight="1" x14ac:dyDescent="0.35">
      <c r="A80" s="17" t="s">
        <v>813</v>
      </c>
      <c r="B80" s="17" t="s">
        <v>812</v>
      </c>
      <c r="C80" s="17" t="s">
        <v>462</v>
      </c>
      <c r="D80" s="17" t="s">
        <v>463</v>
      </c>
      <c r="E80" s="17" t="s">
        <v>1659</v>
      </c>
      <c r="F80" s="18" t="s">
        <v>811</v>
      </c>
      <c r="G80" s="18" t="s">
        <v>1657</v>
      </c>
      <c r="H80" s="18"/>
    </row>
    <row r="81" spans="1:8" ht="17" customHeight="1" x14ac:dyDescent="0.35">
      <c r="A81" s="17" t="s">
        <v>816</v>
      </c>
      <c r="B81" s="17" t="s">
        <v>815</v>
      </c>
      <c r="C81" s="17" t="s">
        <v>462</v>
      </c>
      <c r="D81" s="17" t="s">
        <v>463</v>
      </c>
      <c r="E81" s="17" t="s">
        <v>1659</v>
      </c>
      <c r="F81" s="18" t="s">
        <v>814</v>
      </c>
      <c r="G81" s="18" t="s">
        <v>1657</v>
      </c>
      <c r="H81" s="18"/>
    </row>
    <row r="82" spans="1:8" ht="17" customHeight="1" x14ac:dyDescent="0.35">
      <c r="A82" s="17" t="s">
        <v>819</v>
      </c>
      <c r="B82" s="17" t="s">
        <v>818</v>
      </c>
      <c r="C82" s="17" t="s">
        <v>462</v>
      </c>
      <c r="D82" s="17" t="s">
        <v>463</v>
      </c>
      <c r="E82" s="17" t="s">
        <v>1659</v>
      </c>
      <c r="F82" s="18" t="s">
        <v>817</v>
      </c>
      <c r="G82" s="18" t="s">
        <v>1657</v>
      </c>
      <c r="H82" s="18"/>
    </row>
    <row r="83" spans="1:8" ht="17" customHeight="1" x14ac:dyDescent="0.35">
      <c r="A83" s="17" t="s">
        <v>822</v>
      </c>
      <c r="B83" s="17" t="s">
        <v>821</v>
      </c>
      <c r="C83" s="17" t="s">
        <v>462</v>
      </c>
      <c r="D83" s="17" t="s">
        <v>463</v>
      </c>
      <c r="E83" s="17" t="s">
        <v>1659</v>
      </c>
      <c r="F83" s="18" t="s">
        <v>820</v>
      </c>
      <c r="G83" s="18" t="s">
        <v>1657</v>
      </c>
      <c r="H83" s="18"/>
    </row>
    <row r="84" spans="1:8" ht="17" customHeight="1" x14ac:dyDescent="0.35">
      <c r="A84" s="17" t="s">
        <v>825</v>
      </c>
      <c r="B84" s="17" t="s">
        <v>824</v>
      </c>
      <c r="C84" s="17" t="s">
        <v>462</v>
      </c>
      <c r="D84" s="17" t="s">
        <v>463</v>
      </c>
      <c r="E84" s="17" t="s">
        <v>1659</v>
      </c>
      <c r="F84" s="18" t="s">
        <v>823</v>
      </c>
      <c r="G84" s="18" t="s">
        <v>1657</v>
      </c>
      <c r="H84" s="18"/>
    </row>
    <row r="85" spans="1:8" ht="17" customHeight="1" x14ac:dyDescent="0.35">
      <c r="A85" s="17" t="s">
        <v>828</v>
      </c>
      <c r="B85" s="17" t="s">
        <v>827</v>
      </c>
      <c r="C85" s="17" t="s">
        <v>462</v>
      </c>
      <c r="D85" s="17" t="s">
        <v>463</v>
      </c>
      <c r="E85" s="17" t="s">
        <v>1659</v>
      </c>
      <c r="F85" s="18" t="s">
        <v>826</v>
      </c>
      <c r="G85" s="18" t="s">
        <v>1657</v>
      </c>
      <c r="H85" s="18"/>
    </row>
    <row r="86" spans="1:8" ht="17" customHeight="1" x14ac:dyDescent="0.35">
      <c r="A86" s="17" t="s">
        <v>831</v>
      </c>
      <c r="B86" s="17" t="s">
        <v>830</v>
      </c>
      <c r="C86" s="17" t="s">
        <v>462</v>
      </c>
      <c r="D86" s="17" t="s">
        <v>463</v>
      </c>
      <c r="E86" s="17" t="s">
        <v>1659</v>
      </c>
      <c r="F86" s="18" t="s">
        <v>829</v>
      </c>
      <c r="G86" s="18" t="s">
        <v>1657</v>
      </c>
      <c r="H86" s="18"/>
    </row>
    <row r="87" spans="1:8" ht="17" customHeight="1" x14ac:dyDescent="0.35">
      <c r="A87" s="17" t="s">
        <v>834</v>
      </c>
      <c r="B87" s="17" t="s">
        <v>833</v>
      </c>
      <c r="C87" s="17" t="s">
        <v>462</v>
      </c>
      <c r="D87" s="17" t="s">
        <v>463</v>
      </c>
      <c r="E87" s="17" t="s">
        <v>1659</v>
      </c>
      <c r="F87" s="18" t="s">
        <v>832</v>
      </c>
      <c r="G87" s="18" t="s">
        <v>1657</v>
      </c>
      <c r="H87" s="18"/>
    </row>
    <row r="88" spans="1:8" ht="17" customHeight="1" x14ac:dyDescent="0.35">
      <c r="A88" s="17" t="s">
        <v>837</v>
      </c>
      <c r="B88" s="17" t="s">
        <v>836</v>
      </c>
      <c r="C88" s="17" t="s">
        <v>462</v>
      </c>
      <c r="D88" s="17" t="s">
        <v>463</v>
      </c>
      <c r="E88" s="17" t="s">
        <v>1659</v>
      </c>
      <c r="F88" s="18" t="s">
        <v>835</v>
      </c>
      <c r="G88" s="18" t="s">
        <v>1657</v>
      </c>
      <c r="H88" s="18"/>
    </row>
    <row r="89" spans="1:8" ht="17" customHeight="1" x14ac:dyDescent="0.35">
      <c r="A89" s="17" t="s">
        <v>885</v>
      </c>
      <c r="B89" s="17" t="s">
        <v>884</v>
      </c>
      <c r="C89" s="17" t="s">
        <v>462</v>
      </c>
      <c r="D89" s="17" t="s">
        <v>463</v>
      </c>
      <c r="E89" s="17" t="s">
        <v>1659</v>
      </c>
      <c r="F89" s="18" t="s">
        <v>883</v>
      </c>
      <c r="G89" s="18" t="s">
        <v>1657</v>
      </c>
      <c r="H89" s="18"/>
    </row>
    <row r="90" spans="1:8" ht="17" customHeight="1" x14ac:dyDescent="0.35">
      <c r="A90" s="17" t="s">
        <v>888</v>
      </c>
      <c r="B90" s="17" t="s">
        <v>887</v>
      </c>
      <c r="C90" s="17" t="s">
        <v>462</v>
      </c>
      <c r="D90" s="17" t="s">
        <v>463</v>
      </c>
      <c r="E90" s="17" t="s">
        <v>1659</v>
      </c>
      <c r="F90" s="18" t="s">
        <v>886</v>
      </c>
      <c r="G90" s="18" t="s">
        <v>1657</v>
      </c>
      <c r="H90" s="18"/>
    </row>
    <row r="91" spans="1:8" ht="17" customHeight="1" x14ac:dyDescent="0.35">
      <c r="A91" s="17" t="s">
        <v>891</v>
      </c>
      <c r="B91" s="17" t="s">
        <v>890</v>
      </c>
      <c r="C91" s="17" t="s">
        <v>462</v>
      </c>
      <c r="D91" s="17" t="s">
        <v>463</v>
      </c>
      <c r="E91" s="17" t="s">
        <v>1659</v>
      </c>
      <c r="F91" s="18" t="s">
        <v>889</v>
      </c>
      <c r="G91" s="18" t="s">
        <v>1657</v>
      </c>
      <c r="H91" s="18"/>
    </row>
    <row r="92" spans="1:8" ht="17" customHeight="1" x14ac:dyDescent="0.35">
      <c r="A92" s="17" t="s">
        <v>894</v>
      </c>
      <c r="B92" s="17" t="s">
        <v>893</v>
      </c>
      <c r="C92" s="17" t="s">
        <v>462</v>
      </c>
      <c r="D92" s="17" t="s">
        <v>463</v>
      </c>
      <c r="E92" s="17" t="s">
        <v>1659</v>
      </c>
      <c r="F92" s="18" t="s">
        <v>892</v>
      </c>
      <c r="G92" s="18" t="s">
        <v>1657</v>
      </c>
      <c r="H92" s="18"/>
    </row>
    <row r="93" spans="1:8" ht="17" customHeight="1" x14ac:dyDescent="0.35">
      <c r="A93" s="17" t="s">
        <v>966</v>
      </c>
      <c r="B93" s="17" t="s">
        <v>965</v>
      </c>
      <c r="C93" s="17" t="s">
        <v>462</v>
      </c>
      <c r="D93" s="17" t="s">
        <v>463</v>
      </c>
      <c r="E93" s="17" t="s">
        <v>1659</v>
      </c>
      <c r="F93" s="18" t="s">
        <v>964</v>
      </c>
      <c r="G93" s="18" t="s">
        <v>1657</v>
      </c>
      <c r="H93" s="18"/>
    </row>
    <row r="94" spans="1:8" ht="17" customHeight="1" x14ac:dyDescent="0.35">
      <c r="A94" s="17" t="s">
        <v>969</v>
      </c>
      <c r="B94" s="17" t="s">
        <v>968</v>
      </c>
      <c r="C94" s="17" t="s">
        <v>462</v>
      </c>
      <c r="D94" s="17" t="s">
        <v>463</v>
      </c>
      <c r="E94" s="17" t="s">
        <v>1659</v>
      </c>
      <c r="F94" s="18" t="s">
        <v>967</v>
      </c>
      <c r="G94" s="18" t="s">
        <v>1657</v>
      </c>
      <c r="H94" s="18"/>
    </row>
    <row r="95" spans="1:8" ht="17" customHeight="1" x14ac:dyDescent="0.35">
      <c r="A95" s="17" t="s">
        <v>972</v>
      </c>
      <c r="B95" s="17" t="s">
        <v>971</v>
      </c>
      <c r="C95" s="17" t="s">
        <v>462</v>
      </c>
      <c r="D95" s="17" t="s">
        <v>463</v>
      </c>
      <c r="E95" s="17" t="s">
        <v>1659</v>
      </c>
      <c r="F95" s="18" t="s">
        <v>970</v>
      </c>
      <c r="G95" s="18" t="s">
        <v>1657</v>
      </c>
      <c r="H95" s="18"/>
    </row>
    <row r="96" spans="1:8" ht="17" customHeight="1" x14ac:dyDescent="0.35">
      <c r="A96" s="17" t="s">
        <v>975</v>
      </c>
      <c r="B96" s="17" t="s">
        <v>974</v>
      </c>
      <c r="C96" s="17" t="s">
        <v>462</v>
      </c>
      <c r="D96" s="17" t="s">
        <v>463</v>
      </c>
      <c r="E96" s="17" t="s">
        <v>1659</v>
      </c>
      <c r="F96" s="18" t="s">
        <v>973</v>
      </c>
      <c r="G96" s="18" t="s">
        <v>1657</v>
      </c>
      <c r="H96" s="18"/>
    </row>
    <row r="97" spans="1:8" ht="17" customHeight="1" x14ac:dyDescent="0.35">
      <c r="A97" s="17" t="s">
        <v>993</v>
      </c>
      <c r="B97" s="17" t="s">
        <v>992</v>
      </c>
      <c r="C97" s="17" t="s">
        <v>462</v>
      </c>
      <c r="D97" s="17" t="s">
        <v>463</v>
      </c>
      <c r="E97" s="17" t="s">
        <v>1659</v>
      </c>
      <c r="F97" s="18" t="s">
        <v>991</v>
      </c>
      <c r="G97" s="18" t="s">
        <v>1657</v>
      </c>
      <c r="H97" s="18"/>
    </row>
    <row r="98" spans="1:8" ht="17" customHeight="1" x14ac:dyDescent="0.35">
      <c r="A98" s="17" t="s">
        <v>996</v>
      </c>
      <c r="B98" s="17" t="s">
        <v>995</v>
      </c>
      <c r="C98" s="17" t="s">
        <v>462</v>
      </c>
      <c r="D98" s="17" t="s">
        <v>463</v>
      </c>
      <c r="E98" s="17" t="s">
        <v>1659</v>
      </c>
      <c r="F98" s="18" t="s">
        <v>994</v>
      </c>
      <c r="G98" s="18" t="s">
        <v>1657</v>
      </c>
      <c r="H98" s="18"/>
    </row>
    <row r="99" spans="1:8" ht="17" customHeight="1" x14ac:dyDescent="0.35">
      <c r="A99" s="17" t="s">
        <v>999</v>
      </c>
      <c r="B99" s="17" t="s">
        <v>998</v>
      </c>
      <c r="C99" s="17" t="s">
        <v>462</v>
      </c>
      <c r="D99" s="17" t="s">
        <v>463</v>
      </c>
      <c r="E99" s="17" t="s">
        <v>1659</v>
      </c>
      <c r="F99" s="18" t="s">
        <v>997</v>
      </c>
      <c r="G99" s="18" t="s">
        <v>1657</v>
      </c>
      <c r="H99" s="18"/>
    </row>
    <row r="100" spans="1:8" ht="17" customHeight="1" x14ac:dyDescent="0.35">
      <c r="A100" s="17" t="s">
        <v>1002</v>
      </c>
      <c r="B100" s="17" t="s">
        <v>1001</v>
      </c>
      <c r="C100" s="17" t="s">
        <v>462</v>
      </c>
      <c r="D100" s="17" t="s">
        <v>463</v>
      </c>
      <c r="E100" s="17" t="s">
        <v>1659</v>
      </c>
      <c r="F100" s="18" t="s">
        <v>1000</v>
      </c>
      <c r="G100" s="18" t="s">
        <v>1657</v>
      </c>
      <c r="H100" s="18"/>
    </row>
    <row r="101" spans="1:8" ht="17" customHeight="1" x14ac:dyDescent="0.35">
      <c r="A101" s="17" t="s">
        <v>603</v>
      </c>
      <c r="B101" s="17" t="s">
        <v>602</v>
      </c>
      <c r="C101" s="17" t="s">
        <v>462</v>
      </c>
      <c r="D101" s="17" t="s">
        <v>463</v>
      </c>
      <c r="E101" s="17" t="s">
        <v>1658</v>
      </c>
      <c r="F101" s="18" t="s">
        <v>601</v>
      </c>
      <c r="G101" s="18" t="s">
        <v>1657</v>
      </c>
      <c r="H101" s="18"/>
    </row>
    <row r="102" spans="1:8" ht="17" customHeight="1" x14ac:dyDescent="0.35">
      <c r="A102" s="17" t="s">
        <v>606</v>
      </c>
      <c r="B102" s="17" t="s">
        <v>605</v>
      </c>
      <c r="C102" s="17" t="s">
        <v>462</v>
      </c>
      <c r="D102" s="17" t="s">
        <v>463</v>
      </c>
      <c r="E102" s="17" t="s">
        <v>1658</v>
      </c>
      <c r="F102" s="18" t="s">
        <v>604</v>
      </c>
      <c r="G102" s="18" t="s">
        <v>1657</v>
      </c>
      <c r="H102" s="18"/>
    </row>
    <row r="103" spans="1:8" ht="17" customHeight="1" x14ac:dyDescent="0.35">
      <c r="A103" s="17" t="s">
        <v>609</v>
      </c>
      <c r="B103" s="17" t="s">
        <v>608</v>
      </c>
      <c r="C103" s="17" t="s">
        <v>462</v>
      </c>
      <c r="D103" s="17" t="s">
        <v>463</v>
      </c>
      <c r="E103" s="17" t="s">
        <v>1658</v>
      </c>
      <c r="F103" s="18" t="s">
        <v>607</v>
      </c>
      <c r="G103" s="18" t="s">
        <v>1657</v>
      </c>
      <c r="H103" s="18"/>
    </row>
    <row r="104" spans="1:8" ht="17" customHeight="1" x14ac:dyDescent="0.35">
      <c r="A104" s="17" t="s">
        <v>612</v>
      </c>
      <c r="B104" s="17" t="s">
        <v>611</v>
      </c>
      <c r="C104" s="17" t="s">
        <v>462</v>
      </c>
      <c r="D104" s="17" t="s">
        <v>463</v>
      </c>
      <c r="E104" s="17" t="s">
        <v>1658</v>
      </c>
      <c r="F104" s="18" t="s">
        <v>610</v>
      </c>
      <c r="G104" s="18" t="s">
        <v>1657</v>
      </c>
      <c r="H104" s="18"/>
    </row>
    <row r="105" spans="1:8" ht="17" customHeight="1" x14ac:dyDescent="0.35">
      <c r="A105" s="17" t="s">
        <v>615</v>
      </c>
      <c r="B105" s="17" t="s">
        <v>614</v>
      </c>
      <c r="C105" s="17" t="s">
        <v>462</v>
      </c>
      <c r="D105" s="17" t="s">
        <v>463</v>
      </c>
      <c r="E105" s="17" t="s">
        <v>1658</v>
      </c>
      <c r="F105" s="18" t="s">
        <v>613</v>
      </c>
      <c r="G105" s="18" t="s">
        <v>1657</v>
      </c>
      <c r="H105" s="18"/>
    </row>
    <row r="106" spans="1:8" ht="17" customHeight="1" x14ac:dyDescent="0.35">
      <c r="A106" s="23"/>
      <c r="B106" s="23"/>
      <c r="C106" s="23"/>
      <c r="D106" s="23"/>
      <c r="E106" s="23"/>
      <c r="F106" s="24"/>
      <c r="G106" s="24"/>
      <c r="H106" s="24"/>
    </row>
    <row r="107" spans="1:8" ht="17" customHeight="1" x14ac:dyDescent="0.35">
      <c r="A107" s="17" t="s">
        <v>720</v>
      </c>
      <c r="B107" s="17" t="s">
        <v>719</v>
      </c>
      <c r="C107" s="17" t="s">
        <v>462</v>
      </c>
      <c r="D107" s="17" t="s">
        <v>463</v>
      </c>
      <c r="E107" s="17" t="s">
        <v>1659</v>
      </c>
      <c r="F107" s="18" t="s">
        <v>718</v>
      </c>
      <c r="G107" s="18" t="s">
        <v>1657</v>
      </c>
      <c r="H107" s="18" t="s">
        <v>1676</v>
      </c>
    </row>
    <row r="108" spans="1:8" ht="17" customHeight="1" x14ac:dyDescent="0.35">
      <c r="A108" s="17" t="s">
        <v>723</v>
      </c>
      <c r="B108" s="17" t="s">
        <v>722</v>
      </c>
      <c r="C108" s="17" t="s">
        <v>462</v>
      </c>
      <c r="D108" s="17" t="s">
        <v>463</v>
      </c>
      <c r="E108" s="17" t="s">
        <v>1659</v>
      </c>
      <c r="F108" s="18" t="s">
        <v>721</v>
      </c>
      <c r="G108" s="18" t="s">
        <v>1657</v>
      </c>
      <c r="H108" s="18"/>
    </row>
    <row r="109" spans="1:8" ht="17" customHeight="1" x14ac:dyDescent="0.35">
      <c r="A109" s="17" t="s">
        <v>726</v>
      </c>
      <c r="B109" s="17" t="s">
        <v>725</v>
      </c>
      <c r="C109" s="17" t="s">
        <v>462</v>
      </c>
      <c r="D109" s="17" t="s">
        <v>463</v>
      </c>
      <c r="E109" s="17" t="s">
        <v>1659</v>
      </c>
      <c r="F109" s="18" t="s">
        <v>724</v>
      </c>
      <c r="G109" s="18" t="s">
        <v>1657</v>
      </c>
      <c r="H109" s="18"/>
    </row>
    <row r="110" spans="1:8" ht="17" customHeight="1" x14ac:dyDescent="0.35">
      <c r="A110" s="17" t="s">
        <v>729</v>
      </c>
      <c r="B110" s="17" t="s">
        <v>728</v>
      </c>
      <c r="C110" s="17" t="s">
        <v>462</v>
      </c>
      <c r="D110" s="17" t="s">
        <v>463</v>
      </c>
      <c r="E110" s="17" t="s">
        <v>1659</v>
      </c>
      <c r="F110" s="18" t="s">
        <v>727</v>
      </c>
      <c r="G110" s="18" t="s">
        <v>1657</v>
      </c>
      <c r="H110" s="18"/>
    </row>
    <row r="111" spans="1:8" ht="17" customHeight="1" x14ac:dyDescent="0.35">
      <c r="A111" s="17" t="s">
        <v>732</v>
      </c>
      <c r="B111" s="17" t="s">
        <v>731</v>
      </c>
      <c r="C111" s="17" t="s">
        <v>462</v>
      </c>
      <c r="D111" s="17" t="s">
        <v>463</v>
      </c>
      <c r="E111" s="17" t="s">
        <v>1659</v>
      </c>
      <c r="F111" s="18" t="s">
        <v>730</v>
      </c>
      <c r="G111" s="18" t="s">
        <v>1657</v>
      </c>
      <c r="H111" s="18"/>
    </row>
    <row r="112" spans="1:8" ht="17" customHeight="1" x14ac:dyDescent="0.35">
      <c r="A112" s="17" t="s">
        <v>735</v>
      </c>
      <c r="B112" s="17" t="s">
        <v>734</v>
      </c>
      <c r="C112" s="17" t="s">
        <v>462</v>
      </c>
      <c r="D112" s="17" t="s">
        <v>463</v>
      </c>
      <c r="E112" s="17" t="s">
        <v>1659</v>
      </c>
      <c r="F112" s="18" t="s">
        <v>733</v>
      </c>
      <c r="G112" s="18" t="s">
        <v>1657</v>
      </c>
      <c r="H112" s="18"/>
    </row>
    <row r="113" spans="1:8" ht="17" customHeight="1" x14ac:dyDescent="0.35">
      <c r="A113" s="17" t="s">
        <v>738</v>
      </c>
      <c r="B113" s="17" t="s">
        <v>737</v>
      </c>
      <c r="C113" s="17" t="s">
        <v>462</v>
      </c>
      <c r="D113" s="17" t="s">
        <v>463</v>
      </c>
      <c r="E113" s="17" t="s">
        <v>1659</v>
      </c>
      <c r="F113" s="18" t="s">
        <v>736</v>
      </c>
      <c r="G113" s="18" t="s">
        <v>1657</v>
      </c>
      <c r="H113" s="18"/>
    </row>
    <row r="114" spans="1:8" ht="17" customHeight="1" x14ac:dyDescent="0.35">
      <c r="A114" s="17" t="s">
        <v>741</v>
      </c>
      <c r="B114" s="17" t="s">
        <v>740</v>
      </c>
      <c r="C114" s="17" t="s">
        <v>462</v>
      </c>
      <c r="D114" s="17" t="s">
        <v>463</v>
      </c>
      <c r="E114" s="17" t="s">
        <v>1659</v>
      </c>
      <c r="F114" s="18" t="s">
        <v>739</v>
      </c>
      <c r="G114" s="18" t="s">
        <v>1657</v>
      </c>
      <c r="H114" s="18"/>
    </row>
    <row r="115" spans="1:8" ht="17" customHeight="1" x14ac:dyDescent="0.35">
      <c r="A115" s="17" t="s">
        <v>744</v>
      </c>
      <c r="B115" s="17" t="s">
        <v>743</v>
      </c>
      <c r="C115" s="17" t="s">
        <v>462</v>
      </c>
      <c r="D115" s="17" t="s">
        <v>463</v>
      </c>
      <c r="E115" s="17" t="s">
        <v>1659</v>
      </c>
      <c r="F115" s="18" t="s">
        <v>742</v>
      </c>
      <c r="G115" s="18" t="s">
        <v>1657</v>
      </c>
      <c r="H115" s="18"/>
    </row>
    <row r="116" spans="1:8" ht="17" customHeight="1" x14ac:dyDescent="0.35">
      <c r="A116" s="17" t="s">
        <v>747</v>
      </c>
      <c r="B116" s="17" t="s">
        <v>746</v>
      </c>
      <c r="C116" s="17" t="s">
        <v>462</v>
      </c>
      <c r="D116" s="17" t="s">
        <v>463</v>
      </c>
      <c r="E116" s="17" t="s">
        <v>1659</v>
      </c>
      <c r="F116" s="18" t="s">
        <v>745</v>
      </c>
      <c r="G116" s="18" t="s">
        <v>1657</v>
      </c>
      <c r="H116" s="18"/>
    </row>
    <row r="117" spans="1:8" ht="17" customHeight="1" x14ac:dyDescent="0.35">
      <c r="A117" s="17" t="s">
        <v>759</v>
      </c>
      <c r="B117" s="17" t="s">
        <v>758</v>
      </c>
      <c r="C117" s="17" t="s">
        <v>462</v>
      </c>
      <c r="D117" s="17" t="s">
        <v>463</v>
      </c>
      <c r="E117" s="17" t="s">
        <v>1659</v>
      </c>
      <c r="F117" s="18" t="s">
        <v>757</v>
      </c>
      <c r="G117" s="18" t="s">
        <v>1657</v>
      </c>
      <c r="H117" s="18"/>
    </row>
    <row r="118" spans="1:8" ht="17" customHeight="1" x14ac:dyDescent="0.35">
      <c r="A118" s="17" t="s">
        <v>762</v>
      </c>
      <c r="B118" s="17" t="s">
        <v>761</v>
      </c>
      <c r="C118" s="17" t="s">
        <v>462</v>
      </c>
      <c r="D118" s="17" t="s">
        <v>463</v>
      </c>
      <c r="E118" s="17" t="s">
        <v>1659</v>
      </c>
      <c r="F118" s="18" t="s">
        <v>760</v>
      </c>
      <c r="G118" s="18" t="s">
        <v>1657</v>
      </c>
      <c r="H118" s="18"/>
    </row>
    <row r="119" spans="1:8" ht="17" customHeight="1" x14ac:dyDescent="0.35">
      <c r="A119" s="17" t="s">
        <v>663</v>
      </c>
      <c r="B119" s="17" t="s">
        <v>662</v>
      </c>
      <c r="C119" s="17" t="s">
        <v>462</v>
      </c>
      <c r="D119" s="17" t="s">
        <v>463</v>
      </c>
      <c r="E119" s="17" t="s">
        <v>1659</v>
      </c>
      <c r="F119" s="18" t="s">
        <v>661</v>
      </c>
      <c r="G119" s="18" t="s">
        <v>1657</v>
      </c>
      <c r="H119" s="18"/>
    </row>
    <row r="120" spans="1:8" ht="17" customHeight="1" x14ac:dyDescent="0.35">
      <c r="A120" s="17" t="s">
        <v>666</v>
      </c>
      <c r="B120" s="17" t="s">
        <v>665</v>
      </c>
      <c r="C120" s="17" t="s">
        <v>462</v>
      </c>
      <c r="D120" s="17" t="s">
        <v>463</v>
      </c>
      <c r="E120" s="17" t="s">
        <v>1659</v>
      </c>
      <c r="F120" s="18" t="s">
        <v>664</v>
      </c>
      <c r="G120" s="18" t="s">
        <v>1657</v>
      </c>
      <c r="H120" s="18"/>
    </row>
    <row r="121" spans="1:8" ht="17" customHeight="1" x14ac:dyDescent="0.35">
      <c r="A121" s="17" t="s">
        <v>783</v>
      </c>
      <c r="B121" s="17" t="s">
        <v>782</v>
      </c>
      <c r="C121" s="17" t="s">
        <v>462</v>
      </c>
      <c r="D121" s="17" t="s">
        <v>463</v>
      </c>
      <c r="E121" s="17" t="s">
        <v>1659</v>
      </c>
      <c r="F121" s="18" t="s">
        <v>781</v>
      </c>
      <c r="G121" s="18" t="s">
        <v>1657</v>
      </c>
      <c r="H121" s="18"/>
    </row>
    <row r="122" spans="1:8" ht="17" customHeight="1" x14ac:dyDescent="0.35">
      <c r="A122" s="17" t="s">
        <v>786</v>
      </c>
      <c r="B122" s="17" t="s">
        <v>785</v>
      </c>
      <c r="C122" s="17" t="s">
        <v>462</v>
      </c>
      <c r="D122" s="17" t="s">
        <v>463</v>
      </c>
      <c r="E122" s="17" t="s">
        <v>1659</v>
      </c>
      <c r="F122" s="18" t="s">
        <v>784</v>
      </c>
      <c r="G122" s="18" t="s">
        <v>1657</v>
      </c>
      <c r="H122" s="18"/>
    </row>
    <row r="123" spans="1:8" ht="17" customHeight="1" x14ac:dyDescent="0.35">
      <c r="A123" s="17" t="s">
        <v>789</v>
      </c>
      <c r="B123" s="17" t="s">
        <v>788</v>
      </c>
      <c r="C123" s="17" t="s">
        <v>462</v>
      </c>
      <c r="D123" s="17" t="s">
        <v>463</v>
      </c>
      <c r="E123" s="17" t="s">
        <v>1659</v>
      </c>
      <c r="F123" s="18" t="s">
        <v>787</v>
      </c>
      <c r="G123" s="18" t="s">
        <v>1657</v>
      </c>
      <c r="H123" s="18"/>
    </row>
    <row r="124" spans="1:8" ht="17" customHeight="1" x14ac:dyDescent="0.35">
      <c r="A124" s="17" t="s">
        <v>792</v>
      </c>
      <c r="B124" s="17" t="s">
        <v>791</v>
      </c>
      <c r="C124" s="17" t="s">
        <v>462</v>
      </c>
      <c r="D124" s="17" t="s">
        <v>463</v>
      </c>
      <c r="E124" s="17" t="s">
        <v>1659</v>
      </c>
      <c r="F124" s="18" t="s">
        <v>790</v>
      </c>
      <c r="G124" s="18" t="s">
        <v>1657</v>
      </c>
      <c r="H124" s="18"/>
    </row>
    <row r="125" spans="1:8" ht="17" customHeight="1" x14ac:dyDescent="0.35">
      <c r="A125" s="17" t="s">
        <v>924</v>
      </c>
      <c r="B125" s="17" t="s">
        <v>923</v>
      </c>
      <c r="C125" s="17" t="s">
        <v>462</v>
      </c>
      <c r="D125" s="17" t="s">
        <v>463</v>
      </c>
      <c r="E125" s="17" t="s">
        <v>1668</v>
      </c>
      <c r="F125" s="18" t="s">
        <v>922</v>
      </c>
      <c r="G125" s="18" t="s">
        <v>1657</v>
      </c>
      <c r="H125" s="18"/>
    </row>
    <row r="126" spans="1:8" ht="17" customHeight="1" x14ac:dyDescent="0.35">
      <c r="A126" s="17" t="s">
        <v>927</v>
      </c>
      <c r="B126" s="17" t="s">
        <v>926</v>
      </c>
      <c r="C126" s="17" t="s">
        <v>462</v>
      </c>
      <c r="D126" s="17" t="s">
        <v>463</v>
      </c>
      <c r="E126" s="17" t="s">
        <v>1659</v>
      </c>
      <c r="F126" s="18" t="s">
        <v>925</v>
      </c>
      <c r="G126" s="18" t="s">
        <v>1657</v>
      </c>
      <c r="H126" s="18"/>
    </row>
    <row r="127" spans="1:8" ht="17" customHeight="1" x14ac:dyDescent="0.35">
      <c r="A127" s="17" t="s">
        <v>930</v>
      </c>
      <c r="B127" s="17" t="s">
        <v>929</v>
      </c>
      <c r="C127" s="17" t="s">
        <v>462</v>
      </c>
      <c r="D127" s="17" t="s">
        <v>463</v>
      </c>
      <c r="E127" s="17" t="s">
        <v>1659</v>
      </c>
      <c r="F127" s="18" t="s">
        <v>928</v>
      </c>
      <c r="G127" s="18" t="s">
        <v>1657</v>
      </c>
      <c r="H127" s="18"/>
    </row>
    <row r="128" spans="1:8" ht="17" customHeight="1" x14ac:dyDescent="0.35">
      <c r="A128" s="17" t="s">
        <v>933</v>
      </c>
      <c r="B128" s="17" t="s">
        <v>932</v>
      </c>
      <c r="C128" s="17" t="s">
        <v>462</v>
      </c>
      <c r="D128" s="17" t="s">
        <v>463</v>
      </c>
      <c r="E128" s="17" t="s">
        <v>1659</v>
      </c>
      <c r="F128" s="18" t="s">
        <v>931</v>
      </c>
      <c r="G128" s="18" t="s">
        <v>1657</v>
      </c>
      <c r="H128" s="18"/>
    </row>
    <row r="129" spans="1:8" ht="17" customHeight="1" x14ac:dyDescent="0.35">
      <c r="A129" s="17" t="s">
        <v>951</v>
      </c>
      <c r="B129" s="17" t="s">
        <v>950</v>
      </c>
      <c r="C129" s="17" t="s">
        <v>462</v>
      </c>
      <c r="D129" s="17" t="s">
        <v>463</v>
      </c>
      <c r="E129" s="17" t="s">
        <v>1659</v>
      </c>
      <c r="F129" s="18" t="s">
        <v>949</v>
      </c>
      <c r="G129" s="18" t="s">
        <v>1657</v>
      </c>
      <c r="H129" s="18"/>
    </row>
    <row r="130" spans="1:8" ht="17" customHeight="1" x14ac:dyDescent="0.35">
      <c r="A130" s="17" t="s">
        <v>954</v>
      </c>
      <c r="B130" s="17" t="s">
        <v>953</v>
      </c>
      <c r="C130" s="17" t="s">
        <v>462</v>
      </c>
      <c r="D130" s="17" t="s">
        <v>463</v>
      </c>
      <c r="E130" s="17" t="s">
        <v>1659</v>
      </c>
      <c r="F130" s="18" t="s">
        <v>952</v>
      </c>
      <c r="G130" s="18" t="s">
        <v>1657</v>
      </c>
      <c r="H130" s="18"/>
    </row>
    <row r="131" spans="1:8" ht="17" customHeight="1" x14ac:dyDescent="0.35">
      <c r="A131" s="17" t="s">
        <v>957</v>
      </c>
      <c r="B131" s="17" t="s">
        <v>956</v>
      </c>
      <c r="C131" s="17" t="s">
        <v>462</v>
      </c>
      <c r="D131" s="17" t="s">
        <v>463</v>
      </c>
      <c r="E131" s="17" t="s">
        <v>1659</v>
      </c>
      <c r="F131" s="18" t="s">
        <v>955</v>
      </c>
      <c r="G131" s="18" t="s">
        <v>1657</v>
      </c>
      <c r="H131" s="18"/>
    </row>
    <row r="132" spans="1:8" ht="17" customHeight="1" x14ac:dyDescent="0.35">
      <c r="A132" s="17" t="s">
        <v>960</v>
      </c>
      <c r="B132" s="17" t="s">
        <v>959</v>
      </c>
      <c r="C132" s="17" t="s">
        <v>462</v>
      </c>
      <c r="D132" s="17" t="s">
        <v>463</v>
      </c>
      <c r="E132" s="17" t="s">
        <v>1659</v>
      </c>
      <c r="F132" s="18" t="s">
        <v>958</v>
      </c>
      <c r="G132" s="18" t="s">
        <v>1657</v>
      </c>
      <c r="H132" s="18"/>
    </row>
    <row r="133" spans="1:8" ht="17" customHeight="1" x14ac:dyDescent="0.35">
      <c r="A133" s="17" t="s">
        <v>651</v>
      </c>
      <c r="B133" s="17" t="s">
        <v>650</v>
      </c>
      <c r="C133" s="17" t="s">
        <v>462</v>
      </c>
      <c r="D133" s="17" t="s">
        <v>463</v>
      </c>
      <c r="E133" s="17" t="s">
        <v>1658</v>
      </c>
      <c r="F133" s="18" t="s">
        <v>649</v>
      </c>
      <c r="G133" s="18" t="s">
        <v>1657</v>
      </c>
      <c r="H133" s="18"/>
    </row>
    <row r="134" spans="1:8" ht="17" customHeight="1" x14ac:dyDescent="0.35">
      <c r="A134" s="17" t="s">
        <v>654</v>
      </c>
      <c r="B134" s="17" t="s">
        <v>653</v>
      </c>
      <c r="C134" s="17" t="s">
        <v>462</v>
      </c>
      <c r="D134" s="17" t="s">
        <v>463</v>
      </c>
      <c r="E134" s="17" t="s">
        <v>1658</v>
      </c>
      <c r="F134" s="18" t="s">
        <v>652</v>
      </c>
      <c r="G134" s="18" t="s">
        <v>1657</v>
      </c>
      <c r="H134" s="18"/>
    </row>
    <row r="135" spans="1:8" ht="17" customHeight="1" x14ac:dyDescent="0.35">
      <c r="A135" s="17" t="s">
        <v>657</v>
      </c>
      <c r="B135" s="17" t="s">
        <v>656</v>
      </c>
      <c r="C135" s="17" t="s">
        <v>462</v>
      </c>
      <c r="D135" s="17" t="s">
        <v>463</v>
      </c>
      <c r="E135" s="17" t="s">
        <v>1658</v>
      </c>
      <c r="F135" s="18" t="s">
        <v>655</v>
      </c>
      <c r="G135" s="18" t="s">
        <v>1657</v>
      </c>
      <c r="H135" s="18"/>
    </row>
    <row r="136" spans="1:8" ht="17" customHeight="1" x14ac:dyDescent="0.35">
      <c r="A136" s="17" t="s">
        <v>660</v>
      </c>
      <c r="B136" s="17" t="s">
        <v>659</v>
      </c>
      <c r="C136" s="17" t="s">
        <v>462</v>
      </c>
      <c r="D136" s="17" t="s">
        <v>463</v>
      </c>
      <c r="E136" s="17" t="s">
        <v>1658</v>
      </c>
      <c r="F136" s="18" t="s">
        <v>658</v>
      </c>
      <c r="G136" s="18" t="s">
        <v>1657</v>
      </c>
      <c r="H136" s="18"/>
    </row>
    <row r="137" spans="1:8" ht="17" customHeight="1" x14ac:dyDescent="0.35">
      <c r="A137" s="17" t="s">
        <v>750</v>
      </c>
      <c r="B137" s="17" t="s">
        <v>749</v>
      </c>
      <c r="C137" s="17" t="s">
        <v>462</v>
      </c>
      <c r="D137" s="17" t="s">
        <v>463</v>
      </c>
      <c r="E137" s="17" t="s">
        <v>1658</v>
      </c>
      <c r="F137" s="18" t="s">
        <v>748</v>
      </c>
      <c r="G137" s="18" t="s">
        <v>1657</v>
      </c>
      <c r="H137" s="18"/>
    </row>
    <row r="138" spans="1:8" ht="17" customHeight="1" x14ac:dyDescent="0.35">
      <c r="A138" s="17" t="s">
        <v>753</v>
      </c>
      <c r="B138" s="17" t="s">
        <v>752</v>
      </c>
      <c r="C138" s="17" t="s">
        <v>462</v>
      </c>
      <c r="D138" s="17" t="s">
        <v>463</v>
      </c>
      <c r="E138" s="17" t="s">
        <v>1658</v>
      </c>
      <c r="F138" s="18" t="s">
        <v>751</v>
      </c>
      <c r="G138" s="18" t="s">
        <v>1657</v>
      </c>
      <c r="H138" s="18"/>
    </row>
    <row r="139" spans="1:8" ht="17" customHeight="1" x14ac:dyDescent="0.35">
      <c r="A139" s="17" t="s">
        <v>708</v>
      </c>
      <c r="B139" s="17" t="s">
        <v>707</v>
      </c>
      <c r="C139" s="17" t="s">
        <v>462</v>
      </c>
      <c r="D139" s="17" t="s">
        <v>463</v>
      </c>
      <c r="E139" s="17" t="s">
        <v>1658</v>
      </c>
      <c r="F139" s="18" t="s">
        <v>706</v>
      </c>
      <c r="G139" s="18" t="s">
        <v>1657</v>
      </c>
      <c r="H139" s="18"/>
    </row>
    <row r="140" spans="1:8" ht="17" customHeight="1" x14ac:dyDescent="0.35">
      <c r="A140" s="17" t="s">
        <v>756</v>
      </c>
      <c r="B140" s="17" t="s">
        <v>755</v>
      </c>
      <c r="C140" s="17" t="s">
        <v>462</v>
      </c>
      <c r="D140" s="17" t="s">
        <v>463</v>
      </c>
      <c r="E140" s="17" t="s">
        <v>1658</v>
      </c>
      <c r="F140" s="18" t="s">
        <v>754</v>
      </c>
      <c r="G140" s="18" t="s">
        <v>1657</v>
      </c>
      <c r="H140" s="18"/>
    </row>
    <row r="141" spans="1:8" ht="17" customHeight="1" x14ac:dyDescent="0.35">
      <c r="A141" s="17" t="s">
        <v>840</v>
      </c>
      <c r="B141" s="17" t="s">
        <v>839</v>
      </c>
      <c r="C141" s="17" t="s">
        <v>462</v>
      </c>
      <c r="D141" s="17" t="s">
        <v>463</v>
      </c>
      <c r="E141" s="17" t="s">
        <v>1659</v>
      </c>
      <c r="F141" s="18" t="s">
        <v>838</v>
      </c>
      <c r="G141" s="18" t="s">
        <v>1657</v>
      </c>
      <c r="H141" s="18"/>
    </row>
    <row r="142" spans="1:8" ht="17" customHeight="1" x14ac:dyDescent="0.35">
      <c r="A142" s="17" t="s">
        <v>843</v>
      </c>
      <c r="B142" s="17" t="s">
        <v>842</v>
      </c>
      <c r="C142" s="17" t="s">
        <v>462</v>
      </c>
      <c r="D142" s="17" t="s">
        <v>463</v>
      </c>
      <c r="E142" s="17" t="s">
        <v>1659</v>
      </c>
      <c r="F142" s="18" t="s">
        <v>841</v>
      </c>
      <c r="G142" s="18" t="s">
        <v>1657</v>
      </c>
      <c r="H142" s="18"/>
    </row>
    <row r="143" spans="1:8" ht="17" customHeight="1" x14ac:dyDescent="0.35">
      <c r="A143" s="17" t="s">
        <v>846</v>
      </c>
      <c r="B143" s="17" t="s">
        <v>845</v>
      </c>
      <c r="C143" s="17" t="s">
        <v>462</v>
      </c>
      <c r="D143" s="17" t="s">
        <v>463</v>
      </c>
      <c r="E143" s="17" t="s">
        <v>1659</v>
      </c>
      <c r="F143" s="18" t="s">
        <v>844</v>
      </c>
      <c r="G143" s="18" t="s">
        <v>1657</v>
      </c>
      <c r="H143" s="18"/>
    </row>
    <row r="144" spans="1:8" ht="17" customHeight="1" x14ac:dyDescent="0.35">
      <c r="A144" s="17" t="s">
        <v>849</v>
      </c>
      <c r="B144" s="17" t="s">
        <v>848</v>
      </c>
      <c r="C144" s="17" t="s">
        <v>462</v>
      </c>
      <c r="D144" s="17" t="s">
        <v>463</v>
      </c>
      <c r="E144" s="17" t="s">
        <v>1659</v>
      </c>
      <c r="F144" s="18" t="s">
        <v>847</v>
      </c>
      <c r="G144" s="18" t="s">
        <v>1657</v>
      </c>
      <c r="H144" s="18"/>
    </row>
    <row r="145" spans="1:8" ht="17" customHeight="1" x14ac:dyDescent="0.35">
      <c r="A145" s="17" t="s">
        <v>852</v>
      </c>
      <c r="B145" s="17" t="s">
        <v>851</v>
      </c>
      <c r="C145" s="17" t="s">
        <v>462</v>
      </c>
      <c r="D145" s="17" t="s">
        <v>463</v>
      </c>
      <c r="E145" s="17" t="s">
        <v>1659</v>
      </c>
      <c r="F145" s="18" t="s">
        <v>850</v>
      </c>
      <c r="G145" s="18" t="s">
        <v>1657</v>
      </c>
      <c r="H145" s="18"/>
    </row>
    <row r="146" spans="1:8" ht="17" customHeight="1" x14ac:dyDescent="0.35">
      <c r="A146" s="17" t="s">
        <v>855</v>
      </c>
      <c r="B146" s="17" t="s">
        <v>854</v>
      </c>
      <c r="C146" s="17" t="s">
        <v>462</v>
      </c>
      <c r="D146" s="17" t="s">
        <v>463</v>
      </c>
      <c r="E146" s="17" t="s">
        <v>1659</v>
      </c>
      <c r="F146" s="18" t="s">
        <v>853</v>
      </c>
      <c r="G146" s="18" t="s">
        <v>1657</v>
      </c>
      <c r="H146" s="18"/>
    </row>
    <row r="147" spans="1:8" ht="17" customHeight="1" x14ac:dyDescent="0.35">
      <c r="A147" s="17" t="s">
        <v>858</v>
      </c>
      <c r="B147" s="17" t="s">
        <v>857</v>
      </c>
      <c r="C147" s="17" t="s">
        <v>462</v>
      </c>
      <c r="D147" s="17" t="s">
        <v>463</v>
      </c>
      <c r="E147" s="17" t="s">
        <v>1659</v>
      </c>
      <c r="F147" s="18" t="s">
        <v>856</v>
      </c>
      <c r="G147" s="18" t="s">
        <v>1657</v>
      </c>
      <c r="H147" s="18"/>
    </row>
    <row r="148" spans="1:8" ht="17" customHeight="1" x14ac:dyDescent="0.35">
      <c r="A148" s="17" t="s">
        <v>861</v>
      </c>
      <c r="B148" s="17" t="s">
        <v>860</v>
      </c>
      <c r="C148" s="17" t="s">
        <v>462</v>
      </c>
      <c r="D148" s="17" t="s">
        <v>463</v>
      </c>
      <c r="E148" s="17" t="s">
        <v>1659</v>
      </c>
      <c r="F148" s="18" t="s">
        <v>859</v>
      </c>
      <c r="G148" s="18" t="s">
        <v>1657</v>
      </c>
      <c r="H148" s="18"/>
    </row>
    <row r="149" spans="1:8" ht="17" customHeight="1" x14ac:dyDescent="0.35">
      <c r="A149" s="17" t="s">
        <v>864</v>
      </c>
      <c r="B149" s="17" t="s">
        <v>863</v>
      </c>
      <c r="C149" s="17" t="s">
        <v>462</v>
      </c>
      <c r="D149" s="17" t="s">
        <v>463</v>
      </c>
      <c r="E149" s="17" t="s">
        <v>1659</v>
      </c>
      <c r="F149" s="18" t="s">
        <v>862</v>
      </c>
      <c r="G149" s="18" t="s">
        <v>1657</v>
      </c>
      <c r="H149" s="18"/>
    </row>
    <row r="150" spans="1:8" ht="17" customHeight="1" x14ac:dyDescent="0.35">
      <c r="A150" s="17" t="s">
        <v>867</v>
      </c>
      <c r="B150" s="17" t="s">
        <v>866</v>
      </c>
      <c r="C150" s="17" t="s">
        <v>462</v>
      </c>
      <c r="D150" s="17" t="s">
        <v>463</v>
      </c>
      <c r="E150" s="17" t="s">
        <v>1659</v>
      </c>
      <c r="F150" s="18" t="s">
        <v>865</v>
      </c>
      <c r="G150" s="18" t="s">
        <v>1657</v>
      </c>
      <c r="H150" s="18"/>
    </row>
    <row r="151" spans="1:8" ht="17" customHeight="1" x14ac:dyDescent="0.35">
      <c r="A151" s="17" t="s">
        <v>870</v>
      </c>
      <c r="B151" s="17" t="s">
        <v>869</v>
      </c>
      <c r="C151" s="17" t="s">
        <v>462</v>
      </c>
      <c r="D151" s="17" t="s">
        <v>463</v>
      </c>
      <c r="E151" s="17" t="s">
        <v>1659</v>
      </c>
      <c r="F151" s="18" t="s">
        <v>868</v>
      </c>
      <c r="G151" s="18" t="s">
        <v>1657</v>
      </c>
      <c r="H151" s="18"/>
    </row>
    <row r="152" spans="1:8" ht="17" customHeight="1" x14ac:dyDescent="0.35">
      <c r="A152" s="17" t="s">
        <v>873</v>
      </c>
      <c r="B152" s="17" t="s">
        <v>872</v>
      </c>
      <c r="C152" s="17" t="s">
        <v>462</v>
      </c>
      <c r="D152" s="17" t="s">
        <v>463</v>
      </c>
      <c r="E152" s="17" t="s">
        <v>1659</v>
      </c>
      <c r="F152" s="18" t="s">
        <v>871</v>
      </c>
      <c r="G152" s="18" t="s">
        <v>1657</v>
      </c>
      <c r="H152" s="18"/>
    </row>
    <row r="153" spans="1:8" ht="17" customHeight="1" x14ac:dyDescent="0.35">
      <c r="A153" s="17" t="s">
        <v>876</v>
      </c>
      <c r="B153" s="17" t="s">
        <v>875</v>
      </c>
      <c r="C153" s="17" t="s">
        <v>462</v>
      </c>
      <c r="D153" s="17" t="s">
        <v>463</v>
      </c>
      <c r="E153" s="17" t="s">
        <v>1659</v>
      </c>
      <c r="F153" s="18" t="s">
        <v>874</v>
      </c>
      <c r="G153" s="18" t="s">
        <v>1657</v>
      </c>
      <c r="H153" s="18"/>
    </row>
    <row r="154" spans="1:8" ht="17" customHeight="1" x14ac:dyDescent="0.35">
      <c r="A154" s="17" t="s">
        <v>879</v>
      </c>
      <c r="B154" s="17" t="s">
        <v>878</v>
      </c>
      <c r="C154" s="17" t="s">
        <v>462</v>
      </c>
      <c r="D154" s="17" t="s">
        <v>463</v>
      </c>
      <c r="E154" s="17" t="s">
        <v>1659</v>
      </c>
      <c r="F154" s="18" t="s">
        <v>877</v>
      </c>
      <c r="G154" s="18" t="s">
        <v>1657</v>
      </c>
      <c r="H154" s="18"/>
    </row>
    <row r="155" spans="1:8" ht="17" customHeight="1" x14ac:dyDescent="0.35">
      <c r="A155" s="17" t="s">
        <v>897</v>
      </c>
      <c r="B155" s="17" t="s">
        <v>896</v>
      </c>
      <c r="C155" s="17" t="s">
        <v>462</v>
      </c>
      <c r="D155" s="17" t="s">
        <v>463</v>
      </c>
      <c r="E155" s="17" t="s">
        <v>1659</v>
      </c>
      <c r="F155" s="18" t="s">
        <v>895</v>
      </c>
      <c r="G155" s="18" t="s">
        <v>1657</v>
      </c>
      <c r="H155" s="18"/>
    </row>
    <row r="156" spans="1:8" ht="17" customHeight="1" x14ac:dyDescent="0.35">
      <c r="A156" s="17" t="s">
        <v>900</v>
      </c>
      <c r="B156" s="17" t="s">
        <v>899</v>
      </c>
      <c r="C156" s="17" t="s">
        <v>462</v>
      </c>
      <c r="D156" s="17" t="s">
        <v>463</v>
      </c>
      <c r="E156" s="17" t="s">
        <v>1659</v>
      </c>
      <c r="F156" s="18" t="s">
        <v>898</v>
      </c>
      <c r="G156" s="18" t="s">
        <v>1657</v>
      </c>
      <c r="H156" s="18"/>
    </row>
    <row r="157" spans="1:8" ht="17" customHeight="1" x14ac:dyDescent="0.35">
      <c r="A157" s="17" t="s">
        <v>903</v>
      </c>
      <c r="B157" s="17" t="s">
        <v>902</v>
      </c>
      <c r="C157" s="17" t="s">
        <v>462</v>
      </c>
      <c r="D157" s="17" t="s">
        <v>463</v>
      </c>
      <c r="E157" s="17" t="s">
        <v>1659</v>
      </c>
      <c r="F157" s="18" t="s">
        <v>901</v>
      </c>
      <c r="G157" s="18" t="s">
        <v>1657</v>
      </c>
      <c r="H157" s="18"/>
    </row>
    <row r="158" spans="1:8" ht="17" customHeight="1" x14ac:dyDescent="0.35">
      <c r="A158" s="17" t="s">
        <v>906</v>
      </c>
      <c r="B158" s="17" t="s">
        <v>905</v>
      </c>
      <c r="C158" s="17" t="s">
        <v>462</v>
      </c>
      <c r="D158" s="17" t="s">
        <v>463</v>
      </c>
      <c r="E158" s="17" t="s">
        <v>1659</v>
      </c>
      <c r="F158" s="18" t="s">
        <v>904</v>
      </c>
      <c r="G158" s="18" t="s">
        <v>1657</v>
      </c>
      <c r="H158" s="18"/>
    </row>
    <row r="159" spans="1:8" ht="17" customHeight="1" x14ac:dyDescent="0.35">
      <c r="A159" s="17" t="s">
        <v>978</v>
      </c>
      <c r="B159" s="17" t="s">
        <v>977</v>
      </c>
      <c r="C159" s="17" t="s">
        <v>462</v>
      </c>
      <c r="D159" s="17" t="s">
        <v>463</v>
      </c>
      <c r="E159" s="17" t="s">
        <v>1659</v>
      </c>
      <c r="F159" s="18" t="s">
        <v>976</v>
      </c>
      <c r="G159" s="18" t="s">
        <v>1657</v>
      </c>
      <c r="H159" s="18"/>
    </row>
    <row r="160" spans="1:8" ht="17" customHeight="1" x14ac:dyDescent="0.35">
      <c r="A160" s="17" t="s">
        <v>981</v>
      </c>
      <c r="B160" s="17" t="s">
        <v>980</v>
      </c>
      <c r="C160" s="17" t="s">
        <v>462</v>
      </c>
      <c r="D160" s="17" t="s">
        <v>463</v>
      </c>
      <c r="E160" s="17" t="s">
        <v>1659</v>
      </c>
      <c r="F160" s="18" t="s">
        <v>979</v>
      </c>
      <c r="G160" s="18" t="s">
        <v>1657</v>
      </c>
      <c r="H160" s="18"/>
    </row>
    <row r="161" spans="1:8" ht="17" customHeight="1" x14ac:dyDescent="0.35">
      <c r="A161" s="17" t="s">
        <v>984</v>
      </c>
      <c r="B161" s="17" t="s">
        <v>983</v>
      </c>
      <c r="C161" s="17" t="s">
        <v>462</v>
      </c>
      <c r="D161" s="17" t="s">
        <v>463</v>
      </c>
      <c r="E161" s="17" t="s">
        <v>1659</v>
      </c>
      <c r="F161" s="18" t="s">
        <v>982</v>
      </c>
      <c r="G161" s="18" t="s">
        <v>1657</v>
      </c>
      <c r="H161" s="18"/>
    </row>
    <row r="162" spans="1:8" ht="17" customHeight="1" x14ac:dyDescent="0.35">
      <c r="A162" s="17" t="s">
        <v>987</v>
      </c>
      <c r="B162" s="17" t="s">
        <v>986</v>
      </c>
      <c r="C162" s="17" t="s">
        <v>462</v>
      </c>
      <c r="D162" s="17" t="s">
        <v>463</v>
      </c>
      <c r="E162" s="17" t="s">
        <v>1659</v>
      </c>
      <c r="F162" s="18" t="s">
        <v>985</v>
      </c>
      <c r="G162" s="18" t="s">
        <v>1657</v>
      </c>
      <c r="H162" s="18"/>
    </row>
    <row r="163" spans="1:8" ht="17" customHeight="1" x14ac:dyDescent="0.35">
      <c r="A163" s="17" t="s">
        <v>1005</v>
      </c>
      <c r="B163" s="17" t="s">
        <v>1004</v>
      </c>
      <c r="C163" s="17" t="s">
        <v>462</v>
      </c>
      <c r="D163" s="17" t="s">
        <v>463</v>
      </c>
      <c r="E163" s="17" t="s">
        <v>1659</v>
      </c>
      <c r="F163" s="18" t="s">
        <v>1003</v>
      </c>
      <c r="G163" s="18" t="s">
        <v>1657</v>
      </c>
      <c r="H163" s="18"/>
    </row>
    <row r="164" spans="1:8" ht="17" customHeight="1" x14ac:dyDescent="0.35">
      <c r="A164" s="17" t="s">
        <v>1008</v>
      </c>
      <c r="B164" s="17" t="s">
        <v>1007</v>
      </c>
      <c r="C164" s="17" t="s">
        <v>462</v>
      </c>
      <c r="D164" s="17" t="s">
        <v>463</v>
      </c>
      <c r="E164" s="17" t="s">
        <v>1659</v>
      </c>
      <c r="F164" s="18" t="s">
        <v>1006</v>
      </c>
      <c r="G164" s="18" t="s">
        <v>1657</v>
      </c>
      <c r="H164" s="18"/>
    </row>
    <row r="165" spans="1:8" ht="17" customHeight="1" x14ac:dyDescent="0.35">
      <c r="A165" s="17" t="s">
        <v>1011</v>
      </c>
      <c r="B165" s="17" t="s">
        <v>1010</v>
      </c>
      <c r="C165" s="17" t="s">
        <v>462</v>
      </c>
      <c r="D165" s="17" t="s">
        <v>463</v>
      </c>
      <c r="E165" s="17" t="s">
        <v>1659</v>
      </c>
      <c r="F165" s="18" t="s">
        <v>1009</v>
      </c>
      <c r="G165" s="18" t="s">
        <v>1657</v>
      </c>
      <c r="H165" s="18"/>
    </row>
    <row r="166" spans="1:8" ht="17" customHeight="1" x14ac:dyDescent="0.35">
      <c r="A166" s="17" t="s">
        <v>1014</v>
      </c>
      <c r="B166" s="17" t="s">
        <v>1013</v>
      </c>
      <c r="C166" s="17" t="s">
        <v>462</v>
      </c>
      <c r="D166" s="17" t="s">
        <v>463</v>
      </c>
      <c r="E166" s="17" t="s">
        <v>1659</v>
      </c>
      <c r="F166" s="18" t="s">
        <v>1012</v>
      </c>
      <c r="G166" s="18" t="s">
        <v>1657</v>
      </c>
      <c r="H166" s="18"/>
    </row>
    <row r="167" spans="1:8" ht="17" customHeight="1" x14ac:dyDescent="0.35">
      <c r="A167" s="17" t="s">
        <v>636</v>
      </c>
      <c r="B167" s="17" t="s">
        <v>635</v>
      </c>
      <c r="C167" s="17" t="s">
        <v>462</v>
      </c>
      <c r="D167" s="17" t="s">
        <v>463</v>
      </c>
      <c r="E167" s="17" t="s">
        <v>1658</v>
      </c>
      <c r="F167" s="18" t="s">
        <v>634</v>
      </c>
      <c r="G167" s="18" t="s">
        <v>1657</v>
      </c>
      <c r="H167" s="18"/>
    </row>
    <row r="168" spans="1:8" ht="17" customHeight="1" x14ac:dyDescent="0.35">
      <c r="A168" s="17" t="s">
        <v>639</v>
      </c>
      <c r="B168" s="17" t="s">
        <v>638</v>
      </c>
      <c r="C168" s="17" t="s">
        <v>462</v>
      </c>
      <c r="D168" s="17" t="s">
        <v>463</v>
      </c>
      <c r="E168" s="17" t="s">
        <v>1658</v>
      </c>
      <c r="F168" s="18" t="s">
        <v>637</v>
      </c>
      <c r="G168" s="18" t="s">
        <v>1657</v>
      </c>
      <c r="H168" s="18"/>
    </row>
    <row r="169" spans="1:8" ht="17" customHeight="1" x14ac:dyDescent="0.35">
      <c r="A169" s="17" t="s">
        <v>642</v>
      </c>
      <c r="B169" s="17" t="s">
        <v>641</v>
      </c>
      <c r="C169" s="17" t="s">
        <v>462</v>
      </c>
      <c r="D169" s="17" t="s">
        <v>463</v>
      </c>
      <c r="E169" s="17" t="s">
        <v>1658</v>
      </c>
      <c r="F169" s="18" t="s">
        <v>640</v>
      </c>
      <c r="G169" s="18" t="s">
        <v>1657</v>
      </c>
      <c r="H169" s="18"/>
    </row>
    <row r="170" spans="1:8" ht="17" customHeight="1" x14ac:dyDescent="0.35">
      <c r="A170" s="17" t="s">
        <v>645</v>
      </c>
      <c r="B170" s="17" t="s">
        <v>644</v>
      </c>
      <c r="C170" s="17" t="s">
        <v>462</v>
      </c>
      <c r="D170" s="17" t="s">
        <v>463</v>
      </c>
      <c r="E170" s="17" t="s">
        <v>1658</v>
      </c>
      <c r="F170" s="18" t="s">
        <v>643</v>
      </c>
      <c r="G170" s="18" t="s">
        <v>1657</v>
      </c>
      <c r="H170" s="18"/>
    </row>
    <row r="171" spans="1:8" ht="17" customHeight="1" x14ac:dyDescent="0.35">
      <c r="A171" s="17" t="s">
        <v>648</v>
      </c>
      <c r="B171" s="17" t="s">
        <v>647</v>
      </c>
      <c r="C171" s="17" t="s">
        <v>462</v>
      </c>
      <c r="D171" s="17" t="s">
        <v>463</v>
      </c>
      <c r="E171" s="17" t="s">
        <v>1658</v>
      </c>
      <c r="F171" s="18" t="s">
        <v>646</v>
      </c>
      <c r="G171" s="18" t="s">
        <v>1657</v>
      </c>
      <c r="H171" s="18"/>
    </row>
    <row r="172" spans="1:8" ht="17" customHeight="1" x14ac:dyDescent="0.35">
      <c r="A172" s="23"/>
      <c r="B172" s="23"/>
      <c r="C172" s="23"/>
      <c r="D172" s="23"/>
      <c r="E172" s="23"/>
      <c r="F172" s="24"/>
      <c r="G172" s="24"/>
      <c r="H172" s="24"/>
    </row>
    <row r="173" spans="1:8" ht="17" customHeight="1" x14ac:dyDescent="0.35">
      <c r="A173" s="17" t="s">
        <v>1081</v>
      </c>
      <c r="B173" s="17" t="s">
        <v>1082</v>
      </c>
      <c r="C173" s="17" t="s">
        <v>462</v>
      </c>
      <c r="D173" s="17" t="s">
        <v>463</v>
      </c>
      <c r="E173" s="17" t="s">
        <v>1669</v>
      </c>
      <c r="F173" s="18" t="s">
        <v>1083</v>
      </c>
      <c r="G173" s="18" t="s">
        <v>1657</v>
      </c>
      <c r="H173" s="18" t="s">
        <v>1675</v>
      </c>
    </row>
    <row r="174" spans="1:8" ht="17" customHeight="1" x14ac:dyDescent="0.35">
      <c r="A174" s="17" t="s">
        <v>1084</v>
      </c>
      <c r="B174" s="17" t="s">
        <v>1085</v>
      </c>
      <c r="C174" s="17" t="s">
        <v>462</v>
      </c>
      <c r="D174" s="17" t="s">
        <v>463</v>
      </c>
      <c r="E174" s="17" t="s">
        <v>1669</v>
      </c>
      <c r="F174" s="18" t="s">
        <v>1086</v>
      </c>
      <c r="G174" s="18" t="s">
        <v>1657</v>
      </c>
      <c r="H174" s="18"/>
    </row>
    <row r="175" spans="1:8" ht="17" customHeight="1" x14ac:dyDescent="0.35">
      <c r="A175" s="17" t="s">
        <v>1087</v>
      </c>
      <c r="B175" s="17" t="s">
        <v>1088</v>
      </c>
      <c r="C175" s="17" t="s">
        <v>462</v>
      </c>
      <c r="D175" s="17" t="s">
        <v>463</v>
      </c>
      <c r="E175" s="17" t="s">
        <v>1669</v>
      </c>
      <c r="F175" s="18" t="s">
        <v>1089</v>
      </c>
      <c r="G175" s="18" t="s">
        <v>1657</v>
      </c>
      <c r="H175" s="18"/>
    </row>
    <row r="176" spans="1:8" ht="17" customHeight="1" x14ac:dyDescent="0.35">
      <c r="A176" s="17" t="s">
        <v>1090</v>
      </c>
      <c r="B176" s="17" t="s">
        <v>1091</v>
      </c>
      <c r="C176" s="17" t="s">
        <v>462</v>
      </c>
      <c r="D176" s="17" t="s">
        <v>463</v>
      </c>
      <c r="E176" s="17" t="s">
        <v>1669</v>
      </c>
      <c r="F176" s="18" t="s">
        <v>1092</v>
      </c>
      <c r="G176" s="18" t="s">
        <v>1657</v>
      </c>
      <c r="H176" s="18"/>
    </row>
    <row r="177" spans="1:8" ht="17" customHeight="1" x14ac:dyDescent="0.35">
      <c r="A177" s="17" t="s">
        <v>1093</v>
      </c>
      <c r="B177" s="17" t="s">
        <v>1094</v>
      </c>
      <c r="C177" s="17" t="s">
        <v>462</v>
      </c>
      <c r="D177" s="17" t="s">
        <v>463</v>
      </c>
      <c r="E177" s="17" t="s">
        <v>1669</v>
      </c>
      <c r="F177" s="18" t="s">
        <v>1095</v>
      </c>
      <c r="G177" s="18" t="s">
        <v>1657</v>
      </c>
      <c r="H177" s="18"/>
    </row>
    <row r="178" spans="1:8" ht="17" customHeight="1" x14ac:dyDescent="0.35">
      <c r="A178" s="17" t="s">
        <v>1096</v>
      </c>
      <c r="B178" s="17" t="s">
        <v>1097</v>
      </c>
      <c r="C178" s="17" t="s">
        <v>462</v>
      </c>
      <c r="D178" s="17" t="s">
        <v>463</v>
      </c>
      <c r="E178" s="17" t="s">
        <v>1669</v>
      </c>
      <c r="F178" s="18" t="s">
        <v>1098</v>
      </c>
      <c r="G178" s="18" t="s">
        <v>1657</v>
      </c>
      <c r="H178" s="18"/>
    </row>
    <row r="179" spans="1:8" ht="17" customHeight="1" x14ac:dyDescent="0.35">
      <c r="A179" s="17" t="s">
        <v>1099</v>
      </c>
      <c r="B179" s="17" t="s">
        <v>1100</v>
      </c>
      <c r="C179" s="17" t="s">
        <v>462</v>
      </c>
      <c r="D179" s="17" t="s">
        <v>463</v>
      </c>
      <c r="E179" s="17" t="s">
        <v>1669</v>
      </c>
      <c r="F179" s="18" t="s">
        <v>1101</v>
      </c>
      <c r="G179" s="18" t="s">
        <v>1657</v>
      </c>
      <c r="H179" s="18"/>
    </row>
    <row r="180" spans="1:8" ht="17" customHeight="1" x14ac:dyDescent="0.35">
      <c r="A180" s="17" t="s">
        <v>1102</v>
      </c>
      <c r="B180" s="17" t="s">
        <v>1103</v>
      </c>
      <c r="C180" s="17" t="s">
        <v>462</v>
      </c>
      <c r="D180" s="17" t="s">
        <v>463</v>
      </c>
      <c r="E180" s="17" t="s">
        <v>1669</v>
      </c>
      <c r="F180" s="18" t="s">
        <v>1104</v>
      </c>
      <c r="G180" s="18" t="s">
        <v>1657</v>
      </c>
      <c r="H180" s="18"/>
    </row>
    <row r="181" spans="1:8" ht="17" customHeight="1" x14ac:dyDescent="0.35">
      <c r="A181" s="17" t="s">
        <v>1105</v>
      </c>
      <c r="B181" s="17" t="s">
        <v>1106</v>
      </c>
      <c r="C181" s="17" t="s">
        <v>462</v>
      </c>
      <c r="D181" s="17" t="s">
        <v>463</v>
      </c>
      <c r="E181" s="17" t="s">
        <v>1669</v>
      </c>
      <c r="F181" s="18" t="s">
        <v>1107</v>
      </c>
      <c r="G181" s="18" t="s">
        <v>1657</v>
      </c>
      <c r="H181" s="18"/>
    </row>
    <row r="182" spans="1:8" ht="17" customHeight="1" x14ac:dyDescent="0.35">
      <c r="A182" s="17" t="s">
        <v>1108</v>
      </c>
      <c r="B182" s="17" t="s">
        <v>1109</v>
      </c>
      <c r="C182" s="17" t="s">
        <v>462</v>
      </c>
      <c r="D182" s="17" t="s">
        <v>463</v>
      </c>
      <c r="E182" s="17" t="s">
        <v>1669</v>
      </c>
      <c r="F182" s="18" t="s">
        <v>1110</v>
      </c>
      <c r="G182" s="18" t="s">
        <v>1657</v>
      </c>
      <c r="H182" s="18"/>
    </row>
    <row r="183" spans="1:8" ht="17" customHeight="1" x14ac:dyDescent="0.35">
      <c r="A183" s="17" t="s">
        <v>1033</v>
      </c>
      <c r="B183" s="17" t="s">
        <v>1034</v>
      </c>
      <c r="C183" s="17" t="s">
        <v>462</v>
      </c>
      <c r="D183" s="17" t="s">
        <v>463</v>
      </c>
      <c r="E183" s="17" t="s">
        <v>1669</v>
      </c>
      <c r="F183" s="18" t="s">
        <v>1035</v>
      </c>
      <c r="G183" s="18" t="s">
        <v>1657</v>
      </c>
      <c r="H183" s="18"/>
    </row>
    <row r="184" spans="1:8" ht="17" customHeight="1" x14ac:dyDescent="0.35">
      <c r="A184" s="17" t="s">
        <v>1036</v>
      </c>
      <c r="B184" s="17" t="s">
        <v>1037</v>
      </c>
      <c r="C184" s="17" t="s">
        <v>462</v>
      </c>
      <c r="D184" s="17" t="s">
        <v>463</v>
      </c>
      <c r="E184" s="17" t="s">
        <v>1669</v>
      </c>
      <c r="F184" s="18" t="s">
        <v>1038</v>
      </c>
      <c r="G184" s="18" t="s">
        <v>1657</v>
      </c>
      <c r="H184" s="18"/>
    </row>
    <row r="185" spans="1:8" ht="17" customHeight="1" x14ac:dyDescent="0.35">
      <c r="A185" s="17" t="s">
        <v>1039</v>
      </c>
      <c r="B185" s="17" t="s">
        <v>1040</v>
      </c>
      <c r="C185" s="17" t="s">
        <v>462</v>
      </c>
      <c r="D185" s="17" t="s">
        <v>463</v>
      </c>
      <c r="E185" s="17" t="s">
        <v>1669</v>
      </c>
      <c r="F185" s="18" t="s">
        <v>1041</v>
      </c>
      <c r="G185" s="18" t="s">
        <v>1657</v>
      </c>
      <c r="H185" s="18"/>
    </row>
    <row r="186" spans="1:8" ht="17" customHeight="1" x14ac:dyDescent="0.35">
      <c r="A186" s="17" t="s">
        <v>1042</v>
      </c>
      <c r="B186" s="17" t="s">
        <v>1043</v>
      </c>
      <c r="C186" s="17" t="s">
        <v>462</v>
      </c>
      <c r="D186" s="17" t="s">
        <v>463</v>
      </c>
      <c r="E186" s="17" t="s">
        <v>1669</v>
      </c>
      <c r="F186" s="18" t="s">
        <v>1044</v>
      </c>
      <c r="G186" s="18" t="s">
        <v>1657</v>
      </c>
      <c r="H186" s="18"/>
    </row>
    <row r="187" spans="1:8" ht="17" customHeight="1" x14ac:dyDescent="0.35">
      <c r="A187" s="17" t="s">
        <v>1045</v>
      </c>
      <c r="B187" s="17" t="s">
        <v>1046</v>
      </c>
      <c r="C187" s="17" t="s">
        <v>462</v>
      </c>
      <c r="D187" s="17" t="s">
        <v>463</v>
      </c>
      <c r="E187" s="17" t="s">
        <v>1669</v>
      </c>
      <c r="F187" s="18" t="s">
        <v>1047</v>
      </c>
      <c r="G187" s="18" t="s">
        <v>1657</v>
      </c>
      <c r="H187" s="18"/>
    </row>
    <row r="188" spans="1:8" ht="17" customHeight="1" x14ac:dyDescent="0.35">
      <c r="A188" s="17" t="s">
        <v>1048</v>
      </c>
      <c r="B188" s="17" t="s">
        <v>1049</v>
      </c>
      <c r="C188" s="17" t="s">
        <v>462</v>
      </c>
      <c r="D188" s="17" t="s">
        <v>463</v>
      </c>
      <c r="E188" s="17" t="s">
        <v>1669</v>
      </c>
      <c r="F188" s="18" t="s">
        <v>1050</v>
      </c>
      <c r="G188" s="18" t="s">
        <v>1657</v>
      </c>
      <c r="H188" s="18"/>
    </row>
    <row r="189" spans="1:8" ht="17" customHeight="1" x14ac:dyDescent="0.35">
      <c r="A189" s="17" t="s">
        <v>1051</v>
      </c>
      <c r="B189" s="17" t="s">
        <v>1052</v>
      </c>
      <c r="C189" s="17" t="s">
        <v>462</v>
      </c>
      <c r="D189" s="17" t="s">
        <v>463</v>
      </c>
      <c r="E189" s="17" t="s">
        <v>1669</v>
      </c>
      <c r="F189" s="18" t="s">
        <v>1053</v>
      </c>
      <c r="G189" s="18" t="s">
        <v>1657</v>
      </c>
      <c r="H189" s="18"/>
    </row>
    <row r="190" spans="1:8" ht="17" customHeight="1" x14ac:dyDescent="0.35">
      <c r="A190" s="17" t="s">
        <v>1054</v>
      </c>
      <c r="B190" s="17" t="s">
        <v>1055</v>
      </c>
      <c r="C190" s="17" t="s">
        <v>462</v>
      </c>
      <c r="D190" s="17" t="s">
        <v>463</v>
      </c>
      <c r="E190" s="17" t="s">
        <v>1669</v>
      </c>
      <c r="F190" s="18" t="s">
        <v>1056</v>
      </c>
      <c r="G190" s="18" t="s">
        <v>1657</v>
      </c>
      <c r="H190" s="18"/>
    </row>
    <row r="191" spans="1:8" ht="17" customHeight="1" x14ac:dyDescent="0.35">
      <c r="A191" s="17" t="s">
        <v>1057</v>
      </c>
      <c r="B191" s="17" t="s">
        <v>1058</v>
      </c>
      <c r="C191" s="17" t="s">
        <v>462</v>
      </c>
      <c r="D191" s="17" t="s">
        <v>463</v>
      </c>
      <c r="E191" s="17" t="s">
        <v>1669</v>
      </c>
      <c r="F191" s="18" t="s">
        <v>1059</v>
      </c>
      <c r="G191" s="18" t="s">
        <v>1657</v>
      </c>
      <c r="H191" s="18"/>
    </row>
    <row r="192" spans="1:8" ht="17" customHeight="1" x14ac:dyDescent="0.35">
      <c r="A192" s="17" t="s">
        <v>1060</v>
      </c>
      <c r="B192" s="17" t="s">
        <v>1061</v>
      </c>
      <c r="C192" s="17" t="s">
        <v>462</v>
      </c>
      <c r="D192" s="17" t="s">
        <v>463</v>
      </c>
      <c r="E192" s="17" t="s">
        <v>1669</v>
      </c>
      <c r="F192" s="18" t="s">
        <v>1062</v>
      </c>
      <c r="G192" s="18" t="s">
        <v>1657</v>
      </c>
      <c r="H192" s="18"/>
    </row>
    <row r="193" spans="1:8" ht="17" customHeight="1" x14ac:dyDescent="0.35">
      <c r="A193" s="17" t="s">
        <v>1063</v>
      </c>
      <c r="B193" s="17" t="s">
        <v>1064</v>
      </c>
      <c r="C193" s="17" t="s">
        <v>462</v>
      </c>
      <c r="D193" s="17" t="s">
        <v>463</v>
      </c>
      <c r="E193" s="17" t="s">
        <v>1669</v>
      </c>
      <c r="F193" s="18" t="s">
        <v>1065</v>
      </c>
      <c r="G193" s="18" t="s">
        <v>1657</v>
      </c>
      <c r="H193" s="18"/>
    </row>
    <row r="194" spans="1:8" ht="17" customHeight="1" x14ac:dyDescent="0.35">
      <c r="A194" s="17" t="s">
        <v>1066</v>
      </c>
      <c r="B194" s="17" t="s">
        <v>1067</v>
      </c>
      <c r="C194" s="17" t="s">
        <v>462</v>
      </c>
      <c r="D194" s="17" t="s">
        <v>463</v>
      </c>
      <c r="E194" s="17" t="s">
        <v>1669</v>
      </c>
      <c r="F194" s="18" t="s">
        <v>1068</v>
      </c>
      <c r="G194" s="18" t="s">
        <v>1657</v>
      </c>
      <c r="H194" s="18"/>
    </row>
    <row r="195" spans="1:8" ht="17" customHeight="1" x14ac:dyDescent="0.35">
      <c r="A195" s="17" t="s">
        <v>1069</v>
      </c>
      <c r="B195" s="17" t="s">
        <v>1070</v>
      </c>
      <c r="C195" s="17" t="s">
        <v>462</v>
      </c>
      <c r="D195" s="17" t="s">
        <v>463</v>
      </c>
      <c r="E195" s="17" t="s">
        <v>1669</v>
      </c>
      <c r="F195" s="18" t="s">
        <v>1071</v>
      </c>
      <c r="G195" s="18" t="s">
        <v>1657</v>
      </c>
      <c r="H195" s="18"/>
    </row>
    <row r="196" spans="1:8" ht="17" customHeight="1" x14ac:dyDescent="0.35">
      <c r="A196" s="17" t="s">
        <v>1072</v>
      </c>
      <c r="B196" s="17" t="s">
        <v>1073</v>
      </c>
      <c r="C196" s="17" t="s">
        <v>462</v>
      </c>
      <c r="D196" s="17" t="s">
        <v>463</v>
      </c>
      <c r="E196" s="17" t="s">
        <v>1669</v>
      </c>
      <c r="F196" s="18" t="s">
        <v>1074</v>
      </c>
      <c r="G196" s="18" t="s">
        <v>1657</v>
      </c>
      <c r="H196" s="18"/>
    </row>
    <row r="197" spans="1:8" ht="17" customHeight="1" x14ac:dyDescent="0.35">
      <c r="A197" s="17" t="s">
        <v>1075</v>
      </c>
      <c r="B197" s="17" t="s">
        <v>1076</v>
      </c>
      <c r="C197" s="17" t="s">
        <v>462</v>
      </c>
      <c r="D197" s="17" t="s">
        <v>463</v>
      </c>
      <c r="E197" s="17" t="s">
        <v>1669</v>
      </c>
      <c r="F197" s="18" t="s">
        <v>1077</v>
      </c>
      <c r="G197" s="18" t="s">
        <v>1657</v>
      </c>
      <c r="H197" s="18"/>
    </row>
    <row r="198" spans="1:8" ht="17" customHeight="1" x14ac:dyDescent="0.35">
      <c r="A198" s="17" t="s">
        <v>1078</v>
      </c>
      <c r="B198" s="17" t="s">
        <v>1079</v>
      </c>
      <c r="C198" s="17" t="s">
        <v>462</v>
      </c>
      <c r="D198" s="17" t="s">
        <v>463</v>
      </c>
      <c r="E198" s="17" t="s">
        <v>1669</v>
      </c>
      <c r="F198" s="18" t="s">
        <v>1080</v>
      </c>
      <c r="G198" s="18" t="s">
        <v>1657</v>
      </c>
      <c r="H198" s="18"/>
    </row>
    <row r="199" spans="1:8" ht="17" customHeight="1" x14ac:dyDescent="0.35">
      <c r="A199" s="23"/>
      <c r="B199" s="23"/>
      <c r="C199" s="23"/>
      <c r="D199" s="23"/>
      <c r="E199" s="23"/>
      <c r="F199" s="24"/>
      <c r="G199" s="24"/>
      <c r="H199" s="24"/>
    </row>
    <row r="200" spans="1:8" ht="17" customHeight="1" x14ac:dyDescent="0.35">
      <c r="A200" s="17" t="s">
        <v>590</v>
      </c>
      <c r="B200" s="17" t="s">
        <v>1643</v>
      </c>
      <c r="C200" s="17" t="s">
        <v>462</v>
      </c>
      <c r="D200" s="17" t="s">
        <v>514</v>
      </c>
      <c r="E200" s="17" t="s">
        <v>1666</v>
      </c>
      <c r="F200" s="18" t="s">
        <v>1112</v>
      </c>
      <c r="G200" s="18" t="s">
        <v>1657</v>
      </c>
      <c r="H200" s="18" t="s">
        <v>1674</v>
      </c>
    </row>
    <row r="201" spans="1:8" ht="17" customHeight="1" x14ac:dyDescent="0.35">
      <c r="A201" s="17" t="s">
        <v>593</v>
      </c>
      <c r="B201" s="17" t="s">
        <v>1643</v>
      </c>
      <c r="C201" s="17" t="s">
        <v>462</v>
      </c>
      <c r="D201" s="17" t="s">
        <v>514</v>
      </c>
      <c r="E201" s="17" t="s">
        <v>1666</v>
      </c>
      <c r="F201" s="18" t="s">
        <v>594</v>
      </c>
      <c r="G201" s="18" t="s">
        <v>1657</v>
      </c>
      <c r="H201" s="18"/>
    </row>
    <row r="202" spans="1:8" ht="17" customHeight="1" x14ac:dyDescent="0.35">
      <c r="A202" s="17" t="s">
        <v>1030</v>
      </c>
      <c r="B202" s="17" t="s">
        <v>55</v>
      </c>
      <c r="C202" s="17" t="s">
        <v>462</v>
      </c>
      <c r="D202" s="17" t="s">
        <v>514</v>
      </c>
      <c r="E202" s="17" t="s">
        <v>1659</v>
      </c>
      <c r="F202" s="18" t="s">
        <v>1031</v>
      </c>
      <c r="G202" s="18" t="s">
        <v>1657</v>
      </c>
      <c r="H202" s="18"/>
    </row>
    <row r="203" spans="1:8" ht="17" customHeight="1" x14ac:dyDescent="0.35">
      <c r="A203" s="17" t="s">
        <v>1032</v>
      </c>
      <c r="B203" s="17" t="s">
        <v>55</v>
      </c>
      <c r="C203" s="17" t="s">
        <v>462</v>
      </c>
      <c r="D203" s="17" t="s">
        <v>514</v>
      </c>
      <c r="E203" s="17" t="s">
        <v>1659</v>
      </c>
      <c r="F203" s="18" t="s">
        <v>1031</v>
      </c>
      <c r="G203" s="18" t="s">
        <v>1657</v>
      </c>
      <c r="H203" s="18"/>
    </row>
    <row r="204" spans="1:8" ht="17" customHeight="1" x14ac:dyDescent="0.35">
      <c r="A204" s="17" t="s">
        <v>1031</v>
      </c>
      <c r="B204" s="17" t="s">
        <v>55</v>
      </c>
      <c r="C204" s="17" t="s">
        <v>462</v>
      </c>
      <c r="D204" s="17" t="s">
        <v>514</v>
      </c>
      <c r="E204" s="17" t="s">
        <v>1666</v>
      </c>
      <c r="F204" s="18" t="s">
        <v>1111</v>
      </c>
      <c r="G204" s="18" t="s">
        <v>1657</v>
      </c>
      <c r="H204" s="18"/>
    </row>
    <row r="205" spans="1:8" ht="17" customHeight="1" x14ac:dyDescent="0.35">
      <c r="A205" s="25"/>
      <c r="B205" s="25"/>
      <c r="C205" s="25"/>
      <c r="D205" s="25"/>
      <c r="E205" s="25"/>
      <c r="F205" s="26"/>
      <c r="G205" s="26"/>
      <c r="H205" s="26"/>
    </row>
    <row r="206" spans="1:8" ht="17" customHeight="1" x14ac:dyDescent="0.35">
      <c r="A206" s="17" t="s">
        <v>1177</v>
      </c>
      <c r="B206" s="17" t="s">
        <v>1178</v>
      </c>
      <c r="C206" s="17" t="s">
        <v>462</v>
      </c>
      <c r="D206" s="17" t="s">
        <v>463</v>
      </c>
      <c r="E206" s="17" t="s">
        <v>1670</v>
      </c>
      <c r="F206" s="18" t="s">
        <v>1179</v>
      </c>
      <c r="G206" s="18" t="s">
        <v>1654</v>
      </c>
      <c r="H206" s="18" t="s">
        <v>1673</v>
      </c>
    </row>
    <row r="207" spans="1:8" ht="17" customHeight="1" x14ac:dyDescent="0.35">
      <c r="A207" s="17" t="s">
        <v>1180</v>
      </c>
      <c r="B207" s="17" t="s">
        <v>1181</v>
      </c>
      <c r="C207" s="17" t="s">
        <v>462</v>
      </c>
      <c r="D207" s="17" t="s">
        <v>463</v>
      </c>
      <c r="E207" s="17" t="s">
        <v>1670</v>
      </c>
      <c r="F207" s="18" t="s">
        <v>1182</v>
      </c>
      <c r="G207" s="18" t="s">
        <v>1654</v>
      </c>
      <c r="H207" s="18"/>
    </row>
    <row r="208" spans="1:8" ht="17" customHeight="1" x14ac:dyDescent="0.35">
      <c r="A208" s="17" t="s">
        <v>1117</v>
      </c>
      <c r="B208" s="17" t="s">
        <v>1118</v>
      </c>
      <c r="C208" s="17" t="s">
        <v>462</v>
      </c>
      <c r="D208" s="17" t="s">
        <v>463</v>
      </c>
      <c r="E208" s="17" t="s">
        <v>1670</v>
      </c>
      <c r="F208" s="18" t="s">
        <v>1119</v>
      </c>
      <c r="G208" s="18" t="s">
        <v>1654</v>
      </c>
      <c r="H208" s="18"/>
    </row>
    <row r="209" spans="1:8" ht="17" customHeight="1" x14ac:dyDescent="0.35">
      <c r="A209" s="17" t="s">
        <v>1120</v>
      </c>
      <c r="B209" s="17" t="s">
        <v>1121</v>
      </c>
      <c r="C209" s="17" t="s">
        <v>462</v>
      </c>
      <c r="D209" s="17" t="s">
        <v>463</v>
      </c>
      <c r="E209" s="17" t="s">
        <v>1670</v>
      </c>
      <c r="F209" s="18" t="s">
        <v>1122</v>
      </c>
      <c r="G209" s="18" t="s">
        <v>1654</v>
      </c>
      <c r="H209" s="18"/>
    </row>
    <row r="210" spans="1:8" ht="17" customHeight="1" x14ac:dyDescent="0.35">
      <c r="A210" s="17" t="s">
        <v>1183</v>
      </c>
      <c r="B210" s="17" t="s">
        <v>1184</v>
      </c>
      <c r="C210" s="17" t="s">
        <v>462</v>
      </c>
      <c r="D210" s="17" t="s">
        <v>463</v>
      </c>
      <c r="E210" s="17" t="s">
        <v>1670</v>
      </c>
      <c r="F210" s="18" t="s">
        <v>1185</v>
      </c>
      <c r="G210" s="18" t="s">
        <v>1654</v>
      </c>
      <c r="H210" s="18"/>
    </row>
    <row r="211" spans="1:8" ht="17" customHeight="1" x14ac:dyDescent="0.35">
      <c r="A211" s="17" t="s">
        <v>1186</v>
      </c>
      <c r="B211" s="17" t="s">
        <v>1187</v>
      </c>
      <c r="C211" s="17" t="s">
        <v>462</v>
      </c>
      <c r="D211" s="17" t="s">
        <v>463</v>
      </c>
      <c r="E211" s="17" t="s">
        <v>1670</v>
      </c>
      <c r="F211" s="18" t="s">
        <v>1188</v>
      </c>
      <c r="G211" s="18" t="s">
        <v>1654</v>
      </c>
      <c r="H211" s="18"/>
    </row>
    <row r="212" spans="1:8" ht="17" customHeight="1" x14ac:dyDescent="0.35">
      <c r="A212" s="17" t="s">
        <v>1123</v>
      </c>
      <c r="B212" s="17" t="s">
        <v>1124</v>
      </c>
      <c r="C212" s="17" t="s">
        <v>462</v>
      </c>
      <c r="D212" s="17" t="s">
        <v>463</v>
      </c>
      <c r="E212" s="17" t="s">
        <v>1670</v>
      </c>
      <c r="F212" s="18" t="s">
        <v>1125</v>
      </c>
      <c r="G212" s="18" t="s">
        <v>1654</v>
      </c>
      <c r="H212" s="18"/>
    </row>
    <row r="213" spans="1:8" ht="17" customHeight="1" x14ac:dyDescent="0.35">
      <c r="A213" s="17" t="s">
        <v>1126</v>
      </c>
      <c r="B213" s="17" t="s">
        <v>1127</v>
      </c>
      <c r="C213" s="17" t="s">
        <v>462</v>
      </c>
      <c r="D213" s="17" t="s">
        <v>463</v>
      </c>
      <c r="E213" s="17" t="s">
        <v>1670</v>
      </c>
      <c r="F213" s="18" t="s">
        <v>1128</v>
      </c>
      <c r="G213" s="18" t="s">
        <v>1654</v>
      </c>
      <c r="H213" s="18"/>
    </row>
    <row r="214" spans="1:8" ht="17" customHeight="1" x14ac:dyDescent="0.35">
      <c r="A214" s="17" t="s">
        <v>1189</v>
      </c>
      <c r="B214" s="17" t="s">
        <v>1190</v>
      </c>
      <c r="C214" s="17" t="s">
        <v>462</v>
      </c>
      <c r="D214" s="17" t="s">
        <v>463</v>
      </c>
      <c r="E214" s="17" t="s">
        <v>1670</v>
      </c>
      <c r="F214" s="18" t="s">
        <v>1191</v>
      </c>
      <c r="G214" s="18" t="s">
        <v>1654</v>
      </c>
      <c r="H214" s="18"/>
    </row>
    <row r="215" spans="1:8" ht="17" customHeight="1" x14ac:dyDescent="0.35">
      <c r="A215" s="17" t="s">
        <v>1192</v>
      </c>
      <c r="B215" s="17" t="s">
        <v>1193</v>
      </c>
      <c r="C215" s="17" t="s">
        <v>462</v>
      </c>
      <c r="D215" s="17" t="s">
        <v>463</v>
      </c>
      <c r="E215" s="17" t="s">
        <v>1670</v>
      </c>
      <c r="F215" s="18" t="s">
        <v>1194</v>
      </c>
      <c r="G215" s="18" t="s">
        <v>1654</v>
      </c>
      <c r="H215" s="18"/>
    </row>
    <row r="216" spans="1:8" ht="17" customHeight="1" x14ac:dyDescent="0.35">
      <c r="A216" s="17" t="s">
        <v>1129</v>
      </c>
      <c r="B216" s="17" t="s">
        <v>1130</v>
      </c>
      <c r="C216" s="17" t="s">
        <v>462</v>
      </c>
      <c r="D216" s="17" t="s">
        <v>463</v>
      </c>
      <c r="E216" s="17" t="s">
        <v>1670</v>
      </c>
      <c r="F216" s="18" t="s">
        <v>1131</v>
      </c>
      <c r="G216" s="18" t="s">
        <v>1654</v>
      </c>
      <c r="H216" s="18"/>
    </row>
    <row r="217" spans="1:8" ht="17" customHeight="1" x14ac:dyDescent="0.35">
      <c r="A217" s="17" t="s">
        <v>1132</v>
      </c>
      <c r="B217" s="17" t="s">
        <v>1133</v>
      </c>
      <c r="C217" s="17" t="s">
        <v>462</v>
      </c>
      <c r="D217" s="17" t="s">
        <v>463</v>
      </c>
      <c r="E217" s="17" t="s">
        <v>1670</v>
      </c>
      <c r="F217" s="18" t="s">
        <v>1134</v>
      </c>
      <c r="G217" s="18" t="s">
        <v>1654</v>
      </c>
      <c r="H217" s="18"/>
    </row>
    <row r="218" spans="1:8" ht="17" customHeight="1" x14ac:dyDescent="0.35">
      <c r="A218" s="17" t="s">
        <v>1195</v>
      </c>
      <c r="B218" s="17" t="s">
        <v>1196</v>
      </c>
      <c r="C218" s="17" t="s">
        <v>462</v>
      </c>
      <c r="D218" s="17" t="s">
        <v>463</v>
      </c>
      <c r="E218" s="17" t="s">
        <v>1670</v>
      </c>
      <c r="F218" s="18" t="s">
        <v>1197</v>
      </c>
      <c r="G218" s="18" t="s">
        <v>1654</v>
      </c>
      <c r="H218" s="18"/>
    </row>
    <row r="219" spans="1:8" ht="17" customHeight="1" x14ac:dyDescent="0.35">
      <c r="A219" s="17" t="s">
        <v>1198</v>
      </c>
      <c r="B219" s="17" t="s">
        <v>1199</v>
      </c>
      <c r="C219" s="17" t="s">
        <v>462</v>
      </c>
      <c r="D219" s="17" t="s">
        <v>463</v>
      </c>
      <c r="E219" s="17" t="s">
        <v>1670</v>
      </c>
      <c r="F219" s="18" t="s">
        <v>1200</v>
      </c>
      <c r="G219" s="18" t="s">
        <v>1654</v>
      </c>
      <c r="H219" s="18"/>
    </row>
    <row r="220" spans="1:8" ht="17" customHeight="1" x14ac:dyDescent="0.35">
      <c r="A220" s="17" t="s">
        <v>1135</v>
      </c>
      <c r="B220" s="17" t="s">
        <v>1136</v>
      </c>
      <c r="C220" s="17" t="s">
        <v>462</v>
      </c>
      <c r="D220" s="17" t="s">
        <v>463</v>
      </c>
      <c r="E220" s="17" t="s">
        <v>1670</v>
      </c>
      <c r="F220" s="18" t="s">
        <v>1137</v>
      </c>
      <c r="G220" s="18" t="s">
        <v>1654</v>
      </c>
      <c r="H220" s="18"/>
    </row>
    <row r="221" spans="1:8" ht="17" customHeight="1" x14ac:dyDescent="0.35">
      <c r="A221" s="17" t="s">
        <v>1138</v>
      </c>
      <c r="B221" s="17" t="s">
        <v>1139</v>
      </c>
      <c r="C221" s="17" t="s">
        <v>462</v>
      </c>
      <c r="D221" s="17" t="s">
        <v>463</v>
      </c>
      <c r="E221" s="17" t="s">
        <v>1670</v>
      </c>
      <c r="F221" s="18" t="s">
        <v>1140</v>
      </c>
      <c r="G221" s="18" t="s">
        <v>1654</v>
      </c>
      <c r="H221" s="18"/>
    </row>
    <row r="222" spans="1:8" ht="17" customHeight="1" x14ac:dyDescent="0.35">
      <c r="A222" s="17" t="s">
        <v>1201</v>
      </c>
      <c r="B222" s="17" t="s">
        <v>1202</v>
      </c>
      <c r="C222" s="17" t="s">
        <v>462</v>
      </c>
      <c r="D222" s="17" t="s">
        <v>463</v>
      </c>
      <c r="E222" s="17" t="s">
        <v>1670</v>
      </c>
      <c r="F222" s="18" t="s">
        <v>1203</v>
      </c>
      <c r="G222" s="18" t="s">
        <v>1654</v>
      </c>
      <c r="H222" s="18"/>
    </row>
    <row r="223" spans="1:8" ht="17" customHeight="1" x14ac:dyDescent="0.35">
      <c r="A223" s="17" t="s">
        <v>1204</v>
      </c>
      <c r="B223" s="17" t="s">
        <v>1205</v>
      </c>
      <c r="C223" s="17" t="s">
        <v>462</v>
      </c>
      <c r="D223" s="17" t="s">
        <v>463</v>
      </c>
      <c r="E223" s="17" t="s">
        <v>1670</v>
      </c>
      <c r="F223" s="18" t="s">
        <v>1206</v>
      </c>
      <c r="G223" s="18" t="s">
        <v>1654</v>
      </c>
      <c r="H223" s="18"/>
    </row>
    <row r="224" spans="1:8" ht="17" customHeight="1" x14ac:dyDescent="0.35">
      <c r="A224" s="17" t="s">
        <v>1141</v>
      </c>
      <c r="B224" s="17" t="s">
        <v>1142</v>
      </c>
      <c r="C224" s="17" t="s">
        <v>462</v>
      </c>
      <c r="D224" s="17" t="s">
        <v>463</v>
      </c>
      <c r="E224" s="17" t="s">
        <v>1670</v>
      </c>
      <c r="F224" s="18" t="s">
        <v>1143</v>
      </c>
      <c r="G224" s="18" t="s">
        <v>1654</v>
      </c>
      <c r="H224" s="18"/>
    </row>
    <row r="225" spans="1:8" ht="17" customHeight="1" x14ac:dyDescent="0.35">
      <c r="A225" s="17" t="s">
        <v>1144</v>
      </c>
      <c r="B225" s="17" t="s">
        <v>1145</v>
      </c>
      <c r="C225" s="17" t="s">
        <v>462</v>
      </c>
      <c r="D225" s="17" t="s">
        <v>463</v>
      </c>
      <c r="E225" s="17" t="s">
        <v>1670</v>
      </c>
      <c r="F225" s="18" t="s">
        <v>1146</v>
      </c>
      <c r="G225" s="18" t="s">
        <v>1654</v>
      </c>
      <c r="H225" s="18"/>
    </row>
    <row r="226" spans="1:8" ht="17" customHeight="1" x14ac:dyDescent="0.35">
      <c r="A226" s="17" t="s">
        <v>1207</v>
      </c>
      <c r="B226" s="17" t="s">
        <v>1208</v>
      </c>
      <c r="C226" s="17" t="s">
        <v>462</v>
      </c>
      <c r="D226" s="17" t="s">
        <v>463</v>
      </c>
      <c r="E226" s="17" t="s">
        <v>1670</v>
      </c>
      <c r="F226" s="18" t="s">
        <v>1209</v>
      </c>
      <c r="G226" s="18" t="s">
        <v>1654</v>
      </c>
      <c r="H226" s="18"/>
    </row>
    <row r="227" spans="1:8" ht="17" customHeight="1" x14ac:dyDescent="0.35">
      <c r="A227" s="17" t="s">
        <v>1210</v>
      </c>
      <c r="B227" s="17" t="s">
        <v>1211</v>
      </c>
      <c r="C227" s="17" t="s">
        <v>462</v>
      </c>
      <c r="D227" s="17" t="s">
        <v>463</v>
      </c>
      <c r="E227" s="17" t="s">
        <v>1670</v>
      </c>
      <c r="F227" s="18" t="s">
        <v>1212</v>
      </c>
      <c r="G227" s="18" t="s">
        <v>1654</v>
      </c>
      <c r="H227" s="18"/>
    </row>
    <row r="228" spans="1:8" ht="17" customHeight="1" x14ac:dyDescent="0.35">
      <c r="A228" s="17" t="s">
        <v>1147</v>
      </c>
      <c r="B228" s="17" t="s">
        <v>1148</v>
      </c>
      <c r="C228" s="17" t="s">
        <v>462</v>
      </c>
      <c r="D228" s="17" t="s">
        <v>463</v>
      </c>
      <c r="E228" s="17" t="s">
        <v>1670</v>
      </c>
      <c r="F228" s="18" t="s">
        <v>1149</v>
      </c>
      <c r="G228" s="18" t="s">
        <v>1654</v>
      </c>
      <c r="H228" s="18"/>
    </row>
    <row r="229" spans="1:8" ht="17" customHeight="1" x14ac:dyDescent="0.35">
      <c r="A229" s="17" t="s">
        <v>1150</v>
      </c>
      <c r="B229" s="17" t="s">
        <v>1151</v>
      </c>
      <c r="C229" s="17" t="s">
        <v>462</v>
      </c>
      <c r="D229" s="17" t="s">
        <v>463</v>
      </c>
      <c r="E229" s="17" t="s">
        <v>1670</v>
      </c>
      <c r="F229" s="18" t="s">
        <v>1152</v>
      </c>
      <c r="G229" s="18" t="s">
        <v>1654</v>
      </c>
      <c r="H229" s="18"/>
    </row>
    <row r="230" spans="1:8" ht="17" customHeight="1" x14ac:dyDescent="0.35">
      <c r="A230" s="17" t="s">
        <v>1213</v>
      </c>
      <c r="B230" s="17" t="s">
        <v>1214</v>
      </c>
      <c r="C230" s="17" t="s">
        <v>462</v>
      </c>
      <c r="D230" s="17" t="s">
        <v>463</v>
      </c>
      <c r="E230" s="17" t="s">
        <v>1670</v>
      </c>
      <c r="F230" s="18" t="s">
        <v>1215</v>
      </c>
      <c r="G230" s="18" t="s">
        <v>1654</v>
      </c>
      <c r="H230" s="18"/>
    </row>
    <row r="231" spans="1:8" ht="17" customHeight="1" x14ac:dyDescent="0.35">
      <c r="A231" s="17" t="s">
        <v>1216</v>
      </c>
      <c r="B231" s="17" t="s">
        <v>1217</v>
      </c>
      <c r="C231" s="17" t="s">
        <v>462</v>
      </c>
      <c r="D231" s="17" t="s">
        <v>463</v>
      </c>
      <c r="E231" s="17" t="s">
        <v>1670</v>
      </c>
      <c r="F231" s="18" t="s">
        <v>1218</v>
      </c>
      <c r="G231" s="18" t="s">
        <v>1654</v>
      </c>
      <c r="H231" s="18"/>
    </row>
    <row r="232" spans="1:8" ht="17" customHeight="1" x14ac:dyDescent="0.35">
      <c r="A232" s="17" t="s">
        <v>1153</v>
      </c>
      <c r="B232" s="17" t="s">
        <v>1154</v>
      </c>
      <c r="C232" s="17" t="s">
        <v>462</v>
      </c>
      <c r="D232" s="17" t="s">
        <v>463</v>
      </c>
      <c r="E232" s="17" t="s">
        <v>1670</v>
      </c>
      <c r="F232" s="18" t="s">
        <v>1155</v>
      </c>
      <c r="G232" s="18" t="s">
        <v>1654</v>
      </c>
      <c r="H232" s="18"/>
    </row>
    <row r="233" spans="1:8" ht="17" customHeight="1" x14ac:dyDescent="0.35">
      <c r="A233" s="17" t="s">
        <v>1156</v>
      </c>
      <c r="B233" s="17" t="s">
        <v>1157</v>
      </c>
      <c r="C233" s="17" t="s">
        <v>462</v>
      </c>
      <c r="D233" s="17" t="s">
        <v>463</v>
      </c>
      <c r="E233" s="17" t="s">
        <v>1670</v>
      </c>
      <c r="F233" s="18" t="s">
        <v>1158</v>
      </c>
      <c r="G233" s="18" t="s">
        <v>1654</v>
      </c>
      <c r="H233" s="18"/>
    </row>
    <row r="234" spans="1:8" ht="17" customHeight="1" x14ac:dyDescent="0.35">
      <c r="A234" s="17" t="s">
        <v>1219</v>
      </c>
      <c r="B234" s="17" t="s">
        <v>1220</v>
      </c>
      <c r="C234" s="17" t="s">
        <v>462</v>
      </c>
      <c r="D234" s="17" t="s">
        <v>463</v>
      </c>
      <c r="E234" s="17" t="s">
        <v>1670</v>
      </c>
      <c r="F234" s="18" t="s">
        <v>1221</v>
      </c>
      <c r="G234" s="18" t="s">
        <v>1654</v>
      </c>
      <c r="H234" s="18"/>
    </row>
    <row r="235" spans="1:8" ht="17" customHeight="1" x14ac:dyDescent="0.35">
      <c r="A235" s="17" t="s">
        <v>1222</v>
      </c>
      <c r="B235" s="17" t="s">
        <v>1223</v>
      </c>
      <c r="C235" s="17" t="s">
        <v>462</v>
      </c>
      <c r="D235" s="17" t="s">
        <v>463</v>
      </c>
      <c r="E235" s="17" t="s">
        <v>1670</v>
      </c>
      <c r="F235" s="18" t="s">
        <v>1224</v>
      </c>
      <c r="G235" s="18" t="s">
        <v>1654</v>
      </c>
      <c r="H235" s="18"/>
    </row>
    <row r="236" spans="1:8" ht="17" customHeight="1" x14ac:dyDescent="0.35">
      <c r="A236" s="17" t="s">
        <v>1159</v>
      </c>
      <c r="B236" s="17" t="s">
        <v>1160</v>
      </c>
      <c r="C236" s="17" t="s">
        <v>462</v>
      </c>
      <c r="D236" s="17" t="s">
        <v>463</v>
      </c>
      <c r="E236" s="17" t="s">
        <v>1670</v>
      </c>
      <c r="F236" s="18" t="s">
        <v>1161</v>
      </c>
      <c r="G236" s="18" t="s">
        <v>1654</v>
      </c>
      <c r="H236" s="18"/>
    </row>
    <row r="237" spans="1:8" ht="17" customHeight="1" x14ac:dyDescent="0.35">
      <c r="A237" s="17" t="s">
        <v>1162</v>
      </c>
      <c r="B237" s="17" t="s">
        <v>1163</v>
      </c>
      <c r="C237" s="17" t="s">
        <v>462</v>
      </c>
      <c r="D237" s="17" t="s">
        <v>463</v>
      </c>
      <c r="E237" s="17" t="s">
        <v>1670</v>
      </c>
      <c r="F237" s="18" t="s">
        <v>1164</v>
      </c>
      <c r="G237" s="18" t="s">
        <v>1654</v>
      </c>
      <c r="H237" s="18"/>
    </row>
    <row r="238" spans="1:8" ht="17" customHeight="1" x14ac:dyDescent="0.35">
      <c r="A238" s="17" t="s">
        <v>1225</v>
      </c>
      <c r="B238" s="17" t="s">
        <v>1226</v>
      </c>
      <c r="C238" s="17" t="s">
        <v>462</v>
      </c>
      <c r="D238" s="17" t="s">
        <v>463</v>
      </c>
      <c r="E238" s="17" t="s">
        <v>1670</v>
      </c>
      <c r="F238" s="18" t="s">
        <v>1227</v>
      </c>
      <c r="G238" s="18" t="s">
        <v>1654</v>
      </c>
      <c r="H238" s="18"/>
    </row>
    <row r="239" spans="1:8" ht="17" customHeight="1" x14ac:dyDescent="0.35">
      <c r="A239" s="17" t="s">
        <v>1228</v>
      </c>
      <c r="B239" s="17" t="s">
        <v>1229</v>
      </c>
      <c r="C239" s="17" t="s">
        <v>462</v>
      </c>
      <c r="D239" s="17" t="s">
        <v>463</v>
      </c>
      <c r="E239" s="17" t="s">
        <v>1670</v>
      </c>
      <c r="F239" s="18" t="s">
        <v>1230</v>
      </c>
      <c r="G239" s="18" t="s">
        <v>1654</v>
      </c>
      <c r="H239" s="18"/>
    </row>
    <row r="240" spans="1:8" ht="17" customHeight="1" x14ac:dyDescent="0.35">
      <c r="A240" s="17" t="s">
        <v>1165</v>
      </c>
      <c r="B240" s="17" t="s">
        <v>1166</v>
      </c>
      <c r="C240" s="17" t="s">
        <v>462</v>
      </c>
      <c r="D240" s="17" t="s">
        <v>463</v>
      </c>
      <c r="E240" s="17" t="s">
        <v>1670</v>
      </c>
      <c r="F240" s="18" t="s">
        <v>1167</v>
      </c>
      <c r="G240" s="18" t="s">
        <v>1654</v>
      </c>
      <c r="H240" s="18"/>
    </row>
    <row r="241" spans="1:8" ht="17" customHeight="1" x14ac:dyDescent="0.35">
      <c r="A241" s="17" t="s">
        <v>1168</v>
      </c>
      <c r="B241" s="17" t="s">
        <v>1169</v>
      </c>
      <c r="C241" s="17" t="s">
        <v>462</v>
      </c>
      <c r="D241" s="17" t="s">
        <v>463</v>
      </c>
      <c r="E241" s="17" t="s">
        <v>1670</v>
      </c>
      <c r="F241" s="18" t="s">
        <v>1170</v>
      </c>
      <c r="G241" s="18" t="s">
        <v>1654</v>
      </c>
      <c r="H241" s="18"/>
    </row>
    <row r="242" spans="1:8" ht="17" customHeight="1" x14ac:dyDescent="0.35">
      <c r="A242" s="17" t="s">
        <v>1231</v>
      </c>
      <c r="B242" s="17" t="s">
        <v>1232</v>
      </c>
      <c r="C242" s="17" t="s">
        <v>462</v>
      </c>
      <c r="D242" s="17" t="s">
        <v>463</v>
      </c>
      <c r="E242" s="17" t="s">
        <v>1670</v>
      </c>
      <c r="F242" s="18" t="s">
        <v>1233</v>
      </c>
      <c r="G242" s="18" t="s">
        <v>1654</v>
      </c>
      <c r="H242" s="18"/>
    </row>
    <row r="243" spans="1:8" ht="17" customHeight="1" x14ac:dyDescent="0.35">
      <c r="A243" s="17" t="s">
        <v>1234</v>
      </c>
      <c r="B243" s="17" t="s">
        <v>1235</v>
      </c>
      <c r="C243" s="17" t="s">
        <v>462</v>
      </c>
      <c r="D243" s="17" t="s">
        <v>463</v>
      </c>
      <c r="E243" s="17" t="s">
        <v>1670</v>
      </c>
      <c r="F243" s="18" t="s">
        <v>1236</v>
      </c>
      <c r="G243" s="18" t="s">
        <v>1654</v>
      </c>
      <c r="H243" s="18"/>
    </row>
    <row r="244" spans="1:8" ht="17" customHeight="1" x14ac:dyDescent="0.35">
      <c r="A244" s="17" t="s">
        <v>1171</v>
      </c>
      <c r="B244" s="17" t="s">
        <v>1172</v>
      </c>
      <c r="C244" s="17" t="s">
        <v>462</v>
      </c>
      <c r="D244" s="17" t="s">
        <v>463</v>
      </c>
      <c r="E244" s="17" t="s">
        <v>1670</v>
      </c>
      <c r="F244" s="18" t="s">
        <v>1173</v>
      </c>
      <c r="G244" s="18" t="s">
        <v>1654</v>
      </c>
      <c r="H244" s="18"/>
    </row>
    <row r="245" spans="1:8" ht="17" customHeight="1" x14ac:dyDescent="0.35">
      <c r="A245" s="17" t="s">
        <v>1174</v>
      </c>
      <c r="B245" s="17" t="s">
        <v>1175</v>
      </c>
      <c r="C245" s="17" t="s">
        <v>462</v>
      </c>
      <c r="D245" s="17" t="s">
        <v>463</v>
      </c>
      <c r="E245" s="17" t="s">
        <v>1670</v>
      </c>
      <c r="F245" s="18" t="s">
        <v>1176</v>
      </c>
      <c r="G245" s="18" t="s">
        <v>1654</v>
      </c>
      <c r="H245" s="18"/>
    </row>
    <row r="246" spans="1:8" ht="17" customHeight="1" x14ac:dyDescent="0.35">
      <c r="A246" s="23"/>
      <c r="B246" s="23"/>
      <c r="C246" s="23"/>
      <c r="D246" s="23"/>
      <c r="E246" s="23"/>
      <c r="F246" s="24"/>
      <c r="G246" s="24"/>
      <c r="H246" s="24"/>
    </row>
    <row r="247" spans="1:8" ht="17" customHeight="1" x14ac:dyDescent="0.35">
      <c r="A247" s="17" t="s">
        <v>1112</v>
      </c>
      <c r="B247" s="17" t="s">
        <v>1643</v>
      </c>
      <c r="C247" s="17" t="s">
        <v>462</v>
      </c>
      <c r="D247" s="17" t="s">
        <v>514</v>
      </c>
      <c r="E247" s="17" t="s">
        <v>1671</v>
      </c>
      <c r="F247" s="18" t="s">
        <v>584</v>
      </c>
      <c r="G247" s="18" t="s">
        <v>1654</v>
      </c>
      <c r="H247" s="18" t="s">
        <v>1672</v>
      </c>
    </row>
    <row r="248" spans="1:8" ht="17" customHeight="1" x14ac:dyDescent="0.35">
      <c r="A248" s="17" t="s">
        <v>1111</v>
      </c>
      <c r="B248" s="17" t="s">
        <v>55</v>
      </c>
      <c r="C248" s="17" t="s">
        <v>462</v>
      </c>
      <c r="D248" s="17" t="s">
        <v>514</v>
      </c>
      <c r="E248" s="17" t="s">
        <v>1671</v>
      </c>
      <c r="F248" s="18" t="s">
        <v>583</v>
      </c>
      <c r="G248" s="18" t="s">
        <v>1654</v>
      </c>
      <c r="H248" s="18"/>
    </row>
  </sheetData>
  <sortState xmlns:xlrd2="http://schemas.microsoft.com/office/spreadsheetml/2017/richdata2" ref="A247:G248">
    <sortCondition ref="B247:B248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41:F198">
    <cfRule type="containsText" dxfId="1" priority="1" operator="containsText" text=":A2">
      <formula>NOT(ISERROR(SEARCH(":A2",A41)))</formula>
    </cfRule>
    <cfRule type="containsText" dxfId="0" priority="2" operator="containsText" text=":A1">
      <formula>NOT(ISERROR(SEARCH(":A1",A41)))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5F0B1-82A6-4B44-93DE-8BE2726243DC}">
  <sheetPr>
    <tabColor rgb="FFFFCCFF"/>
  </sheetPr>
  <dimension ref="A1:H173"/>
  <sheetViews>
    <sheetView showGridLines="0" zoomScale="70" zoomScaleNormal="70" workbookViewId="0">
      <selection activeCell="F4" sqref="F4"/>
    </sheetView>
  </sheetViews>
  <sheetFormatPr defaultRowHeight="17" customHeight="1" x14ac:dyDescent="0.35"/>
  <cols>
    <col min="1" max="1" width="12" style="13" bestFit="1" customWidth="1"/>
    <col min="2" max="2" width="10.90625" style="13" bestFit="1" customWidth="1"/>
    <col min="3" max="3" width="6.54296875" style="13" bestFit="1" customWidth="1"/>
    <col min="4" max="4" width="7.08984375" style="13" customWidth="1"/>
    <col min="5" max="5" width="7.36328125" style="13" customWidth="1"/>
    <col min="6" max="6" width="12" style="13" bestFit="1" customWidth="1"/>
    <col min="7" max="7" width="8.7265625" bestFit="1" customWidth="1"/>
    <col min="8" max="8" width="10.1796875" bestFit="1" customWidth="1"/>
  </cols>
  <sheetData>
    <row r="1" spans="1:8" ht="18" customHeight="1" x14ac:dyDescent="0.35">
      <c r="A1" s="44" t="s">
        <v>1687</v>
      </c>
      <c r="B1" s="44"/>
      <c r="C1" s="44"/>
      <c r="D1" s="44"/>
    </row>
    <row r="2" spans="1:8" ht="12.75" customHeight="1" x14ac:dyDescent="0.35">
      <c r="A2" s="45" t="s">
        <v>459</v>
      </c>
      <c r="B2" s="45"/>
      <c r="C2" s="45"/>
      <c r="D2" s="45"/>
    </row>
    <row r="3" spans="1:8" ht="12" customHeight="1" x14ac:dyDescent="0.35">
      <c r="A3" s="3" t="s">
        <v>2</v>
      </c>
      <c r="B3" s="31" t="s">
        <v>3</v>
      </c>
      <c r="C3" s="31"/>
      <c r="D3" s="31"/>
    </row>
    <row r="4" spans="1:8" ht="12.75" customHeight="1" x14ac:dyDescent="0.35">
      <c r="A4" s="3" t="s">
        <v>5</v>
      </c>
      <c r="B4" s="31" t="s">
        <v>6</v>
      </c>
      <c r="C4" s="31"/>
      <c r="D4" s="31"/>
    </row>
    <row r="5" spans="1:8" ht="12" customHeight="1" x14ac:dyDescent="0.35">
      <c r="A5" s="3" t="s">
        <v>7</v>
      </c>
      <c r="B5" s="31" t="s">
        <v>8</v>
      </c>
      <c r="C5" s="31"/>
      <c r="D5" s="31"/>
    </row>
    <row r="6" spans="1:8" ht="5.25" customHeight="1" x14ac:dyDescent="0.35"/>
    <row r="7" spans="1:8" ht="12" customHeight="1" x14ac:dyDescent="0.35">
      <c r="A7" s="3" t="s">
        <v>9</v>
      </c>
      <c r="B7" s="31" t="s">
        <v>10</v>
      </c>
      <c r="C7" s="31"/>
      <c r="D7" s="31"/>
    </row>
    <row r="8" spans="1:8" ht="12.75" customHeight="1" x14ac:dyDescent="0.35">
      <c r="A8" s="3" t="s">
        <v>11</v>
      </c>
      <c r="B8" s="31"/>
      <c r="C8" s="31"/>
      <c r="D8" s="31"/>
    </row>
    <row r="9" spans="1:8" ht="12" customHeight="1" x14ac:dyDescent="0.35">
      <c r="A9" s="3" t="s">
        <v>12</v>
      </c>
      <c r="B9" s="31" t="s">
        <v>13</v>
      </c>
      <c r="C9" s="31"/>
      <c r="D9" s="31"/>
    </row>
    <row r="10" spans="1:8" ht="12.75" customHeight="1" x14ac:dyDescent="0.35">
      <c r="A10" s="3" t="s">
        <v>11</v>
      </c>
      <c r="B10" s="31"/>
      <c r="C10" s="31"/>
      <c r="D10" s="31"/>
    </row>
    <row r="11" spans="1:8" ht="10.5" customHeight="1" x14ac:dyDescent="0.35"/>
    <row r="12" spans="1:8" ht="16.5" customHeight="1" x14ac:dyDescent="0.35">
      <c r="A12" s="39" t="s">
        <v>452</v>
      </c>
      <c r="B12" s="39"/>
      <c r="C12" s="39"/>
      <c r="D12" s="39"/>
      <c r="E12" s="39"/>
      <c r="F12" s="39"/>
      <c r="G12" s="41" t="s">
        <v>453</v>
      </c>
      <c r="H12" s="42"/>
    </row>
    <row r="13" spans="1:8" ht="43.5" customHeight="1" x14ac:dyDescent="0.35">
      <c r="A13" s="14" t="s">
        <v>14</v>
      </c>
      <c r="B13" s="15" t="s">
        <v>456</v>
      </c>
      <c r="C13" s="15" t="s">
        <v>455</v>
      </c>
      <c r="D13" s="15" t="s">
        <v>457</v>
      </c>
      <c r="E13" s="15" t="s">
        <v>1641</v>
      </c>
      <c r="F13" s="16" t="s">
        <v>14</v>
      </c>
      <c r="G13" s="16" t="s">
        <v>17</v>
      </c>
      <c r="H13" s="16" t="s">
        <v>1642</v>
      </c>
    </row>
    <row r="14" spans="1:8" ht="17" customHeight="1" x14ac:dyDescent="0.35">
      <c r="A14" s="18" t="s">
        <v>1475</v>
      </c>
      <c r="B14" s="17" t="s">
        <v>1474</v>
      </c>
      <c r="C14" s="17" t="s">
        <v>462</v>
      </c>
      <c r="D14" s="17" t="s">
        <v>463</v>
      </c>
      <c r="E14" s="17" t="s">
        <v>1669</v>
      </c>
      <c r="F14" s="17" t="s">
        <v>1473</v>
      </c>
      <c r="G14" s="18" t="s">
        <v>1654</v>
      </c>
      <c r="H14" s="18" t="s">
        <v>1680</v>
      </c>
    </row>
    <row r="15" spans="1:8" ht="17" customHeight="1" x14ac:dyDescent="0.35">
      <c r="A15" s="17" t="s">
        <v>1621</v>
      </c>
      <c r="B15" s="17" t="s">
        <v>1622</v>
      </c>
      <c r="C15" s="17" t="s">
        <v>462</v>
      </c>
      <c r="D15" s="17" t="s">
        <v>463</v>
      </c>
      <c r="E15" s="17" t="s">
        <v>1659</v>
      </c>
      <c r="F15" s="18" t="s">
        <v>1623</v>
      </c>
      <c r="G15" s="18" t="s">
        <v>1654</v>
      </c>
      <c r="H15" s="18"/>
    </row>
    <row r="16" spans="1:8" ht="17" customHeight="1" x14ac:dyDescent="0.35">
      <c r="A16" s="18" t="s">
        <v>1270</v>
      </c>
      <c r="B16" s="17" t="s">
        <v>1269</v>
      </c>
      <c r="C16" s="17" t="s">
        <v>462</v>
      </c>
      <c r="D16" s="17" t="s">
        <v>463</v>
      </c>
      <c r="E16" s="17" t="s">
        <v>1659</v>
      </c>
      <c r="F16" s="17" t="s">
        <v>1268</v>
      </c>
      <c r="G16" s="18" t="s">
        <v>1654</v>
      </c>
      <c r="H16" s="18"/>
    </row>
    <row r="17" spans="1:8" ht="17" customHeight="1" x14ac:dyDescent="0.35">
      <c r="A17" s="18" t="s">
        <v>1264</v>
      </c>
      <c r="B17" s="17" t="s">
        <v>1263</v>
      </c>
      <c r="C17" s="17" t="s">
        <v>462</v>
      </c>
      <c r="D17" s="17" t="s">
        <v>463</v>
      </c>
      <c r="E17" s="17" t="s">
        <v>1659</v>
      </c>
      <c r="F17" s="17" t="s">
        <v>1262</v>
      </c>
      <c r="G17" s="18" t="s">
        <v>1654</v>
      </c>
      <c r="H17" s="18"/>
    </row>
    <row r="18" spans="1:8" ht="17" customHeight="1" x14ac:dyDescent="0.35">
      <c r="A18" s="18" t="s">
        <v>1458</v>
      </c>
      <c r="B18" s="17" t="s">
        <v>1457</v>
      </c>
      <c r="C18" s="17" t="s">
        <v>462</v>
      </c>
      <c r="D18" s="17" t="s">
        <v>463</v>
      </c>
      <c r="E18" s="17" t="s">
        <v>1669</v>
      </c>
      <c r="F18" s="17" t="s">
        <v>1456</v>
      </c>
      <c r="G18" s="18" t="s">
        <v>1654</v>
      </c>
      <c r="H18" s="18"/>
    </row>
    <row r="19" spans="1:8" ht="17" customHeight="1" x14ac:dyDescent="0.35">
      <c r="A19" s="18" t="s">
        <v>1469</v>
      </c>
      <c r="B19" s="17" t="s">
        <v>1468</v>
      </c>
      <c r="C19" s="17" t="s">
        <v>462</v>
      </c>
      <c r="D19" s="17" t="s">
        <v>463</v>
      </c>
      <c r="E19" s="17" t="s">
        <v>1679</v>
      </c>
      <c r="F19" s="17" t="s">
        <v>1467</v>
      </c>
      <c r="G19" s="18" t="s">
        <v>1654</v>
      </c>
      <c r="H19" s="18"/>
    </row>
    <row r="20" spans="1:8" ht="17" customHeight="1" x14ac:dyDescent="0.35">
      <c r="A20" s="18" t="s">
        <v>1273</v>
      </c>
      <c r="B20" s="17" t="s">
        <v>1272</v>
      </c>
      <c r="C20" s="17" t="s">
        <v>462</v>
      </c>
      <c r="D20" s="17" t="s">
        <v>463</v>
      </c>
      <c r="E20" s="17" t="s">
        <v>1659</v>
      </c>
      <c r="F20" s="17" t="s">
        <v>1271</v>
      </c>
      <c r="G20" s="18" t="s">
        <v>1654</v>
      </c>
      <c r="H20" s="18"/>
    </row>
    <row r="21" spans="1:8" ht="17" customHeight="1" x14ac:dyDescent="0.35">
      <c r="A21" s="18" t="s">
        <v>1267</v>
      </c>
      <c r="B21" s="17" t="s">
        <v>1266</v>
      </c>
      <c r="C21" s="17" t="s">
        <v>462</v>
      </c>
      <c r="D21" s="17" t="s">
        <v>463</v>
      </c>
      <c r="E21" s="17" t="s">
        <v>1659</v>
      </c>
      <c r="F21" s="17" t="s">
        <v>1265</v>
      </c>
      <c r="G21" s="18" t="s">
        <v>1654</v>
      </c>
      <c r="H21" s="18"/>
    </row>
    <row r="22" spans="1:8" ht="17" customHeight="1" x14ac:dyDescent="0.35">
      <c r="A22" s="18" t="s">
        <v>1465</v>
      </c>
      <c r="B22" s="17" t="s">
        <v>1464</v>
      </c>
      <c r="C22" s="17" t="s">
        <v>462</v>
      </c>
      <c r="D22" s="17" t="s">
        <v>463</v>
      </c>
      <c r="E22" s="17" t="s">
        <v>1679</v>
      </c>
      <c r="F22" s="17" t="s">
        <v>1463</v>
      </c>
      <c r="G22" s="18" t="s">
        <v>1654</v>
      </c>
      <c r="H22" s="18"/>
    </row>
    <row r="23" spans="1:8" ht="17" customHeight="1" x14ac:dyDescent="0.35">
      <c r="A23" s="23"/>
      <c r="B23" s="23"/>
      <c r="C23" s="23"/>
      <c r="D23" s="23"/>
      <c r="E23" s="23"/>
      <c r="F23" s="24"/>
      <c r="G23" s="24"/>
      <c r="H23" s="24"/>
    </row>
    <row r="24" spans="1:8" ht="17" customHeight="1" x14ac:dyDescent="0.35">
      <c r="A24" s="17" t="s">
        <v>1471</v>
      </c>
      <c r="B24" s="17" t="s">
        <v>1645</v>
      </c>
      <c r="C24" s="17" t="s">
        <v>462</v>
      </c>
      <c r="D24" s="17" t="s">
        <v>463</v>
      </c>
      <c r="E24" s="17" t="s">
        <v>1658</v>
      </c>
      <c r="F24" s="18" t="s">
        <v>1472</v>
      </c>
      <c r="G24" s="18" t="s">
        <v>1654</v>
      </c>
      <c r="H24" s="18" t="s">
        <v>1665</v>
      </c>
    </row>
    <row r="25" spans="1:8" ht="17" customHeight="1" x14ac:dyDescent="0.35">
      <c r="A25" s="17" t="s">
        <v>1364</v>
      </c>
      <c r="B25" s="17" t="s">
        <v>1365</v>
      </c>
      <c r="C25" s="17" t="s">
        <v>462</v>
      </c>
      <c r="D25" s="17" t="s">
        <v>463</v>
      </c>
      <c r="E25" s="17" t="s">
        <v>1658</v>
      </c>
      <c r="F25" s="18" t="s">
        <v>1366</v>
      </c>
      <c r="G25" s="18" t="s">
        <v>1654</v>
      </c>
      <c r="H25" s="18"/>
    </row>
    <row r="26" spans="1:8" ht="17" customHeight="1" x14ac:dyDescent="0.35">
      <c r="A26" s="17" t="s">
        <v>1334</v>
      </c>
      <c r="B26" s="17" t="s">
        <v>1335</v>
      </c>
      <c r="C26" s="17" t="s">
        <v>462</v>
      </c>
      <c r="D26" s="17" t="s">
        <v>463</v>
      </c>
      <c r="E26" s="17" t="s">
        <v>1658</v>
      </c>
      <c r="F26" s="18" t="s">
        <v>1336</v>
      </c>
      <c r="G26" s="18" t="s">
        <v>1654</v>
      </c>
      <c r="H26" s="18"/>
    </row>
    <row r="27" spans="1:8" ht="17" customHeight="1" x14ac:dyDescent="0.35">
      <c r="A27" s="17" t="s">
        <v>1304</v>
      </c>
      <c r="B27" s="17" t="s">
        <v>1305</v>
      </c>
      <c r="C27" s="17" t="s">
        <v>462</v>
      </c>
      <c r="D27" s="17" t="s">
        <v>463</v>
      </c>
      <c r="E27" s="17" t="s">
        <v>1658</v>
      </c>
      <c r="F27" s="18" t="s">
        <v>1306</v>
      </c>
      <c r="G27" s="18" t="s">
        <v>1654</v>
      </c>
      <c r="H27" s="18"/>
    </row>
    <row r="28" spans="1:8" ht="17" customHeight="1" x14ac:dyDescent="0.35">
      <c r="A28" s="17" t="s">
        <v>1274</v>
      </c>
      <c r="B28" s="17" t="s">
        <v>1275</v>
      </c>
      <c r="C28" s="17" t="s">
        <v>462</v>
      </c>
      <c r="D28" s="17" t="s">
        <v>463</v>
      </c>
      <c r="E28" s="17" t="s">
        <v>1658</v>
      </c>
      <c r="F28" s="18" t="s">
        <v>1276</v>
      </c>
      <c r="G28" s="18" t="s">
        <v>1654</v>
      </c>
      <c r="H28" s="18"/>
    </row>
    <row r="29" spans="1:8" ht="17" customHeight="1" x14ac:dyDescent="0.35">
      <c r="A29" s="17" t="s">
        <v>1424</v>
      </c>
      <c r="B29" s="17" t="s">
        <v>1425</v>
      </c>
      <c r="C29" s="17" t="s">
        <v>462</v>
      </c>
      <c r="D29" s="17" t="s">
        <v>463</v>
      </c>
      <c r="E29" s="17" t="s">
        <v>1658</v>
      </c>
      <c r="F29" s="18" t="s">
        <v>1426</v>
      </c>
      <c r="G29" s="18" t="s">
        <v>1654</v>
      </c>
      <c r="H29" s="18"/>
    </row>
    <row r="30" spans="1:8" ht="17" customHeight="1" x14ac:dyDescent="0.35">
      <c r="A30" s="17" t="s">
        <v>1394</v>
      </c>
      <c r="B30" s="17" t="s">
        <v>1395</v>
      </c>
      <c r="C30" s="17" t="s">
        <v>462</v>
      </c>
      <c r="D30" s="17" t="s">
        <v>463</v>
      </c>
      <c r="E30" s="17" t="s">
        <v>1658</v>
      </c>
      <c r="F30" s="18" t="s">
        <v>1396</v>
      </c>
      <c r="G30" s="18" t="s">
        <v>1654</v>
      </c>
      <c r="H30" s="18"/>
    </row>
    <row r="31" spans="1:8" ht="17" customHeight="1" x14ac:dyDescent="0.35">
      <c r="A31" s="17" t="s">
        <v>1367</v>
      </c>
      <c r="B31" s="17" t="s">
        <v>1368</v>
      </c>
      <c r="C31" s="17" t="s">
        <v>462</v>
      </c>
      <c r="D31" s="17" t="s">
        <v>463</v>
      </c>
      <c r="E31" s="17" t="s">
        <v>1658</v>
      </c>
      <c r="F31" s="18" t="s">
        <v>1369</v>
      </c>
      <c r="G31" s="18" t="s">
        <v>1654</v>
      </c>
      <c r="H31" s="18"/>
    </row>
    <row r="32" spans="1:8" ht="17" customHeight="1" x14ac:dyDescent="0.35">
      <c r="A32" s="17" t="s">
        <v>1337</v>
      </c>
      <c r="B32" s="17" t="s">
        <v>1338</v>
      </c>
      <c r="C32" s="17" t="s">
        <v>462</v>
      </c>
      <c r="D32" s="17" t="s">
        <v>463</v>
      </c>
      <c r="E32" s="17" t="s">
        <v>1658</v>
      </c>
      <c r="F32" s="18" t="s">
        <v>1339</v>
      </c>
      <c r="G32" s="18" t="s">
        <v>1654</v>
      </c>
      <c r="H32" s="18"/>
    </row>
    <row r="33" spans="1:8" ht="17" customHeight="1" x14ac:dyDescent="0.35">
      <c r="A33" s="17" t="s">
        <v>1307</v>
      </c>
      <c r="B33" s="17" t="s">
        <v>1308</v>
      </c>
      <c r="C33" s="17" t="s">
        <v>462</v>
      </c>
      <c r="D33" s="17" t="s">
        <v>463</v>
      </c>
      <c r="E33" s="17" t="s">
        <v>1658</v>
      </c>
      <c r="F33" s="18" t="s">
        <v>1309</v>
      </c>
      <c r="G33" s="18" t="s">
        <v>1654</v>
      </c>
      <c r="H33" s="18"/>
    </row>
    <row r="34" spans="1:8" ht="17" customHeight="1" x14ac:dyDescent="0.35">
      <c r="A34" s="17" t="s">
        <v>1277</v>
      </c>
      <c r="B34" s="17" t="s">
        <v>1278</v>
      </c>
      <c r="C34" s="17" t="s">
        <v>462</v>
      </c>
      <c r="D34" s="17" t="s">
        <v>463</v>
      </c>
      <c r="E34" s="17" t="s">
        <v>1658</v>
      </c>
      <c r="F34" s="18" t="s">
        <v>1279</v>
      </c>
      <c r="G34" s="18" t="s">
        <v>1654</v>
      </c>
      <c r="H34" s="18"/>
    </row>
    <row r="35" spans="1:8" ht="17" customHeight="1" x14ac:dyDescent="0.35">
      <c r="A35" s="17" t="s">
        <v>1427</v>
      </c>
      <c r="B35" s="17" t="s">
        <v>1428</v>
      </c>
      <c r="C35" s="17" t="s">
        <v>462</v>
      </c>
      <c r="D35" s="17" t="s">
        <v>463</v>
      </c>
      <c r="E35" s="17" t="s">
        <v>1658</v>
      </c>
      <c r="F35" s="18" t="s">
        <v>1429</v>
      </c>
      <c r="G35" s="18" t="s">
        <v>1654</v>
      </c>
      <c r="H35" s="18"/>
    </row>
    <row r="36" spans="1:8" ht="17" customHeight="1" x14ac:dyDescent="0.35">
      <c r="A36" s="17" t="s">
        <v>1397</v>
      </c>
      <c r="B36" s="17" t="s">
        <v>1398</v>
      </c>
      <c r="C36" s="17" t="s">
        <v>462</v>
      </c>
      <c r="D36" s="17" t="s">
        <v>463</v>
      </c>
      <c r="E36" s="17" t="s">
        <v>1658</v>
      </c>
      <c r="F36" s="18" t="s">
        <v>1399</v>
      </c>
      <c r="G36" s="18" t="s">
        <v>1654</v>
      </c>
      <c r="H36" s="18"/>
    </row>
    <row r="37" spans="1:8" ht="17" customHeight="1" x14ac:dyDescent="0.35">
      <c r="A37" s="17" t="s">
        <v>1370</v>
      </c>
      <c r="B37" s="17" t="s">
        <v>1371</v>
      </c>
      <c r="C37" s="17" t="s">
        <v>462</v>
      </c>
      <c r="D37" s="17" t="s">
        <v>463</v>
      </c>
      <c r="E37" s="17" t="s">
        <v>1658</v>
      </c>
      <c r="F37" s="18" t="s">
        <v>1372</v>
      </c>
      <c r="G37" s="18" t="s">
        <v>1654</v>
      </c>
      <c r="H37" s="18"/>
    </row>
    <row r="38" spans="1:8" ht="17" customHeight="1" x14ac:dyDescent="0.35">
      <c r="A38" s="17" t="s">
        <v>1340</v>
      </c>
      <c r="B38" s="17" t="s">
        <v>1341</v>
      </c>
      <c r="C38" s="17" t="s">
        <v>462</v>
      </c>
      <c r="D38" s="17" t="s">
        <v>463</v>
      </c>
      <c r="E38" s="17" t="s">
        <v>1658</v>
      </c>
      <c r="F38" s="18" t="s">
        <v>1342</v>
      </c>
      <c r="G38" s="18" t="s">
        <v>1654</v>
      </c>
      <c r="H38" s="18"/>
    </row>
    <row r="39" spans="1:8" ht="17" customHeight="1" x14ac:dyDescent="0.35">
      <c r="A39" s="17" t="s">
        <v>1310</v>
      </c>
      <c r="B39" s="17" t="s">
        <v>1311</v>
      </c>
      <c r="C39" s="17" t="s">
        <v>462</v>
      </c>
      <c r="D39" s="17" t="s">
        <v>463</v>
      </c>
      <c r="E39" s="17" t="s">
        <v>1658</v>
      </c>
      <c r="F39" s="18" t="s">
        <v>1312</v>
      </c>
      <c r="G39" s="18" t="s">
        <v>1654</v>
      </c>
      <c r="H39" s="18"/>
    </row>
    <row r="40" spans="1:8" ht="17" customHeight="1" x14ac:dyDescent="0.35">
      <c r="A40" s="17" t="s">
        <v>1280</v>
      </c>
      <c r="B40" s="17" t="s">
        <v>1281</v>
      </c>
      <c r="C40" s="17" t="s">
        <v>462</v>
      </c>
      <c r="D40" s="17" t="s">
        <v>463</v>
      </c>
      <c r="E40" s="17" t="s">
        <v>1658</v>
      </c>
      <c r="F40" s="18" t="s">
        <v>1282</v>
      </c>
      <c r="G40" s="18" t="s">
        <v>1654</v>
      </c>
      <c r="H40" s="18"/>
    </row>
    <row r="41" spans="1:8" ht="17" customHeight="1" x14ac:dyDescent="0.35">
      <c r="A41" s="17" t="s">
        <v>1430</v>
      </c>
      <c r="B41" s="17" t="s">
        <v>1431</v>
      </c>
      <c r="C41" s="17" t="s">
        <v>462</v>
      </c>
      <c r="D41" s="17" t="s">
        <v>463</v>
      </c>
      <c r="E41" s="17" t="s">
        <v>1658</v>
      </c>
      <c r="F41" s="18" t="s">
        <v>1432</v>
      </c>
      <c r="G41" s="18" t="s">
        <v>1654</v>
      </c>
      <c r="H41" s="18"/>
    </row>
    <row r="42" spans="1:8" ht="17" customHeight="1" x14ac:dyDescent="0.35">
      <c r="A42" s="17" t="s">
        <v>1400</v>
      </c>
      <c r="B42" s="17" t="s">
        <v>1401</v>
      </c>
      <c r="C42" s="17" t="s">
        <v>462</v>
      </c>
      <c r="D42" s="17" t="s">
        <v>463</v>
      </c>
      <c r="E42" s="17" t="s">
        <v>1658</v>
      </c>
      <c r="F42" s="18" t="s">
        <v>1402</v>
      </c>
      <c r="G42" s="18" t="s">
        <v>1654</v>
      </c>
      <c r="H42" s="18"/>
    </row>
    <row r="43" spans="1:8" ht="17" customHeight="1" x14ac:dyDescent="0.35">
      <c r="A43" s="17" t="s">
        <v>1373</v>
      </c>
      <c r="B43" s="17" t="s">
        <v>1374</v>
      </c>
      <c r="C43" s="17" t="s">
        <v>462</v>
      </c>
      <c r="D43" s="17" t="s">
        <v>463</v>
      </c>
      <c r="E43" s="17" t="s">
        <v>1658</v>
      </c>
      <c r="F43" s="18" t="s">
        <v>1375</v>
      </c>
      <c r="G43" s="18" t="s">
        <v>1654</v>
      </c>
      <c r="H43" s="18"/>
    </row>
    <row r="44" spans="1:8" ht="17" customHeight="1" x14ac:dyDescent="0.35">
      <c r="A44" s="17" t="s">
        <v>1343</v>
      </c>
      <c r="B44" s="17" t="s">
        <v>1344</v>
      </c>
      <c r="C44" s="17" t="s">
        <v>462</v>
      </c>
      <c r="D44" s="17" t="s">
        <v>463</v>
      </c>
      <c r="E44" s="17" t="s">
        <v>1658</v>
      </c>
      <c r="F44" s="18" t="s">
        <v>1345</v>
      </c>
      <c r="G44" s="18" t="s">
        <v>1654</v>
      </c>
      <c r="H44" s="18"/>
    </row>
    <row r="45" spans="1:8" ht="17" customHeight="1" x14ac:dyDescent="0.35">
      <c r="A45" s="17" t="s">
        <v>1313</v>
      </c>
      <c r="B45" s="17" t="s">
        <v>1314</v>
      </c>
      <c r="C45" s="17" t="s">
        <v>462</v>
      </c>
      <c r="D45" s="17" t="s">
        <v>463</v>
      </c>
      <c r="E45" s="17" t="s">
        <v>1658</v>
      </c>
      <c r="F45" s="18" t="s">
        <v>1315</v>
      </c>
      <c r="G45" s="18" t="s">
        <v>1654</v>
      </c>
      <c r="H45" s="18"/>
    </row>
    <row r="46" spans="1:8" ht="17" customHeight="1" x14ac:dyDescent="0.35">
      <c r="A46" s="17" t="s">
        <v>1283</v>
      </c>
      <c r="B46" s="17" t="s">
        <v>1284</v>
      </c>
      <c r="C46" s="17" t="s">
        <v>462</v>
      </c>
      <c r="D46" s="17" t="s">
        <v>463</v>
      </c>
      <c r="E46" s="17" t="s">
        <v>1658</v>
      </c>
      <c r="F46" s="18" t="s">
        <v>1285</v>
      </c>
      <c r="G46" s="18" t="s">
        <v>1654</v>
      </c>
      <c r="H46" s="18"/>
    </row>
    <row r="47" spans="1:8" ht="17" customHeight="1" x14ac:dyDescent="0.35">
      <c r="A47" s="17" t="s">
        <v>1433</v>
      </c>
      <c r="B47" s="17" t="s">
        <v>1434</v>
      </c>
      <c r="C47" s="17" t="s">
        <v>462</v>
      </c>
      <c r="D47" s="17" t="s">
        <v>463</v>
      </c>
      <c r="E47" s="17" t="s">
        <v>1658</v>
      </c>
      <c r="F47" s="18" t="s">
        <v>1435</v>
      </c>
      <c r="G47" s="18" t="s">
        <v>1654</v>
      </c>
      <c r="H47" s="18"/>
    </row>
    <row r="48" spans="1:8" ht="17" customHeight="1" x14ac:dyDescent="0.35">
      <c r="A48" s="17" t="s">
        <v>1403</v>
      </c>
      <c r="B48" s="17" t="s">
        <v>1404</v>
      </c>
      <c r="C48" s="17" t="s">
        <v>462</v>
      </c>
      <c r="D48" s="17" t="s">
        <v>463</v>
      </c>
      <c r="E48" s="17" t="s">
        <v>1658</v>
      </c>
      <c r="F48" s="18" t="s">
        <v>1405</v>
      </c>
      <c r="G48" s="18" t="s">
        <v>1654</v>
      </c>
      <c r="H48" s="18"/>
    </row>
    <row r="49" spans="1:8" ht="17" customHeight="1" x14ac:dyDescent="0.35">
      <c r="A49" s="17" t="s">
        <v>1376</v>
      </c>
      <c r="B49" s="17" t="s">
        <v>1377</v>
      </c>
      <c r="C49" s="17" t="s">
        <v>462</v>
      </c>
      <c r="D49" s="17" t="s">
        <v>463</v>
      </c>
      <c r="E49" s="17" t="s">
        <v>1658</v>
      </c>
      <c r="F49" s="18" t="s">
        <v>1378</v>
      </c>
      <c r="G49" s="18" t="s">
        <v>1654</v>
      </c>
      <c r="H49" s="18"/>
    </row>
    <row r="50" spans="1:8" ht="17" customHeight="1" x14ac:dyDescent="0.35">
      <c r="A50" s="17" t="s">
        <v>1346</v>
      </c>
      <c r="B50" s="17" t="s">
        <v>1347</v>
      </c>
      <c r="C50" s="17" t="s">
        <v>462</v>
      </c>
      <c r="D50" s="17" t="s">
        <v>463</v>
      </c>
      <c r="E50" s="17" t="s">
        <v>1658</v>
      </c>
      <c r="F50" s="18" t="s">
        <v>1348</v>
      </c>
      <c r="G50" s="18" t="s">
        <v>1654</v>
      </c>
      <c r="H50" s="18"/>
    </row>
    <row r="51" spans="1:8" ht="17" customHeight="1" x14ac:dyDescent="0.35">
      <c r="A51" s="17" t="s">
        <v>1316</v>
      </c>
      <c r="B51" s="17" t="s">
        <v>1317</v>
      </c>
      <c r="C51" s="17" t="s">
        <v>462</v>
      </c>
      <c r="D51" s="17" t="s">
        <v>463</v>
      </c>
      <c r="E51" s="17" t="s">
        <v>1658</v>
      </c>
      <c r="F51" s="18" t="s">
        <v>1318</v>
      </c>
      <c r="G51" s="18" t="s">
        <v>1654</v>
      </c>
      <c r="H51" s="18"/>
    </row>
    <row r="52" spans="1:8" ht="17" customHeight="1" x14ac:dyDescent="0.35">
      <c r="A52" s="17" t="s">
        <v>1286</v>
      </c>
      <c r="B52" s="17" t="s">
        <v>1287</v>
      </c>
      <c r="C52" s="17" t="s">
        <v>462</v>
      </c>
      <c r="D52" s="17" t="s">
        <v>463</v>
      </c>
      <c r="E52" s="17" t="s">
        <v>1658</v>
      </c>
      <c r="F52" s="18" t="s">
        <v>1288</v>
      </c>
      <c r="G52" s="18" t="s">
        <v>1654</v>
      </c>
      <c r="H52" s="18"/>
    </row>
    <row r="53" spans="1:8" ht="17" customHeight="1" x14ac:dyDescent="0.35">
      <c r="A53" s="17" t="s">
        <v>1436</v>
      </c>
      <c r="B53" s="17" t="s">
        <v>1437</v>
      </c>
      <c r="C53" s="17" t="s">
        <v>462</v>
      </c>
      <c r="D53" s="17" t="s">
        <v>463</v>
      </c>
      <c r="E53" s="17" t="s">
        <v>1658</v>
      </c>
      <c r="F53" s="18" t="s">
        <v>1438</v>
      </c>
      <c r="G53" s="18" t="s">
        <v>1654</v>
      </c>
      <c r="H53" s="18"/>
    </row>
    <row r="54" spans="1:8" ht="17" customHeight="1" x14ac:dyDescent="0.35">
      <c r="A54" s="17" t="s">
        <v>1406</v>
      </c>
      <c r="B54" s="17" t="s">
        <v>1407</v>
      </c>
      <c r="C54" s="17" t="s">
        <v>462</v>
      </c>
      <c r="D54" s="17" t="s">
        <v>463</v>
      </c>
      <c r="E54" s="17" t="s">
        <v>1658</v>
      </c>
      <c r="F54" s="18" t="s">
        <v>1408</v>
      </c>
      <c r="G54" s="18" t="s">
        <v>1654</v>
      </c>
      <c r="H54" s="18"/>
    </row>
    <row r="55" spans="1:8" ht="17" customHeight="1" x14ac:dyDescent="0.35">
      <c r="A55" s="17" t="s">
        <v>1379</v>
      </c>
      <c r="B55" s="17" t="s">
        <v>1380</v>
      </c>
      <c r="C55" s="17" t="s">
        <v>462</v>
      </c>
      <c r="D55" s="17" t="s">
        <v>463</v>
      </c>
      <c r="E55" s="17" t="s">
        <v>1658</v>
      </c>
      <c r="F55" s="18" t="s">
        <v>1381</v>
      </c>
      <c r="G55" s="18" t="s">
        <v>1654</v>
      </c>
      <c r="H55" s="18"/>
    </row>
    <row r="56" spans="1:8" ht="17" customHeight="1" x14ac:dyDescent="0.35">
      <c r="A56" s="17" t="s">
        <v>1349</v>
      </c>
      <c r="B56" s="17" t="s">
        <v>1350</v>
      </c>
      <c r="C56" s="17" t="s">
        <v>462</v>
      </c>
      <c r="D56" s="17" t="s">
        <v>463</v>
      </c>
      <c r="E56" s="17" t="s">
        <v>1658</v>
      </c>
      <c r="F56" s="18" t="s">
        <v>1351</v>
      </c>
      <c r="G56" s="18" t="s">
        <v>1654</v>
      </c>
      <c r="H56" s="18"/>
    </row>
    <row r="57" spans="1:8" ht="17" customHeight="1" x14ac:dyDescent="0.35">
      <c r="A57" s="17" t="s">
        <v>1319</v>
      </c>
      <c r="B57" s="17" t="s">
        <v>1320</v>
      </c>
      <c r="C57" s="17" t="s">
        <v>462</v>
      </c>
      <c r="D57" s="17" t="s">
        <v>463</v>
      </c>
      <c r="E57" s="17" t="s">
        <v>1658</v>
      </c>
      <c r="F57" s="18" t="s">
        <v>1321</v>
      </c>
      <c r="G57" s="18" t="s">
        <v>1654</v>
      </c>
      <c r="H57" s="18"/>
    </row>
    <row r="58" spans="1:8" ht="17" customHeight="1" x14ac:dyDescent="0.35">
      <c r="A58" s="17" t="s">
        <v>1289</v>
      </c>
      <c r="B58" s="17" t="s">
        <v>1290</v>
      </c>
      <c r="C58" s="17" t="s">
        <v>462</v>
      </c>
      <c r="D58" s="17" t="s">
        <v>463</v>
      </c>
      <c r="E58" s="17" t="s">
        <v>1658</v>
      </c>
      <c r="F58" s="18" t="s">
        <v>1291</v>
      </c>
      <c r="G58" s="18" t="s">
        <v>1654</v>
      </c>
      <c r="H58" s="18"/>
    </row>
    <row r="59" spans="1:8" ht="17" customHeight="1" x14ac:dyDescent="0.35">
      <c r="A59" s="17" t="s">
        <v>1439</v>
      </c>
      <c r="B59" s="17" t="s">
        <v>1440</v>
      </c>
      <c r="C59" s="17" t="s">
        <v>462</v>
      </c>
      <c r="D59" s="17" t="s">
        <v>463</v>
      </c>
      <c r="E59" s="17" t="s">
        <v>1658</v>
      </c>
      <c r="F59" s="18" t="s">
        <v>1441</v>
      </c>
      <c r="G59" s="18" t="s">
        <v>1654</v>
      </c>
      <c r="H59" s="18"/>
    </row>
    <row r="60" spans="1:8" ht="17" customHeight="1" x14ac:dyDescent="0.35">
      <c r="A60" s="17" t="s">
        <v>1409</v>
      </c>
      <c r="B60" s="17" t="s">
        <v>1410</v>
      </c>
      <c r="C60" s="17" t="s">
        <v>462</v>
      </c>
      <c r="D60" s="17" t="s">
        <v>463</v>
      </c>
      <c r="E60" s="17" t="s">
        <v>1658</v>
      </c>
      <c r="F60" s="18" t="s">
        <v>1411</v>
      </c>
      <c r="G60" s="18" t="s">
        <v>1654</v>
      </c>
      <c r="H60" s="18"/>
    </row>
    <row r="61" spans="1:8" ht="17" customHeight="1" x14ac:dyDescent="0.35">
      <c r="A61" s="17" t="s">
        <v>1382</v>
      </c>
      <c r="B61" s="17" t="s">
        <v>1383</v>
      </c>
      <c r="C61" s="17" t="s">
        <v>462</v>
      </c>
      <c r="D61" s="17" t="s">
        <v>463</v>
      </c>
      <c r="E61" s="17" t="s">
        <v>1658</v>
      </c>
      <c r="F61" s="18" t="s">
        <v>1384</v>
      </c>
      <c r="G61" s="18" t="s">
        <v>1654</v>
      </c>
      <c r="H61" s="18"/>
    </row>
    <row r="62" spans="1:8" ht="17" customHeight="1" x14ac:dyDescent="0.35">
      <c r="A62" s="17" t="s">
        <v>1352</v>
      </c>
      <c r="B62" s="17" t="s">
        <v>1353</v>
      </c>
      <c r="C62" s="17" t="s">
        <v>462</v>
      </c>
      <c r="D62" s="17" t="s">
        <v>463</v>
      </c>
      <c r="E62" s="17" t="s">
        <v>1658</v>
      </c>
      <c r="F62" s="18" t="s">
        <v>1354</v>
      </c>
      <c r="G62" s="18" t="s">
        <v>1654</v>
      </c>
      <c r="H62" s="18"/>
    </row>
    <row r="63" spans="1:8" ht="17" customHeight="1" x14ac:dyDescent="0.35">
      <c r="A63" s="17" t="s">
        <v>1322</v>
      </c>
      <c r="B63" s="17" t="s">
        <v>1323</v>
      </c>
      <c r="C63" s="17" t="s">
        <v>462</v>
      </c>
      <c r="D63" s="17" t="s">
        <v>463</v>
      </c>
      <c r="E63" s="17" t="s">
        <v>1658</v>
      </c>
      <c r="F63" s="18" t="s">
        <v>1324</v>
      </c>
      <c r="G63" s="18" t="s">
        <v>1654</v>
      </c>
      <c r="H63" s="18"/>
    </row>
    <row r="64" spans="1:8" ht="17" customHeight="1" x14ac:dyDescent="0.35">
      <c r="A64" s="17" t="s">
        <v>1292</v>
      </c>
      <c r="B64" s="17" t="s">
        <v>1293</v>
      </c>
      <c r="C64" s="17" t="s">
        <v>462</v>
      </c>
      <c r="D64" s="17" t="s">
        <v>463</v>
      </c>
      <c r="E64" s="17" t="s">
        <v>1658</v>
      </c>
      <c r="F64" s="18" t="s">
        <v>1294</v>
      </c>
      <c r="G64" s="18" t="s">
        <v>1654</v>
      </c>
      <c r="H64" s="18"/>
    </row>
    <row r="65" spans="1:8" ht="17" customHeight="1" x14ac:dyDescent="0.35">
      <c r="A65" s="17" t="s">
        <v>1442</v>
      </c>
      <c r="B65" s="17" t="s">
        <v>1443</v>
      </c>
      <c r="C65" s="17" t="s">
        <v>462</v>
      </c>
      <c r="D65" s="17" t="s">
        <v>463</v>
      </c>
      <c r="E65" s="17" t="s">
        <v>1658</v>
      </c>
      <c r="F65" s="18" t="s">
        <v>1444</v>
      </c>
      <c r="G65" s="18" t="s">
        <v>1654</v>
      </c>
      <c r="H65" s="18"/>
    </row>
    <row r="66" spans="1:8" ht="17" customHeight="1" x14ac:dyDescent="0.35">
      <c r="A66" s="17" t="s">
        <v>1412</v>
      </c>
      <c r="B66" s="17" t="s">
        <v>1413</v>
      </c>
      <c r="C66" s="17" t="s">
        <v>462</v>
      </c>
      <c r="D66" s="17" t="s">
        <v>463</v>
      </c>
      <c r="E66" s="17" t="s">
        <v>1658</v>
      </c>
      <c r="F66" s="18" t="s">
        <v>1414</v>
      </c>
      <c r="G66" s="18" t="s">
        <v>1654</v>
      </c>
      <c r="H66" s="18"/>
    </row>
    <row r="67" spans="1:8" ht="17" customHeight="1" x14ac:dyDescent="0.35">
      <c r="A67" s="17" t="s">
        <v>1385</v>
      </c>
      <c r="B67" s="17" t="s">
        <v>1386</v>
      </c>
      <c r="C67" s="17" t="s">
        <v>462</v>
      </c>
      <c r="D67" s="17" t="s">
        <v>463</v>
      </c>
      <c r="E67" s="17" t="s">
        <v>1658</v>
      </c>
      <c r="F67" s="18" t="s">
        <v>1387</v>
      </c>
      <c r="G67" s="18" t="s">
        <v>1654</v>
      </c>
      <c r="H67" s="18"/>
    </row>
    <row r="68" spans="1:8" ht="17" customHeight="1" x14ac:dyDescent="0.35">
      <c r="A68" s="17" t="s">
        <v>1355</v>
      </c>
      <c r="B68" s="17" t="s">
        <v>1356</v>
      </c>
      <c r="C68" s="17" t="s">
        <v>462</v>
      </c>
      <c r="D68" s="17" t="s">
        <v>463</v>
      </c>
      <c r="E68" s="17" t="s">
        <v>1658</v>
      </c>
      <c r="F68" s="18" t="s">
        <v>1357</v>
      </c>
      <c r="G68" s="18" t="s">
        <v>1654</v>
      </c>
      <c r="H68" s="18"/>
    </row>
    <row r="69" spans="1:8" ht="17" customHeight="1" x14ac:dyDescent="0.35">
      <c r="A69" s="17" t="s">
        <v>1325</v>
      </c>
      <c r="B69" s="17" t="s">
        <v>1326</v>
      </c>
      <c r="C69" s="17" t="s">
        <v>462</v>
      </c>
      <c r="D69" s="17" t="s">
        <v>463</v>
      </c>
      <c r="E69" s="17" t="s">
        <v>1658</v>
      </c>
      <c r="F69" s="18" t="s">
        <v>1327</v>
      </c>
      <c r="G69" s="18" t="s">
        <v>1654</v>
      </c>
      <c r="H69" s="18"/>
    </row>
    <row r="70" spans="1:8" ht="17" customHeight="1" x14ac:dyDescent="0.35">
      <c r="A70" s="17" t="s">
        <v>1295</v>
      </c>
      <c r="B70" s="17" t="s">
        <v>1296</v>
      </c>
      <c r="C70" s="17" t="s">
        <v>462</v>
      </c>
      <c r="D70" s="17" t="s">
        <v>463</v>
      </c>
      <c r="E70" s="17" t="s">
        <v>1658</v>
      </c>
      <c r="F70" s="18" t="s">
        <v>1297</v>
      </c>
      <c r="G70" s="18" t="s">
        <v>1654</v>
      </c>
      <c r="H70" s="18"/>
    </row>
    <row r="71" spans="1:8" ht="17" customHeight="1" x14ac:dyDescent="0.35">
      <c r="A71" s="17" t="s">
        <v>1445</v>
      </c>
      <c r="B71" s="17" t="s">
        <v>1446</v>
      </c>
      <c r="C71" s="17" t="s">
        <v>462</v>
      </c>
      <c r="D71" s="17" t="s">
        <v>463</v>
      </c>
      <c r="E71" s="17" t="s">
        <v>1658</v>
      </c>
      <c r="F71" s="18" t="s">
        <v>1447</v>
      </c>
      <c r="G71" s="18" t="s">
        <v>1654</v>
      </c>
      <c r="H71" s="18"/>
    </row>
    <row r="72" spans="1:8" ht="17" customHeight="1" x14ac:dyDescent="0.35">
      <c r="A72" s="17" t="s">
        <v>1415</v>
      </c>
      <c r="B72" s="17" t="s">
        <v>1416</v>
      </c>
      <c r="C72" s="17" t="s">
        <v>462</v>
      </c>
      <c r="D72" s="17" t="s">
        <v>463</v>
      </c>
      <c r="E72" s="17" t="s">
        <v>1658</v>
      </c>
      <c r="F72" s="18" t="s">
        <v>1417</v>
      </c>
      <c r="G72" s="18" t="s">
        <v>1654</v>
      </c>
      <c r="H72" s="18"/>
    </row>
    <row r="73" spans="1:8" ht="17" customHeight="1" x14ac:dyDescent="0.35">
      <c r="A73" s="17" t="s">
        <v>1388</v>
      </c>
      <c r="B73" s="17" t="s">
        <v>1389</v>
      </c>
      <c r="C73" s="17" t="s">
        <v>462</v>
      </c>
      <c r="D73" s="17" t="s">
        <v>463</v>
      </c>
      <c r="E73" s="17" t="s">
        <v>1658</v>
      </c>
      <c r="F73" s="18" t="s">
        <v>1390</v>
      </c>
      <c r="G73" s="18" t="s">
        <v>1654</v>
      </c>
      <c r="H73" s="18"/>
    </row>
    <row r="74" spans="1:8" ht="17" customHeight="1" x14ac:dyDescent="0.35">
      <c r="A74" s="17" t="s">
        <v>1358</v>
      </c>
      <c r="B74" s="17" t="s">
        <v>1359</v>
      </c>
      <c r="C74" s="17" t="s">
        <v>462</v>
      </c>
      <c r="D74" s="17" t="s">
        <v>463</v>
      </c>
      <c r="E74" s="17" t="s">
        <v>1658</v>
      </c>
      <c r="F74" s="18" t="s">
        <v>1360</v>
      </c>
      <c r="G74" s="18" t="s">
        <v>1654</v>
      </c>
      <c r="H74" s="18"/>
    </row>
    <row r="75" spans="1:8" ht="17" customHeight="1" x14ac:dyDescent="0.35">
      <c r="A75" s="17" t="s">
        <v>1328</v>
      </c>
      <c r="B75" s="17" t="s">
        <v>1329</v>
      </c>
      <c r="C75" s="17" t="s">
        <v>462</v>
      </c>
      <c r="D75" s="17" t="s">
        <v>463</v>
      </c>
      <c r="E75" s="17" t="s">
        <v>1658</v>
      </c>
      <c r="F75" s="18" t="s">
        <v>1330</v>
      </c>
      <c r="G75" s="18" t="s">
        <v>1654</v>
      </c>
      <c r="H75" s="18"/>
    </row>
    <row r="76" spans="1:8" ht="17" customHeight="1" x14ac:dyDescent="0.35">
      <c r="A76" s="17" t="s">
        <v>1298</v>
      </c>
      <c r="B76" s="17" t="s">
        <v>1299</v>
      </c>
      <c r="C76" s="17" t="s">
        <v>462</v>
      </c>
      <c r="D76" s="17" t="s">
        <v>463</v>
      </c>
      <c r="E76" s="17" t="s">
        <v>1658</v>
      </c>
      <c r="F76" s="18" t="s">
        <v>1300</v>
      </c>
      <c r="G76" s="18" t="s">
        <v>1654</v>
      </c>
      <c r="H76" s="18"/>
    </row>
    <row r="77" spans="1:8" ht="17" customHeight="1" x14ac:dyDescent="0.35">
      <c r="A77" s="17" t="s">
        <v>1448</v>
      </c>
      <c r="B77" s="17" t="s">
        <v>1449</v>
      </c>
      <c r="C77" s="17" t="s">
        <v>462</v>
      </c>
      <c r="D77" s="17" t="s">
        <v>463</v>
      </c>
      <c r="E77" s="17" t="s">
        <v>1658</v>
      </c>
      <c r="F77" s="18" t="s">
        <v>1450</v>
      </c>
      <c r="G77" s="18" t="s">
        <v>1654</v>
      </c>
      <c r="H77" s="18"/>
    </row>
    <row r="78" spans="1:8" ht="17" customHeight="1" x14ac:dyDescent="0.35">
      <c r="A78" s="17" t="s">
        <v>1418</v>
      </c>
      <c r="B78" s="17" t="s">
        <v>1419</v>
      </c>
      <c r="C78" s="17" t="s">
        <v>462</v>
      </c>
      <c r="D78" s="17" t="s">
        <v>463</v>
      </c>
      <c r="E78" s="17" t="s">
        <v>1658</v>
      </c>
      <c r="F78" s="18" t="s">
        <v>1420</v>
      </c>
      <c r="G78" s="18" t="s">
        <v>1654</v>
      </c>
      <c r="H78" s="18"/>
    </row>
    <row r="79" spans="1:8" ht="17" customHeight="1" x14ac:dyDescent="0.35">
      <c r="A79" s="17" t="s">
        <v>1391</v>
      </c>
      <c r="B79" s="17" t="s">
        <v>1392</v>
      </c>
      <c r="C79" s="17" t="s">
        <v>462</v>
      </c>
      <c r="D79" s="17" t="s">
        <v>463</v>
      </c>
      <c r="E79" s="17" t="s">
        <v>1658</v>
      </c>
      <c r="F79" s="18" t="s">
        <v>1393</v>
      </c>
      <c r="G79" s="18" t="s">
        <v>1654</v>
      </c>
      <c r="H79" s="18"/>
    </row>
    <row r="80" spans="1:8" ht="17" customHeight="1" x14ac:dyDescent="0.35">
      <c r="A80" s="17" t="s">
        <v>1361</v>
      </c>
      <c r="B80" s="17" t="s">
        <v>1362</v>
      </c>
      <c r="C80" s="17" t="s">
        <v>462</v>
      </c>
      <c r="D80" s="17" t="s">
        <v>463</v>
      </c>
      <c r="E80" s="17" t="s">
        <v>1658</v>
      </c>
      <c r="F80" s="18" t="s">
        <v>1363</v>
      </c>
      <c r="G80" s="18" t="s">
        <v>1654</v>
      </c>
      <c r="H80" s="18"/>
    </row>
    <row r="81" spans="1:8" ht="17" customHeight="1" x14ac:dyDescent="0.35">
      <c r="A81" s="17" t="s">
        <v>1331</v>
      </c>
      <c r="B81" s="17" t="s">
        <v>1332</v>
      </c>
      <c r="C81" s="17" t="s">
        <v>462</v>
      </c>
      <c r="D81" s="17" t="s">
        <v>463</v>
      </c>
      <c r="E81" s="17" t="s">
        <v>1658</v>
      </c>
      <c r="F81" s="18" t="s">
        <v>1333</v>
      </c>
      <c r="G81" s="18" t="s">
        <v>1654</v>
      </c>
      <c r="H81" s="18"/>
    </row>
    <row r="82" spans="1:8" ht="17" customHeight="1" x14ac:dyDescent="0.35">
      <c r="A82" s="17" t="s">
        <v>1301</v>
      </c>
      <c r="B82" s="17" t="s">
        <v>1302</v>
      </c>
      <c r="C82" s="17" t="s">
        <v>462</v>
      </c>
      <c r="D82" s="17" t="s">
        <v>463</v>
      </c>
      <c r="E82" s="17" t="s">
        <v>1658</v>
      </c>
      <c r="F82" s="18" t="s">
        <v>1303</v>
      </c>
      <c r="G82" s="18" t="s">
        <v>1654</v>
      </c>
      <c r="H82" s="18"/>
    </row>
    <row r="83" spans="1:8" ht="17" customHeight="1" x14ac:dyDescent="0.35">
      <c r="A83" s="17" t="s">
        <v>1451</v>
      </c>
      <c r="B83" s="17" t="s">
        <v>1452</v>
      </c>
      <c r="C83" s="17" t="s">
        <v>462</v>
      </c>
      <c r="D83" s="17" t="s">
        <v>463</v>
      </c>
      <c r="E83" s="17" t="s">
        <v>1658</v>
      </c>
      <c r="F83" s="18" t="s">
        <v>1453</v>
      </c>
      <c r="G83" s="18" t="s">
        <v>1654</v>
      </c>
      <c r="H83" s="18"/>
    </row>
    <row r="84" spans="1:8" ht="17" customHeight="1" x14ac:dyDescent="0.35">
      <c r="A84" s="17" t="s">
        <v>1421</v>
      </c>
      <c r="B84" s="17" t="s">
        <v>1422</v>
      </c>
      <c r="C84" s="17" t="s">
        <v>462</v>
      </c>
      <c r="D84" s="17" t="s">
        <v>463</v>
      </c>
      <c r="E84" s="17" t="s">
        <v>1658</v>
      </c>
      <c r="F84" s="18" t="s">
        <v>1423</v>
      </c>
      <c r="G84" s="18" t="s">
        <v>1654</v>
      </c>
      <c r="H84" s="18"/>
    </row>
    <row r="85" spans="1:8" ht="17" customHeight="1" x14ac:dyDescent="0.35">
      <c r="A85" s="17" t="s">
        <v>1500</v>
      </c>
      <c r="B85" s="17" t="s">
        <v>1501</v>
      </c>
      <c r="C85" s="17" t="s">
        <v>462</v>
      </c>
      <c r="D85" s="17" t="s">
        <v>463</v>
      </c>
      <c r="E85" s="17" t="s">
        <v>1658</v>
      </c>
      <c r="F85" s="18" t="s">
        <v>1502</v>
      </c>
      <c r="G85" s="18" t="s">
        <v>1654</v>
      </c>
      <c r="H85" s="18"/>
    </row>
    <row r="86" spans="1:8" ht="17" customHeight="1" x14ac:dyDescent="0.35">
      <c r="A86" s="17" t="s">
        <v>1479</v>
      </c>
      <c r="B86" s="17" t="s">
        <v>1480</v>
      </c>
      <c r="C86" s="17" t="s">
        <v>462</v>
      </c>
      <c r="D86" s="17" t="s">
        <v>463</v>
      </c>
      <c r="E86" s="17" t="s">
        <v>1658</v>
      </c>
      <c r="F86" s="18" t="s">
        <v>1481</v>
      </c>
      <c r="G86" s="18" t="s">
        <v>1654</v>
      </c>
      <c r="H86" s="18"/>
    </row>
    <row r="87" spans="1:8" ht="17" customHeight="1" x14ac:dyDescent="0.35">
      <c r="A87" s="17" t="s">
        <v>1521</v>
      </c>
      <c r="B87" s="17" t="s">
        <v>1522</v>
      </c>
      <c r="C87" s="17" t="s">
        <v>462</v>
      </c>
      <c r="D87" s="17" t="s">
        <v>463</v>
      </c>
      <c r="E87" s="17" t="s">
        <v>1658</v>
      </c>
      <c r="F87" s="18" t="s">
        <v>1523</v>
      </c>
      <c r="G87" s="18" t="s">
        <v>1654</v>
      </c>
      <c r="H87" s="18"/>
    </row>
    <row r="88" spans="1:8" ht="17" customHeight="1" x14ac:dyDescent="0.35">
      <c r="A88" s="17" t="s">
        <v>1503</v>
      </c>
      <c r="B88" s="17" t="s">
        <v>1504</v>
      </c>
      <c r="C88" s="17" t="s">
        <v>462</v>
      </c>
      <c r="D88" s="17" t="s">
        <v>463</v>
      </c>
      <c r="E88" s="17" t="s">
        <v>1658</v>
      </c>
      <c r="F88" s="18" t="s">
        <v>1505</v>
      </c>
      <c r="G88" s="18" t="s">
        <v>1654</v>
      </c>
      <c r="H88" s="18"/>
    </row>
    <row r="89" spans="1:8" ht="17" customHeight="1" x14ac:dyDescent="0.35">
      <c r="A89" s="17" t="s">
        <v>1482</v>
      </c>
      <c r="B89" s="17" t="s">
        <v>1483</v>
      </c>
      <c r="C89" s="17" t="s">
        <v>462</v>
      </c>
      <c r="D89" s="17" t="s">
        <v>463</v>
      </c>
      <c r="E89" s="17" t="s">
        <v>1658</v>
      </c>
      <c r="F89" s="18" t="s">
        <v>1484</v>
      </c>
      <c r="G89" s="18" t="s">
        <v>1654</v>
      </c>
      <c r="H89" s="18"/>
    </row>
    <row r="90" spans="1:8" ht="17" customHeight="1" x14ac:dyDescent="0.35">
      <c r="A90" s="17" t="s">
        <v>1524</v>
      </c>
      <c r="B90" s="17" t="s">
        <v>1525</v>
      </c>
      <c r="C90" s="17" t="s">
        <v>462</v>
      </c>
      <c r="D90" s="17" t="s">
        <v>463</v>
      </c>
      <c r="E90" s="17" t="s">
        <v>1658</v>
      </c>
      <c r="F90" s="18" t="s">
        <v>1526</v>
      </c>
      <c r="G90" s="18" t="s">
        <v>1654</v>
      </c>
      <c r="H90" s="18"/>
    </row>
    <row r="91" spans="1:8" ht="17" customHeight="1" x14ac:dyDescent="0.35">
      <c r="A91" s="17" t="s">
        <v>1506</v>
      </c>
      <c r="B91" s="17" t="s">
        <v>1507</v>
      </c>
      <c r="C91" s="17" t="s">
        <v>462</v>
      </c>
      <c r="D91" s="17" t="s">
        <v>463</v>
      </c>
      <c r="E91" s="17" t="s">
        <v>1658</v>
      </c>
      <c r="F91" s="18" t="s">
        <v>1508</v>
      </c>
      <c r="G91" s="18" t="s">
        <v>1654</v>
      </c>
      <c r="H91" s="18"/>
    </row>
    <row r="92" spans="1:8" ht="17" customHeight="1" x14ac:dyDescent="0.35">
      <c r="A92" s="17" t="s">
        <v>1485</v>
      </c>
      <c r="B92" s="17" t="s">
        <v>1486</v>
      </c>
      <c r="C92" s="17" t="s">
        <v>462</v>
      </c>
      <c r="D92" s="17" t="s">
        <v>463</v>
      </c>
      <c r="E92" s="17" t="s">
        <v>1658</v>
      </c>
      <c r="F92" s="18" t="s">
        <v>1487</v>
      </c>
      <c r="G92" s="18" t="s">
        <v>1654</v>
      </c>
      <c r="H92" s="18"/>
    </row>
    <row r="93" spans="1:8" ht="17" customHeight="1" x14ac:dyDescent="0.35">
      <c r="A93" s="17" t="s">
        <v>1527</v>
      </c>
      <c r="B93" s="17" t="s">
        <v>1528</v>
      </c>
      <c r="C93" s="17" t="s">
        <v>462</v>
      </c>
      <c r="D93" s="17" t="s">
        <v>463</v>
      </c>
      <c r="E93" s="17" t="s">
        <v>1658</v>
      </c>
      <c r="F93" s="18" t="s">
        <v>1529</v>
      </c>
      <c r="G93" s="18" t="s">
        <v>1654</v>
      </c>
      <c r="H93" s="18"/>
    </row>
    <row r="94" spans="1:8" ht="17" customHeight="1" x14ac:dyDescent="0.35">
      <c r="A94" s="17" t="s">
        <v>1509</v>
      </c>
      <c r="B94" s="17" t="s">
        <v>1510</v>
      </c>
      <c r="C94" s="17" t="s">
        <v>462</v>
      </c>
      <c r="D94" s="17" t="s">
        <v>463</v>
      </c>
      <c r="E94" s="17" t="s">
        <v>1658</v>
      </c>
      <c r="F94" s="18" t="s">
        <v>1511</v>
      </c>
      <c r="G94" s="18" t="s">
        <v>1654</v>
      </c>
      <c r="H94" s="18"/>
    </row>
    <row r="95" spans="1:8" ht="17" customHeight="1" x14ac:dyDescent="0.35">
      <c r="A95" s="17" t="s">
        <v>1488</v>
      </c>
      <c r="B95" s="17" t="s">
        <v>1489</v>
      </c>
      <c r="C95" s="17" t="s">
        <v>462</v>
      </c>
      <c r="D95" s="17" t="s">
        <v>463</v>
      </c>
      <c r="E95" s="17" t="s">
        <v>1658</v>
      </c>
      <c r="F95" s="18" t="s">
        <v>1490</v>
      </c>
      <c r="G95" s="18" t="s">
        <v>1654</v>
      </c>
      <c r="H95" s="18"/>
    </row>
    <row r="96" spans="1:8" ht="17" customHeight="1" x14ac:dyDescent="0.35">
      <c r="A96" s="17" t="s">
        <v>1530</v>
      </c>
      <c r="B96" s="17" t="s">
        <v>1531</v>
      </c>
      <c r="C96" s="17" t="s">
        <v>462</v>
      </c>
      <c r="D96" s="17" t="s">
        <v>463</v>
      </c>
      <c r="E96" s="17" t="s">
        <v>1658</v>
      </c>
      <c r="F96" s="18" t="s">
        <v>1532</v>
      </c>
      <c r="G96" s="18" t="s">
        <v>1654</v>
      </c>
      <c r="H96" s="18"/>
    </row>
    <row r="97" spans="1:8" ht="17" customHeight="1" x14ac:dyDescent="0.35">
      <c r="A97" s="17" t="s">
        <v>1512</v>
      </c>
      <c r="B97" s="17" t="s">
        <v>1513</v>
      </c>
      <c r="C97" s="17" t="s">
        <v>462</v>
      </c>
      <c r="D97" s="17" t="s">
        <v>463</v>
      </c>
      <c r="E97" s="17" t="s">
        <v>1658</v>
      </c>
      <c r="F97" s="18" t="s">
        <v>1514</v>
      </c>
      <c r="G97" s="18" t="s">
        <v>1654</v>
      </c>
      <c r="H97" s="18"/>
    </row>
    <row r="98" spans="1:8" ht="17" customHeight="1" x14ac:dyDescent="0.35">
      <c r="A98" s="17" t="s">
        <v>1491</v>
      </c>
      <c r="B98" s="17" t="s">
        <v>1492</v>
      </c>
      <c r="C98" s="17" t="s">
        <v>462</v>
      </c>
      <c r="D98" s="17" t="s">
        <v>463</v>
      </c>
      <c r="E98" s="17" t="s">
        <v>1658</v>
      </c>
      <c r="F98" s="18" t="s">
        <v>1493</v>
      </c>
      <c r="G98" s="18" t="s">
        <v>1654</v>
      </c>
      <c r="H98" s="18"/>
    </row>
    <row r="99" spans="1:8" ht="17" customHeight="1" x14ac:dyDescent="0.35">
      <c r="A99" s="17" t="s">
        <v>1533</v>
      </c>
      <c r="B99" s="17" t="s">
        <v>1534</v>
      </c>
      <c r="C99" s="17" t="s">
        <v>462</v>
      </c>
      <c r="D99" s="17" t="s">
        <v>463</v>
      </c>
      <c r="E99" s="17" t="s">
        <v>1658</v>
      </c>
      <c r="F99" s="18" t="s">
        <v>1535</v>
      </c>
      <c r="G99" s="18" t="s">
        <v>1654</v>
      </c>
      <c r="H99" s="18"/>
    </row>
    <row r="100" spans="1:8" ht="17" customHeight="1" x14ac:dyDescent="0.35">
      <c r="A100" s="17" t="s">
        <v>1515</v>
      </c>
      <c r="B100" s="17" t="s">
        <v>1516</v>
      </c>
      <c r="C100" s="17" t="s">
        <v>462</v>
      </c>
      <c r="D100" s="17" t="s">
        <v>463</v>
      </c>
      <c r="E100" s="17" t="s">
        <v>1658</v>
      </c>
      <c r="F100" s="18" t="s">
        <v>1517</v>
      </c>
      <c r="G100" s="18" t="s">
        <v>1654</v>
      </c>
      <c r="H100" s="18"/>
    </row>
    <row r="101" spans="1:8" ht="17" customHeight="1" x14ac:dyDescent="0.35">
      <c r="A101" s="17" t="s">
        <v>1494</v>
      </c>
      <c r="B101" s="17" t="s">
        <v>1495</v>
      </c>
      <c r="C101" s="17" t="s">
        <v>462</v>
      </c>
      <c r="D101" s="17" t="s">
        <v>463</v>
      </c>
      <c r="E101" s="17" t="s">
        <v>1658</v>
      </c>
      <c r="F101" s="18" t="s">
        <v>1496</v>
      </c>
      <c r="G101" s="18" t="s">
        <v>1654</v>
      </c>
      <c r="H101" s="18"/>
    </row>
    <row r="102" spans="1:8" ht="17" customHeight="1" x14ac:dyDescent="0.35">
      <c r="A102" s="17" t="s">
        <v>1536</v>
      </c>
      <c r="B102" s="17" t="s">
        <v>1537</v>
      </c>
      <c r="C102" s="17" t="s">
        <v>462</v>
      </c>
      <c r="D102" s="17" t="s">
        <v>463</v>
      </c>
      <c r="E102" s="17" t="s">
        <v>1658</v>
      </c>
      <c r="F102" s="18" t="s">
        <v>1538</v>
      </c>
      <c r="G102" s="18" t="s">
        <v>1654</v>
      </c>
      <c r="H102" s="18"/>
    </row>
    <row r="103" spans="1:8" ht="17" customHeight="1" x14ac:dyDescent="0.35">
      <c r="A103" s="17" t="s">
        <v>1518</v>
      </c>
      <c r="B103" s="17" t="s">
        <v>1519</v>
      </c>
      <c r="C103" s="17" t="s">
        <v>462</v>
      </c>
      <c r="D103" s="17" t="s">
        <v>463</v>
      </c>
      <c r="E103" s="17" t="s">
        <v>1658</v>
      </c>
      <c r="F103" s="18" t="s">
        <v>1520</v>
      </c>
      <c r="G103" s="18" t="s">
        <v>1654</v>
      </c>
      <c r="H103" s="18"/>
    </row>
    <row r="104" spans="1:8" ht="17" customHeight="1" x14ac:dyDescent="0.35">
      <c r="A104" s="17" t="s">
        <v>1497</v>
      </c>
      <c r="B104" s="17" t="s">
        <v>1498</v>
      </c>
      <c r="C104" s="17" t="s">
        <v>462</v>
      </c>
      <c r="D104" s="17" t="s">
        <v>463</v>
      </c>
      <c r="E104" s="17" t="s">
        <v>1658</v>
      </c>
      <c r="F104" s="18" t="s">
        <v>1499</v>
      </c>
      <c r="G104" s="18" t="s">
        <v>1654</v>
      </c>
      <c r="H104" s="18"/>
    </row>
    <row r="105" spans="1:8" ht="17" customHeight="1" x14ac:dyDescent="0.35">
      <c r="A105" s="17" t="s">
        <v>1539</v>
      </c>
      <c r="B105" s="17" t="s">
        <v>1540</v>
      </c>
      <c r="C105" s="17" t="s">
        <v>462</v>
      </c>
      <c r="D105" s="17" t="s">
        <v>463</v>
      </c>
      <c r="E105" s="17" t="s">
        <v>1658</v>
      </c>
      <c r="F105" s="18" t="s">
        <v>1541</v>
      </c>
      <c r="G105" s="18" t="s">
        <v>1654</v>
      </c>
      <c r="H105" s="18"/>
    </row>
    <row r="106" spans="1:8" ht="17" customHeight="1" x14ac:dyDescent="0.35">
      <c r="A106" s="17" t="s">
        <v>1552</v>
      </c>
      <c r="B106" s="17" t="s">
        <v>1553</v>
      </c>
      <c r="C106" s="17" t="s">
        <v>462</v>
      </c>
      <c r="D106" s="17" t="s">
        <v>463</v>
      </c>
      <c r="E106" s="17" t="s">
        <v>1658</v>
      </c>
      <c r="F106" s="18" t="s">
        <v>1554</v>
      </c>
      <c r="G106" s="18" t="s">
        <v>1654</v>
      </c>
      <c r="H106" s="18"/>
    </row>
    <row r="107" spans="1:8" ht="17" customHeight="1" x14ac:dyDescent="0.35">
      <c r="A107" s="17" t="s">
        <v>1543</v>
      </c>
      <c r="B107" s="17" t="s">
        <v>1544</v>
      </c>
      <c r="C107" s="17" t="s">
        <v>462</v>
      </c>
      <c r="D107" s="17" t="s">
        <v>463</v>
      </c>
      <c r="E107" s="17" t="s">
        <v>1658</v>
      </c>
      <c r="F107" s="18" t="s">
        <v>1545</v>
      </c>
      <c r="G107" s="18" t="s">
        <v>1654</v>
      </c>
      <c r="H107" s="18"/>
    </row>
    <row r="108" spans="1:8" ht="17" customHeight="1" x14ac:dyDescent="0.35">
      <c r="A108" s="17" t="s">
        <v>1561</v>
      </c>
      <c r="B108" s="17" t="s">
        <v>1562</v>
      </c>
      <c r="C108" s="17" t="s">
        <v>462</v>
      </c>
      <c r="D108" s="17" t="s">
        <v>463</v>
      </c>
      <c r="E108" s="17" t="s">
        <v>1658</v>
      </c>
      <c r="F108" s="18" t="s">
        <v>1563</v>
      </c>
      <c r="G108" s="18" t="s">
        <v>1654</v>
      </c>
      <c r="H108" s="18"/>
    </row>
    <row r="109" spans="1:8" ht="17" customHeight="1" x14ac:dyDescent="0.35">
      <c r="A109" s="17" t="s">
        <v>1555</v>
      </c>
      <c r="B109" s="17" t="s">
        <v>1556</v>
      </c>
      <c r="C109" s="17" t="s">
        <v>462</v>
      </c>
      <c r="D109" s="17" t="s">
        <v>463</v>
      </c>
      <c r="E109" s="17" t="s">
        <v>1658</v>
      </c>
      <c r="F109" s="18" t="s">
        <v>1557</v>
      </c>
      <c r="G109" s="18" t="s">
        <v>1654</v>
      </c>
      <c r="H109" s="18"/>
    </row>
    <row r="110" spans="1:8" ht="17" customHeight="1" x14ac:dyDescent="0.35">
      <c r="A110" s="17" t="s">
        <v>1546</v>
      </c>
      <c r="B110" s="17" t="s">
        <v>1547</v>
      </c>
      <c r="C110" s="17" t="s">
        <v>462</v>
      </c>
      <c r="D110" s="17" t="s">
        <v>463</v>
      </c>
      <c r="E110" s="17" t="s">
        <v>1658</v>
      </c>
      <c r="F110" s="18" t="s">
        <v>1548</v>
      </c>
      <c r="G110" s="18" t="s">
        <v>1654</v>
      </c>
      <c r="H110" s="18"/>
    </row>
    <row r="111" spans="1:8" ht="17" customHeight="1" x14ac:dyDescent="0.35">
      <c r="A111" s="17" t="s">
        <v>1564</v>
      </c>
      <c r="B111" s="17" t="s">
        <v>1565</v>
      </c>
      <c r="C111" s="17" t="s">
        <v>462</v>
      </c>
      <c r="D111" s="17" t="s">
        <v>463</v>
      </c>
      <c r="E111" s="17" t="s">
        <v>1658</v>
      </c>
      <c r="F111" s="18" t="s">
        <v>1566</v>
      </c>
      <c r="G111" s="18" t="s">
        <v>1654</v>
      </c>
      <c r="H111" s="18"/>
    </row>
    <row r="112" spans="1:8" ht="17" customHeight="1" x14ac:dyDescent="0.35">
      <c r="A112" s="17" t="s">
        <v>1558</v>
      </c>
      <c r="B112" s="17" t="s">
        <v>1559</v>
      </c>
      <c r="C112" s="17" t="s">
        <v>462</v>
      </c>
      <c r="D112" s="17" t="s">
        <v>463</v>
      </c>
      <c r="E112" s="17" t="s">
        <v>1658</v>
      </c>
      <c r="F112" s="18" t="s">
        <v>1560</v>
      </c>
      <c r="G112" s="18" t="s">
        <v>1654</v>
      </c>
      <c r="H112" s="18"/>
    </row>
    <row r="113" spans="1:8" ht="17" customHeight="1" x14ac:dyDescent="0.35">
      <c r="A113" s="17" t="s">
        <v>1549</v>
      </c>
      <c r="B113" s="17" t="s">
        <v>1550</v>
      </c>
      <c r="C113" s="17" t="s">
        <v>462</v>
      </c>
      <c r="D113" s="17" t="s">
        <v>463</v>
      </c>
      <c r="E113" s="17" t="s">
        <v>1658</v>
      </c>
      <c r="F113" s="18" t="s">
        <v>1551</v>
      </c>
      <c r="G113" s="18" t="s">
        <v>1654</v>
      </c>
      <c r="H113" s="18"/>
    </row>
    <row r="114" spans="1:8" ht="17" customHeight="1" x14ac:dyDescent="0.35">
      <c r="A114" s="17" t="s">
        <v>1567</v>
      </c>
      <c r="B114" s="17" t="s">
        <v>1568</v>
      </c>
      <c r="C114" s="17" t="s">
        <v>462</v>
      </c>
      <c r="D114" s="17" t="s">
        <v>463</v>
      </c>
      <c r="E114" s="17" t="s">
        <v>1658</v>
      </c>
      <c r="F114" s="18" t="s">
        <v>1569</v>
      </c>
      <c r="G114" s="18" t="s">
        <v>1654</v>
      </c>
      <c r="H114" s="18"/>
    </row>
    <row r="115" spans="1:8" ht="17" customHeight="1" x14ac:dyDescent="0.35">
      <c r="A115" s="17"/>
      <c r="B115" s="17"/>
      <c r="C115" s="17"/>
      <c r="D115" s="17"/>
      <c r="E115" s="17"/>
      <c r="F115" s="18"/>
      <c r="G115" s="18"/>
      <c r="H115" s="18"/>
    </row>
    <row r="116" spans="1:8" ht="17" customHeight="1" x14ac:dyDescent="0.35">
      <c r="A116" s="17" t="s">
        <v>1461</v>
      </c>
      <c r="B116" s="17" t="s">
        <v>1643</v>
      </c>
      <c r="C116" s="17" t="s">
        <v>462</v>
      </c>
      <c r="D116" s="17" t="s">
        <v>514</v>
      </c>
      <c r="E116" s="17" t="s">
        <v>1659</v>
      </c>
      <c r="F116" s="18" t="s">
        <v>1462</v>
      </c>
      <c r="G116" s="18" t="s">
        <v>1654</v>
      </c>
      <c r="H116" s="18"/>
    </row>
    <row r="117" spans="1:8" ht="17" customHeight="1" x14ac:dyDescent="0.35">
      <c r="A117" s="17" t="s">
        <v>1470</v>
      </c>
      <c r="B117" s="17" t="s">
        <v>1643</v>
      </c>
      <c r="C117" s="17" t="s">
        <v>462</v>
      </c>
      <c r="D117" s="17" t="s">
        <v>514</v>
      </c>
      <c r="E117" s="17" t="s">
        <v>1659</v>
      </c>
      <c r="F117" s="18" t="s">
        <v>1462</v>
      </c>
      <c r="G117" s="18" t="s">
        <v>1654</v>
      </c>
      <c r="H117" s="18"/>
    </row>
    <row r="118" spans="1:8" ht="17" customHeight="1" x14ac:dyDescent="0.35">
      <c r="A118" s="17" t="s">
        <v>1260</v>
      </c>
      <c r="B118" s="17" t="s">
        <v>1643</v>
      </c>
      <c r="C118" s="17" t="s">
        <v>462</v>
      </c>
      <c r="D118" s="17" t="s">
        <v>514</v>
      </c>
      <c r="E118" s="17" t="s">
        <v>1659</v>
      </c>
      <c r="F118" s="18" t="s">
        <v>1248</v>
      </c>
      <c r="G118" s="18" t="s">
        <v>1654</v>
      </c>
      <c r="H118" s="18"/>
    </row>
    <row r="119" spans="1:8" ht="17" customHeight="1" x14ac:dyDescent="0.35">
      <c r="A119" s="17" t="s">
        <v>1454</v>
      </c>
      <c r="B119" s="17" t="s">
        <v>1643</v>
      </c>
      <c r="C119" s="17" t="s">
        <v>462</v>
      </c>
      <c r="D119" s="17" t="s">
        <v>514</v>
      </c>
      <c r="E119" s="17" t="s">
        <v>1659</v>
      </c>
      <c r="F119" s="18" t="s">
        <v>1249</v>
      </c>
      <c r="G119" s="18" t="s">
        <v>1654</v>
      </c>
      <c r="H119" s="18"/>
    </row>
    <row r="120" spans="1:8" ht="17" customHeight="1" x14ac:dyDescent="0.35">
      <c r="A120" s="17" t="s">
        <v>1476</v>
      </c>
      <c r="B120" s="17" t="s">
        <v>1643</v>
      </c>
      <c r="C120" s="17" t="s">
        <v>462</v>
      </c>
      <c r="D120" s="17" t="s">
        <v>514</v>
      </c>
      <c r="E120" s="17" t="s">
        <v>1667</v>
      </c>
      <c r="F120" s="18" t="s">
        <v>1248</v>
      </c>
      <c r="G120" s="18" t="s">
        <v>1654</v>
      </c>
      <c r="H120" s="18"/>
    </row>
    <row r="121" spans="1:8" ht="17" customHeight="1" x14ac:dyDescent="0.35">
      <c r="A121" s="17" t="s">
        <v>1459</v>
      </c>
      <c r="B121" s="17" t="s">
        <v>1643</v>
      </c>
      <c r="C121" s="17" t="s">
        <v>462</v>
      </c>
      <c r="D121" s="17" t="s">
        <v>514</v>
      </c>
      <c r="E121" s="17" t="s">
        <v>1659</v>
      </c>
      <c r="F121" s="18" t="s">
        <v>1460</v>
      </c>
      <c r="G121" s="18" t="s">
        <v>1654</v>
      </c>
      <c r="H121" s="18"/>
    </row>
    <row r="122" spans="1:8" ht="17" customHeight="1" x14ac:dyDescent="0.35">
      <c r="A122" s="17" t="s">
        <v>1466</v>
      </c>
      <c r="B122" s="17" t="s">
        <v>1643</v>
      </c>
      <c r="C122" s="17" t="s">
        <v>462</v>
      </c>
      <c r="D122" s="17" t="s">
        <v>514</v>
      </c>
      <c r="E122" s="17" t="s">
        <v>1659</v>
      </c>
      <c r="F122" s="18" t="s">
        <v>1460</v>
      </c>
      <c r="G122" s="18" t="s">
        <v>1654</v>
      </c>
      <c r="H122" s="18"/>
    </row>
    <row r="123" spans="1:8" ht="17" customHeight="1" x14ac:dyDescent="0.35">
      <c r="A123" s="17" t="s">
        <v>1261</v>
      </c>
      <c r="B123" s="17" t="s">
        <v>47</v>
      </c>
      <c r="C123" s="17" t="s">
        <v>462</v>
      </c>
      <c r="D123" s="17" t="s">
        <v>514</v>
      </c>
      <c r="E123" s="17" t="s">
        <v>1679</v>
      </c>
      <c r="F123" s="18" t="s">
        <v>1575</v>
      </c>
      <c r="G123" s="18" t="s">
        <v>1654</v>
      </c>
      <c r="H123" s="18"/>
    </row>
    <row r="124" spans="1:8" ht="17" customHeight="1" x14ac:dyDescent="0.35">
      <c r="A124" s="17" t="s">
        <v>1455</v>
      </c>
      <c r="B124" s="17" t="s">
        <v>50</v>
      </c>
      <c r="C124" s="17" t="s">
        <v>462</v>
      </c>
      <c r="D124" s="17" t="s">
        <v>514</v>
      </c>
      <c r="E124" s="17" t="s">
        <v>1659</v>
      </c>
      <c r="F124" s="18" t="s">
        <v>1577</v>
      </c>
      <c r="G124" s="18" t="s">
        <v>1654</v>
      </c>
      <c r="H124" s="18"/>
    </row>
    <row r="125" spans="1:8" ht="17" customHeight="1" x14ac:dyDescent="0.35">
      <c r="A125" s="17" t="s">
        <v>1478</v>
      </c>
      <c r="B125" s="17" t="s">
        <v>51</v>
      </c>
      <c r="C125" s="17" t="s">
        <v>462</v>
      </c>
      <c r="D125" s="17" t="s">
        <v>514</v>
      </c>
      <c r="E125" s="17" t="s">
        <v>1659</v>
      </c>
      <c r="F125" s="18" t="s">
        <v>1578</v>
      </c>
      <c r="G125" s="18" t="s">
        <v>1654</v>
      </c>
      <c r="H125" s="18"/>
    </row>
    <row r="126" spans="1:8" ht="17" customHeight="1" x14ac:dyDescent="0.35">
      <c r="A126" s="23"/>
      <c r="B126" s="23"/>
      <c r="C126" s="23"/>
      <c r="D126" s="23"/>
      <c r="E126" s="23"/>
      <c r="F126" s="24"/>
      <c r="G126" s="24"/>
      <c r="H126" s="24"/>
    </row>
    <row r="127" spans="1:8" ht="17" customHeight="1" x14ac:dyDescent="0.35">
      <c r="A127" s="17" t="s">
        <v>1254</v>
      </c>
      <c r="B127" s="17" t="s">
        <v>1643</v>
      </c>
      <c r="C127" s="17" t="s">
        <v>462</v>
      </c>
      <c r="D127" s="17" t="s">
        <v>463</v>
      </c>
      <c r="E127" s="17" t="s">
        <v>1679</v>
      </c>
      <c r="F127" s="18" t="s">
        <v>1462</v>
      </c>
      <c r="G127" s="18" t="s">
        <v>1654</v>
      </c>
      <c r="H127" s="18" t="s">
        <v>1674</v>
      </c>
    </row>
    <row r="128" spans="1:8" ht="17" customHeight="1" x14ac:dyDescent="0.35">
      <c r="A128" s="17"/>
      <c r="B128" s="17"/>
      <c r="C128" s="17"/>
      <c r="D128" s="17"/>
      <c r="E128" s="17"/>
      <c r="F128" s="18"/>
      <c r="G128" s="18"/>
      <c r="H128" s="18"/>
    </row>
    <row r="129" spans="1:8" ht="17" customHeight="1" x14ac:dyDescent="0.35">
      <c r="A129" s="17" t="s">
        <v>1460</v>
      </c>
      <c r="B129" s="17" t="s">
        <v>1643</v>
      </c>
      <c r="C129" s="17" t="s">
        <v>462</v>
      </c>
      <c r="D129" s="17" t="s">
        <v>514</v>
      </c>
      <c r="E129" s="17" t="s">
        <v>1679</v>
      </c>
      <c r="F129" s="18" t="s">
        <v>1254</v>
      </c>
      <c r="G129" s="18" t="s">
        <v>1654</v>
      </c>
      <c r="H129" s="18"/>
    </row>
    <row r="130" spans="1:8" ht="17" customHeight="1" x14ac:dyDescent="0.35">
      <c r="A130" s="17" t="s">
        <v>1246</v>
      </c>
      <c r="B130" s="17" t="s">
        <v>1643</v>
      </c>
      <c r="C130" s="17" t="s">
        <v>462</v>
      </c>
      <c r="D130" s="17" t="s">
        <v>514</v>
      </c>
      <c r="E130" s="17" t="s">
        <v>1679</v>
      </c>
      <c r="F130" s="18" t="s">
        <v>1245</v>
      </c>
      <c r="G130" s="18" t="s">
        <v>1654</v>
      </c>
      <c r="H130" s="18"/>
    </row>
    <row r="131" spans="1:8" ht="17" customHeight="1" x14ac:dyDescent="0.35">
      <c r="A131" s="17" t="s">
        <v>1246</v>
      </c>
      <c r="B131" s="17" t="s">
        <v>1643</v>
      </c>
      <c r="C131" s="17" t="s">
        <v>462</v>
      </c>
      <c r="D131" s="17" t="s">
        <v>514</v>
      </c>
      <c r="E131" s="17" t="s">
        <v>1659</v>
      </c>
      <c r="F131" s="18" t="s">
        <v>580</v>
      </c>
      <c r="G131" s="18" t="s">
        <v>1654</v>
      </c>
      <c r="H131" s="18"/>
    </row>
    <row r="132" spans="1:8" ht="17" customHeight="1" x14ac:dyDescent="0.35">
      <c r="A132" s="17" t="s">
        <v>1247</v>
      </c>
      <c r="B132" s="17" t="s">
        <v>1643</v>
      </c>
      <c r="C132" s="17" t="s">
        <v>462</v>
      </c>
      <c r="D132" s="17" t="s">
        <v>514</v>
      </c>
      <c r="E132" s="17" t="s">
        <v>1659</v>
      </c>
      <c r="F132" s="18" t="s">
        <v>1625</v>
      </c>
      <c r="G132" s="18" t="s">
        <v>1654</v>
      </c>
      <c r="H132" s="18"/>
    </row>
    <row r="133" spans="1:8" ht="17" customHeight="1" x14ac:dyDescent="0.35">
      <c r="A133" s="17" t="s">
        <v>1579</v>
      </c>
      <c r="B133" s="17" t="s">
        <v>55</v>
      </c>
      <c r="C133" s="17" t="s">
        <v>462</v>
      </c>
      <c r="D133" s="17" t="s">
        <v>514</v>
      </c>
      <c r="E133" s="17" t="s">
        <v>1667</v>
      </c>
      <c r="F133" s="18" t="s">
        <v>1251</v>
      </c>
      <c r="G133" s="18" t="s">
        <v>1654</v>
      </c>
      <c r="H133" s="18"/>
    </row>
    <row r="134" spans="1:8" ht="17" customHeight="1" x14ac:dyDescent="0.35">
      <c r="A134" s="17" t="s">
        <v>1580</v>
      </c>
      <c r="B134" s="17" t="s">
        <v>55</v>
      </c>
      <c r="C134" s="17" t="s">
        <v>462</v>
      </c>
      <c r="D134" s="17" t="s">
        <v>514</v>
      </c>
      <c r="E134" s="17" t="s">
        <v>1659</v>
      </c>
      <c r="F134" s="18" t="s">
        <v>1252</v>
      </c>
      <c r="G134" s="18" t="s">
        <v>1654</v>
      </c>
      <c r="H134" s="18"/>
    </row>
    <row r="135" spans="1:8" ht="17" customHeight="1" x14ac:dyDescent="0.35">
      <c r="A135" s="17" t="s">
        <v>1581</v>
      </c>
      <c r="B135" s="17" t="s">
        <v>55</v>
      </c>
      <c r="C135" s="17" t="s">
        <v>462</v>
      </c>
      <c r="D135" s="17" t="s">
        <v>514</v>
      </c>
      <c r="E135" s="17" t="s">
        <v>1658</v>
      </c>
      <c r="F135" s="18" t="s">
        <v>1251</v>
      </c>
      <c r="G135" s="18" t="s">
        <v>1654</v>
      </c>
      <c r="H135" s="18"/>
    </row>
    <row r="136" spans="1:8" ht="17" customHeight="1" x14ac:dyDescent="0.35">
      <c r="A136" s="17" t="s">
        <v>1583</v>
      </c>
      <c r="B136" s="17" t="s">
        <v>55</v>
      </c>
      <c r="C136" s="17" t="s">
        <v>462</v>
      </c>
      <c r="D136" s="17" t="s">
        <v>514</v>
      </c>
      <c r="E136" s="17" t="s">
        <v>1659</v>
      </c>
      <c r="F136" s="18" t="s">
        <v>536</v>
      </c>
      <c r="G136" s="18" t="s">
        <v>1654</v>
      </c>
      <c r="H136" s="18"/>
    </row>
    <row r="137" spans="1:8" ht="17" customHeight="1" x14ac:dyDescent="0.35">
      <c r="A137" s="17" t="s">
        <v>1584</v>
      </c>
      <c r="B137" s="17" t="s">
        <v>63</v>
      </c>
      <c r="C137" s="17" t="s">
        <v>462</v>
      </c>
      <c r="D137" s="17" t="s">
        <v>514</v>
      </c>
      <c r="E137" s="17" t="s">
        <v>1659</v>
      </c>
      <c r="F137" s="18" t="s">
        <v>1253</v>
      </c>
      <c r="G137" s="18" t="s">
        <v>1654</v>
      </c>
      <c r="H137" s="18"/>
    </row>
    <row r="138" spans="1:8" ht="17" customHeight="1" x14ac:dyDescent="0.35">
      <c r="A138" s="17" t="s">
        <v>1585</v>
      </c>
      <c r="B138" s="17" t="s">
        <v>63</v>
      </c>
      <c r="C138" s="17" t="s">
        <v>462</v>
      </c>
      <c r="D138" s="17" t="s">
        <v>514</v>
      </c>
      <c r="E138" s="17" t="s">
        <v>1659</v>
      </c>
      <c r="F138" s="18" t="s">
        <v>534</v>
      </c>
      <c r="G138" s="18" t="s">
        <v>1654</v>
      </c>
      <c r="H138" s="18"/>
    </row>
    <row r="139" spans="1:8" ht="17" customHeight="1" x14ac:dyDescent="0.35">
      <c r="A139" s="17"/>
      <c r="B139" s="17"/>
      <c r="C139" s="17"/>
      <c r="D139" s="17"/>
      <c r="E139" s="17"/>
      <c r="F139" s="18"/>
      <c r="G139" s="18"/>
      <c r="H139" s="18"/>
    </row>
    <row r="140" spans="1:8" ht="17" customHeight="1" x14ac:dyDescent="0.35">
      <c r="A140" s="17" t="s">
        <v>1244</v>
      </c>
      <c r="B140" s="17" t="s">
        <v>1643</v>
      </c>
      <c r="C140" s="17" t="s">
        <v>462</v>
      </c>
      <c r="D140" s="17" t="s">
        <v>586</v>
      </c>
      <c r="E140" s="17" t="s">
        <v>1659</v>
      </c>
      <c r="F140" s="18" t="s">
        <v>1617</v>
      </c>
      <c r="G140" s="18" t="s">
        <v>1654</v>
      </c>
      <c r="H140" s="18"/>
    </row>
    <row r="141" spans="1:8" ht="17" customHeight="1" x14ac:dyDescent="0.35">
      <c r="A141" s="17" t="s">
        <v>1625</v>
      </c>
      <c r="B141" s="17" t="s">
        <v>1643</v>
      </c>
      <c r="C141" s="17" t="s">
        <v>462</v>
      </c>
      <c r="D141" s="17" t="s">
        <v>586</v>
      </c>
      <c r="E141" s="17" t="s">
        <v>1659</v>
      </c>
      <c r="F141" s="18" t="s">
        <v>528</v>
      </c>
      <c r="G141" s="18" t="s">
        <v>1654</v>
      </c>
      <c r="H141" s="18"/>
    </row>
    <row r="142" spans="1:8" ht="17" customHeight="1" x14ac:dyDescent="0.35">
      <c r="A142" s="17" t="s">
        <v>1586</v>
      </c>
      <c r="B142" s="17" t="s">
        <v>52</v>
      </c>
      <c r="C142" s="17" t="s">
        <v>462</v>
      </c>
      <c r="D142" s="17" t="s">
        <v>586</v>
      </c>
      <c r="E142" s="17" t="s">
        <v>1659</v>
      </c>
      <c r="F142" s="18" t="s">
        <v>1250</v>
      </c>
      <c r="G142" s="18" t="s">
        <v>1654</v>
      </c>
      <c r="H142" s="18"/>
    </row>
    <row r="143" spans="1:8" ht="17" customHeight="1" x14ac:dyDescent="0.35">
      <c r="A143" s="17" t="s">
        <v>1243</v>
      </c>
      <c r="B143" s="17" t="s">
        <v>52</v>
      </c>
      <c r="C143" s="17" t="s">
        <v>462</v>
      </c>
      <c r="D143" s="17" t="s">
        <v>586</v>
      </c>
      <c r="E143" s="17" t="s">
        <v>1659</v>
      </c>
      <c r="F143" s="18" t="s">
        <v>1616</v>
      </c>
      <c r="G143" s="18" t="s">
        <v>1654</v>
      </c>
      <c r="H143" s="18"/>
    </row>
    <row r="144" spans="1:8" ht="17" customHeight="1" x14ac:dyDescent="0.35">
      <c r="A144" s="17" t="s">
        <v>1582</v>
      </c>
      <c r="B144" s="17" t="s">
        <v>55</v>
      </c>
      <c r="C144" s="17" t="s">
        <v>462</v>
      </c>
      <c r="D144" s="17" t="s">
        <v>586</v>
      </c>
      <c r="E144" s="17" t="s">
        <v>1659</v>
      </c>
      <c r="F144" s="18" t="s">
        <v>575</v>
      </c>
      <c r="G144" s="18" t="s">
        <v>1654</v>
      </c>
      <c r="H144" s="18"/>
    </row>
    <row r="145" spans="1:8" ht="17" customHeight="1" x14ac:dyDescent="0.35">
      <c r="A145" s="23"/>
      <c r="B145" s="23"/>
      <c r="C145" s="23"/>
      <c r="D145" s="23"/>
      <c r="E145" s="23"/>
      <c r="F145" s="24"/>
      <c r="G145" s="24"/>
      <c r="H145" s="24"/>
    </row>
    <row r="146" spans="1:8" ht="17" customHeight="1" x14ac:dyDescent="0.35">
      <c r="A146" s="17" t="s">
        <v>1587</v>
      </c>
      <c r="B146" s="17" t="s">
        <v>64</v>
      </c>
      <c r="C146" s="17" t="s">
        <v>1113</v>
      </c>
      <c r="D146" s="17" t="s">
        <v>1684</v>
      </c>
      <c r="E146" s="17" t="s">
        <v>1658</v>
      </c>
      <c r="F146" s="18" t="s">
        <v>1588</v>
      </c>
      <c r="G146" s="18" t="s">
        <v>1654</v>
      </c>
      <c r="H146" s="18" t="s">
        <v>1678</v>
      </c>
    </row>
    <row r="147" spans="1:8" ht="17" customHeight="1" x14ac:dyDescent="0.35">
      <c r="A147" s="17" t="s">
        <v>1588</v>
      </c>
      <c r="B147" s="17" t="s">
        <v>64</v>
      </c>
      <c r="C147" s="17" t="s">
        <v>1113</v>
      </c>
      <c r="D147" s="17" t="s">
        <v>1684</v>
      </c>
      <c r="E147" s="17" t="s">
        <v>1659</v>
      </c>
      <c r="F147" s="18" t="s">
        <v>1619</v>
      </c>
      <c r="G147" s="18" t="s">
        <v>1654</v>
      </c>
      <c r="H147" s="18"/>
    </row>
    <row r="148" spans="1:8" ht="17" customHeight="1" x14ac:dyDescent="0.35">
      <c r="A148" s="17" t="s">
        <v>1626</v>
      </c>
      <c r="B148" s="17" t="s">
        <v>1256</v>
      </c>
      <c r="C148" s="17" t="s">
        <v>1113</v>
      </c>
      <c r="D148" s="17" t="s">
        <v>1684</v>
      </c>
      <c r="E148" s="17" t="s">
        <v>1659</v>
      </c>
      <c r="F148" s="18" t="s">
        <v>1255</v>
      </c>
      <c r="G148" s="18" t="s">
        <v>1654</v>
      </c>
      <c r="H148" s="18"/>
    </row>
    <row r="149" spans="1:8" ht="17" customHeight="1" x14ac:dyDescent="0.35">
      <c r="A149" s="17" t="s">
        <v>1626</v>
      </c>
      <c r="B149" s="17" t="s">
        <v>1256</v>
      </c>
      <c r="C149" s="17" t="s">
        <v>1113</v>
      </c>
      <c r="D149" s="17" t="s">
        <v>1684</v>
      </c>
      <c r="E149" s="17" t="s">
        <v>1659</v>
      </c>
      <c r="F149" s="18" t="s">
        <v>1618</v>
      </c>
      <c r="G149" s="18" t="s">
        <v>1654</v>
      </c>
      <c r="H149" s="18"/>
    </row>
    <row r="150" spans="1:8" ht="17" customHeight="1" x14ac:dyDescent="0.35">
      <c r="A150" s="17" t="s">
        <v>1592</v>
      </c>
      <c r="B150" s="17" t="s">
        <v>1258</v>
      </c>
      <c r="C150" s="17" t="s">
        <v>1113</v>
      </c>
      <c r="D150" s="17" t="s">
        <v>1684</v>
      </c>
      <c r="E150" s="17" t="s">
        <v>1658</v>
      </c>
      <c r="F150" s="18" t="s">
        <v>1257</v>
      </c>
      <c r="G150" s="18" t="s">
        <v>1654</v>
      </c>
      <c r="H150" s="18"/>
    </row>
    <row r="151" spans="1:8" ht="17" customHeight="1" x14ac:dyDescent="0.35">
      <c r="A151" s="17" t="s">
        <v>1589</v>
      </c>
      <c r="B151" s="17" t="s">
        <v>1590</v>
      </c>
      <c r="C151" s="17" t="s">
        <v>1113</v>
      </c>
      <c r="D151" s="17" t="s">
        <v>1684</v>
      </c>
      <c r="E151" s="17" t="s">
        <v>1658</v>
      </c>
      <c r="F151" s="18" t="s">
        <v>1591</v>
      </c>
      <c r="G151" s="18" t="s">
        <v>1654</v>
      </c>
      <c r="H151" s="18"/>
    </row>
    <row r="152" spans="1:8" ht="17" customHeight="1" x14ac:dyDescent="0.35">
      <c r="A152" s="17" t="s">
        <v>1593</v>
      </c>
      <c r="B152" s="17" t="s">
        <v>1594</v>
      </c>
      <c r="C152" s="17" t="s">
        <v>1113</v>
      </c>
      <c r="D152" s="17" t="s">
        <v>1684</v>
      </c>
      <c r="E152" s="17" t="s">
        <v>1658</v>
      </c>
      <c r="F152" s="18" t="s">
        <v>1595</v>
      </c>
      <c r="G152" s="18" t="s">
        <v>1654</v>
      </c>
      <c r="H152" s="18"/>
    </row>
    <row r="153" spans="1:8" ht="17" customHeight="1" x14ac:dyDescent="0.35">
      <c r="A153" s="23"/>
      <c r="B153" s="23"/>
      <c r="C153" s="23"/>
      <c r="D153" s="23"/>
      <c r="E153" s="23"/>
      <c r="F153" s="24"/>
      <c r="G153" s="24"/>
      <c r="H153" s="24"/>
    </row>
    <row r="154" spans="1:8" ht="17" customHeight="1" x14ac:dyDescent="0.35">
      <c r="A154" s="17" t="s">
        <v>1604</v>
      </c>
      <c r="B154" s="17" t="s">
        <v>1649</v>
      </c>
      <c r="C154" s="17" t="s">
        <v>1113</v>
      </c>
      <c r="D154" s="17" t="s">
        <v>1684</v>
      </c>
      <c r="E154" s="17" t="s">
        <v>1659</v>
      </c>
      <c r="F154" s="18" t="s">
        <v>1605</v>
      </c>
      <c r="G154" s="18" t="s">
        <v>1654</v>
      </c>
      <c r="H154" s="18" t="s">
        <v>1682</v>
      </c>
    </row>
    <row r="155" spans="1:8" ht="17" customHeight="1" x14ac:dyDescent="0.35">
      <c r="A155" s="17" t="s">
        <v>1602</v>
      </c>
      <c r="B155" s="17" t="s">
        <v>1648</v>
      </c>
      <c r="C155" s="17" t="s">
        <v>1113</v>
      </c>
      <c r="D155" s="17" t="s">
        <v>1684</v>
      </c>
      <c r="E155" s="17" t="s">
        <v>1659</v>
      </c>
      <c r="F155" s="18" t="s">
        <v>1603</v>
      </c>
      <c r="G155" s="18" t="s">
        <v>1654</v>
      </c>
      <c r="H155" s="18"/>
    </row>
    <row r="156" spans="1:8" ht="17" customHeight="1" x14ac:dyDescent="0.35">
      <c r="A156" s="17" t="s">
        <v>1599</v>
      </c>
      <c r="B156" s="17" t="s">
        <v>1600</v>
      </c>
      <c r="C156" s="17" t="s">
        <v>1113</v>
      </c>
      <c r="D156" s="17" t="s">
        <v>1684</v>
      </c>
      <c r="E156" s="17" t="s">
        <v>1659</v>
      </c>
      <c r="F156" s="18" t="s">
        <v>1601</v>
      </c>
      <c r="G156" s="18" t="s">
        <v>1654</v>
      </c>
      <c r="H156" s="18"/>
    </row>
    <row r="157" spans="1:8" ht="17" customHeight="1" x14ac:dyDescent="0.35">
      <c r="A157" s="17" t="s">
        <v>1596</v>
      </c>
      <c r="B157" s="17" t="s">
        <v>1597</v>
      </c>
      <c r="C157" s="17" t="s">
        <v>1113</v>
      </c>
      <c r="D157" s="17" t="s">
        <v>1684</v>
      </c>
      <c r="E157" s="17" t="s">
        <v>1659</v>
      </c>
      <c r="F157" s="18" t="s">
        <v>1598</v>
      </c>
      <c r="G157" s="18" t="s">
        <v>1654</v>
      </c>
      <c r="H157" s="18"/>
    </row>
    <row r="158" spans="1:8" ht="17" customHeight="1" x14ac:dyDescent="0.35">
      <c r="A158" s="17" t="s">
        <v>1609</v>
      </c>
      <c r="B158" s="17" t="s">
        <v>1610</v>
      </c>
      <c r="C158" s="17" t="s">
        <v>1113</v>
      </c>
      <c r="D158" s="17" t="s">
        <v>1684</v>
      </c>
      <c r="E158" s="17" t="s">
        <v>1659</v>
      </c>
      <c r="F158" s="18" t="s">
        <v>1611</v>
      </c>
      <c r="G158" s="18" t="s">
        <v>1654</v>
      </c>
      <c r="H158" s="18"/>
    </row>
    <row r="159" spans="1:8" ht="17" customHeight="1" x14ac:dyDescent="0.35">
      <c r="A159" s="17" t="s">
        <v>1606</v>
      </c>
      <c r="B159" s="17" t="s">
        <v>1607</v>
      </c>
      <c r="C159" s="17" t="s">
        <v>1113</v>
      </c>
      <c r="D159" s="17" t="s">
        <v>1684</v>
      </c>
      <c r="E159" s="17" t="s">
        <v>1659</v>
      </c>
      <c r="F159" s="18" t="s">
        <v>1608</v>
      </c>
      <c r="G159" s="18" t="s">
        <v>1654</v>
      </c>
      <c r="H159" s="18"/>
    </row>
    <row r="160" spans="1:8" ht="17" customHeight="1" x14ac:dyDescent="0.35">
      <c r="A160" s="23"/>
      <c r="B160" s="23"/>
      <c r="C160" s="23"/>
      <c r="D160" s="23"/>
      <c r="E160" s="23"/>
      <c r="F160" s="24"/>
      <c r="G160" s="24"/>
      <c r="H160" s="24"/>
    </row>
    <row r="161" spans="1:8" ht="17" customHeight="1" x14ac:dyDescent="0.35">
      <c r="A161" s="17" t="s">
        <v>1612</v>
      </c>
      <c r="B161" s="17" t="s">
        <v>1646</v>
      </c>
      <c r="C161" s="17" t="s">
        <v>462</v>
      </c>
      <c r="D161" s="17" t="s">
        <v>586</v>
      </c>
      <c r="E161" s="17" t="s">
        <v>1659</v>
      </c>
      <c r="F161" s="18" t="s">
        <v>1613</v>
      </c>
      <c r="G161" s="18" t="s">
        <v>1654</v>
      </c>
      <c r="H161" s="18" t="s">
        <v>1681</v>
      </c>
    </row>
    <row r="162" spans="1:8" ht="17" customHeight="1" x14ac:dyDescent="0.35">
      <c r="A162" s="17" t="s">
        <v>1614</v>
      </c>
      <c r="B162" s="17" t="s">
        <v>1647</v>
      </c>
      <c r="C162" s="17" t="s">
        <v>462</v>
      </c>
      <c r="D162" s="17" t="s">
        <v>586</v>
      </c>
      <c r="E162" s="17" t="s">
        <v>1659</v>
      </c>
      <c r="F162" s="18" t="s">
        <v>1615</v>
      </c>
      <c r="G162" s="18" t="s">
        <v>1654</v>
      </c>
      <c r="H162" s="18"/>
    </row>
    <row r="163" spans="1:8" ht="17" customHeight="1" x14ac:dyDescent="0.35">
      <c r="A163" s="25"/>
      <c r="B163" s="25"/>
      <c r="C163" s="25"/>
      <c r="D163" s="25"/>
      <c r="E163" s="25"/>
      <c r="F163" s="26"/>
      <c r="G163" s="26"/>
      <c r="H163" s="26"/>
    </row>
    <row r="164" spans="1:8" ht="17" customHeight="1" x14ac:dyDescent="0.35">
      <c r="A164" s="17" t="s">
        <v>580</v>
      </c>
      <c r="B164" s="17" t="s">
        <v>1643</v>
      </c>
      <c r="C164" s="17" t="s">
        <v>462</v>
      </c>
      <c r="D164" s="17" t="s">
        <v>514</v>
      </c>
      <c r="E164" s="17" t="s">
        <v>1670</v>
      </c>
      <c r="F164" s="18" t="s">
        <v>579</v>
      </c>
      <c r="G164" s="18" t="s">
        <v>1660</v>
      </c>
      <c r="H164" s="18" t="s">
        <v>1683</v>
      </c>
    </row>
    <row r="165" spans="1:8" ht="17" customHeight="1" x14ac:dyDescent="0.35">
      <c r="A165" s="17" t="s">
        <v>580</v>
      </c>
      <c r="B165" s="17" t="s">
        <v>1643</v>
      </c>
      <c r="C165" s="17" t="s">
        <v>462</v>
      </c>
      <c r="D165" s="17" t="s">
        <v>514</v>
      </c>
      <c r="E165" s="17" t="s">
        <v>1670</v>
      </c>
      <c r="F165" s="18" t="s">
        <v>547</v>
      </c>
      <c r="G165" s="18" t="s">
        <v>1660</v>
      </c>
      <c r="H165" s="18"/>
    </row>
    <row r="166" spans="1:8" ht="17" customHeight="1" x14ac:dyDescent="0.35">
      <c r="A166" s="17" t="s">
        <v>584</v>
      </c>
      <c r="B166" s="17" t="s">
        <v>1643</v>
      </c>
      <c r="C166" s="17" t="s">
        <v>462</v>
      </c>
      <c r="D166" s="17" t="s">
        <v>514</v>
      </c>
      <c r="E166" s="17" t="s">
        <v>1670</v>
      </c>
      <c r="F166" s="18" t="s">
        <v>544</v>
      </c>
      <c r="G166" s="18" t="s">
        <v>1660</v>
      </c>
      <c r="H166" s="18"/>
    </row>
    <row r="167" spans="1:8" ht="17" customHeight="1" x14ac:dyDescent="0.35">
      <c r="A167" s="17" t="s">
        <v>538</v>
      </c>
      <c r="B167" s="17" t="s">
        <v>1643</v>
      </c>
      <c r="C167" s="17" t="s">
        <v>462</v>
      </c>
      <c r="D167" s="17" t="s">
        <v>514</v>
      </c>
      <c r="E167" s="17" t="s">
        <v>1670</v>
      </c>
      <c r="F167" s="18" t="s">
        <v>581</v>
      </c>
      <c r="G167" s="18" t="s">
        <v>1660</v>
      </c>
      <c r="H167" s="18"/>
    </row>
    <row r="168" spans="1:8" ht="17" customHeight="1" x14ac:dyDescent="0.35">
      <c r="A168" s="17" t="s">
        <v>538</v>
      </c>
      <c r="B168" s="17" t="s">
        <v>1643</v>
      </c>
      <c r="C168" s="17" t="s">
        <v>462</v>
      </c>
      <c r="D168" s="17" t="s">
        <v>514</v>
      </c>
      <c r="E168" s="17" t="s">
        <v>1670</v>
      </c>
      <c r="F168" s="18" t="s">
        <v>582</v>
      </c>
      <c r="G168" s="18" t="s">
        <v>1660</v>
      </c>
      <c r="H168" s="18"/>
    </row>
    <row r="169" spans="1:8" ht="17" customHeight="1" x14ac:dyDescent="0.35">
      <c r="A169" s="17" t="s">
        <v>575</v>
      </c>
      <c r="B169" s="17" t="s">
        <v>55</v>
      </c>
      <c r="C169" s="17" t="s">
        <v>462</v>
      </c>
      <c r="D169" s="17" t="s">
        <v>514</v>
      </c>
      <c r="E169" s="17" t="s">
        <v>1670</v>
      </c>
      <c r="F169" s="18" t="s">
        <v>574</v>
      </c>
      <c r="G169" s="18" t="s">
        <v>1660</v>
      </c>
      <c r="H169" s="18"/>
    </row>
    <row r="170" spans="1:8" ht="17" customHeight="1" x14ac:dyDescent="0.35">
      <c r="A170" s="17" t="s">
        <v>575</v>
      </c>
      <c r="B170" s="17" t="s">
        <v>55</v>
      </c>
      <c r="C170" s="17" t="s">
        <v>462</v>
      </c>
      <c r="D170" s="17" t="s">
        <v>514</v>
      </c>
      <c r="E170" s="17" t="s">
        <v>1670</v>
      </c>
      <c r="F170" s="18" t="s">
        <v>545</v>
      </c>
      <c r="G170" s="18" t="s">
        <v>1660</v>
      </c>
      <c r="H170" s="18"/>
    </row>
    <row r="171" spans="1:8" ht="17" customHeight="1" x14ac:dyDescent="0.35">
      <c r="A171" s="17" t="s">
        <v>583</v>
      </c>
      <c r="B171" s="17" t="s">
        <v>55</v>
      </c>
      <c r="C171" s="17" t="s">
        <v>462</v>
      </c>
      <c r="D171" s="17" t="s">
        <v>514</v>
      </c>
      <c r="E171" s="17" t="s">
        <v>1670</v>
      </c>
      <c r="F171" s="18" t="s">
        <v>542</v>
      </c>
      <c r="G171" s="18" t="s">
        <v>1660</v>
      </c>
      <c r="H171" s="18"/>
    </row>
    <row r="172" spans="1:8" ht="17" customHeight="1" x14ac:dyDescent="0.35">
      <c r="A172" s="17" t="s">
        <v>577</v>
      </c>
      <c r="B172" s="17" t="s">
        <v>55</v>
      </c>
      <c r="C172" s="17" t="s">
        <v>462</v>
      </c>
      <c r="D172" s="17" t="s">
        <v>514</v>
      </c>
      <c r="E172" s="17" t="s">
        <v>1670</v>
      </c>
      <c r="F172" s="18" t="s">
        <v>576</v>
      </c>
      <c r="G172" s="18" t="s">
        <v>1660</v>
      </c>
      <c r="H172" s="18"/>
    </row>
    <row r="173" spans="1:8" ht="17" customHeight="1" x14ac:dyDescent="0.35">
      <c r="A173" s="17" t="s">
        <v>577</v>
      </c>
      <c r="B173" s="17" t="s">
        <v>55</v>
      </c>
      <c r="C173" s="17" t="s">
        <v>462</v>
      </c>
      <c r="D173" s="17" t="s">
        <v>514</v>
      </c>
      <c r="E173" s="17" t="s">
        <v>1670</v>
      </c>
      <c r="F173" s="18" t="s">
        <v>578</v>
      </c>
      <c r="G173" s="18" t="s">
        <v>1660</v>
      </c>
      <c r="H173" s="18"/>
    </row>
  </sheetData>
  <sortState xmlns:xlrd2="http://schemas.microsoft.com/office/spreadsheetml/2017/richdata2" ref="A154:G159">
    <sortCondition ref="B154:B159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0FC72-9EDE-4B8D-9F3D-CD0B642C5183}">
  <sheetPr>
    <tabColor rgb="FFFFCCFF"/>
  </sheetPr>
  <dimension ref="A1:H35"/>
  <sheetViews>
    <sheetView showGridLines="0" zoomScale="70" zoomScaleNormal="70" workbookViewId="0">
      <selection activeCell="F4" sqref="F4"/>
    </sheetView>
  </sheetViews>
  <sheetFormatPr defaultRowHeight="17" customHeight="1" x14ac:dyDescent="0.35"/>
  <cols>
    <col min="1" max="1" width="12.453125" style="13" bestFit="1" customWidth="1"/>
    <col min="2" max="2" width="10.54296875" style="13" bestFit="1" customWidth="1"/>
    <col min="3" max="3" width="6.54296875" style="13" bestFit="1" customWidth="1"/>
    <col min="4" max="4" width="7.1796875" style="13" customWidth="1"/>
    <col min="5" max="5" width="6.36328125" style="13" bestFit="1" customWidth="1"/>
    <col min="6" max="6" width="13.26953125" style="13" bestFit="1" customWidth="1"/>
    <col min="7" max="7" width="8" bestFit="1" customWidth="1"/>
    <col min="8" max="8" width="10.6328125" bestFit="1" customWidth="1"/>
  </cols>
  <sheetData>
    <row r="1" spans="1:8" ht="18" customHeight="1" x14ac:dyDescent="0.35">
      <c r="A1" s="44" t="s">
        <v>302</v>
      </c>
      <c r="B1" s="44"/>
      <c r="C1" s="44"/>
      <c r="D1" s="44"/>
    </row>
    <row r="2" spans="1:8" ht="12.75" customHeight="1" x14ac:dyDescent="0.35">
      <c r="A2" s="45" t="s">
        <v>459</v>
      </c>
      <c r="B2" s="45"/>
      <c r="C2" s="45"/>
      <c r="D2" s="45"/>
    </row>
    <row r="3" spans="1:8" ht="12" customHeight="1" x14ac:dyDescent="0.35">
      <c r="A3" s="3" t="s">
        <v>2</v>
      </c>
      <c r="B3" s="31" t="s">
        <v>3</v>
      </c>
      <c r="C3" s="31"/>
      <c r="D3" s="31"/>
    </row>
    <row r="4" spans="1:8" ht="12.75" customHeight="1" x14ac:dyDescent="0.35">
      <c r="A4" s="3" t="s">
        <v>5</v>
      </c>
      <c r="B4" s="31" t="s">
        <v>6</v>
      </c>
      <c r="C4" s="31"/>
      <c r="D4" s="31"/>
    </row>
    <row r="5" spans="1:8" ht="12" customHeight="1" x14ac:dyDescent="0.35">
      <c r="A5" s="3" t="s">
        <v>7</v>
      </c>
      <c r="B5" s="31" t="s">
        <v>8</v>
      </c>
      <c r="C5" s="31"/>
      <c r="D5" s="31"/>
    </row>
    <row r="6" spans="1:8" ht="5.25" customHeight="1" x14ac:dyDescent="0.35"/>
    <row r="7" spans="1:8" ht="12" customHeight="1" x14ac:dyDescent="0.35">
      <c r="A7" s="3" t="s">
        <v>9</v>
      </c>
      <c r="B7" s="31" t="s">
        <v>10</v>
      </c>
      <c r="C7" s="31"/>
      <c r="D7" s="31"/>
    </row>
    <row r="8" spans="1:8" ht="12.75" customHeight="1" x14ac:dyDescent="0.35">
      <c r="A8" s="3" t="s">
        <v>11</v>
      </c>
      <c r="B8" s="31"/>
      <c r="C8" s="31"/>
      <c r="D8" s="31"/>
    </row>
    <row r="9" spans="1:8" ht="12" customHeight="1" x14ac:dyDescent="0.35">
      <c r="A9" s="3" t="s">
        <v>12</v>
      </c>
      <c r="B9" s="31" t="s">
        <v>13</v>
      </c>
      <c r="C9" s="31"/>
      <c r="D9" s="31"/>
    </row>
    <row r="10" spans="1:8" ht="12.75" customHeight="1" x14ac:dyDescent="0.35">
      <c r="A10" s="3" t="s">
        <v>11</v>
      </c>
      <c r="B10" s="31"/>
      <c r="C10" s="31"/>
      <c r="D10" s="31"/>
    </row>
    <row r="11" spans="1:8" ht="10.5" customHeight="1" x14ac:dyDescent="0.35"/>
    <row r="12" spans="1:8" ht="16.5" customHeight="1" x14ac:dyDescent="0.35">
      <c r="A12" s="39" t="s">
        <v>452</v>
      </c>
      <c r="B12" s="39"/>
      <c r="C12" s="39"/>
      <c r="D12" s="39"/>
      <c r="E12" s="39"/>
      <c r="F12" s="39"/>
      <c r="G12" s="41" t="s">
        <v>453</v>
      </c>
      <c r="H12" s="42"/>
    </row>
    <row r="13" spans="1:8" ht="43.5" customHeight="1" x14ac:dyDescent="0.35">
      <c r="A13" s="14" t="s">
        <v>14</v>
      </c>
      <c r="B13" s="15" t="s">
        <v>456</v>
      </c>
      <c r="C13" s="15" t="s">
        <v>455</v>
      </c>
      <c r="D13" s="15" t="s">
        <v>457</v>
      </c>
      <c r="E13" s="15" t="s">
        <v>1641</v>
      </c>
      <c r="F13" s="16" t="s">
        <v>14</v>
      </c>
      <c r="G13" s="16" t="s">
        <v>17</v>
      </c>
      <c r="H13" s="16" t="s">
        <v>1642</v>
      </c>
    </row>
    <row r="14" spans="1:8" ht="17" customHeight="1" x14ac:dyDescent="0.35">
      <c r="A14" s="18" t="s">
        <v>565</v>
      </c>
      <c r="B14" s="17" t="s">
        <v>347</v>
      </c>
      <c r="C14" s="17" t="s">
        <v>462</v>
      </c>
      <c r="D14" s="17" t="s">
        <v>514</v>
      </c>
      <c r="E14" s="17" t="s">
        <v>1658</v>
      </c>
      <c r="F14" s="17" t="s">
        <v>564</v>
      </c>
      <c r="G14" s="18" t="s">
        <v>1660</v>
      </c>
      <c r="H14" s="18" t="s">
        <v>1661</v>
      </c>
    </row>
    <row r="15" spans="1:8" ht="17" customHeight="1" x14ac:dyDescent="0.35">
      <c r="A15" s="18" t="s">
        <v>571</v>
      </c>
      <c r="B15" s="17" t="s">
        <v>357</v>
      </c>
      <c r="C15" s="17" t="s">
        <v>462</v>
      </c>
      <c r="D15" s="17" t="s">
        <v>514</v>
      </c>
      <c r="E15" s="17" t="s">
        <v>1658</v>
      </c>
      <c r="F15" s="17" t="s">
        <v>570</v>
      </c>
      <c r="G15" s="18" t="s">
        <v>1660</v>
      </c>
      <c r="H15" s="18"/>
    </row>
    <row r="16" spans="1:8" ht="17" customHeight="1" x14ac:dyDescent="0.35">
      <c r="A16" s="18" t="s">
        <v>573</v>
      </c>
      <c r="B16" s="17" t="s">
        <v>358</v>
      </c>
      <c r="C16" s="17" t="s">
        <v>462</v>
      </c>
      <c r="D16" s="17" t="s">
        <v>514</v>
      </c>
      <c r="E16" s="17" t="s">
        <v>1659</v>
      </c>
      <c r="F16" s="17" t="s">
        <v>572</v>
      </c>
      <c r="G16" s="18" t="s">
        <v>1660</v>
      </c>
      <c r="H16" s="18"/>
    </row>
    <row r="17" spans="1:8" ht="17" customHeight="1" x14ac:dyDescent="0.35">
      <c r="A17" s="23"/>
      <c r="B17" s="23"/>
      <c r="C17" s="23"/>
      <c r="D17" s="23"/>
      <c r="E17" s="23"/>
      <c r="F17" s="24"/>
      <c r="G17" s="24"/>
      <c r="H17" s="24"/>
    </row>
    <row r="18" spans="1:8" ht="17" customHeight="1" x14ac:dyDescent="0.35">
      <c r="A18" s="17" t="s">
        <v>559</v>
      </c>
      <c r="B18" s="17" t="s">
        <v>350</v>
      </c>
      <c r="C18" s="17" t="s">
        <v>462</v>
      </c>
      <c r="D18" s="17" t="s">
        <v>463</v>
      </c>
      <c r="E18" s="17" t="s">
        <v>1659</v>
      </c>
      <c r="F18" s="18" t="s">
        <v>560</v>
      </c>
      <c r="G18" s="18" t="s">
        <v>1660</v>
      </c>
      <c r="H18" s="18" t="s">
        <v>342</v>
      </c>
    </row>
    <row r="19" spans="1:8" ht="17" customHeight="1" x14ac:dyDescent="0.35">
      <c r="A19" s="17"/>
      <c r="B19" s="17"/>
      <c r="C19" s="17"/>
      <c r="D19" s="17"/>
      <c r="E19" s="17"/>
      <c r="F19" s="18"/>
      <c r="G19" s="18"/>
      <c r="H19" s="18"/>
    </row>
    <row r="20" spans="1:8" ht="17" customHeight="1" x14ac:dyDescent="0.35">
      <c r="A20" s="17" t="s">
        <v>558</v>
      </c>
      <c r="B20" s="17" t="s">
        <v>1643</v>
      </c>
      <c r="C20" s="17" t="s">
        <v>462</v>
      </c>
      <c r="D20" s="17" t="s">
        <v>514</v>
      </c>
      <c r="E20" s="17" t="s">
        <v>1659</v>
      </c>
      <c r="F20" s="18" t="s">
        <v>543</v>
      </c>
      <c r="G20" s="18" t="s">
        <v>1660</v>
      </c>
      <c r="H20" s="18"/>
    </row>
    <row r="21" spans="1:8" ht="17" customHeight="1" x14ac:dyDescent="0.35">
      <c r="A21" s="23"/>
      <c r="B21" s="23"/>
      <c r="C21" s="23"/>
      <c r="D21" s="23"/>
      <c r="E21" s="23"/>
      <c r="F21" s="24"/>
      <c r="G21" s="24"/>
      <c r="H21" s="24"/>
    </row>
    <row r="22" spans="1:8" ht="17" customHeight="1" x14ac:dyDescent="0.35">
      <c r="A22" s="17" t="s">
        <v>562</v>
      </c>
      <c r="B22" s="17" t="s">
        <v>355</v>
      </c>
      <c r="C22" s="17" t="s">
        <v>462</v>
      </c>
      <c r="D22" s="17" t="s">
        <v>463</v>
      </c>
      <c r="E22" s="17" t="s">
        <v>1659</v>
      </c>
      <c r="F22" s="18" t="s">
        <v>563</v>
      </c>
      <c r="G22" s="18" t="s">
        <v>1660</v>
      </c>
      <c r="H22" s="18" t="s">
        <v>345</v>
      </c>
    </row>
    <row r="23" spans="1:8" ht="17" customHeight="1" x14ac:dyDescent="0.35">
      <c r="A23" s="17"/>
      <c r="B23" s="17"/>
      <c r="C23" s="17"/>
      <c r="D23" s="17"/>
      <c r="E23" s="17"/>
      <c r="F23" s="18"/>
      <c r="G23" s="18"/>
      <c r="H23" s="18"/>
    </row>
    <row r="24" spans="1:8" ht="17" customHeight="1" x14ac:dyDescent="0.35">
      <c r="A24" s="17" t="s">
        <v>561</v>
      </c>
      <c r="B24" s="17" t="s">
        <v>1643</v>
      </c>
      <c r="C24" s="17" t="s">
        <v>462</v>
      </c>
      <c r="D24" s="17" t="s">
        <v>514</v>
      </c>
      <c r="E24" s="17" t="s">
        <v>1659</v>
      </c>
      <c r="F24" s="18" t="s">
        <v>548</v>
      </c>
      <c r="G24" s="18" t="s">
        <v>1660</v>
      </c>
      <c r="H24" s="18"/>
    </row>
    <row r="25" spans="1:8" ht="17" customHeight="1" x14ac:dyDescent="0.35">
      <c r="A25" s="23"/>
      <c r="B25" s="23"/>
      <c r="C25" s="23"/>
      <c r="D25" s="23"/>
      <c r="E25" s="23"/>
      <c r="F25" s="24"/>
      <c r="G25" s="24"/>
      <c r="H25" s="24"/>
    </row>
    <row r="26" spans="1:8" ht="17" customHeight="1" x14ac:dyDescent="0.35">
      <c r="A26" s="17" t="s">
        <v>555</v>
      </c>
      <c r="B26" s="17" t="s">
        <v>1643</v>
      </c>
      <c r="C26" s="17" t="s">
        <v>462</v>
      </c>
      <c r="D26" s="17" t="s">
        <v>499</v>
      </c>
      <c r="E26" s="17" t="s">
        <v>1659</v>
      </c>
      <c r="F26" s="18" t="s">
        <v>544</v>
      </c>
      <c r="G26" s="18" t="s">
        <v>1660</v>
      </c>
      <c r="H26" s="18" t="s">
        <v>339</v>
      </c>
    </row>
    <row r="27" spans="1:8" ht="17" customHeight="1" x14ac:dyDescent="0.35">
      <c r="A27" s="17" t="s">
        <v>556</v>
      </c>
      <c r="B27" s="17" t="s">
        <v>348</v>
      </c>
      <c r="C27" s="17" t="s">
        <v>462</v>
      </c>
      <c r="D27" s="17" t="s">
        <v>499</v>
      </c>
      <c r="E27" s="17" t="s">
        <v>1659</v>
      </c>
      <c r="F27" s="18" t="s">
        <v>557</v>
      </c>
      <c r="G27" s="18" t="s">
        <v>1660</v>
      </c>
      <c r="H27" s="18"/>
    </row>
    <row r="28" spans="1:8" ht="17" customHeight="1" x14ac:dyDescent="0.35">
      <c r="A28" s="23"/>
      <c r="B28" s="23"/>
      <c r="C28" s="23"/>
      <c r="D28" s="23"/>
      <c r="E28" s="23"/>
      <c r="F28" s="24"/>
      <c r="G28" s="24"/>
      <c r="H28" s="24"/>
    </row>
    <row r="29" spans="1:8" ht="17" customHeight="1" x14ac:dyDescent="0.35">
      <c r="A29" s="17" t="s">
        <v>552</v>
      </c>
      <c r="B29" s="17" t="s">
        <v>1643</v>
      </c>
      <c r="C29" s="17" t="s">
        <v>462</v>
      </c>
      <c r="D29" s="17" t="s">
        <v>514</v>
      </c>
      <c r="E29" s="17" t="s">
        <v>1659</v>
      </c>
      <c r="F29" s="18" t="s">
        <v>547</v>
      </c>
      <c r="G29" s="18" t="s">
        <v>1660</v>
      </c>
      <c r="H29" s="18" t="s">
        <v>335</v>
      </c>
    </row>
    <row r="30" spans="1:8" ht="17" customHeight="1" x14ac:dyDescent="0.35">
      <c r="A30" s="17" t="s">
        <v>553</v>
      </c>
      <c r="B30" s="17" t="s">
        <v>353</v>
      </c>
      <c r="C30" s="17" t="s">
        <v>462</v>
      </c>
      <c r="D30" s="17" t="s">
        <v>514</v>
      </c>
      <c r="E30" s="17" t="s">
        <v>1659</v>
      </c>
      <c r="F30" s="18" t="s">
        <v>554</v>
      </c>
      <c r="G30" s="18" t="s">
        <v>1660</v>
      </c>
      <c r="H30" s="18"/>
    </row>
    <row r="31" spans="1:8" ht="17" customHeight="1" x14ac:dyDescent="0.35">
      <c r="A31" s="23"/>
      <c r="B31" s="23"/>
      <c r="C31" s="23"/>
      <c r="D31" s="23"/>
      <c r="E31" s="23"/>
      <c r="F31" s="24"/>
      <c r="G31" s="24"/>
      <c r="H31" s="24"/>
    </row>
    <row r="32" spans="1:8" ht="17" customHeight="1" x14ac:dyDescent="0.35">
      <c r="A32" s="17" t="s">
        <v>566</v>
      </c>
      <c r="B32" s="17" t="s">
        <v>55</v>
      </c>
      <c r="C32" s="17" t="s">
        <v>462</v>
      </c>
      <c r="D32" s="17" t="s">
        <v>514</v>
      </c>
      <c r="E32" s="17" t="s">
        <v>1659</v>
      </c>
      <c r="F32" s="18" t="s">
        <v>542</v>
      </c>
      <c r="G32" s="18" t="s">
        <v>1660</v>
      </c>
      <c r="H32" s="18" t="s">
        <v>1662</v>
      </c>
    </row>
    <row r="33" spans="1:8" ht="17" customHeight="1" x14ac:dyDescent="0.35">
      <c r="A33" s="17" t="s">
        <v>567</v>
      </c>
      <c r="B33" s="17" t="s">
        <v>55</v>
      </c>
      <c r="C33" s="17" t="s">
        <v>462</v>
      </c>
      <c r="D33" s="17" t="s">
        <v>514</v>
      </c>
      <c r="E33" s="17" t="s">
        <v>1659</v>
      </c>
      <c r="F33" s="18" t="s">
        <v>541</v>
      </c>
      <c r="G33" s="18" t="s">
        <v>1660</v>
      </c>
      <c r="H33" s="18"/>
    </row>
    <row r="34" spans="1:8" ht="17" customHeight="1" x14ac:dyDescent="0.35">
      <c r="A34" s="17" t="s">
        <v>569</v>
      </c>
      <c r="B34" s="17" t="s">
        <v>55</v>
      </c>
      <c r="C34" s="17" t="s">
        <v>462</v>
      </c>
      <c r="D34" s="17" t="s">
        <v>514</v>
      </c>
      <c r="E34" s="17" t="s">
        <v>1659</v>
      </c>
      <c r="F34" s="18" t="s">
        <v>546</v>
      </c>
      <c r="G34" s="18" t="s">
        <v>1660</v>
      </c>
      <c r="H34" s="18"/>
    </row>
    <row r="35" spans="1:8" ht="17" customHeight="1" x14ac:dyDescent="0.35">
      <c r="A35" s="17" t="s">
        <v>568</v>
      </c>
      <c r="B35" s="17" t="s">
        <v>55</v>
      </c>
      <c r="C35" s="17" t="s">
        <v>462</v>
      </c>
      <c r="D35" s="17" t="s">
        <v>514</v>
      </c>
      <c r="E35" s="17" t="s">
        <v>1659</v>
      </c>
      <c r="F35" s="18" t="s">
        <v>545</v>
      </c>
      <c r="G35" s="18" t="s">
        <v>1660</v>
      </c>
      <c r="H35" s="18"/>
    </row>
  </sheetData>
  <sortState xmlns:xlrd2="http://schemas.microsoft.com/office/spreadsheetml/2017/richdata2" ref="A29:H35">
    <sortCondition ref="A29:A35"/>
    <sortCondition ref="F29:F35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FE005-733D-4FF5-A307-7B7699C866A6}">
  <dimension ref="A1:E50"/>
  <sheetViews>
    <sheetView workbookViewId="0">
      <selection activeCell="E3" sqref="E3"/>
    </sheetView>
  </sheetViews>
  <sheetFormatPr defaultRowHeight="14.5" x14ac:dyDescent="0.35"/>
  <cols>
    <col min="1" max="5" width="13.1796875" customWidth="1"/>
  </cols>
  <sheetData>
    <row r="1" spans="1:5" x14ac:dyDescent="0.35">
      <c r="A1" s="46" t="s">
        <v>1688</v>
      </c>
      <c r="B1" s="46"/>
      <c r="C1" s="19"/>
      <c r="D1" s="19"/>
      <c r="E1" s="19"/>
    </row>
    <row r="2" spans="1:5" x14ac:dyDescent="0.35">
      <c r="A2" s="19" t="s">
        <v>3</v>
      </c>
      <c r="B2" s="19"/>
      <c r="C2" s="19"/>
      <c r="D2" s="19"/>
      <c r="E2" s="19"/>
    </row>
    <row r="3" spans="1:5" x14ac:dyDescent="0.35">
      <c r="A3" s="19" t="s">
        <v>1685</v>
      </c>
      <c r="B3" s="19"/>
      <c r="C3" s="19"/>
      <c r="D3" s="19"/>
      <c r="E3" s="19"/>
    </row>
    <row r="4" spans="1:5" x14ac:dyDescent="0.35">
      <c r="A4" s="19"/>
      <c r="B4" s="19"/>
      <c r="C4" s="19"/>
      <c r="D4" s="19"/>
      <c r="E4" s="19"/>
    </row>
    <row r="5" spans="1:5" x14ac:dyDescent="0.35">
      <c r="A5" s="19"/>
      <c r="B5" s="19"/>
      <c r="C5" s="19"/>
      <c r="D5" s="19"/>
      <c r="E5" s="19"/>
    </row>
    <row r="6" spans="1:5" x14ac:dyDescent="0.35">
      <c r="A6" s="20" t="s">
        <v>130</v>
      </c>
      <c r="B6" s="20" t="s">
        <v>374</v>
      </c>
      <c r="C6" s="20" t="s">
        <v>1657</v>
      </c>
      <c r="D6" s="20" t="s">
        <v>1654</v>
      </c>
      <c r="E6" s="20" t="s">
        <v>1660</v>
      </c>
    </row>
    <row r="7" spans="1:5" x14ac:dyDescent="0.35">
      <c r="A7" s="18" t="s">
        <v>1650</v>
      </c>
      <c r="B7" s="18" t="s">
        <v>387</v>
      </c>
      <c r="C7" s="18" t="s">
        <v>1665</v>
      </c>
      <c r="D7" s="18" t="s">
        <v>1680</v>
      </c>
      <c r="E7" s="18" t="s">
        <v>1661</v>
      </c>
    </row>
    <row r="8" spans="1:5" x14ac:dyDescent="0.35">
      <c r="A8" s="20"/>
      <c r="B8" s="18" t="s">
        <v>396</v>
      </c>
      <c r="C8" s="18" t="s">
        <v>1677</v>
      </c>
      <c r="D8" s="18" t="s">
        <v>1665</v>
      </c>
      <c r="E8" s="18" t="s">
        <v>342</v>
      </c>
    </row>
    <row r="9" spans="1:5" x14ac:dyDescent="0.35">
      <c r="A9" s="20"/>
      <c r="B9" s="18" t="s">
        <v>384</v>
      </c>
      <c r="C9" s="18" t="s">
        <v>1676</v>
      </c>
      <c r="D9" s="18" t="s">
        <v>1674</v>
      </c>
      <c r="E9" s="18" t="s">
        <v>345</v>
      </c>
    </row>
    <row r="10" spans="1:5" x14ac:dyDescent="0.35">
      <c r="A10" s="20"/>
      <c r="B10" s="18" t="s">
        <v>393</v>
      </c>
      <c r="C10" s="18" t="s">
        <v>1675</v>
      </c>
      <c r="D10" s="18" t="s">
        <v>1678</v>
      </c>
      <c r="E10" s="18" t="s">
        <v>339</v>
      </c>
    </row>
    <row r="11" spans="1:5" x14ac:dyDescent="0.35">
      <c r="A11" s="20"/>
      <c r="B11" s="18" t="s">
        <v>390</v>
      </c>
      <c r="C11" s="18" t="s">
        <v>1674</v>
      </c>
      <c r="D11" s="18" t="s">
        <v>1682</v>
      </c>
      <c r="E11" s="18" t="s">
        <v>335</v>
      </c>
    </row>
    <row r="12" spans="1:5" x14ac:dyDescent="0.35">
      <c r="A12" s="20"/>
      <c r="B12" s="18" t="s">
        <v>399</v>
      </c>
      <c r="C12" s="18" t="s">
        <v>1673</v>
      </c>
      <c r="D12" s="18" t="s">
        <v>1681</v>
      </c>
      <c r="E12" s="18" t="s">
        <v>1662</v>
      </c>
    </row>
    <row r="13" spans="1:5" x14ac:dyDescent="0.35">
      <c r="A13" s="20"/>
      <c r="B13" s="18" t="s">
        <v>1665</v>
      </c>
      <c r="C13" s="18" t="s">
        <v>1672</v>
      </c>
      <c r="D13" s="18" t="s">
        <v>1683</v>
      </c>
      <c r="E13" s="20"/>
    </row>
    <row r="14" spans="1:5" x14ac:dyDescent="0.35">
      <c r="A14" s="20"/>
      <c r="B14" s="18" t="s">
        <v>1655</v>
      </c>
      <c r="C14" s="20"/>
      <c r="D14" s="20"/>
      <c r="E14" s="20"/>
    </row>
    <row r="15" spans="1:5" x14ac:dyDescent="0.35">
      <c r="A15" s="20"/>
      <c r="B15" s="18" t="s">
        <v>1656</v>
      </c>
      <c r="C15" s="20"/>
      <c r="D15" s="20"/>
      <c r="E15" s="20"/>
    </row>
    <row r="16" spans="1:5" x14ac:dyDescent="0.35">
      <c r="A16" s="20"/>
      <c r="B16" s="20"/>
      <c r="C16" s="20"/>
      <c r="D16" s="20"/>
      <c r="E16" s="20"/>
    </row>
    <row r="17" spans="1:5" x14ac:dyDescent="0.35">
      <c r="A17" s="20"/>
      <c r="B17" s="20"/>
      <c r="C17" s="20"/>
      <c r="D17" s="20"/>
      <c r="E17" s="20"/>
    </row>
    <row r="18" spans="1:5" x14ac:dyDescent="0.35">
      <c r="A18" s="20"/>
      <c r="B18" s="20"/>
      <c r="C18" s="20"/>
      <c r="D18" s="20"/>
      <c r="E18" s="20"/>
    </row>
    <row r="19" spans="1:5" x14ac:dyDescent="0.35">
      <c r="A19" s="20"/>
      <c r="B19" s="20"/>
      <c r="C19" s="20"/>
      <c r="D19" s="20"/>
      <c r="E19" s="20"/>
    </row>
    <row r="20" spans="1:5" x14ac:dyDescent="0.35">
      <c r="A20" s="20"/>
      <c r="B20" s="20"/>
      <c r="C20" s="20"/>
      <c r="D20" s="20"/>
      <c r="E20" s="20"/>
    </row>
    <row r="21" spans="1:5" x14ac:dyDescent="0.35">
      <c r="A21" s="20"/>
      <c r="B21" s="20"/>
      <c r="C21" s="20"/>
      <c r="D21" s="20"/>
      <c r="E21" s="20"/>
    </row>
    <row r="22" spans="1:5" x14ac:dyDescent="0.35">
      <c r="A22" s="20"/>
      <c r="B22" s="20"/>
      <c r="C22" s="20"/>
      <c r="D22" s="20"/>
      <c r="E22" s="20"/>
    </row>
    <row r="23" spans="1:5" x14ac:dyDescent="0.35">
      <c r="A23" s="20"/>
      <c r="B23" s="20"/>
      <c r="C23" s="20"/>
      <c r="D23" s="20"/>
      <c r="E23" s="20"/>
    </row>
    <row r="24" spans="1:5" x14ac:dyDescent="0.35">
      <c r="A24" s="20"/>
      <c r="B24" s="20"/>
      <c r="C24" s="20"/>
      <c r="D24" s="20"/>
      <c r="E24" s="20"/>
    </row>
    <row r="25" spans="1:5" x14ac:dyDescent="0.35">
      <c r="A25" s="20"/>
      <c r="B25" s="20"/>
      <c r="C25" s="20"/>
      <c r="D25" s="20"/>
      <c r="E25" s="20"/>
    </row>
    <row r="26" spans="1:5" x14ac:dyDescent="0.35">
      <c r="A26" s="20"/>
      <c r="B26" s="20"/>
      <c r="C26" s="20"/>
      <c r="D26" s="20"/>
      <c r="E26" s="20"/>
    </row>
    <row r="27" spans="1:5" x14ac:dyDescent="0.35">
      <c r="A27" s="20"/>
      <c r="B27" s="20"/>
      <c r="C27" s="20"/>
      <c r="D27" s="20"/>
      <c r="E27" s="20"/>
    </row>
    <row r="28" spans="1:5" x14ac:dyDescent="0.35">
      <c r="A28" s="20"/>
      <c r="B28" s="20"/>
      <c r="C28" s="20"/>
      <c r="D28" s="20"/>
      <c r="E28" s="20"/>
    </row>
    <row r="29" spans="1:5" x14ac:dyDescent="0.35">
      <c r="A29" s="20"/>
      <c r="B29" s="20"/>
      <c r="C29" s="20"/>
      <c r="D29" s="20"/>
      <c r="E29" s="20"/>
    </row>
    <row r="30" spans="1:5" x14ac:dyDescent="0.35">
      <c r="A30" s="20"/>
      <c r="B30" s="20"/>
      <c r="C30" s="20"/>
      <c r="D30" s="20"/>
      <c r="E30" s="20"/>
    </row>
    <row r="31" spans="1:5" x14ac:dyDescent="0.35">
      <c r="A31" s="20"/>
      <c r="B31" s="20"/>
      <c r="C31" s="20"/>
      <c r="D31" s="20"/>
      <c r="E31" s="20"/>
    </row>
    <row r="32" spans="1:5" x14ac:dyDescent="0.35">
      <c r="A32" s="20"/>
      <c r="B32" s="20"/>
      <c r="C32" s="20"/>
      <c r="D32" s="20"/>
      <c r="E32" s="20"/>
    </row>
    <row r="33" spans="1:5" x14ac:dyDescent="0.35">
      <c r="A33" s="20"/>
      <c r="B33" s="20"/>
      <c r="C33" s="20"/>
      <c r="D33" s="20"/>
      <c r="E33" s="20"/>
    </row>
    <row r="34" spans="1:5" x14ac:dyDescent="0.35">
      <c r="A34" s="20"/>
      <c r="B34" s="20"/>
      <c r="C34" s="20"/>
      <c r="D34" s="20"/>
      <c r="E34" s="20"/>
    </row>
    <row r="35" spans="1:5" x14ac:dyDescent="0.35">
      <c r="A35" s="20"/>
      <c r="B35" s="20"/>
      <c r="C35" s="20"/>
      <c r="D35" s="20"/>
      <c r="E35" s="20"/>
    </row>
    <row r="36" spans="1:5" x14ac:dyDescent="0.35">
      <c r="A36" s="20"/>
      <c r="B36" s="20"/>
      <c r="C36" s="20"/>
      <c r="D36" s="20"/>
      <c r="E36" s="20"/>
    </row>
    <row r="37" spans="1:5" x14ac:dyDescent="0.35">
      <c r="A37" s="19"/>
      <c r="B37" s="19"/>
      <c r="C37" s="19"/>
      <c r="D37" s="19"/>
      <c r="E37" s="19"/>
    </row>
    <row r="38" spans="1:5" x14ac:dyDescent="0.35">
      <c r="A38" s="19"/>
      <c r="B38" s="19"/>
      <c r="C38" s="19"/>
      <c r="D38" s="19"/>
      <c r="E38" s="19"/>
    </row>
    <row r="39" spans="1:5" x14ac:dyDescent="0.35">
      <c r="A39" s="19"/>
      <c r="B39" s="19"/>
      <c r="C39" s="19"/>
      <c r="D39" s="19"/>
      <c r="E39" s="19"/>
    </row>
    <row r="40" spans="1:5" x14ac:dyDescent="0.35">
      <c r="A40" s="19"/>
      <c r="B40" s="19"/>
      <c r="C40" s="19"/>
      <c r="D40" s="19"/>
      <c r="E40" s="19"/>
    </row>
    <row r="41" spans="1:5" x14ac:dyDescent="0.35">
      <c r="A41" s="19"/>
      <c r="B41" s="19"/>
      <c r="C41" s="19"/>
      <c r="D41" s="19"/>
      <c r="E41" s="19"/>
    </row>
    <row r="42" spans="1:5" x14ac:dyDescent="0.35">
      <c r="A42" s="19"/>
      <c r="B42" s="19"/>
      <c r="C42" s="19"/>
      <c r="D42" s="19"/>
      <c r="E42" s="19"/>
    </row>
    <row r="43" spans="1:5" x14ac:dyDescent="0.35">
      <c r="A43" s="19"/>
      <c r="B43" s="19"/>
      <c r="C43" s="19"/>
      <c r="D43" s="19"/>
      <c r="E43" s="19"/>
    </row>
    <row r="44" spans="1:5" x14ac:dyDescent="0.35">
      <c r="A44" s="19"/>
      <c r="B44" s="19"/>
      <c r="C44" s="19"/>
      <c r="D44" s="19"/>
      <c r="E44" s="19"/>
    </row>
    <row r="45" spans="1:5" x14ac:dyDescent="0.35">
      <c r="A45" s="19"/>
      <c r="B45" s="19"/>
      <c r="C45" s="19"/>
      <c r="D45" s="19"/>
      <c r="E45" s="19"/>
    </row>
    <row r="46" spans="1:5" x14ac:dyDescent="0.35">
      <c r="A46" s="19"/>
      <c r="B46" s="19"/>
      <c r="C46" s="19"/>
      <c r="D46" s="19"/>
      <c r="E46" s="19"/>
    </row>
    <row r="47" spans="1:5" x14ac:dyDescent="0.35">
      <c r="A47" s="19"/>
      <c r="B47" s="19"/>
      <c r="C47" s="19"/>
      <c r="D47" s="19"/>
      <c r="E47" s="19"/>
    </row>
    <row r="48" spans="1:5" x14ac:dyDescent="0.35">
      <c r="A48" s="19"/>
      <c r="B48" s="19"/>
      <c r="C48" s="19"/>
      <c r="D48" s="19"/>
      <c r="E48" s="19"/>
    </row>
    <row r="49" spans="1:5" x14ac:dyDescent="0.35">
      <c r="A49" s="19"/>
      <c r="B49" s="19"/>
      <c r="C49" s="19"/>
      <c r="D49" s="19"/>
      <c r="E49" s="19"/>
    </row>
    <row r="50" spans="1:5" x14ac:dyDescent="0.35">
      <c r="A50" s="19"/>
      <c r="B50" s="19"/>
      <c r="C50" s="19"/>
      <c r="D50" s="19"/>
      <c r="E50" s="19"/>
    </row>
  </sheetData>
  <mergeCells count="1">
    <mergeCell ref="A1:B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55CC0-3EB2-4506-9BA6-03AD554ACC38}">
  <dimension ref="A1:AD31"/>
  <sheetViews>
    <sheetView tabSelected="1" zoomScale="85" zoomScaleNormal="85" workbookViewId="0">
      <selection activeCell="A3" sqref="A3"/>
    </sheetView>
  </sheetViews>
  <sheetFormatPr defaultRowHeight="14.5" x14ac:dyDescent="0.35"/>
  <cols>
    <col min="1" max="30" width="20.6328125" customWidth="1"/>
  </cols>
  <sheetData>
    <row r="1" spans="1:30" ht="64" customHeight="1" x14ac:dyDescent="0.35">
      <c r="A1" s="21" t="str">
        <f>IF('Bundle Tag Info'!A6&lt;&gt;"Panel Name",'Bundle Tag Info'!A6,"")</f>
        <v>CONSOLE</v>
      </c>
      <c r="B1" s="21" t="str">
        <f>IF('Bundle Tag Info'!B6&lt;&gt;"Panel Name",'Bundle Tag Info'!B6,"")</f>
        <v>SCS</v>
      </c>
      <c r="C1" s="21" t="str">
        <f>IF('Bundle Tag Info'!C6&lt;&gt;"Panel Name",'Bundle Tag Info'!C6,"")</f>
        <v>L/S PNL</v>
      </c>
      <c r="D1" s="21" t="str">
        <f>IF('Bundle Tag Info'!D6&lt;&gt;"Panel Name",'Bundle Tag Info'!D6,"")</f>
        <v>BACK PNL</v>
      </c>
      <c r="E1" s="21" t="str">
        <f>IF('Bundle Tag Info'!E6&lt;&gt;"Panel Name",'Bundle Tag Info'!E6,"")</f>
        <v>R/S PNL</v>
      </c>
      <c r="F1" s="21" t="e">
        <f>IF('Bundle Tag Info'!#REF!&lt;&gt;"Panel Name",'Bundle Tag Info'!#REF!,"")</f>
        <v>#REF!</v>
      </c>
      <c r="G1" s="21" t="e">
        <f>IF('Bundle Tag Info'!#REF!&lt;&gt;"Panel Name",'Bundle Tag Info'!#REF!,"")</f>
        <v>#REF!</v>
      </c>
      <c r="H1" s="21" t="e">
        <f>IF('Bundle Tag Info'!#REF!&lt;&gt;"Panel Name",'Bundle Tag Info'!#REF!,"")</f>
        <v>#REF!</v>
      </c>
      <c r="I1" s="21" t="e">
        <f>IF('Bundle Tag Info'!#REF!&lt;&gt;"Panel Name",'Bundle Tag Info'!#REF!,"")</f>
        <v>#REF!</v>
      </c>
      <c r="J1" s="21" t="e">
        <f>IF('Bundle Tag Info'!#REF!&lt;&gt;"Panel Name",'Bundle Tag Info'!#REF!,"")</f>
        <v>#REF!</v>
      </c>
      <c r="K1" s="21" t="e">
        <f>IF('Bundle Tag Info'!#REF!&lt;&gt;"Panel Name",'Bundle Tag Info'!#REF!,"")</f>
        <v>#REF!</v>
      </c>
      <c r="L1" s="21" t="e">
        <f>IF('Bundle Tag Info'!#REF!&lt;&gt;"Panel Name",'Bundle Tag Info'!#REF!,"")</f>
        <v>#REF!</v>
      </c>
      <c r="M1" s="21" t="e">
        <f>IF('Bundle Tag Info'!#REF!&lt;&gt;"Panel Name",'Bundle Tag Info'!#REF!,"")</f>
        <v>#REF!</v>
      </c>
      <c r="N1" s="21" t="e">
        <f>IF('Bundle Tag Info'!#REF!&lt;&gt;"Panel Name",'Bundle Tag Info'!#REF!,"")</f>
        <v>#REF!</v>
      </c>
      <c r="O1" s="21" t="e">
        <f>IF('Bundle Tag Info'!#REF!&lt;&gt;"Panel Name",'Bundle Tag Info'!#REF!,"")</f>
        <v>#REF!</v>
      </c>
      <c r="P1" s="21" t="e">
        <f>IF('Bundle Tag Info'!#REF!&lt;&gt;"Panel Name",'Bundle Tag Info'!#REF!,"")</f>
        <v>#REF!</v>
      </c>
      <c r="Q1" s="21" t="e">
        <f>IF('Bundle Tag Info'!#REF!&lt;&gt;"Panel Name",'Bundle Tag Info'!#REF!,"")</f>
        <v>#REF!</v>
      </c>
      <c r="R1" s="21" t="e">
        <f>IF('Bundle Tag Info'!#REF!&lt;&gt;"Panel Name",'Bundle Tag Info'!#REF!,"")</f>
        <v>#REF!</v>
      </c>
      <c r="S1" s="21" t="e">
        <f>IF('Bundle Tag Info'!#REF!&lt;&gt;"Panel Name",'Bundle Tag Info'!#REF!,"")</f>
        <v>#REF!</v>
      </c>
      <c r="T1" s="21" t="e">
        <f>IF('Bundle Tag Info'!#REF!&lt;&gt;"Panel Name",'Bundle Tag Info'!#REF!,"")</f>
        <v>#REF!</v>
      </c>
      <c r="U1" s="21" t="e">
        <f>IF('Bundle Tag Info'!#REF!&lt;&gt;"Panel Name",'Bundle Tag Info'!#REF!,"")</f>
        <v>#REF!</v>
      </c>
      <c r="V1" s="21" t="e">
        <f>IF('Bundle Tag Info'!#REF!&lt;&gt;"Panel Name",'Bundle Tag Info'!#REF!,"")</f>
        <v>#REF!</v>
      </c>
      <c r="W1" s="21" t="e">
        <f>IF('Bundle Tag Info'!#REF!&lt;&gt;"Panel Name",'Bundle Tag Info'!#REF!,"")</f>
        <v>#REF!</v>
      </c>
      <c r="X1" s="21" t="e">
        <f>IF('Bundle Tag Info'!#REF!&lt;&gt;"Panel Name",'Bundle Tag Info'!#REF!,"")</f>
        <v>#REF!</v>
      </c>
      <c r="Y1" s="21" t="e">
        <f>IF('Bundle Tag Info'!#REF!&lt;&gt;"Panel Name",'Bundle Tag Info'!#REF!,"")</f>
        <v>#REF!</v>
      </c>
      <c r="Z1" s="21" t="e">
        <f>IF('Bundle Tag Info'!#REF!&lt;&gt;"Panel Name",'Bundle Tag Info'!#REF!,"")</f>
        <v>#REF!</v>
      </c>
      <c r="AA1" s="21" t="e">
        <f>IF('Bundle Tag Info'!#REF!&lt;&gt;"Panel Name",'Bundle Tag Info'!#REF!,"")</f>
        <v>#REF!</v>
      </c>
      <c r="AB1" s="21" t="e">
        <f>IF('Bundle Tag Info'!#REF!&lt;&gt;"Panel Name",'Bundle Tag Info'!#REF!,"")</f>
        <v>#REF!</v>
      </c>
      <c r="AC1" s="21" t="e">
        <f>IF('Bundle Tag Info'!#REF!&lt;&gt;"Panel Name",'Bundle Tag Info'!#REF!,"")</f>
        <v>#REF!</v>
      </c>
      <c r="AD1" s="21" t="e">
        <f>IF('Bundle Tag Info'!#REF!&lt;&gt;"Panel Name",'Bundle Tag Info'!#REF!,"")</f>
        <v>#REF!</v>
      </c>
    </row>
    <row r="2" spans="1:30" ht="64" customHeight="1" x14ac:dyDescent="0.35">
      <c r="A2" s="22" t="str">
        <f>IF('Bundle Tag Info'!A$7&lt;&gt;"",CONCATENATE('Bundle Tag Info'!$A$1," ",CHAR(10),'Bundle Tag Info'!$A$2," ",'Bundle Tag Info'!$A$3,CHAR(10),'Bundle Tag Info'!A$6,CHAR(10),'Bundle Tag Info'!A$7),"")</f>
        <v>WOODSIDE GOODWYNN #1 
J1848 Rev. B.2M1
CONSOLE
AT-BACK</v>
      </c>
      <c r="B2" s="22" t="str">
        <f>IF('Bundle Tag Info'!B$7&lt;&gt;"",CONCATENATE('Bundle Tag Info'!$A$1," ",CHAR(10),'Bundle Tag Info'!$A$2," ",'Bundle Tag Info'!$A$3,CHAR(10),'Bundle Tag Info'!B$6,CHAR(10),'Bundle Tag Info'!B$7),"")</f>
        <v>WOODSIDE GOODWYNN #1 
J1848 Rev. B.2M1
SCS
SB0400</v>
      </c>
      <c r="C2" s="22" t="str">
        <f>IF('Bundle Tag Info'!C$7&lt;&gt;"",CONCATENATE('Bundle Tag Info'!$A$1," ",CHAR(10),'Bundle Tag Info'!$A$2," ",'Bundle Tag Info'!$A$3,CHAR(10),'Bundle Tag Info'!C$6,CHAR(10),'Bundle Tag Info'!C$7),"")</f>
        <v>WOODSIDE GOODWYNN #1 
J1848 Rev. B.2M1
L/S PNL
AU/AF</v>
      </c>
      <c r="D2" s="22" t="str">
        <f>IF('Bundle Tag Info'!D$7&lt;&gt;"",CONCATENATE('Bundle Tag Info'!$A$1," ",CHAR(10),'Bundle Tag Info'!$A$2," ",'Bundle Tag Info'!$A$3,CHAR(10),'Bundle Tag Info'!D$6,CHAR(10),'Bundle Tag Info'!D$7),"")</f>
        <v>WOODSIDE GOODWYNN #1 
J1848 Rev. B.2M1
BACK PNL
UJ</v>
      </c>
      <c r="E2" s="22" t="str">
        <f>IF('Bundle Tag Info'!E$7&lt;&gt;"",CONCATENATE('Bundle Tag Info'!$A$1," ",CHAR(10),'Bundle Tag Info'!$A$2," ",'Bundle Tag Info'!$A$3,CHAR(10),'Bundle Tag Info'!E$6,CHAR(10),'Bundle Tag Info'!E$7),"")</f>
        <v>WOODSIDE GOODWYNN #1 
J1848 Rev. B.2M1
R/S PNL
UV</v>
      </c>
      <c r="F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2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3" spans="1:30" ht="64" customHeight="1" x14ac:dyDescent="0.35">
      <c r="A3" s="22" t="str">
        <f>IF('Bundle Tag Info'!A$8&lt;&gt;"",CONCATENATE('Bundle Tag Info'!$A$1," ",CHAR(10),'Bundle Tag Info'!$A$2," ",'Bundle Tag Info'!$A$3,CHAR(10),'Bundle Tag Info'!A$6,CHAR(10),'Bundle Tag Info'!A$8),"")</f>
        <v/>
      </c>
      <c r="B3" s="22" t="str">
        <f>IF('Bundle Tag Info'!B$8&lt;&gt;"",CONCATENATE('Bundle Tag Info'!$A$1," ",CHAR(10),'Bundle Tag Info'!$A$2," ",'Bundle Tag Info'!$A$3,CHAR(10),'Bundle Tag Info'!B$6,CHAR(10),'Bundle Tag Info'!B$8),"")</f>
        <v>WOODSIDE GOODWYNN #1 
J1848 Rev. B.2M1
SCS
SB0403</v>
      </c>
      <c r="C3" s="22" t="str">
        <f>IF('Bundle Tag Info'!C$8&lt;&gt;"",CONCATENATE('Bundle Tag Info'!$A$1," ",CHAR(10),'Bundle Tag Info'!$A$2," ",'Bundle Tag Info'!$A$3,CHAR(10),'Bundle Tag Info'!C$6,CHAR(10),'Bundle Tag Info'!C$8),"")</f>
        <v>WOODSIDE GOODWYNN #1 
J1848 Rev. B.2M1
L/S PNL
KA A1</v>
      </c>
      <c r="D3" s="22" t="str">
        <f>IF('Bundle Tag Info'!D$8&lt;&gt;"",CONCATENATE('Bundle Tag Info'!$A$1," ",CHAR(10),'Bundle Tag Info'!$A$2," ",'Bundle Tag Info'!$A$3,CHAR(10),'Bundle Tag Info'!D$6,CHAR(10),'Bundle Tag Info'!D$8),"")</f>
        <v>WOODSIDE GOODWYNN #1 
J1848 Rev. B.2M1
BACK PNL
AU/AF</v>
      </c>
      <c r="E3" s="22" t="str">
        <f>IF('Bundle Tag Info'!E$8&lt;&gt;"",CONCATENATE('Bundle Tag Info'!$A$1," ",CHAR(10),'Bundle Tag Info'!$A$2," ",'Bundle Tag Info'!$A$3,CHAR(10),'Bundle Tag Info'!E$6,CHAR(10),'Bundle Tag Info'!E$8),"")</f>
        <v>WOODSIDE GOODWYNN #1 
J1848 Rev. B.2M1
R/S PNL
BA0606DH+</v>
      </c>
      <c r="F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3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4" spans="1:30" ht="64" customHeight="1" x14ac:dyDescent="0.35">
      <c r="A4" s="22" t="str">
        <f>IF('Bundle Tag Info'!A$9&lt;&gt;"",CONCATENATE('Bundle Tag Info'!$A$1," ",CHAR(10),'Bundle Tag Info'!$A$2," ",'Bundle Tag Info'!$A$3,CHAR(10),'Bundle Tag Info'!A$6,CHAR(10),'Bundle Tag Info'!A$9),"")</f>
        <v/>
      </c>
      <c r="B4" s="22" t="str">
        <f>IF('Bundle Tag Info'!B$9&lt;&gt;"",CONCATENATE('Bundle Tag Info'!$A$1," ",CHAR(10),'Bundle Tag Info'!$A$2," ",'Bundle Tag Info'!$A$3,CHAR(10),'Bundle Tag Info'!B$6,CHAR(10),'Bundle Tag Info'!B$9),"")</f>
        <v>WOODSIDE GOODWYNN #1 
J1848 Rev. B.2M1
SCS
SA0500</v>
      </c>
      <c r="C4" s="22" t="str">
        <f>IF('Bundle Tag Info'!C$9&lt;&gt;"",CONCATENATE('Bundle Tag Info'!$A$1," ",CHAR(10),'Bundle Tag Info'!$A$2," ",'Bundle Tag Info'!$A$3,CHAR(10),'Bundle Tag Info'!C$6,CHAR(10),'Bundle Tag Info'!C$9),"")</f>
        <v>WOODSIDE GOODWYNN #1 
J1848 Rev. B.2M1
L/S PNL
KA A2</v>
      </c>
      <c r="D4" s="22" t="str">
        <f>IF('Bundle Tag Info'!D$9&lt;&gt;"",CONCATENATE('Bundle Tag Info'!$A$1," ",CHAR(10),'Bundle Tag Info'!$A$2," ",'Bundle Tag Info'!$A$3,CHAR(10),'Bundle Tag Info'!D$6,CHAR(10),'Bundle Tag Info'!D$9),"")</f>
        <v>WOODSIDE GOODWYNN #1 
J1848 Rev. B.2M1
BACK PNL
FU/XT</v>
      </c>
      <c r="E4" s="22" t="str">
        <f>IF('Bundle Tag Info'!E$9&lt;&gt;"",CONCATENATE('Bundle Tag Info'!$A$1," ",CHAR(10),'Bundle Tag Info'!$A$2," ",'Bundle Tag Info'!$A$3,CHAR(10),'Bundle Tag Info'!E$6,CHAR(10),'Bundle Tag Info'!E$9),"")</f>
        <v>WOODSIDE GOODWYNN #1 
J1848 Rev. B.2M1
R/S PNL
BA0680</v>
      </c>
      <c r="F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4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5" spans="1:30" ht="64" customHeight="1" x14ac:dyDescent="0.35">
      <c r="A5" s="22" t="str">
        <f>IF('Bundle Tag Info'!A$10&lt;&gt;"",CONCATENATE('Bundle Tag Info'!$A$1," ",CHAR(10),'Bundle Tag Info'!$A$2," ",'Bundle Tag Info'!$A$3,CHAR(10),'Bundle Tag Info'!A$6,CHAR(10),'Bundle Tag Info'!A$10),"")</f>
        <v/>
      </c>
      <c r="B5" s="22" t="str">
        <f>IF('Bundle Tag Info'!B$10&lt;&gt;"",CONCATENATE('Bundle Tag Info'!$A$1," ",CHAR(10),'Bundle Tag Info'!$A$2," ",'Bundle Tag Info'!$A$3,CHAR(10),'Bundle Tag Info'!B$6,CHAR(10),'Bundle Tag Info'!B$10),"")</f>
        <v>WOODSIDE GOODWYNN #1 
J1848 Rev. B.2M1
SCS
SB0402</v>
      </c>
      <c r="C5" s="22" t="str">
        <f>IF('Bundle Tag Info'!C$10&lt;&gt;"",CONCATENATE('Bundle Tag Info'!$A$1," ",CHAR(10),'Bundle Tag Info'!$A$2," ",'Bundle Tag Info'!$A$3,CHAR(10),'Bundle Tag Info'!C$6,CHAR(10),'Bundle Tag Info'!C$10),"")</f>
        <v>WOODSIDE GOODWYNN #1 
J1848 Rev. B.2M1
L/S PNL
KA</v>
      </c>
      <c r="D5" s="22" t="str">
        <f>IF('Bundle Tag Info'!D$10&lt;&gt;"",CONCATENATE('Bundle Tag Info'!$A$1," ",CHAR(10),'Bundle Tag Info'!$A$2," ",'Bundle Tag Info'!$A$3,CHAR(10),'Bundle Tag Info'!D$6,CHAR(10),'Bundle Tag Info'!D$10),"")</f>
        <v>WOODSIDE GOODWYNN #1 
J1848 Rev. B.2M1
BACK PNL
FU/XT RED</v>
      </c>
      <c r="E5" s="22" t="str">
        <f>IF('Bundle Tag Info'!E$10&lt;&gt;"",CONCATENATE('Bundle Tag Info'!$A$1," ",CHAR(10),'Bundle Tag Info'!$A$2," ",'Bundle Tag Info'!$A$3,CHAR(10),'Bundle Tag Info'!E$6,CHAR(10),'Bundle Tag Info'!E$10),"")</f>
        <v>WOODSIDE GOODWYNN #1 
J1848 Rev. B.2M1
R/S PNL
BA0606</v>
      </c>
      <c r="F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5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6" spans="1:30" ht="64" customHeight="1" x14ac:dyDescent="0.35">
      <c r="A6" s="22" t="str">
        <f>IF('Bundle Tag Info'!A$11&lt;&gt;"",CONCATENATE('Bundle Tag Info'!$A$1," ",CHAR(10),'Bundle Tag Info'!$A$2," ",'Bundle Tag Info'!$A$3,CHAR(10),'Bundle Tag Info'!A$6,CHAR(10),'Bundle Tag Info'!A$11),"")</f>
        <v/>
      </c>
      <c r="B6" s="22" t="str">
        <f>IF('Bundle Tag Info'!B$11&lt;&gt;"",CONCATENATE('Bundle Tag Info'!$A$1," ",CHAR(10),'Bundle Tag Info'!$A$2," ",'Bundle Tag Info'!$A$3,CHAR(10),'Bundle Tag Info'!B$6,CHAR(10),'Bundle Tag Info'!B$11),"")</f>
        <v>WOODSIDE GOODWYNN #1 
J1848 Rev. B.2M1
SCS
SB0401</v>
      </c>
      <c r="C6" s="22" t="str">
        <f>IF('Bundle Tag Info'!C$11&lt;&gt;"",CONCATENATE('Bundle Tag Info'!$A$1," ",CHAR(10),'Bundle Tag Info'!$A$2," ",'Bundle Tag Info'!$A$3,CHAR(10),'Bundle Tag Info'!C$6,CHAR(10),'Bundle Tag Info'!C$11),"")</f>
        <v>WOODSIDE GOODWYNN #1 
J1848 Rev. B.2M1
L/S PNL
FU/XT</v>
      </c>
      <c r="D6" s="22" t="str">
        <f>IF('Bundle Tag Info'!D$11&lt;&gt;"",CONCATENATE('Bundle Tag Info'!$A$1," ",CHAR(10),'Bundle Tag Info'!$A$2," ",'Bundle Tag Info'!$A$3,CHAR(10),'Bundle Tag Info'!D$6,CHAR(10),'Bundle Tag Info'!D$11),"")</f>
        <v>WOODSIDE GOODWYNN #1 
J1848 Rev. B.2M1
BACK PNL
QS RED</v>
      </c>
      <c r="E6" s="22" t="str">
        <f>IF('Bundle Tag Info'!E$11&lt;&gt;"",CONCATENATE('Bundle Tag Info'!$A$1," ",CHAR(10),'Bundle Tag Info'!$A$2," ",'Bundle Tag Info'!$A$3,CHAR(10),'Bundle Tag Info'!E$6,CHAR(10),'Bundle Tag Info'!E$11),"")</f>
        <v>WOODSIDE GOODWYNN #1 
J1848 Rev. B.2M1
R/S PNL
AT0680</v>
      </c>
      <c r="F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6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7" spans="1:30" ht="64" customHeight="1" x14ac:dyDescent="0.35">
      <c r="A7" s="22" t="str">
        <f>IF('Bundle Tag Info'!A$12&lt;&gt;"",CONCATENATE('Bundle Tag Info'!$A$1," ",CHAR(10),'Bundle Tag Info'!$A$2," ",'Bundle Tag Info'!$A$3,CHAR(10),'Bundle Tag Info'!A$6,CHAR(10),'Bundle Tag Info'!A$12),"")</f>
        <v/>
      </c>
      <c r="B7" s="22" t="str">
        <f>IF('Bundle Tag Info'!B$12&lt;&gt;"",CONCATENATE('Bundle Tag Info'!$A$1," ",CHAR(10),'Bundle Tag Info'!$A$2," ",'Bundle Tag Info'!$A$3,CHAR(10),'Bundle Tag Info'!B$6,CHAR(10),'Bundle Tag Info'!B$12),"")</f>
        <v>WOODSIDE GOODWYNN #1 
J1848 Rev. B.2M1
SCS
SH0418</v>
      </c>
      <c r="C7" s="22" t="str">
        <f>IF('Bundle Tag Info'!C$12&lt;&gt;"",CONCATENATE('Bundle Tag Info'!$A$1," ",CHAR(10),'Bundle Tag Info'!$A$2," ",'Bundle Tag Info'!$A$3,CHAR(10),'Bundle Tag Info'!C$6,CHAR(10),'Bundle Tag Info'!C$12),"")</f>
        <v>WOODSIDE GOODWYNN #1 
J1848 Rev. B.2M1
L/S PNL
KA-BACK</v>
      </c>
      <c r="D7" s="22" t="str">
        <f>IF('Bundle Tag Info'!D$12&lt;&gt;"",CONCATENATE('Bundle Tag Info'!$A$1," ",CHAR(10),'Bundle Tag Info'!$A$2," ",'Bundle Tag Info'!$A$3,CHAR(10),'Bundle Tag Info'!D$6,CHAR(10),'Bundle Tag Info'!D$12),"")</f>
        <v>WOODSIDE GOODWYNN #1 
J1848 Rev. B.2M1
BACK PNL
QS</v>
      </c>
      <c r="E7" s="22" t="str">
        <f>IF('Bundle Tag Info'!E$12&lt;&gt;"",CONCATENATE('Bundle Tag Info'!$A$1," ",CHAR(10),'Bundle Tag Info'!$A$2," ",'Bundle Tag Info'!$A$3,CHAR(10),'Bundle Tag Info'!E$6,CHAR(10),'Bundle Tag Info'!E$12),"")</f>
        <v>WOODSIDE GOODWYNN #1 
J1848 Rev. B.2M1
R/S PNL
FU</v>
      </c>
      <c r="F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7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8" spans="1:30" ht="64" customHeight="1" x14ac:dyDescent="0.35">
      <c r="A8" s="22" t="str">
        <f>IF('Bundle Tag Info'!A$13&lt;&gt;"",CONCATENATE('Bundle Tag Info'!$A$1," ",CHAR(10),'Bundle Tag Info'!$A$2," ",'Bundle Tag Info'!$A$3,CHAR(10),'Bundle Tag Info'!A$6,CHAR(10),'Bundle Tag Info'!A$13),"")</f>
        <v/>
      </c>
      <c r="B8" s="22" t="str">
        <f>IF('Bundle Tag Info'!B$13&lt;&gt;"",CONCATENATE('Bundle Tag Info'!$A$1," ",CHAR(10),'Bundle Tag Info'!$A$2," ",'Bundle Tag Info'!$A$3,CHAR(10),'Bundle Tag Info'!B$6,CHAR(10),'Bundle Tag Info'!B$13),"")</f>
        <v>WOODSIDE GOODWYNN #1 
J1848 Rev. B.2M1
SCS
AU/AF</v>
      </c>
      <c r="C8" s="22" t="str">
        <f>IF('Bundle Tag Info'!C$13&lt;&gt;"",CONCATENATE('Bundle Tag Info'!$A$1," ",CHAR(10),'Bundle Tag Info'!$A$2," ",'Bundle Tag Info'!$A$3,CHAR(10),'Bundle Tag Info'!C$6,CHAR(10),'Bundle Tag Info'!C$13),"")</f>
        <v>WOODSIDE GOODWYNN #1 
J1848 Rev. B.2M1
L/S PNL
XT-BACK</v>
      </c>
      <c r="D8" s="22" t="str">
        <f>IF('Bundle Tag Info'!D$13&lt;&gt;"",CONCATENATE('Bundle Tag Info'!$A$1," ",CHAR(10),'Bundle Tag Info'!$A$2," ",'Bundle Tag Info'!$A$3,CHAR(10),'Bundle Tag Info'!D$6,CHAR(10),'Bundle Tag Info'!D$13),"")</f>
        <v>WOODSIDE GOODWYNN #1 
J1848 Rev. B.2M1
BACK PNL
XT-R/S</v>
      </c>
      <c r="E8" s="22" t="str">
        <f>IF('Bundle Tag Info'!E$13&lt;&gt;"",CONCATENATE('Bundle Tag Info'!$A$1," ",CHAR(10),'Bundle Tag Info'!$A$2," ",'Bundle Tag Info'!$A$3,CHAR(10),'Bundle Tag Info'!E$6,CHAR(10),'Bundle Tag Info'!E$13),"")</f>
        <v/>
      </c>
      <c r="F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8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9" spans="1:30" ht="64" customHeight="1" x14ac:dyDescent="0.35">
      <c r="A9" s="22" t="str">
        <f>IF('Bundle Tag Info'!A$14&lt;&gt;"",CONCATENATE('Bundle Tag Info'!$A$1," ",CHAR(10),'Bundle Tag Info'!$A$2," ",'Bundle Tag Info'!$A$3,CHAR(10),'Bundle Tag Info'!A$6,CHAR(10),'Bundle Tag Info'!A$14),"")</f>
        <v/>
      </c>
      <c r="B9" s="22" t="str">
        <f>IF('Bundle Tag Info'!B$14&lt;&gt;"",CONCATENATE('Bundle Tag Info'!$A$1," ",CHAR(10),'Bundle Tag Info'!$A$2," ",'Bundle Tag Info'!$A$3,CHAR(10),'Bundle Tag Info'!B$6,CHAR(10),'Bundle Tag Info'!B$14),"")</f>
        <v>WOODSIDE GOODWYNN #1 
J1848 Rev. B.2M1
SCS
AU/AF-BACK</v>
      </c>
      <c r="C9" s="22" t="str">
        <f>IF('Bundle Tag Info'!C$14&lt;&gt;"",CONCATENATE('Bundle Tag Info'!$A$1," ",CHAR(10),'Bundle Tag Info'!$A$2," ",'Bundle Tag Info'!$A$3,CHAR(10),'Bundle Tag Info'!C$6,CHAR(10),'Bundle Tag Info'!C$14),"")</f>
        <v/>
      </c>
      <c r="D9" s="22" t="str">
        <f>IF('Bundle Tag Info'!D$14&lt;&gt;"",CONCATENATE('Bundle Tag Info'!$A$1," ",CHAR(10),'Bundle Tag Info'!$A$2," ",'Bundle Tag Info'!$A$3,CHAR(10),'Bundle Tag Info'!D$6,CHAR(10),'Bundle Tag Info'!D$14),"")</f>
        <v/>
      </c>
      <c r="E9" s="22" t="str">
        <f>IF('Bundle Tag Info'!E$14&lt;&gt;"",CONCATENATE('Bundle Tag Info'!$A$1," ",CHAR(10),'Bundle Tag Info'!$A$2," ",'Bundle Tag Info'!$A$3,CHAR(10),'Bundle Tag Info'!E$6,CHAR(10),'Bundle Tag Info'!E$14),"")</f>
        <v/>
      </c>
      <c r="F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9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10" spans="1:30" ht="64" customHeight="1" x14ac:dyDescent="0.35">
      <c r="A10" s="22" t="str">
        <f>IF('Bundle Tag Info'!A$15&lt;&gt;"",CONCATENATE('Bundle Tag Info'!$A$1," ",CHAR(10),'Bundle Tag Info'!$A$2," ",'Bundle Tag Info'!$A$3,CHAR(10),'Bundle Tag Info'!A$6,CHAR(10),'Bundle Tag Info'!A$15),"")</f>
        <v/>
      </c>
      <c r="B10" s="22" t="str">
        <f>IF('Bundle Tag Info'!B$15&lt;&gt;"",CONCATENATE('Bundle Tag Info'!$A$1," ",CHAR(10),'Bundle Tag Info'!$A$2," ",'Bundle Tag Info'!$A$3,CHAR(10),'Bundle Tag Info'!B$6,CHAR(10),'Bundle Tag Info'!B$15),"")</f>
        <v>WOODSIDE GOODWYNN #1 
J1848 Rev. B.2M1
SCS
FU/XT-BACK</v>
      </c>
      <c r="C10" s="22" t="str">
        <f>IF('Bundle Tag Info'!C$15&lt;&gt;"",CONCATENATE('Bundle Tag Info'!$A$1," ",CHAR(10),'Bundle Tag Info'!$A$2," ",'Bundle Tag Info'!$A$3,CHAR(10),'Bundle Tag Info'!C$6,CHAR(10),'Bundle Tag Info'!C$15),"")</f>
        <v/>
      </c>
      <c r="D10" s="22" t="str">
        <f>IF('Bundle Tag Info'!D$15&lt;&gt;"",CONCATENATE('Bundle Tag Info'!$A$1," ",CHAR(10),'Bundle Tag Info'!$A$2," ",'Bundle Tag Info'!$A$3,CHAR(10),'Bundle Tag Info'!D$6,CHAR(10),'Bundle Tag Info'!D$15),"")</f>
        <v/>
      </c>
      <c r="E10" s="22" t="str">
        <f>IF('Bundle Tag Info'!E$15&lt;&gt;"",CONCATENATE('Bundle Tag Info'!$A$1," ",CHAR(10),'Bundle Tag Info'!$A$2," ",'Bundle Tag Info'!$A$3,CHAR(10),'Bundle Tag Info'!E$6,CHAR(10),'Bundle Tag Info'!E$15),"")</f>
        <v/>
      </c>
      <c r="F1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1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1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1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1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1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1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1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1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1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1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1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1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1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1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1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1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1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1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1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1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1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1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1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10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11" spans="1:30" ht="64" customHeight="1" x14ac:dyDescent="0.35">
      <c r="A11" s="22" t="str">
        <f>IF('Bundle Tag Info'!A$16&lt;&gt;"",CONCATENATE('Bundle Tag Info'!$A$1," ",CHAR(10),'Bundle Tag Info'!$A$2," ",'Bundle Tag Info'!$A$3,CHAR(10),'Bundle Tag Info'!A$6,CHAR(10),'Bundle Tag Info'!A$16),"")</f>
        <v/>
      </c>
      <c r="B11" s="22" t="str">
        <f>IF('Bundle Tag Info'!B$16&lt;&gt;"",CONCATENATE('Bundle Tag Info'!$A$1," ",CHAR(10),'Bundle Tag Info'!$A$2," ",'Bundle Tag Info'!$A$3,CHAR(10),'Bundle Tag Info'!B$6,CHAR(10),'Bundle Tag Info'!B$16),"")</f>
        <v/>
      </c>
      <c r="C11" s="22" t="str">
        <f>IF('Bundle Tag Info'!C$16&lt;&gt;"",CONCATENATE('Bundle Tag Info'!$A$1," ",CHAR(10),'Bundle Tag Info'!$A$2," ",'Bundle Tag Info'!$A$3,CHAR(10),'Bundle Tag Info'!C$6,CHAR(10),'Bundle Tag Info'!C$16),"")</f>
        <v/>
      </c>
      <c r="D11" s="22" t="str">
        <f>IF('Bundle Tag Info'!D$16&lt;&gt;"",CONCATENATE('Bundle Tag Info'!$A$1," ",CHAR(10),'Bundle Tag Info'!$A$2," ",'Bundle Tag Info'!$A$3,CHAR(10),'Bundle Tag Info'!D$6,CHAR(10),'Bundle Tag Info'!D$16),"")</f>
        <v/>
      </c>
      <c r="E11" s="22" t="str">
        <f>IF('Bundle Tag Info'!E$16&lt;&gt;"",CONCATENATE('Bundle Tag Info'!$A$1," ",CHAR(10),'Bundle Tag Info'!$A$2," ",'Bundle Tag Info'!$A$3,CHAR(10),'Bundle Tag Info'!E$6,CHAR(10),'Bundle Tag Info'!E$16),"")</f>
        <v/>
      </c>
      <c r="F1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1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1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1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1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1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1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1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1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1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1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1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1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1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1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1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1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1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1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1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1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1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1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1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11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12" spans="1:30" ht="64" customHeight="1" x14ac:dyDescent="0.35">
      <c r="A12" s="22" t="str">
        <f>IF('Bundle Tag Info'!A$17&lt;&gt;"",CONCATENATE('Bundle Tag Info'!$A$1," ",CHAR(10),'Bundle Tag Info'!$A$2," ",'Bundle Tag Info'!$A$3,CHAR(10),'Bundle Tag Info'!A$6,CHAR(10),'Bundle Tag Info'!A$17),"")</f>
        <v/>
      </c>
      <c r="B12" s="22" t="str">
        <f>IF('Bundle Tag Info'!B$17&lt;&gt;"",CONCATENATE('Bundle Tag Info'!$A$1," ",CHAR(10),'Bundle Tag Info'!$A$2," ",'Bundle Tag Info'!$A$3,CHAR(10),'Bundle Tag Info'!B$6,CHAR(10),'Bundle Tag Info'!B$17),"")</f>
        <v/>
      </c>
      <c r="C12" s="22" t="str">
        <f>IF('Bundle Tag Info'!C$17&lt;&gt;"",CONCATENATE('Bundle Tag Info'!$A$1," ",CHAR(10),'Bundle Tag Info'!$A$2," ",'Bundle Tag Info'!$A$3,CHAR(10),'Bundle Tag Info'!C$6,CHAR(10),'Bundle Tag Info'!C$17),"")</f>
        <v/>
      </c>
      <c r="D12" s="22" t="str">
        <f>IF('Bundle Tag Info'!D$17&lt;&gt;"",CONCATENATE('Bundle Tag Info'!$A$1," ",CHAR(10),'Bundle Tag Info'!$A$2," ",'Bundle Tag Info'!$A$3,CHAR(10),'Bundle Tag Info'!D$6,CHAR(10),'Bundle Tag Info'!D$17),"")</f>
        <v/>
      </c>
      <c r="E12" s="22" t="str">
        <f>IF('Bundle Tag Info'!E$17&lt;&gt;"",CONCATENATE('Bundle Tag Info'!$A$1," ",CHAR(10),'Bundle Tag Info'!$A$2," ",'Bundle Tag Info'!$A$3,CHAR(10),'Bundle Tag Info'!E$6,CHAR(10),'Bundle Tag Info'!E$17),"")</f>
        <v/>
      </c>
      <c r="F1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1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1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1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1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1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1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1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1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1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1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1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1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1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1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1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1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1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1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1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1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1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1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1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12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13" spans="1:30" ht="64" customHeight="1" x14ac:dyDescent="0.35">
      <c r="A13" s="22" t="str">
        <f>IF('Bundle Tag Info'!A$18&lt;&gt;"",CONCATENATE('Bundle Tag Info'!$A$1," ",CHAR(10),'Bundle Tag Info'!$A$2," ",'Bundle Tag Info'!$A$3,CHAR(10),'Bundle Tag Info'!A$6,CHAR(10),'Bundle Tag Info'!A$18),"")</f>
        <v/>
      </c>
      <c r="B13" s="22" t="str">
        <f>IF('Bundle Tag Info'!B$18&lt;&gt;"",CONCATENATE('Bundle Tag Info'!$A$1," ",CHAR(10),'Bundle Tag Info'!$A$2," ",'Bundle Tag Info'!$A$3,CHAR(10),'Bundle Tag Info'!B$6,CHAR(10),'Bundle Tag Info'!B$18),"")</f>
        <v/>
      </c>
      <c r="C13" s="22" t="str">
        <f>IF('Bundle Tag Info'!C$18&lt;&gt;"",CONCATENATE('Bundle Tag Info'!$A$1," ",CHAR(10),'Bundle Tag Info'!$A$2," ",'Bundle Tag Info'!$A$3,CHAR(10),'Bundle Tag Info'!C$6,CHAR(10),'Bundle Tag Info'!C$18),"")</f>
        <v/>
      </c>
      <c r="D13" s="22" t="str">
        <f>IF('Bundle Tag Info'!D$18&lt;&gt;"",CONCATENATE('Bundle Tag Info'!$A$1," ",CHAR(10),'Bundle Tag Info'!$A$2," ",'Bundle Tag Info'!$A$3,CHAR(10),'Bundle Tag Info'!D$6,CHAR(10),'Bundle Tag Info'!D$18),"")</f>
        <v/>
      </c>
      <c r="E13" s="22" t="str">
        <f>IF('Bundle Tag Info'!E$18&lt;&gt;"",CONCATENATE('Bundle Tag Info'!$A$1," ",CHAR(10),'Bundle Tag Info'!$A$2," ",'Bundle Tag Info'!$A$3,CHAR(10),'Bundle Tag Info'!E$6,CHAR(10),'Bundle Tag Info'!E$18),"")</f>
        <v/>
      </c>
      <c r="F1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1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1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1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1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1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1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1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1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1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1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1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1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1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1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1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1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1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1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1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1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1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1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1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13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14" spans="1:30" ht="64" customHeight="1" x14ac:dyDescent="0.35">
      <c r="A14" s="22" t="str">
        <f>IF('Bundle Tag Info'!A$19&lt;&gt;"",CONCATENATE('Bundle Tag Info'!$A$1," ",CHAR(10),'Bundle Tag Info'!$A$2," ",'Bundle Tag Info'!$A$3,CHAR(10),'Bundle Tag Info'!A$6,CHAR(10),'Bundle Tag Info'!A$19),"")</f>
        <v/>
      </c>
      <c r="B14" s="22" t="str">
        <f>IF('Bundle Tag Info'!B$19&lt;&gt;"",CONCATENATE('Bundle Tag Info'!$A$1," ",CHAR(10),'Bundle Tag Info'!$A$2," ",'Bundle Tag Info'!$A$3,CHAR(10),'Bundle Tag Info'!B$6,CHAR(10),'Bundle Tag Info'!B$19),"")</f>
        <v/>
      </c>
      <c r="C14" s="22" t="str">
        <f>IF('Bundle Tag Info'!C$19&lt;&gt;"",CONCATENATE('Bundle Tag Info'!$A$1," ",CHAR(10),'Bundle Tag Info'!$A$2," ",'Bundle Tag Info'!$A$3,CHAR(10),'Bundle Tag Info'!C$6,CHAR(10),'Bundle Tag Info'!C$19),"")</f>
        <v/>
      </c>
      <c r="D14" s="22" t="str">
        <f>IF('Bundle Tag Info'!D$19&lt;&gt;"",CONCATENATE('Bundle Tag Info'!$A$1," ",CHAR(10),'Bundle Tag Info'!$A$2," ",'Bundle Tag Info'!$A$3,CHAR(10),'Bundle Tag Info'!D$6,CHAR(10),'Bundle Tag Info'!D$19),"")</f>
        <v/>
      </c>
      <c r="E14" s="22" t="str">
        <f>IF('Bundle Tag Info'!E$19&lt;&gt;"",CONCATENATE('Bundle Tag Info'!$A$1," ",CHAR(10),'Bundle Tag Info'!$A$2," ",'Bundle Tag Info'!$A$3,CHAR(10),'Bundle Tag Info'!E$6,CHAR(10),'Bundle Tag Info'!E$19),"")</f>
        <v/>
      </c>
      <c r="F1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1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1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1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1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1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1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1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1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1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1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1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1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1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1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1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1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1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1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1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1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1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1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1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14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15" spans="1:30" ht="64" customHeight="1" x14ac:dyDescent="0.35">
      <c r="A15" s="22" t="str">
        <f>IF('Bundle Tag Info'!A$20&lt;&gt;"",CONCATENATE('Bundle Tag Info'!$A$1," ",CHAR(10),'Bundle Tag Info'!$A$2," ",'Bundle Tag Info'!$A$3,CHAR(10),'Bundle Tag Info'!A$6,CHAR(10),'Bundle Tag Info'!A$20),"")</f>
        <v/>
      </c>
      <c r="B15" s="22" t="str">
        <f>IF('Bundle Tag Info'!B$20&lt;&gt;"",CONCATENATE('Bundle Tag Info'!$A$1," ",CHAR(10),'Bundle Tag Info'!$A$2," ",'Bundle Tag Info'!$A$3,CHAR(10),'Bundle Tag Info'!B$6,CHAR(10),'Bundle Tag Info'!B$20),"")</f>
        <v/>
      </c>
      <c r="C15" s="22" t="str">
        <f>IF('Bundle Tag Info'!C$20&lt;&gt;"",CONCATENATE('Bundle Tag Info'!$A$1," ",CHAR(10),'Bundle Tag Info'!$A$2," ",'Bundle Tag Info'!$A$3,CHAR(10),'Bundle Tag Info'!C$6,CHAR(10),'Bundle Tag Info'!C$20),"")</f>
        <v/>
      </c>
      <c r="D15" s="22" t="str">
        <f>IF('Bundle Tag Info'!D$20&lt;&gt;"",CONCATENATE('Bundle Tag Info'!$A$1," ",CHAR(10),'Bundle Tag Info'!$A$2," ",'Bundle Tag Info'!$A$3,CHAR(10),'Bundle Tag Info'!D$6,CHAR(10),'Bundle Tag Info'!D$20),"")</f>
        <v/>
      </c>
      <c r="E15" s="22" t="str">
        <f>IF('Bundle Tag Info'!E$20&lt;&gt;"",CONCATENATE('Bundle Tag Info'!$A$1," ",CHAR(10),'Bundle Tag Info'!$A$2," ",'Bundle Tag Info'!$A$3,CHAR(10),'Bundle Tag Info'!E$6,CHAR(10),'Bundle Tag Info'!E$20),"")</f>
        <v/>
      </c>
      <c r="F1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1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1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1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1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1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1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1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1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1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1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1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1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1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1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1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1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1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1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1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1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1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1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1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15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16" spans="1:30" ht="64" customHeight="1" x14ac:dyDescent="0.35">
      <c r="A16" s="22" t="str">
        <f>IF('Bundle Tag Info'!A$21&lt;&gt;"",CONCATENATE('Bundle Tag Info'!$A$1," ",CHAR(10),'Bundle Tag Info'!$A$2," ",'Bundle Tag Info'!$A$3,CHAR(10),'Bundle Tag Info'!A$6,CHAR(10),'Bundle Tag Info'!A$21),"")</f>
        <v/>
      </c>
      <c r="B16" s="22" t="str">
        <f>IF('Bundle Tag Info'!B$21&lt;&gt;"",CONCATENATE('Bundle Tag Info'!$A$1," ",CHAR(10),'Bundle Tag Info'!$A$2," ",'Bundle Tag Info'!$A$3,CHAR(10),'Bundle Tag Info'!B$6,CHAR(10),'Bundle Tag Info'!B$21),"")</f>
        <v/>
      </c>
      <c r="C16" s="22" t="str">
        <f>IF('Bundle Tag Info'!C$21&lt;&gt;"",CONCATENATE('Bundle Tag Info'!$A$1," ",CHAR(10),'Bundle Tag Info'!$A$2," ",'Bundle Tag Info'!$A$3,CHAR(10),'Bundle Tag Info'!C$6,CHAR(10),'Bundle Tag Info'!C$21),"")</f>
        <v/>
      </c>
      <c r="D16" s="22" t="str">
        <f>IF('Bundle Tag Info'!D$21&lt;&gt;"",CONCATENATE('Bundle Tag Info'!$A$1," ",CHAR(10),'Bundle Tag Info'!$A$2," ",'Bundle Tag Info'!$A$3,CHAR(10),'Bundle Tag Info'!D$6,CHAR(10),'Bundle Tag Info'!D$21),"")</f>
        <v/>
      </c>
      <c r="E16" s="22" t="str">
        <f>IF('Bundle Tag Info'!E$21&lt;&gt;"",CONCATENATE('Bundle Tag Info'!$A$1," ",CHAR(10),'Bundle Tag Info'!$A$2," ",'Bundle Tag Info'!$A$3,CHAR(10),'Bundle Tag Info'!E$6,CHAR(10),'Bundle Tag Info'!E$21),"")</f>
        <v/>
      </c>
      <c r="F1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1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1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1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1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1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1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1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1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1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1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1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1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1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1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1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1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1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1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1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1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1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1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1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16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17" spans="1:30" ht="64" customHeight="1" x14ac:dyDescent="0.35">
      <c r="A17" s="22" t="str">
        <f>IF('Bundle Tag Info'!A$22&lt;&gt;"",CONCATENATE('Bundle Tag Info'!$A$1," ",CHAR(10),'Bundle Tag Info'!$A$2," ",'Bundle Tag Info'!$A$3,CHAR(10),'Bundle Tag Info'!A$6,CHAR(10),'Bundle Tag Info'!A$22),"")</f>
        <v/>
      </c>
      <c r="B17" s="22" t="str">
        <f>IF('Bundle Tag Info'!B$22&lt;&gt;"",CONCATENATE('Bundle Tag Info'!$A$1," ",CHAR(10),'Bundle Tag Info'!$A$2," ",'Bundle Tag Info'!$A$3,CHAR(10),'Bundle Tag Info'!B$6,CHAR(10),'Bundle Tag Info'!B$22),"")</f>
        <v/>
      </c>
      <c r="C17" s="22" t="str">
        <f>IF('Bundle Tag Info'!C$22&lt;&gt;"",CONCATENATE('Bundle Tag Info'!$A$1," ",CHAR(10),'Bundle Tag Info'!$A$2," ",'Bundle Tag Info'!$A$3,CHAR(10),'Bundle Tag Info'!C$6,CHAR(10),'Bundle Tag Info'!C$22),"")</f>
        <v/>
      </c>
      <c r="D17" s="22" t="str">
        <f>IF('Bundle Tag Info'!D$22&lt;&gt;"",CONCATENATE('Bundle Tag Info'!$A$1," ",CHAR(10),'Bundle Tag Info'!$A$2," ",'Bundle Tag Info'!$A$3,CHAR(10),'Bundle Tag Info'!D$6,CHAR(10),'Bundle Tag Info'!D$22),"")</f>
        <v/>
      </c>
      <c r="E17" s="22" t="str">
        <f>IF('Bundle Tag Info'!E$22&lt;&gt;"",CONCATENATE('Bundle Tag Info'!$A$1," ",CHAR(10),'Bundle Tag Info'!$A$2," ",'Bundle Tag Info'!$A$3,CHAR(10),'Bundle Tag Info'!E$6,CHAR(10),'Bundle Tag Info'!E$22),"")</f>
        <v/>
      </c>
      <c r="F1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1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1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1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1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1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1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1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1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1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1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1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1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1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1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1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1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1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1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1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1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1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1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1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17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18" spans="1:30" ht="64" customHeight="1" x14ac:dyDescent="0.35">
      <c r="A18" s="22" t="str">
        <f>IF('Bundle Tag Info'!A$23&lt;&gt;"",CONCATENATE('Bundle Tag Info'!$A$1," ",CHAR(10),'Bundle Tag Info'!$A$2," ",'Bundle Tag Info'!$A$3,CHAR(10),'Bundle Tag Info'!A$6,CHAR(10),'Bundle Tag Info'!A$23),"")</f>
        <v/>
      </c>
      <c r="B18" s="22" t="str">
        <f>IF('Bundle Tag Info'!B$23&lt;&gt;"",CONCATENATE('Bundle Tag Info'!$A$1," ",CHAR(10),'Bundle Tag Info'!$A$2," ",'Bundle Tag Info'!$A$3,CHAR(10),'Bundle Tag Info'!B$6,CHAR(10),'Bundle Tag Info'!B$23),"")</f>
        <v/>
      </c>
      <c r="C18" s="22" t="str">
        <f>IF('Bundle Tag Info'!C$23&lt;&gt;"",CONCATENATE('Bundle Tag Info'!$A$1," ",CHAR(10),'Bundle Tag Info'!$A$2," ",'Bundle Tag Info'!$A$3,CHAR(10),'Bundle Tag Info'!C$6,CHAR(10),'Bundle Tag Info'!C$23),"")</f>
        <v/>
      </c>
      <c r="D18" s="22" t="str">
        <f>IF('Bundle Tag Info'!D$23&lt;&gt;"",CONCATENATE('Bundle Tag Info'!$A$1," ",CHAR(10),'Bundle Tag Info'!$A$2," ",'Bundle Tag Info'!$A$3,CHAR(10),'Bundle Tag Info'!D$6,CHAR(10),'Bundle Tag Info'!D$23),"")</f>
        <v/>
      </c>
      <c r="E18" s="22" t="str">
        <f>IF('Bundle Tag Info'!E$23&lt;&gt;"",CONCATENATE('Bundle Tag Info'!$A$1," ",CHAR(10),'Bundle Tag Info'!$A$2," ",'Bundle Tag Info'!$A$3,CHAR(10),'Bundle Tag Info'!E$6,CHAR(10),'Bundle Tag Info'!E$23),"")</f>
        <v/>
      </c>
      <c r="F1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1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1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1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1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1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1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1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1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1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1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1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1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1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1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1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1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1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1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1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1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1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1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1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18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19" spans="1:30" ht="64" customHeight="1" x14ac:dyDescent="0.35">
      <c r="A19" s="22" t="str">
        <f>IF('Bundle Tag Info'!A$24&lt;&gt;"",CONCATENATE('Bundle Tag Info'!$A$1," ",CHAR(10),'Bundle Tag Info'!$A$2," ",'Bundle Tag Info'!$A$3,CHAR(10),'Bundle Tag Info'!A$6,CHAR(10),'Bundle Tag Info'!A$24),"")</f>
        <v/>
      </c>
      <c r="B19" s="22" t="str">
        <f>IF('Bundle Tag Info'!B$24&lt;&gt;"",CONCATENATE('Bundle Tag Info'!$A$1," ",CHAR(10),'Bundle Tag Info'!$A$2," ",'Bundle Tag Info'!$A$3,CHAR(10),'Bundle Tag Info'!B$6,CHAR(10),'Bundle Tag Info'!B$24),"")</f>
        <v/>
      </c>
      <c r="C19" s="22" t="str">
        <f>IF('Bundle Tag Info'!C$24&lt;&gt;"",CONCATENATE('Bundle Tag Info'!$A$1," ",CHAR(10),'Bundle Tag Info'!$A$2," ",'Bundle Tag Info'!$A$3,CHAR(10),'Bundle Tag Info'!C$6,CHAR(10),'Bundle Tag Info'!C$24),"")</f>
        <v/>
      </c>
      <c r="D19" s="22" t="str">
        <f>IF('Bundle Tag Info'!D$24&lt;&gt;"",CONCATENATE('Bundle Tag Info'!$A$1," ",CHAR(10),'Bundle Tag Info'!$A$2," ",'Bundle Tag Info'!$A$3,CHAR(10),'Bundle Tag Info'!D$6,CHAR(10),'Bundle Tag Info'!D$24),"")</f>
        <v/>
      </c>
      <c r="E19" s="22" t="str">
        <f>IF('Bundle Tag Info'!E$24&lt;&gt;"",CONCATENATE('Bundle Tag Info'!$A$1," ",CHAR(10),'Bundle Tag Info'!$A$2," ",'Bundle Tag Info'!$A$3,CHAR(10),'Bundle Tag Info'!E$6,CHAR(10),'Bundle Tag Info'!E$24),"")</f>
        <v/>
      </c>
      <c r="F1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1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1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1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1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1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1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1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1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1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1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1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1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1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1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1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1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1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1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1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1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1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1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1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19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20" spans="1:30" ht="64" customHeight="1" x14ac:dyDescent="0.35">
      <c r="A20" s="22" t="str">
        <f>IF('Bundle Tag Info'!A$25&lt;&gt;"",CONCATENATE('Bundle Tag Info'!$A$1," ",CHAR(10),'Bundle Tag Info'!$A$2," ",'Bundle Tag Info'!$A$3,CHAR(10),'Bundle Tag Info'!A$6,CHAR(10),'Bundle Tag Info'!A$25),"")</f>
        <v/>
      </c>
      <c r="B20" s="22" t="str">
        <f>IF('Bundle Tag Info'!B$25&lt;&gt;"",CONCATENATE('Bundle Tag Info'!$A$1," ",CHAR(10),'Bundle Tag Info'!$A$2," ",'Bundle Tag Info'!$A$3,CHAR(10),'Bundle Tag Info'!B$6,CHAR(10),'Bundle Tag Info'!B$25),"")</f>
        <v/>
      </c>
      <c r="C20" s="22" t="str">
        <f>IF('Bundle Tag Info'!C$25&lt;&gt;"",CONCATENATE('Bundle Tag Info'!$A$1," ",CHAR(10),'Bundle Tag Info'!$A$2," ",'Bundle Tag Info'!$A$3,CHAR(10),'Bundle Tag Info'!C$6,CHAR(10),'Bundle Tag Info'!C$25),"")</f>
        <v/>
      </c>
      <c r="D20" s="22" t="str">
        <f>IF('Bundle Tag Info'!D$25&lt;&gt;"",CONCATENATE('Bundle Tag Info'!$A$1," ",CHAR(10),'Bundle Tag Info'!$A$2," ",'Bundle Tag Info'!$A$3,CHAR(10),'Bundle Tag Info'!D$6,CHAR(10),'Bundle Tag Info'!D$25),"")</f>
        <v/>
      </c>
      <c r="E20" s="22" t="str">
        <f>IF('Bundle Tag Info'!E$25&lt;&gt;"",CONCATENATE('Bundle Tag Info'!$A$1," ",CHAR(10),'Bundle Tag Info'!$A$2," ",'Bundle Tag Info'!$A$3,CHAR(10),'Bundle Tag Info'!E$6,CHAR(10),'Bundle Tag Info'!E$25),"")</f>
        <v/>
      </c>
      <c r="F2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2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2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2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2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2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2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2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2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2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2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2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2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2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2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2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2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2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2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2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2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2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2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2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20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21" spans="1:30" ht="64" customHeight="1" x14ac:dyDescent="0.35">
      <c r="A21" s="22" t="str">
        <f>IF('Bundle Tag Info'!A$26&lt;&gt;"",CONCATENATE('Bundle Tag Info'!$A$1," ",CHAR(10),'Bundle Tag Info'!$A$2," ",'Bundle Tag Info'!$A$3,CHAR(10),'Bundle Tag Info'!A$6,CHAR(10),'Bundle Tag Info'!A$26),"")</f>
        <v/>
      </c>
      <c r="B21" s="22" t="str">
        <f>IF('Bundle Tag Info'!B$26&lt;&gt;"",CONCATENATE('Bundle Tag Info'!$A$1," ",CHAR(10),'Bundle Tag Info'!$A$2," ",'Bundle Tag Info'!$A$3,CHAR(10),'Bundle Tag Info'!B$6,CHAR(10),'Bundle Tag Info'!B$26),"")</f>
        <v/>
      </c>
      <c r="C21" s="22" t="str">
        <f>IF('Bundle Tag Info'!C$26&lt;&gt;"",CONCATENATE('Bundle Tag Info'!$A$1," ",CHAR(10),'Bundle Tag Info'!$A$2," ",'Bundle Tag Info'!$A$3,CHAR(10),'Bundle Tag Info'!C$6,CHAR(10),'Bundle Tag Info'!C$26),"")</f>
        <v/>
      </c>
      <c r="D21" s="22" t="str">
        <f>IF('Bundle Tag Info'!D$26&lt;&gt;"",CONCATENATE('Bundle Tag Info'!$A$1," ",CHAR(10),'Bundle Tag Info'!$A$2," ",'Bundle Tag Info'!$A$3,CHAR(10),'Bundle Tag Info'!D$6,CHAR(10),'Bundle Tag Info'!D$26),"")</f>
        <v/>
      </c>
      <c r="E21" s="22" t="str">
        <f>IF('Bundle Tag Info'!E$26&lt;&gt;"",CONCATENATE('Bundle Tag Info'!$A$1," ",CHAR(10),'Bundle Tag Info'!$A$2," ",'Bundle Tag Info'!$A$3,CHAR(10),'Bundle Tag Info'!E$6,CHAR(10),'Bundle Tag Info'!E$26),"")</f>
        <v/>
      </c>
      <c r="F2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2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2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2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2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2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2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2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2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2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2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2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2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2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2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2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2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2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2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2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2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2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2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2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21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22" spans="1:30" ht="64" customHeight="1" x14ac:dyDescent="0.35">
      <c r="A22" s="22" t="str">
        <f>IF('Bundle Tag Info'!A$27&lt;&gt;"",CONCATENATE('Bundle Tag Info'!$A$1," ",CHAR(10),'Bundle Tag Info'!$A$2," ",'Bundle Tag Info'!$A$3,CHAR(10),'Bundle Tag Info'!A$6,CHAR(10),'Bundle Tag Info'!A$27),"")</f>
        <v/>
      </c>
      <c r="B22" s="22" t="str">
        <f>IF('Bundle Tag Info'!B$27&lt;&gt;"",CONCATENATE('Bundle Tag Info'!$A$1," ",CHAR(10),'Bundle Tag Info'!$A$2," ",'Bundle Tag Info'!$A$3,CHAR(10),'Bundle Tag Info'!B$6,CHAR(10),'Bundle Tag Info'!B$27),"")</f>
        <v/>
      </c>
      <c r="C22" s="22" t="str">
        <f>IF('Bundle Tag Info'!C$27&lt;&gt;"",CONCATENATE('Bundle Tag Info'!$A$1," ",CHAR(10),'Bundle Tag Info'!$A$2," ",'Bundle Tag Info'!$A$3,CHAR(10),'Bundle Tag Info'!C$6,CHAR(10),'Bundle Tag Info'!C$27),"")</f>
        <v/>
      </c>
      <c r="D22" s="22" t="str">
        <f>IF('Bundle Tag Info'!D$27&lt;&gt;"",CONCATENATE('Bundle Tag Info'!$A$1," ",CHAR(10),'Bundle Tag Info'!$A$2," ",'Bundle Tag Info'!$A$3,CHAR(10),'Bundle Tag Info'!D$6,CHAR(10),'Bundle Tag Info'!D$27),"")</f>
        <v/>
      </c>
      <c r="E22" s="22" t="str">
        <f>IF('Bundle Tag Info'!E$27&lt;&gt;"",CONCATENATE('Bundle Tag Info'!$A$1," ",CHAR(10),'Bundle Tag Info'!$A$2," ",'Bundle Tag Info'!$A$3,CHAR(10),'Bundle Tag Info'!E$6,CHAR(10),'Bundle Tag Info'!E$27),"")</f>
        <v/>
      </c>
      <c r="F2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2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2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2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2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2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2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2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2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2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2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2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2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2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2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2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2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2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2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2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2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2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2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2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22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23" spans="1:30" ht="64" customHeight="1" x14ac:dyDescent="0.35">
      <c r="A23" s="22" t="str">
        <f>IF('Bundle Tag Info'!A$28&lt;&gt;"",CONCATENATE('Bundle Tag Info'!$A$1," ",CHAR(10),'Bundle Tag Info'!$A$2," ",'Bundle Tag Info'!$A$3,CHAR(10),'Bundle Tag Info'!A$6,CHAR(10),'Bundle Tag Info'!A$28),"")</f>
        <v/>
      </c>
      <c r="B23" s="22" t="str">
        <f>IF('Bundle Tag Info'!B$28&lt;&gt;"",CONCATENATE('Bundle Tag Info'!$A$1," ",CHAR(10),'Bundle Tag Info'!$A$2," ",'Bundle Tag Info'!$A$3,CHAR(10),'Bundle Tag Info'!B$6,CHAR(10),'Bundle Tag Info'!B$28),"")</f>
        <v/>
      </c>
      <c r="C23" s="22" t="str">
        <f>IF('Bundle Tag Info'!C$28&lt;&gt;"",CONCATENATE('Bundle Tag Info'!$A$1," ",CHAR(10),'Bundle Tag Info'!$A$2," ",'Bundle Tag Info'!$A$3,CHAR(10),'Bundle Tag Info'!C$6,CHAR(10),'Bundle Tag Info'!C$28),"")</f>
        <v/>
      </c>
      <c r="D23" s="22" t="str">
        <f>IF('Bundle Tag Info'!D$28&lt;&gt;"",CONCATENATE('Bundle Tag Info'!$A$1," ",CHAR(10),'Bundle Tag Info'!$A$2," ",'Bundle Tag Info'!$A$3,CHAR(10),'Bundle Tag Info'!D$6,CHAR(10),'Bundle Tag Info'!D$28),"")</f>
        <v/>
      </c>
      <c r="E23" s="22" t="str">
        <f>IF('Bundle Tag Info'!E$28&lt;&gt;"",CONCATENATE('Bundle Tag Info'!$A$1," ",CHAR(10),'Bundle Tag Info'!$A$2," ",'Bundle Tag Info'!$A$3,CHAR(10),'Bundle Tag Info'!E$6,CHAR(10),'Bundle Tag Info'!E$28),"")</f>
        <v/>
      </c>
      <c r="F2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2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2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2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2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2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2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2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2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2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2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2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2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2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2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2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2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2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2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2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2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2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2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2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23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24" spans="1:30" ht="64" customHeight="1" x14ac:dyDescent="0.35">
      <c r="A24" s="22" t="str">
        <f>IF('Bundle Tag Info'!A$29&lt;&gt;"",CONCATENATE('Bundle Tag Info'!$A$1," ",CHAR(10),'Bundle Tag Info'!$A$2," ",'Bundle Tag Info'!$A$3,CHAR(10),'Bundle Tag Info'!A$6,CHAR(10),'Bundle Tag Info'!A$29),"")</f>
        <v/>
      </c>
      <c r="B24" s="22" t="str">
        <f>IF('Bundle Tag Info'!B$29&lt;&gt;"",CONCATENATE('Bundle Tag Info'!$A$1," ",CHAR(10),'Bundle Tag Info'!$A$2," ",'Bundle Tag Info'!$A$3,CHAR(10),'Bundle Tag Info'!B$6,CHAR(10),'Bundle Tag Info'!B$29),"")</f>
        <v/>
      </c>
      <c r="C24" s="22" t="str">
        <f>IF('Bundle Tag Info'!C$29&lt;&gt;"",CONCATENATE('Bundle Tag Info'!$A$1," ",CHAR(10),'Bundle Tag Info'!$A$2," ",'Bundle Tag Info'!$A$3,CHAR(10),'Bundle Tag Info'!C$6,CHAR(10),'Bundle Tag Info'!C$29),"")</f>
        <v/>
      </c>
      <c r="D24" s="22" t="str">
        <f>IF('Bundle Tag Info'!D$29&lt;&gt;"",CONCATENATE('Bundle Tag Info'!$A$1," ",CHAR(10),'Bundle Tag Info'!$A$2," ",'Bundle Tag Info'!$A$3,CHAR(10),'Bundle Tag Info'!D$6,CHAR(10),'Bundle Tag Info'!D$29),"")</f>
        <v/>
      </c>
      <c r="E24" s="22" t="str">
        <f>IF('Bundle Tag Info'!E$29&lt;&gt;"",CONCATENATE('Bundle Tag Info'!$A$1," ",CHAR(10),'Bundle Tag Info'!$A$2," ",'Bundle Tag Info'!$A$3,CHAR(10),'Bundle Tag Info'!E$6,CHAR(10),'Bundle Tag Info'!E$29),"")</f>
        <v/>
      </c>
      <c r="F2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2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2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2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2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2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2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2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2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2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2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2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2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2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2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2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2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2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2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2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2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2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2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2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24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25" spans="1:30" ht="64" customHeight="1" x14ac:dyDescent="0.35">
      <c r="A25" s="22" t="str">
        <f>IF('Bundle Tag Info'!A$30&lt;&gt;"",CONCATENATE('Bundle Tag Info'!$A$1," ",CHAR(10),'Bundle Tag Info'!$A$2," ",'Bundle Tag Info'!$A$3,CHAR(10),'Bundle Tag Info'!A$6,CHAR(10),'Bundle Tag Info'!A$30),"")</f>
        <v/>
      </c>
      <c r="B25" s="22" t="str">
        <f>IF('Bundle Tag Info'!B$30&lt;&gt;"",CONCATENATE('Bundle Tag Info'!$A$1," ",CHAR(10),'Bundle Tag Info'!$A$2," ",'Bundle Tag Info'!$A$3,CHAR(10),'Bundle Tag Info'!B$6,CHAR(10),'Bundle Tag Info'!B$30),"")</f>
        <v/>
      </c>
      <c r="C25" s="22" t="str">
        <f>IF('Bundle Tag Info'!C$30&lt;&gt;"",CONCATENATE('Bundle Tag Info'!$A$1," ",CHAR(10),'Bundle Tag Info'!$A$2," ",'Bundle Tag Info'!$A$3,CHAR(10),'Bundle Tag Info'!C$6,CHAR(10),'Bundle Tag Info'!C$30),"")</f>
        <v/>
      </c>
      <c r="D25" s="22" t="str">
        <f>IF('Bundle Tag Info'!D$30&lt;&gt;"",CONCATENATE('Bundle Tag Info'!$A$1," ",CHAR(10),'Bundle Tag Info'!$A$2," ",'Bundle Tag Info'!$A$3,CHAR(10),'Bundle Tag Info'!D$6,CHAR(10),'Bundle Tag Info'!D$30),"")</f>
        <v/>
      </c>
      <c r="E25" s="22" t="str">
        <f>IF('Bundle Tag Info'!E$30&lt;&gt;"",CONCATENATE('Bundle Tag Info'!$A$1," ",CHAR(10),'Bundle Tag Info'!$A$2," ",'Bundle Tag Info'!$A$3,CHAR(10),'Bundle Tag Info'!E$6,CHAR(10),'Bundle Tag Info'!E$30),"")</f>
        <v/>
      </c>
      <c r="F2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2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2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2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2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2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2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2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2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2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2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2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2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2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2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2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2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2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2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2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2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2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2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2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25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26" spans="1:30" ht="64" customHeight="1" x14ac:dyDescent="0.35">
      <c r="A26" s="22" t="str">
        <f>IF('Bundle Tag Info'!A$31&lt;&gt;"",CONCATENATE('Bundle Tag Info'!$A$1," ",CHAR(10),'Bundle Tag Info'!$A$2," ",'Bundle Tag Info'!$A$3,CHAR(10),'Bundle Tag Info'!A$6,CHAR(10),'Bundle Tag Info'!A$31),"")</f>
        <v/>
      </c>
      <c r="B26" s="22" t="str">
        <f>IF('Bundle Tag Info'!B$31&lt;&gt;"",CONCATENATE('Bundle Tag Info'!$A$1," ",CHAR(10),'Bundle Tag Info'!$A$2," ",'Bundle Tag Info'!$A$3,CHAR(10),'Bundle Tag Info'!B$6,CHAR(10),'Bundle Tag Info'!B$31),"")</f>
        <v/>
      </c>
      <c r="C26" s="22" t="str">
        <f>IF('Bundle Tag Info'!C$31&lt;&gt;"",CONCATENATE('Bundle Tag Info'!$A$1," ",CHAR(10),'Bundle Tag Info'!$A$2," ",'Bundle Tag Info'!$A$3,CHAR(10),'Bundle Tag Info'!C$6,CHAR(10),'Bundle Tag Info'!C$31),"")</f>
        <v/>
      </c>
      <c r="D26" s="22" t="str">
        <f>IF('Bundle Tag Info'!D$31&lt;&gt;"",CONCATENATE('Bundle Tag Info'!$A$1," ",CHAR(10),'Bundle Tag Info'!$A$2," ",'Bundle Tag Info'!$A$3,CHAR(10),'Bundle Tag Info'!D$6,CHAR(10),'Bundle Tag Info'!D$31),"")</f>
        <v/>
      </c>
      <c r="E26" s="22" t="str">
        <f>IF('Bundle Tag Info'!E$31&lt;&gt;"",CONCATENATE('Bundle Tag Info'!$A$1," ",CHAR(10),'Bundle Tag Info'!$A$2," ",'Bundle Tag Info'!$A$3,CHAR(10),'Bundle Tag Info'!E$6,CHAR(10),'Bundle Tag Info'!E$31),"")</f>
        <v/>
      </c>
      <c r="F2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2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2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2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2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2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2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2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2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2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2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2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2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2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2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2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2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2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2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2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2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2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2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2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26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27" spans="1:30" ht="64" customHeight="1" x14ac:dyDescent="0.35">
      <c r="A27" s="22" t="str">
        <f>IF('Bundle Tag Info'!A$32&lt;&gt;"",CONCATENATE('Bundle Tag Info'!$A$1," ",CHAR(10),'Bundle Tag Info'!$A$2," ",'Bundle Tag Info'!$A$3,CHAR(10),'Bundle Tag Info'!A$6,CHAR(10),'Bundle Tag Info'!A$32),"")</f>
        <v/>
      </c>
      <c r="B27" s="22" t="str">
        <f>IF('Bundle Tag Info'!B$32&lt;&gt;"",CONCATENATE('Bundle Tag Info'!$A$1," ",CHAR(10),'Bundle Tag Info'!$A$2," ",'Bundle Tag Info'!$A$3,CHAR(10),'Bundle Tag Info'!B$6,CHAR(10),'Bundle Tag Info'!B$32),"")</f>
        <v/>
      </c>
      <c r="C27" s="22" t="str">
        <f>IF('Bundle Tag Info'!C$32&lt;&gt;"",CONCATENATE('Bundle Tag Info'!$A$1," ",CHAR(10),'Bundle Tag Info'!$A$2," ",'Bundle Tag Info'!$A$3,CHAR(10),'Bundle Tag Info'!C$6,CHAR(10),'Bundle Tag Info'!C$32),"")</f>
        <v/>
      </c>
      <c r="D27" s="22" t="str">
        <f>IF('Bundle Tag Info'!D$32&lt;&gt;"",CONCATENATE('Bundle Tag Info'!$A$1," ",CHAR(10),'Bundle Tag Info'!$A$2," ",'Bundle Tag Info'!$A$3,CHAR(10),'Bundle Tag Info'!D$6,CHAR(10),'Bundle Tag Info'!D$32),"")</f>
        <v/>
      </c>
      <c r="E27" s="22" t="str">
        <f>IF('Bundle Tag Info'!E$32&lt;&gt;"",CONCATENATE('Bundle Tag Info'!$A$1," ",CHAR(10),'Bundle Tag Info'!$A$2," ",'Bundle Tag Info'!$A$3,CHAR(10),'Bundle Tag Info'!E$6,CHAR(10),'Bundle Tag Info'!E$32),"")</f>
        <v/>
      </c>
      <c r="F2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2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2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2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2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2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2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2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2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2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2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2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2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2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2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2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2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2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2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2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2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2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2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2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27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28" spans="1:30" ht="64" customHeight="1" x14ac:dyDescent="0.35">
      <c r="A28" s="22" t="str">
        <f>IF('Bundle Tag Info'!A$33&lt;&gt;"",CONCATENATE('Bundle Tag Info'!$A$1," ",CHAR(10),'Bundle Tag Info'!$A$2," ",'Bundle Tag Info'!$A$3,CHAR(10),'Bundle Tag Info'!A$6,CHAR(10),'Bundle Tag Info'!A$33),"")</f>
        <v/>
      </c>
      <c r="B28" s="22" t="str">
        <f>IF('Bundle Tag Info'!B$33&lt;&gt;"",CONCATENATE('Bundle Tag Info'!$A$1," ",CHAR(10),'Bundle Tag Info'!$A$2," ",'Bundle Tag Info'!$A$3,CHAR(10),'Bundle Tag Info'!B$6,CHAR(10),'Bundle Tag Info'!B$33),"")</f>
        <v/>
      </c>
      <c r="C28" s="22" t="str">
        <f>IF('Bundle Tag Info'!C$33&lt;&gt;"",CONCATENATE('Bundle Tag Info'!$A$1," ",CHAR(10),'Bundle Tag Info'!$A$2," ",'Bundle Tag Info'!$A$3,CHAR(10),'Bundle Tag Info'!C$6,CHAR(10),'Bundle Tag Info'!C$33),"")</f>
        <v/>
      </c>
      <c r="D28" s="22" t="str">
        <f>IF('Bundle Tag Info'!D$33&lt;&gt;"",CONCATENATE('Bundle Tag Info'!$A$1," ",CHAR(10),'Bundle Tag Info'!$A$2," ",'Bundle Tag Info'!$A$3,CHAR(10),'Bundle Tag Info'!D$6,CHAR(10),'Bundle Tag Info'!D$33),"")</f>
        <v/>
      </c>
      <c r="E28" s="22" t="str">
        <f>IF('Bundle Tag Info'!E$33&lt;&gt;"",CONCATENATE('Bundle Tag Info'!$A$1," ",CHAR(10),'Bundle Tag Info'!$A$2," ",'Bundle Tag Info'!$A$3,CHAR(10),'Bundle Tag Info'!E$6,CHAR(10),'Bundle Tag Info'!E$33),"")</f>
        <v/>
      </c>
      <c r="F2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2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2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2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2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2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2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2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2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2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2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2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2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2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2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2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2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2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2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2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2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2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2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2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28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29" spans="1:30" ht="64" customHeight="1" x14ac:dyDescent="0.35">
      <c r="A29" s="22" t="str">
        <f>IF('Bundle Tag Info'!A$34&lt;&gt;"",CONCATENATE('Bundle Tag Info'!$A$1," ",CHAR(10),'Bundle Tag Info'!$A$2," ",'Bundle Tag Info'!$A$3,CHAR(10),'Bundle Tag Info'!A$6,CHAR(10),'Bundle Tag Info'!A$34),"")</f>
        <v/>
      </c>
      <c r="B29" s="22" t="str">
        <f>IF('Bundle Tag Info'!B$34&lt;&gt;"",CONCATENATE('Bundle Tag Info'!$A$1," ",CHAR(10),'Bundle Tag Info'!$A$2," ",'Bundle Tag Info'!$A$3,CHAR(10),'Bundle Tag Info'!B$6,CHAR(10),'Bundle Tag Info'!B$34),"")</f>
        <v/>
      </c>
      <c r="C29" s="22" t="str">
        <f>IF('Bundle Tag Info'!C$34&lt;&gt;"",CONCATENATE('Bundle Tag Info'!$A$1," ",CHAR(10),'Bundle Tag Info'!$A$2," ",'Bundle Tag Info'!$A$3,CHAR(10),'Bundle Tag Info'!C$6,CHAR(10),'Bundle Tag Info'!C$34),"")</f>
        <v/>
      </c>
      <c r="D29" s="22" t="str">
        <f>IF('Bundle Tag Info'!D$34&lt;&gt;"",CONCATENATE('Bundle Tag Info'!$A$1," ",CHAR(10),'Bundle Tag Info'!$A$2," ",'Bundle Tag Info'!$A$3,CHAR(10),'Bundle Tag Info'!D$6,CHAR(10),'Bundle Tag Info'!D$34),"")</f>
        <v/>
      </c>
      <c r="E29" s="22" t="str">
        <f>IF('Bundle Tag Info'!E$34&lt;&gt;"",CONCATENATE('Bundle Tag Info'!$A$1," ",CHAR(10),'Bundle Tag Info'!$A$2," ",'Bundle Tag Info'!$A$3,CHAR(10),'Bundle Tag Info'!E$6,CHAR(10),'Bundle Tag Info'!E$34),"")</f>
        <v/>
      </c>
      <c r="F2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2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2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2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2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2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2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2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2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2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2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2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2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2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2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2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2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2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2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2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2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2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2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2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29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30" spans="1:30" ht="64" customHeight="1" x14ac:dyDescent="0.35">
      <c r="A30" s="22" t="str">
        <f>IF('Bundle Tag Info'!A$35&lt;&gt;"",CONCATENATE('Bundle Tag Info'!$A$1," ",CHAR(10),'Bundle Tag Info'!$A$2," ",'Bundle Tag Info'!$A$3,CHAR(10),'Bundle Tag Info'!A$6,CHAR(10),'Bundle Tag Info'!A$35),"")</f>
        <v/>
      </c>
      <c r="B30" s="22" t="str">
        <f>IF('Bundle Tag Info'!B$35&lt;&gt;"",CONCATENATE('Bundle Tag Info'!$A$1," ",CHAR(10),'Bundle Tag Info'!$A$2," ",'Bundle Tag Info'!$A$3,CHAR(10),'Bundle Tag Info'!B$6,CHAR(10),'Bundle Tag Info'!B$35),"")</f>
        <v/>
      </c>
      <c r="C30" s="22" t="str">
        <f>IF('Bundle Tag Info'!C$35&lt;&gt;"",CONCATENATE('Bundle Tag Info'!$A$1," ",CHAR(10),'Bundle Tag Info'!$A$2," ",'Bundle Tag Info'!$A$3,CHAR(10),'Bundle Tag Info'!C$6,CHAR(10),'Bundle Tag Info'!C$35),"")</f>
        <v/>
      </c>
      <c r="D30" s="22" t="str">
        <f>IF('Bundle Tag Info'!D$35&lt;&gt;"",CONCATENATE('Bundle Tag Info'!$A$1," ",CHAR(10),'Bundle Tag Info'!$A$2," ",'Bundle Tag Info'!$A$3,CHAR(10),'Bundle Tag Info'!D$6,CHAR(10),'Bundle Tag Info'!D$35),"")</f>
        <v/>
      </c>
      <c r="E30" s="22" t="str">
        <f>IF('Bundle Tag Info'!E$35&lt;&gt;"",CONCATENATE('Bundle Tag Info'!$A$1," ",CHAR(10),'Bundle Tag Info'!$A$2," ",'Bundle Tag Info'!$A$3,CHAR(10),'Bundle Tag Info'!E$6,CHAR(10),'Bundle Tag Info'!E$35),"")</f>
        <v/>
      </c>
      <c r="F3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3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3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3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3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3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3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3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3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3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3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3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3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3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3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3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3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3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3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3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3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3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3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3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30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31" spans="1:30" ht="64" customHeight="1" x14ac:dyDescent="0.35">
      <c r="A31" s="22" t="str">
        <f>IF('Bundle Tag Info'!A$36&lt;&gt;"",CONCATENATE('Bundle Tag Info'!$A$1," ",CHAR(10),'Bundle Tag Info'!$A$2," ",'Bundle Tag Info'!$A$3,CHAR(10),'Bundle Tag Info'!A$6,CHAR(10),'Bundle Tag Info'!A$36),"")</f>
        <v/>
      </c>
      <c r="B31" s="22" t="str">
        <f>IF('Bundle Tag Info'!B$36&lt;&gt;"",CONCATENATE('Bundle Tag Info'!$A$1," ",CHAR(10),'Bundle Tag Info'!$A$2," ",'Bundle Tag Info'!$A$3,CHAR(10),'Bundle Tag Info'!B$6,CHAR(10),'Bundle Tag Info'!B$36),"")</f>
        <v/>
      </c>
      <c r="C31" s="22" t="str">
        <f>IF('Bundle Tag Info'!C$36&lt;&gt;"",CONCATENATE('Bundle Tag Info'!$A$1," ",CHAR(10),'Bundle Tag Info'!$A$2," ",'Bundle Tag Info'!$A$3,CHAR(10),'Bundle Tag Info'!C$6,CHAR(10),'Bundle Tag Info'!C$36),"")</f>
        <v/>
      </c>
      <c r="D31" s="22" t="str">
        <f>IF('Bundle Tag Info'!D$36&lt;&gt;"",CONCATENATE('Bundle Tag Info'!$A$1," ",CHAR(10),'Bundle Tag Info'!$A$2," ",'Bundle Tag Info'!$A$3,CHAR(10),'Bundle Tag Info'!D$6,CHAR(10),'Bundle Tag Info'!D$36),"")</f>
        <v/>
      </c>
      <c r="E31" s="22" t="str">
        <f>IF('Bundle Tag Info'!E$36&lt;&gt;"",CONCATENATE('Bundle Tag Info'!$A$1," ",CHAR(10),'Bundle Tag Info'!$A$2," ",'Bundle Tag Info'!$A$3,CHAR(10),'Bundle Tag Info'!E$6,CHAR(10),'Bundle Tag Info'!E$36),"")</f>
        <v/>
      </c>
      <c r="F3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3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3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3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3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3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3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3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3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3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3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3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3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3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3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3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3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3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3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3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3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3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3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3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31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38F05-62E8-43B5-A76C-3AB234D7E7A8}">
  <dimension ref="A1:AD31"/>
  <sheetViews>
    <sheetView topLeftCell="V1" zoomScale="70" zoomScaleNormal="70" workbookViewId="0">
      <selection activeCell="F1" sqref="F1:AB1048576"/>
    </sheetView>
  </sheetViews>
  <sheetFormatPr defaultRowHeight="12.5" customHeight="1" x14ac:dyDescent="0.35"/>
  <cols>
    <col min="1" max="30" width="20.6328125" customWidth="1"/>
  </cols>
  <sheetData>
    <row r="1" spans="1:30" ht="12.5" customHeight="1" x14ac:dyDescent="0.35">
      <c r="A1" s="21" t="str">
        <f>IF('Bundle Tag Info'!A6&lt;&gt;"Panel Name",'Bundle Tag Info'!A6,"")</f>
        <v>CONSOLE</v>
      </c>
      <c r="B1" s="21" t="str">
        <f>IF('Bundle Tag Info'!B6&lt;&gt;"Panel Name",'Bundle Tag Info'!B6,"")</f>
        <v>SCS</v>
      </c>
      <c r="C1" s="21" t="str">
        <f>IF('Bundle Tag Info'!C6&lt;&gt;"Panel Name",'Bundle Tag Info'!C6,"")</f>
        <v>L/S PNL</v>
      </c>
      <c r="D1" s="21" t="str">
        <f>IF('Bundle Tag Info'!D6&lt;&gt;"Panel Name",'Bundle Tag Info'!D6,"")</f>
        <v>BACK PNL</v>
      </c>
      <c r="E1" s="21" t="str">
        <f>IF('Bundle Tag Info'!E6&lt;&gt;"Panel Name",'Bundle Tag Info'!E6,"")</f>
        <v>R/S PNL</v>
      </c>
      <c r="F1" s="21" t="e">
        <f>IF('Bundle Tag Info'!#REF!&lt;&gt;"Panel Name",'Bundle Tag Info'!#REF!,"")</f>
        <v>#REF!</v>
      </c>
      <c r="G1" s="21" t="e">
        <f>IF('Bundle Tag Info'!#REF!&lt;&gt;"Panel Name",'Bundle Tag Info'!#REF!,"")</f>
        <v>#REF!</v>
      </c>
      <c r="H1" s="21" t="e">
        <f>IF('Bundle Tag Info'!#REF!&lt;&gt;"Panel Name",'Bundle Tag Info'!#REF!,"")</f>
        <v>#REF!</v>
      </c>
      <c r="I1" s="21" t="e">
        <f>IF('Bundle Tag Info'!#REF!&lt;&gt;"Panel Name",'Bundle Tag Info'!#REF!,"")</f>
        <v>#REF!</v>
      </c>
      <c r="J1" s="21" t="e">
        <f>IF('Bundle Tag Info'!#REF!&lt;&gt;"Panel Name",'Bundle Tag Info'!#REF!,"")</f>
        <v>#REF!</v>
      </c>
      <c r="K1" s="21" t="e">
        <f>IF('Bundle Tag Info'!#REF!&lt;&gt;"Panel Name",'Bundle Tag Info'!#REF!,"")</f>
        <v>#REF!</v>
      </c>
      <c r="L1" s="21" t="e">
        <f>IF('Bundle Tag Info'!#REF!&lt;&gt;"Panel Name",'Bundle Tag Info'!#REF!,"")</f>
        <v>#REF!</v>
      </c>
      <c r="M1" s="21" t="e">
        <f>IF('Bundle Tag Info'!#REF!&lt;&gt;"Panel Name",'Bundle Tag Info'!#REF!,"")</f>
        <v>#REF!</v>
      </c>
      <c r="N1" s="21" t="e">
        <f>IF('Bundle Tag Info'!#REF!&lt;&gt;"Panel Name",'Bundle Tag Info'!#REF!,"")</f>
        <v>#REF!</v>
      </c>
      <c r="O1" s="21" t="e">
        <f>IF('Bundle Tag Info'!#REF!&lt;&gt;"Panel Name",'Bundle Tag Info'!#REF!,"")</f>
        <v>#REF!</v>
      </c>
      <c r="P1" s="21" t="e">
        <f>IF('Bundle Tag Info'!#REF!&lt;&gt;"Panel Name",'Bundle Tag Info'!#REF!,"")</f>
        <v>#REF!</v>
      </c>
      <c r="Q1" s="21" t="e">
        <f>IF('Bundle Tag Info'!#REF!&lt;&gt;"Panel Name",'Bundle Tag Info'!#REF!,"")</f>
        <v>#REF!</v>
      </c>
      <c r="R1" s="21" t="e">
        <f>IF('Bundle Tag Info'!#REF!&lt;&gt;"Panel Name",'Bundle Tag Info'!#REF!,"")</f>
        <v>#REF!</v>
      </c>
      <c r="S1" s="21" t="e">
        <f>IF('Bundle Tag Info'!#REF!&lt;&gt;"Panel Name",'Bundle Tag Info'!#REF!,"")</f>
        <v>#REF!</v>
      </c>
      <c r="T1" s="21" t="e">
        <f>IF('Bundle Tag Info'!#REF!&lt;&gt;"Panel Name",'Bundle Tag Info'!#REF!,"")</f>
        <v>#REF!</v>
      </c>
      <c r="U1" s="21" t="e">
        <f>IF('Bundle Tag Info'!#REF!&lt;&gt;"Panel Name",'Bundle Tag Info'!#REF!,"")</f>
        <v>#REF!</v>
      </c>
      <c r="V1" s="21" t="e">
        <f>IF('Bundle Tag Info'!#REF!&lt;&gt;"Panel Name",'Bundle Tag Info'!#REF!,"")</f>
        <v>#REF!</v>
      </c>
      <c r="W1" s="21" t="e">
        <f>IF('Bundle Tag Info'!#REF!&lt;&gt;"Panel Name",'Bundle Tag Info'!#REF!,"")</f>
        <v>#REF!</v>
      </c>
      <c r="X1" s="21" t="e">
        <f>IF('Bundle Tag Info'!#REF!&lt;&gt;"Panel Name",'Bundle Tag Info'!#REF!,"")</f>
        <v>#REF!</v>
      </c>
      <c r="Y1" s="21" t="e">
        <f>IF('Bundle Tag Info'!#REF!&lt;&gt;"Panel Name",'Bundle Tag Info'!#REF!,"")</f>
        <v>#REF!</v>
      </c>
      <c r="Z1" s="21" t="e">
        <f>IF('Bundle Tag Info'!#REF!&lt;&gt;"Panel Name",'Bundle Tag Info'!#REF!,"")</f>
        <v>#REF!</v>
      </c>
      <c r="AA1" s="21" t="e">
        <f>IF('Bundle Tag Info'!#REF!&lt;&gt;"Panel Name",'Bundle Tag Info'!#REF!,"")</f>
        <v>#REF!</v>
      </c>
      <c r="AB1" s="21" t="e">
        <f>IF('Bundle Tag Info'!#REF!&lt;&gt;"Panel Name",'Bundle Tag Info'!#REF!,"")</f>
        <v>#REF!</v>
      </c>
      <c r="AC1" s="21" t="e">
        <f>IF('Bundle Tag Info'!#REF!&lt;&gt;"Panel Name",'Bundle Tag Info'!#REF!,"")</f>
        <v>#REF!</v>
      </c>
      <c r="AD1" s="21" t="e">
        <f>IF('Bundle Tag Info'!#REF!&lt;&gt;"Panel Name",'Bundle Tag Info'!#REF!,"")</f>
        <v>#REF!</v>
      </c>
    </row>
    <row r="2" spans="1:30" ht="12.5" customHeight="1" x14ac:dyDescent="0.35">
      <c r="A2" s="22" t="str">
        <f>IF('Bundle Tag Info'!A$7&lt;&gt;"",CONCATENATE('Bundle Tag Info'!$A$1," ",CHAR(10),'Bundle Tag Info'!$A$2," ",'Bundle Tag Info'!$A$3,CHAR(10),'Bundle Tag Info'!A$6,CHAR(10),'Bundle Tag Info'!A$7),"")</f>
        <v>WOODSIDE GOODWYNN #1 
J1848 Rev. B.2M1
CONSOLE
AT-BACK</v>
      </c>
      <c r="B2" s="22" t="str">
        <f>IF('Bundle Tag Info'!B$7&lt;&gt;"",CONCATENATE('Bundle Tag Info'!$A$1," ",CHAR(10),'Bundle Tag Info'!$A$2," ",'Bundle Tag Info'!$A$3,CHAR(10),'Bundle Tag Info'!B$6,CHAR(10),'Bundle Tag Info'!B$7),"")</f>
        <v>WOODSIDE GOODWYNN #1 
J1848 Rev. B.2M1
SCS
SB0400</v>
      </c>
      <c r="C2" s="22" t="str">
        <f>IF('Bundle Tag Info'!C$7&lt;&gt;"",CONCATENATE('Bundle Tag Info'!$A$1," ",CHAR(10),'Bundle Tag Info'!$A$2," ",'Bundle Tag Info'!$A$3,CHAR(10),'Bundle Tag Info'!C$6,CHAR(10),'Bundle Tag Info'!C$7),"")</f>
        <v>WOODSIDE GOODWYNN #1 
J1848 Rev. B.2M1
L/S PNL
AU/AF</v>
      </c>
      <c r="D2" s="22" t="str">
        <f>IF('Bundle Tag Info'!D$7&lt;&gt;"",CONCATENATE('Bundle Tag Info'!$A$1," ",CHAR(10),'Bundle Tag Info'!$A$2," ",'Bundle Tag Info'!$A$3,CHAR(10),'Bundle Tag Info'!D$6,CHAR(10),'Bundle Tag Info'!D$7),"")</f>
        <v>WOODSIDE GOODWYNN #1 
J1848 Rev. B.2M1
BACK PNL
UJ</v>
      </c>
      <c r="E2" s="22" t="str">
        <f>IF('Bundle Tag Info'!E$7&lt;&gt;"",CONCATENATE('Bundle Tag Info'!$A$1," ",CHAR(10),'Bundle Tag Info'!$A$2," ",'Bundle Tag Info'!$A$3,CHAR(10),'Bundle Tag Info'!E$6,CHAR(10),'Bundle Tag Info'!E$7),"")</f>
        <v>WOODSIDE GOODWYNN #1 
J1848 Rev. B.2M1
R/S PNL
UV</v>
      </c>
      <c r="F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2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3" spans="1:30" ht="12.5" customHeight="1" x14ac:dyDescent="0.35">
      <c r="A3" s="22" t="str">
        <f>IF('Bundle Tag Info'!A$8&lt;&gt;"",CONCATENATE('Bundle Tag Info'!$A$1," ",CHAR(10),'Bundle Tag Info'!$A$2," ",'Bundle Tag Info'!$A$3,CHAR(10),'Bundle Tag Info'!A$6,CHAR(10),'Bundle Tag Info'!A$8),"")</f>
        <v/>
      </c>
      <c r="B3" s="22" t="str">
        <f>IF('Bundle Tag Info'!B$8&lt;&gt;"",CONCATENATE('Bundle Tag Info'!$A$1," ",CHAR(10),'Bundle Tag Info'!$A$2," ",'Bundle Tag Info'!$A$3,CHAR(10),'Bundle Tag Info'!B$6,CHAR(10),'Bundle Tag Info'!B$8),"")</f>
        <v>WOODSIDE GOODWYNN #1 
J1848 Rev. B.2M1
SCS
SB0403</v>
      </c>
      <c r="C3" s="22" t="str">
        <f>IF('Bundle Tag Info'!C$8&lt;&gt;"",CONCATENATE('Bundle Tag Info'!$A$1," ",CHAR(10),'Bundle Tag Info'!$A$2," ",'Bundle Tag Info'!$A$3,CHAR(10),'Bundle Tag Info'!C$6,CHAR(10),'Bundle Tag Info'!C$8),"")</f>
        <v>WOODSIDE GOODWYNN #1 
J1848 Rev. B.2M1
L/S PNL
KA A1</v>
      </c>
      <c r="D3" s="22" t="str">
        <f>IF('Bundle Tag Info'!D$8&lt;&gt;"",CONCATENATE('Bundle Tag Info'!$A$1," ",CHAR(10),'Bundle Tag Info'!$A$2," ",'Bundle Tag Info'!$A$3,CHAR(10),'Bundle Tag Info'!D$6,CHAR(10),'Bundle Tag Info'!D$8),"")</f>
        <v>WOODSIDE GOODWYNN #1 
J1848 Rev. B.2M1
BACK PNL
AU/AF</v>
      </c>
      <c r="E3" s="22" t="str">
        <f>IF('Bundle Tag Info'!E$8&lt;&gt;"",CONCATENATE('Bundle Tag Info'!$A$1," ",CHAR(10),'Bundle Tag Info'!$A$2," ",'Bundle Tag Info'!$A$3,CHAR(10),'Bundle Tag Info'!E$6,CHAR(10),'Bundle Tag Info'!E$8),"")</f>
        <v>WOODSIDE GOODWYNN #1 
J1848 Rev. B.2M1
R/S PNL
BA0606DH+</v>
      </c>
      <c r="F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3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4" spans="1:30" ht="12.5" customHeight="1" x14ac:dyDescent="0.35">
      <c r="A4" s="22" t="str">
        <f>IF('Bundle Tag Info'!A$9&lt;&gt;"",CONCATENATE('Bundle Tag Info'!$A$1," ",CHAR(10),'Bundle Tag Info'!$A$2," ",'Bundle Tag Info'!$A$3,CHAR(10),'Bundle Tag Info'!A$6,CHAR(10),'Bundle Tag Info'!A$9),"")</f>
        <v/>
      </c>
      <c r="B4" s="22" t="str">
        <f>IF('Bundle Tag Info'!B$9&lt;&gt;"",CONCATENATE('Bundle Tag Info'!$A$1," ",CHAR(10),'Bundle Tag Info'!$A$2," ",'Bundle Tag Info'!$A$3,CHAR(10),'Bundle Tag Info'!B$6,CHAR(10),'Bundle Tag Info'!B$9),"")</f>
        <v>WOODSIDE GOODWYNN #1 
J1848 Rev. B.2M1
SCS
SA0500</v>
      </c>
      <c r="C4" s="22" t="str">
        <f>IF('Bundle Tag Info'!C$9&lt;&gt;"",CONCATENATE('Bundle Tag Info'!$A$1," ",CHAR(10),'Bundle Tag Info'!$A$2," ",'Bundle Tag Info'!$A$3,CHAR(10),'Bundle Tag Info'!C$6,CHAR(10),'Bundle Tag Info'!C$9),"")</f>
        <v>WOODSIDE GOODWYNN #1 
J1848 Rev. B.2M1
L/S PNL
KA A2</v>
      </c>
      <c r="D4" s="22" t="str">
        <f>IF('Bundle Tag Info'!D$9&lt;&gt;"",CONCATENATE('Bundle Tag Info'!$A$1," ",CHAR(10),'Bundle Tag Info'!$A$2," ",'Bundle Tag Info'!$A$3,CHAR(10),'Bundle Tag Info'!D$6,CHAR(10),'Bundle Tag Info'!D$9),"")</f>
        <v>WOODSIDE GOODWYNN #1 
J1848 Rev. B.2M1
BACK PNL
FU/XT</v>
      </c>
      <c r="E4" s="22" t="str">
        <f>IF('Bundle Tag Info'!E$9&lt;&gt;"",CONCATENATE('Bundle Tag Info'!$A$1," ",CHAR(10),'Bundle Tag Info'!$A$2," ",'Bundle Tag Info'!$A$3,CHAR(10),'Bundle Tag Info'!E$6,CHAR(10),'Bundle Tag Info'!E$9),"")</f>
        <v>WOODSIDE GOODWYNN #1 
J1848 Rev. B.2M1
R/S PNL
BA0680</v>
      </c>
      <c r="F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4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5" spans="1:30" ht="12.5" customHeight="1" x14ac:dyDescent="0.35">
      <c r="A5" s="22" t="str">
        <f>IF('Bundle Tag Info'!A$10&lt;&gt;"",CONCATENATE('Bundle Tag Info'!$A$1," ",CHAR(10),'Bundle Tag Info'!$A$2," ",'Bundle Tag Info'!$A$3,CHAR(10),'Bundle Tag Info'!A$6,CHAR(10),'Bundle Tag Info'!A$10),"")</f>
        <v/>
      </c>
      <c r="B5" s="22" t="str">
        <f>IF('Bundle Tag Info'!B$10&lt;&gt;"",CONCATENATE('Bundle Tag Info'!$A$1," ",CHAR(10),'Bundle Tag Info'!$A$2," ",'Bundle Tag Info'!$A$3,CHAR(10),'Bundle Tag Info'!B$6,CHAR(10),'Bundle Tag Info'!B$10),"")</f>
        <v>WOODSIDE GOODWYNN #1 
J1848 Rev. B.2M1
SCS
SB0402</v>
      </c>
      <c r="C5" s="22" t="str">
        <f>IF('Bundle Tag Info'!C$10&lt;&gt;"",CONCATENATE('Bundle Tag Info'!$A$1," ",CHAR(10),'Bundle Tag Info'!$A$2," ",'Bundle Tag Info'!$A$3,CHAR(10),'Bundle Tag Info'!C$6,CHAR(10),'Bundle Tag Info'!C$10),"")</f>
        <v>WOODSIDE GOODWYNN #1 
J1848 Rev. B.2M1
L/S PNL
KA</v>
      </c>
      <c r="D5" s="22" t="str">
        <f>IF('Bundle Tag Info'!D$10&lt;&gt;"",CONCATENATE('Bundle Tag Info'!$A$1," ",CHAR(10),'Bundle Tag Info'!$A$2," ",'Bundle Tag Info'!$A$3,CHAR(10),'Bundle Tag Info'!D$6,CHAR(10),'Bundle Tag Info'!D$10),"")</f>
        <v>WOODSIDE GOODWYNN #1 
J1848 Rev. B.2M1
BACK PNL
FU/XT RED</v>
      </c>
      <c r="E5" s="22" t="str">
        <f>IF('Bundle Tag Info'!E$10&lt;&gt;"",CONCATENATE('Bundle Tag Info'!$A$1," ",CHAR(10),'Bundle Tag Info'!$A$2," ",'Bundle Tag Info'!$A$3,CHAR(10),'Bundle Tag Info'!E$6,CHAR(10),'Bundle Tag Info'!E$10),"")</f>
        <v>WOODSIDE GOODWYNN #1 
J1848 Rev. B.2M1
R/S PNL
BA0606</v>
      </c>
      <c r="F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5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6" spans="1:30" ht="12.5" customHeight="1" x14ac:dyDescent="0.35">
      <c r="A6" s="22" t="str">
        <f>IF('Bundle Tag Info'!A$11&lt;&gt;"",CONCATENATE('Bundle Tag Info'!$A$1," ",CHAR(10),'Bundle Tag Info'!$A$2," ",'Bundle Tag Info'!$A$3,CHAR(10),'Bundle Tag Info'!A$6,CHAR(10),'Bundle Tag Info'!A$11),"")</f>
        <v/>
      </c>
      <c r="B6" s="22" t="str">
        <f>IF('Bundle Tag Info'!B$11&lt;&gt;"",CONCATENATE('Bundle Tag Info'!$A$1," ",CHAR(10),'Bundle Tag Info'!$A$2," ",'Bundle Tag Info'!$A$3,CHAR(10),'Bundle Tag Info'!B$6,CHAR(10),'Bundle Tag Info'!B$11),"")</f>
        <v>WOODSIDE GOODWYNN #1 
J1848 Rev. B.2M1
SCS
SB0401</v>
      </c>
      <c r="C6" s="22" t="str">
        <f>IF('Bundle Tag Info'!C$11&lt;&gt;"",CONCATENATE('Bundle Tag Info'!$A$1," ",CHAR(10),'Bundle Tag Info'!$A$2," ",'Bundle Tag Info'!$A$3,CHAR(10),'Bundle Tag Info'!C$6,CHAR(10),'Bundle Tag Info'!C$11),"")</f>
        <v>WOODSIDE GOODWYNN #1 
J1848 Rev. B.2M1
L/S PNL
FU/XT</v>
      </c>
      <c r="D6" s="22" t="str">
        <f>IF('Bundle Tag Info'!D$11&lt;&gt;"",CONCATENATE('Bundle Tag Info'!$A$1," ",CHAR(10),'Bundle Tag Info'!$A$2," ",'Bundle Tag Info'!$A$3,CHAR(10),'Bundle Tag Info'!D$6,CHAR(10),'Bundle Tag Info'!D$11),"")</f>
        <v>WOODSIDE GOODWYNN #1 
J1848 Rev. B.2M1
BACK PNL
QS RED</v>
      </c>
      <c r="E6" s="22" t="str">
        <f>IF('Bundle Tag Info'!E$11&lt;&gt;"",CONCATENATE('Bundle Tag Info'!$A$1," ",CHAR(10),'Bundle Tag Info'!$A$2," ",'Bundle Tag Info'!$A$3,CHAR(10),'Bundle Tag Info'!E$6,CHAR(10),'Bundle Tag Info'!E$11),"")</f>
        <v>WOODSIDE GOODWYNN #1 
J1848 Rev. B.2M1
R/S PNL
AT0680</v>
      </c>
      <c r="F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6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7" spans="1:30" ht="12.5" customHeight="1" x14ac:dyDescent="0.35">
      <c r="A7" s="22" t="str">
        <f>IF('Bundle Tag Info'!A$12&lt;&gt;"",CONCATENATE('Bundle Tag Info'!$A$1," ",CHAR(10),'Bundle Tag Info'!$A$2," ",'Bundle Tag Info'!$A$3,CHAR(10),'Bundle Tag Info'!A$6,CHAR(10),'Bundle Tag Info'!A$12),"")</f>
        <v/>
      </c>
      <c r="B7" s="22" t="str">
        <f>IF('Bundle Tag Info'!B$12&lt;&gt;"",CONCATENATE('Bundle Tag Info'!$A$1," ",CHAR(10),'Bundle Tag Info'!$A$2," ",'Bundle Tag Info'!$A$3,CHAR(10),'Bundle Tag Info'!B$6,CHAR(10),'Bundle Tag Info'!B$12),"")</f>
        <v>WOODSIDE GOODWYNN #1 
J1848 Rev. B.2M1
SCS
SH0418</v>
      </c>
      <c r="C7" s="22" t="str">
        <f>IF('Bundle Tag Info'!C$12&lt;&gt;"",CONCATENATE('Bundle Tag Info'!$A$1," ",CHAR(10),'Bundle Tag Info'!$A$2," ",'Bundle Tag Info'!$A$3,CHAR(10),'Bundle Tag Info'!C$6,CHAR(10),'Bundle Tag Info'!C$12),"")</f>
        <v>WOODSIDE GOODWYNN #1 
J1848 Rev. B.2M1
L/S PNL
KA-BACK</v>
      </c>
      <c r="D7" s="22" t="str">
        <f>IF('Bundle Tag Info'!D$12&lt;&gt;"",CONCATENATE('Bundle Tag Info'!$A$1," ",CHAR(10),'Bundle Tag Info'!$A$2," ",'Bundle Tag Info'!$A$3,CHAR(10),'Bundle Tag Info'!D$6,CHAR(10),'Bundle Tag Info'!D$12),"")</f>
        <v>WOODSIDE GOODWYNN #1 
J1848 Rev. B.2M1
BACK PNL
QS</v>
      </c>
      <c r="E7" s="22" t="str">
        <f>IF('Bundle Tag Info'!E$12&lt;&gt;"",CONCATENATE('Bundle Tag Info'!$A$1," ",CHAR(10),'Bundle Tag Info'!$A$2," ",'Bundle Tag Info'!$A$3,CHAR(10),'Bundle Tag Info'!E$6,CHAR(10),'Bundle Tag Info'!E$12),"")</f>
        <v>WOODSIDE GOODWYNN #1 
J1848 Rev. B.2M1
R/S PNL
FU</v>
      </c>
      <c r="F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7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8" spans="1:30" ht="12.5" customHeight="1" x14ac:dyDescent="0.35">
      <c r="A8" s="22" t="str">
        <f>IF('Bundle Tag Info'!A$13&lt;&gt;"",CONCATENATE('Bundle Tag Info'!$A$1," ",CHAR(10),'Bundle Tag Info'!$A$2," ",'Bundle Tag Info'!$A$3,CHAR(10),'Bundle Tag Info'!A$6,CHAR(10),'Bundle Tag Info'!A$13),"")</f>
        <v/>
      </c>
      <c r="B8" s="22" t="str">
        <f>IF('Bundle Tag Info'!B$13&lt;&gt;"",CONCATENATE('Bundle Tag Info'!$A$1," ",CHAR(10),'Bundle Tag Info'!$A$2," ",'Bundle Tag Info'!$A$3,CHAR(10),'Bundle Tag Info'!B$6,CHAR(10),'Bundle Tag Info'!B$13),"")</f>
        <v>WOODSIDE GOODWYNN #1 
J1848 Rev. B.2M1
SCS
AU/AF</v>
      </c>
      <c r="C8" s="22" t="str">
        <f>IF('Bundle Tag Info'!C$13&lt;&gt;"",CONCATENATE('Bundle Tag Info'!$A$1," ",CHAR(10),'Bundle Tag Info'!$A$2," ",'Bundle Tag Info'!$A$3,CHAR(10),'Bundle Tag Info'!C$6,CHAR(10),'Bundle Tag Info'!C$13),"")</f>
        <v>WOODSIDE GOODWYNN #1 
J1848 Rev. B.2M1
L/S PNL
XT-BACK</v>
      </c>
      <c r="D8" s="22" t="str">
        <f>IF('Bundle Tag Info'!D$13&lt;&gt;"",CONCATENATE('Bundle Tag Info'!$A$1," ",CHAR(10),'Bundle Tag Info'!$A$2," ",'Bundle Tag Info'!$A$3,CHAR(10),'Bundle Tag Info'!D$6,CHAR(10),'Bundle Tag Info'!D$13),"")</f>
        <v>WOODSIDE GOODWYNN #1 
J1848 Rev. B.2M1
BACK PNL
XT-R/S</v>
      </c>
      <c r="E8" s="22" t="str">
        <f>IF('Bundle Tag Info'!E$13&lt;&gt;"",CONCATENATE('Bundle Tag Info'!$A$1," ",CHAR(10),'Bundle Tag Info'!$A$2," ",'Bundle Tag Info'!$A$3,CHAR(10),'Bundle Tag Info'!E$6,CHAR(10),'Bundle Tag Info'!E$13),"")</f>
        <v/>
      </c>
      <c r="F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8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9" spans="1:30" ht="12.5" customHeight="1" x14ac:dyDescent="0.35">
      <c r="A9" s="22" t="str">
        <f>IF('Bundle Tag Info'!A$14&lt;&gt;"",CONCATENATE('Bundle Tag Info'!$A$1," ",CHAR(10),'Bundle Tag Info'!$A$2," ",'Bundle Tag Info'!$A$3,CHAR(10),'Bundle Tag Info'!A$6,CHAR(10),'Bundle Tag Info'!A$14),"")</f>
        <v/>
      </c>
      <c r="B9" s="22" t="str">
        <f>IF('Bundle Tag Info'!B$14&lt;&gt;"",CONCATENATE('Bundle Tag Info'!$A$1," ",CHAR(10),'Bundle Tag Info'!$A$2," ",'Bundle Tag Info'!$A$3,CHAR(10),'Bundle Tag Info'!B$6,CHAR(10),'Bundle Tag Info'!B$14),"")</f>
        <v>WOODSIDE GOODWYNN #1 
J1848 Rev. B.2M1
SCS
AU/AF-BACK</v>
      </c>
      <c r="C9" s="22" t="str">
        <f>IF('Bundle Tag Info'!C$14&lt;&gt;"",CONCATENATE('Bundle Tag Info'!$A$1," ",CHAR(10),'Bundle Tag Info'!$A$2," ",'Bundle Tag Info'!$A$3,CHAR(10),'Bundle Tag Info'!C$6,CHAR(10),'Bundle Tag Info'!C$14),"")</f>
        <v/>
      </c>
      <c r="D9" s="22" t="str">
        <f>IF('Bundle Tag Info'!D$14&lt;&gt;"",CONCATENATE('Bundle Tag Info'!$A$1," ",CHAR(10),'Bundle Tag Info'!$A$2," ",'Bundle Tag Info'!$A$3,CHAR(10),'Bundle Tag Info'!D$6,CHAR(10),'Bundle Tag Info'!D$14),"")</f>
        <v/>
      </c>
      <c r="E9" s="22" t="str">
        <f>IF('Bundle Tag Info'!E$14&lt;&gt;"",CONCATENATE('Bundle Tag Info'!$A$1," ",CHAR(10),'Bundle Tag Info'!$A$2," ",'Bundle Tag Info'!$A$3,CHAR(10),'Bundle Tag Info'!E$6,CHAR(10),'Bundle Tag Info'!E$14),"")</f>
        <v/>
      </c>
      <c r="F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9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10" spans="1:30" ht="12.5" customHeight="1" x14ac:dyDescent="0.35">
      <c r="A10" s="22" t="str">
        <f>IF('Bundle Tag Info'!A$15&lt;&gt;"",CONCATENATE('Bundle Tag Info'!$A$1," ",CHAR(10),'Bundle Tag Info'!$A$2," ",'Bundle Tag Info'!$A$3,CHAR(10),'Bundle Tag Info'!A$6,CHAR(10),'Bundle Tag Info'!A$15),"")</f>
        <v/>
      </c>
      <c r="B10" s="22" t="str">
        <f>IF('Bundle Tag Info'!B$15&lt;&gt;"",CONCATENATE('Bundle Tag Info'!$A$1," ",CHAR(10),'Bundle Tag Info'!$A$2," ",'Bundle Tag Info'!$A$3,CHAR(10),'Bundle Tag Info'!B$6,CHAR(10),'Bundle Tag Info'!B$15),"")</f>
        <v>WOODSIDE GOODWYNN #1 
J1848 Rev. B.2M1
SCS
FU/XT-BACK</v>
      </c>
      <c r="C10" s="22" t="str">
        <f>IF('Bundle Tag Info'!C$15&lt;&gt;"",CONCATENATE('Bundle Tag Info'!$A$1," ",CHAR(10),'Bundle Tag Info'!$A$2," ",'Bundle Tag Info'!$A$3,CHAR(10),'Bundle Tag Info'!C$6,CHAR(10),'Bundle Tag Info'!C$15),"")</f>
        <v/>
      </c>
      <c r="D10" s="22" t="str">
        <f>IF('Bundle Tag Info'!D$15&lt;&gt;"",CONCATENATE('Bundle Tag Info'!$A$1," ",CHAR(10),'Bundle Tag Info'!$A$2," ",'Bundle Tag Info'!$A$3,CHAR(10),'Bundle Tag Info'!D$6,CHAR(10),'Bundle Tag Info'!D$15),"")</f>
        <v/>
      </c>
      <c r="E10" s="22" t="str">
        <f>IF('Bundle Tag Info'!E$15&lt;&gt;"",CONCATENATE('Bundle Tag Info'!$A$1," ",CHAR(10),'Bundle Tag Info'!$A$2," ",'Bundle Tag Info'!$A$3,CHAR(10),'Bundle Tag Info'!E$6,CHAR(10),'Bundle Tag Info'!E$15),"")</f>
        <v/>
      </c>
      <c r="F1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1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1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1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1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1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1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1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1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1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1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1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1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1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1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1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1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1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1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1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1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1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1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1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10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11" spans="1:30" ht="12.5" customHeight="1" x14ac:dyDescent="0.35">
      <c r="A11" s="22" t="str">
        <f>IF('Bundle Tag Info'!A$16&lt;&gt;"",CONCATENATE('Bundle Tag Info'!$A$1," ",CHAR(10),'Bundle Tag Info'!$A$2," ",'Bundle Tag Info'!$A$3,CHAR(10),'Bundle Tag Info'!A$6,CHAR(10),'Bundle Tag Info'!A$16),"")</f>
        <v/>
      </c>
      <c r="B11" s="22" t="str">
        <f>IF('Bundle Tag Info'!B$16&lt;&gt;"",CONCATENATE('Bundle Tag Info'!$A$1," ",CHAR(10),'Bundle Tag Info'!$A$2," ",'Bundle Tag Info'!$A$3,CHAR(10),'Bundle Tag Info'!B$6,CHAR(10),'Bundle Tag Info'!B$16),"")</f>
        <v/>
      </c>
      <c r="C11" s="22" t="str">
        <f>IF('Bundle Tag Info'!C$16&lt;&gt;"",CONCATENATE('Bundle Tag Info'!$A$1," ",CHAR(10),'Bundle Tag Info'!$A$2," ",'Bundle Tag Info'!$A$3,CHAR(10),'Bundle Tag Info'!C$6,CHAR(10),'Bundle Tag Info'!C$16),"")</f>
        <v/>
      </c>
      <c r="D11" s="22" t="str">
        <f>IF('Bundle Tag Info'!D$16&lt;&gt;"",CONCATENATE('Bundle Tag Info'!$A$1," ",CHAR(10),'Bundle Tag Info'!$A$2," ",'Bundle Tag Info'!$A$3,CHAR(10),'Bundle Tag Info'!D$6,CHAR(10),'Bundle Tag Info'!D$16),"")</f>
        <v/>
      </c>
      <c r="E11" s="22" t="str">
        <f>IF('Bundle Tag Info'!E$16&lt;&gt;"",CONCATENATE('Bundle Tag Info'!$A$1," ",CHAR(10),'Bundle Tag Info'!$A$2," ",'Bundle Tag Info'!$A$3,CHAR(10),'Bundle Tag Info'!E$6,CHAR(10),'Bundle Tag Info'!E$16),"")</f>
        <v/>
      </c>
      <c r="F1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1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1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1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1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1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1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1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1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1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1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1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1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1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1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1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1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1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1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1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1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1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1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1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11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12" spans="1:30" ht="12.5" customHeight="1" x14ac:dyDescent="0.35">
      <c r="A12" s="22" t="str">
        <f>IF('Bundle Tag Info'!A$17&lt;&gt;"",CONCATENATE('Bundle Tag Info'!$A$1," ",CHAR(10),'Bundle Tag Info'!$A$2," ",'Bundle Tag Info'!$A$3,CHAR(10),'Bundle Tag Info'!A$6,CHAR(10),'Bundle Tag Info'!A$17),"")</f>
        <v/>
      </c>
      <c r="B12" s="22" t="str">
        <f>IF('Bundle Tag Info'!B$17&lt;&gt;"",CONCATENATE('Bundle Tag Info'!$A$1," ",CHAR(10),'Bundle Tag Info'!$A$2," ",'Bundle Tag Info'!$A$3,CHAR(10),'Bundle Tag Info'!B$6,CHAR(10),'Bundle Tag Info'!B$17),"")</f>
        <v/>
      </c>
      <c r="C12" s="22" t="str">
        <f>IF('Bundle Tag Info'!C$17&lt;&gt;"",CONCATENATE('Bundle Tag Info'!$A$1," ",CHAR(10),'Bundle Tag Info'!$A$2," ",'Bundle Tag Info'!$A$3,CHAR(10),'Bundle Tag Info'!C$6,CHAR(10),'Bundle Tag Info'!C$17),"")</f>
        <v/>
      </c>
      <c r="D12" s="22" t="str">
        <f>IF('Bundle Tag Info'!D$17&lt;&gt;"",CONCATENATE('Bundle Tag Info'!$A$1," ",CHAR(10),'Bundle Tag Info'!$A$2," ",'Bundle Tag Info'!$A$3,CHAR(10),'Bundle Tag Info'!D$6,CHAR(10),'Bundle Tag Info'!D$17),"")</f>
        <v/>
      </c>
      <c r="E12" s="22" t="str">
        <f>IF('Bundle Tag Info'!E$17&lt;&gt;"",CONCATENATE('Bundle Tag Info'!$A$1," ",CHAR(10),'Bundle Tag Info'!$A$2," ",'Bundle Tag Info'!$A$3,CHAR(10),'Bundle Tag Info'!E$6,CHAR(10),'Bundle Tag Info'!E$17),"")</f>
        <v/>
      </c>
      <c r="F1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1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1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1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1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1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1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1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1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1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1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1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1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1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1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1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1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1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1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1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1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1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1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1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12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13" spans="1:30" ht="12.5" customHeight="1" x14ac:dyDescent="0.35">
      <c r="A13" s="22" t="str">
        <f>IF('Bundle Tag Info'!A$18&lt;&gt;"",CONCATENATE('Bundle Tag Info'!$A$1," ",CHAR(10),'Bundle Tag Info'!$A$2," ",'Bundle Tag Info'!$A$3,CHAR(10),'Bundle Tag Info'!A$6,CHAR(10),'Bundle Tag Info'!A$18),"")</f>
        <v/>
      </c>
      <c r="B13" s="22" t="str">
        <f>IF('Bundle Tag Info'!B$18&lt;&gt;"",CONCATENATE('Bundle Tag Info'!$A$1," ",CHAR(10),'Bundle Tag Info'!$A$2," ",'Bundle Tag Info'!$A$3,CHAR(10),'Bundle Tag Info'!B$6,CHAR(10),'Bundle Tag Info'!B$18),"")</f>
        <v/>
      </c>
      <c r="C13" s="22" t="str">
        <f>IF('Bundle Tag Info'!C$18&lt;&gt;"",CONCATENATE('Bundle Tag Info'!$A$1," ",CHAR(10),'Bundle Tag Info'!$A$2," ",'Bundle Tag Info'!$A$3,CHAR(10),'Bundle Tag Info'!C$6,CHAR(10),'Bundle Tag Info'!C$18),"")</f>
        <v/>
      </c>
      <c r="D13" s="22" t="str">
        <f>IF('Bundle Tag Info'!D$18&lt;&gt;"",CONCATENATE('Bundle Tag Info'!$A$1," ",CHAR(10),'Bundle Tag Info'!$A$2," ",'Bundle Tag Info'!$A$3,CHAR(10),'Bundle Tag Info'!D$6,CHAR(10),'Bundle Tag Info'!D$18),"")</f>
        <v/>
      </c>
      <c r="E13" s="22" t="str">
        <f>IF('Bundle Tag Info'!E$18&lt;&gt;"",CONCATENATE('Bundle Tag Info'!$A$1," ",CHAR(10),'Bundle Tag Info'!$A$2," ",'Bundle Tag Info'!$A$3,CHAR(10),'Bundle Tag Info'!E$6,CHAR(10),'Bundle Tag Info'!E$18),"")</f>
        <v/>
      </c>
      <c r="F1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1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1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1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1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1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1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1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1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1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1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1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1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1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1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1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1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1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1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1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1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1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1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1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13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14" spans="1:30" ht="12.5" customHeight="1" x14ac:dyDescent="0.35">
      <c r="A14" s="22" t="str">
        <f>IF('Bundle Tag Info'!A$19&lt;&gt;"",CONCATENATE('Bundle Tag Info'!$A$1," ",CHAR(10),'Bundle Tag Info'!$A$2," ",'Bundle Tag Info'!$A$3,CHAR(10),'Bundle Tag Info'!A$6,CHAR(10),'Bundle Tag Info'!A$19),"")</f>
        <v/>
      </c>
      <c r="B14" s="22" t="str">
        <f>IF('Bundle Tag Info'!B$19&lt;&gt;"",CONCATENATE('Bundle Tag Info'!$A$1," ",CHAR(10),'Bundle Tag Info'!$A$2," ",'Bundle Tag Info'!$A$3,CHAR(10),'Bundle Tag Info'!B$6,CHAR(10),'Bundle Tag Info'!B$19),"")</f>
        <v/>
      </c>
      <c r="C14" s="22" t="str">
        <f>IF('Bundle Tag Info'!C$19&lt;&gt;"",CONCATENATE('Bundle Tag Info'!$A$1," ",CHAR(10),'Bundle Tag Info'!$A$2," ",'Bundle Tag Info'!$A$3,CHAR(10),'Bundle Tag Info'!C$6,CHAR(10),'Bundle Tag Info'!C$19),"")</f>
        <v/>
      </c>
      <c r="D14" s="22" t="str">
        <f>IF('Bundle Tag Info'!D$19&lt;&gt;"",CONCATENATE('Bundle Tag Info'!$A$1," ",CHAR(10),'Bundle Tag Info'!$A$2," ",'Bundle Tag Info'!$A$3,CHAR(10),'Bundle Tag Info'!D$6,CHAR(10),'Bundle Tag Info'!D$19),"")</f>
        <v/>
      </c>
      <c r="E14" s="22" t="str">
        <f>IF('Bundle Tag Info'!E$19&lt;&gt;"",CONCATENATE('Bundle Tag Info'!$A$1," ",CHAR(10),'Bundle Tag Info'!$A$2," ",'Bundle Tag Info'!$A$3,CHAR(10),'Bundle Tag Info'!E$6,CHAR(10),'Bundle Tag Info'!E$19),"")</f>
        <v/>
      </c>
      <c r="F1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1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1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1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1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1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1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1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1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1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1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1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1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1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1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1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1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1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1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1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1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1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1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1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14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15" spans="1:30" ht="12.5" customHeight="1" x14ac:dyDescent="0.35">
      <c r="A15" s="22" t="str">
        <f>IF('Bundle Tag Info'!A$20&lt;&gt;"",CONCATENATE('Bundle Tag Info'!$A$1," ",CHAR(10),'Bundle Tag Info'!$A$2," ",'Bundle Tag Info'!$A$3,CHAR(10),'Bundle Tag Info'!A$6,CHAR(10),'Bundle Tag Info'!A$20),"")</f>
        <v/>
      </c>
      <c r="B15" s="22" t="str">
        <f>IF('Bundle Tag Info'!B$20&lt;&gt;"",CONCATENATE('Bundle Tag Info'!$A$1," ",CHAR(10),'Bundle Tag Info'!$A$2," ",'Bundle Tag Info'!$A$3,CHAR(10),'Bundle Tag Info'!B$6,CHAR(10),'Bundle Tag Info'!B$20),"")</f>
        <v/>
      </c>
      <c r="C15" s="22" t="str">
        <f>IF('Bundle Tag Info'!C$20&lt;&gt;"",CONCATENATE('Bundle Tag Info'!$A$1," ",CHAR(10),'Bundle Tag Info'!$A$2," ",'Bundle Tag Info'!$A$3,CHAR(10),'Bundle Tag Info'!C$6,CHAR(10),'Bundle Tag Info'!C$20),"")</f>
        <v/>
      </c>
      <c r="D15" s="22" t="str">
        <f>IF('Bundle Tag Info'!D$20&lt;&gt;"",CONCATENATE('Bundle Tag Info'!$A$1," ",CHAR(10),'Bundle Tag Info'!$A$2," ",'Bundle Tag Info'!$A$3,CHAR(10),'Bundle Tag Info'!D$6,CHAR(10),'Bundle Tag Info'!D$20),"")</f>
        <v/>
      </c>
      <c r="E15" s="22" t="str">
        <f>IF('Bundle Tag Info'!E$20&lt;&gt;"",CONCATENATE('Bundle Tag Info'!$A$1," ",CHAR(10),'Bundle Tag Info'!$A$2," ",'Bundle Tag Info'!$A$3,CHAR(10),'Bundle Tag Info'!E$6,CHAR(10),'Bundle Tag Info'!E$20),"")</f>
        <v/>
      </c>
      <c r="F1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1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1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1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1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1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1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1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1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1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1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1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1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1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1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1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1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1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1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1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1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1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1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1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15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16" spans="1:30" ht="12.5" customHeight="1" x14ac:dyDescent="0.35">
      <c r="A16" s="22" t="str">
        <f>IF('Bundle Tag Info'!A$21&lt;&gt;"",CONCATENATE('Bundle Tag Info'!$A$1," ",CHAR(10),'Bundle Tag Info'!$A$2," ",'Bundle Tag Info'!$A$3,CHAR(10),'Bundle Tag Info'!A$6,CHAR(10),'Bundle Tag Info'!A$21),"")</f>
        <v/>
      </c>
      <c r="B16" s="22" t="str">
        <f>IF('Bundle Tag Info'!B$21&lt;&gt;"",CONCATENATE('Bundle Tag Info'!$A$1," ",CHAR(10),'Bundle Tag Info'!$A$2," ",'Bundle Tag Info'!$A$3,CHAR(10),'Bundle Tag Info'!B$6,CHAR(10),'Bundle Tag Info'!B$21),"")</f>
        <v/>
      </c>
      <c r="C16" s="22" t="str">
        <f>IF('Bundle Tag Info'!C$21&lt;&gt;"",CONCATENATE('Bundle Tag Info'!$A$1," ",CHAR(10),'Bundle Tag Info'!$A$2," ",'Bundle Tag Info'!$A$3,CHAR(10),'Bundle Tag Info'!C$6,CHAR(10),'Bundle Tag Info'!C$21),"")</f>
        <v/>
      </c>
      <c r="D16" s="22" t="str">
        <f>IF('Bundle Tag Info'!D$21&lt;&gt;"",CONCATENATE('Bundle Tag Info'!$A$1," ",CHAR(10),'Bundle Tag Info'!$A$2," ",'Bundle Tag Info'!$A$3,CHAR(10),'Bundle Tag Info'!D$6,CHAR(10),'Bundle Tag Info'!D$21),"")</f>
        <v/>
      </c>
      <c r="E16" s="22" t="str">
        <f>IF('Bundle Tag Info'!E$21&lt;&gt;"",CONCATENATE('Bundle Tag Info'!$A$1," ",CHAR(10),'Bundle Tag Info'!$A$2," ",'Bundle Tag Info'!$A$3,CHAR(10),'Bundle Tag Info'!E$6,CHAR(10),'Bundle Tag Info'!E$21),"")</f>
        <v/>
      </c>
      <c r="F1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1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1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1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1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1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1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1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1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1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1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1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1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1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1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1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1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1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1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1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1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1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1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1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16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17" spans="1:30" ht="12.5" customHeight="1" x14ac:dyDescent="0.35">
      <c r="A17" s="22" t="str">
        <f>IF('Bundle Tag Info'!A$22&lt;&gt;"",CONCATENATE('Bundle Tag Info'!$A$1," ",CHAR(10),'Bundle Tag Info'!$A$2," ",'Bundle Tag Info'!$A$3,CHAR(10),'Bundle Tag Info'!A$6,CHAR(10),'Bundle Tag Info'!A$22),"")</f>
        <v/>
      </c>
      <c r="B17" s="22" t="str">
        <f>IF('Bundle Tag Info'!B$22&lt;&gt;"",CONCATENATE('Bundle Tag Info'!$A$1," ",CHAR(10),'Bundle Tag Info'!$A$2," ",'Bundle Tag Info'!$A$3,CHAR(10),'Bundle Tag Info'!B$6,CHAR(10),'Bundle Tag Info'!B$22),"")</f>
        <v/>
      </c>
      <c r="C17" s="22" t="str">
        <f>IF('Bundle Tag Info'!C$22&lt;&gt;"",CONCATENATE('Bundle Tag Info'!$A$1," ",CHAR(10),'Bundle Tag Info'!$A$2," ",'Bundle Tag Info'!$A$3,CHAR(10),'Bundle Tag Info'!C$6,CHAR(10),'Bundle Tag Info'!C$22),"")</f>
        <v/>
      </c>
      <c r="D17" s="22" t="str">
        <f>IF('Bundle Tag Info'!D$22&lt;&gt;"",CONCATENATE('Bundle Tag Info'!$A$1," ",CHAR(10),'Bundle Tag Info'!$A$2," ",'Bundle Tag Info'!$A$3,CHAR(10),'Bundle Tag Info'!D$6,CHAR(10),'Bundle Tag Info'!D$22),"")</f>
        <v/>
      </c>
      <c r="E17" s="22" t="str">
        <f>IF('Bundle Tag Info'!E$22&lt;&gt;"",CONCATENATE('Bundle Tag Info'!$A$1," ",CHAR(10),'Bundle Tag Info'!$A$2," ",'Bundle Tag Info'!$A$3,CHAR(10),'Bundle Tag Info'!E$6,CHAR(10),'Bundle Tag Info'!E$22),"")</f>
        <v/>
      </c>
      <c r="F1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1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1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1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1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1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1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1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1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1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1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1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1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1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1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1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1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1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1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1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1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1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1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1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17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18" spans="1:30" ht="12.5" customHeight="1" x14ac:dyDescent="0.35">
      <c r="A18" s="22" t="str">
        <f>IF('Bundle Tag Info'!A$23&lt;&gt;"",CONCATENATE('Bundle Tag Info'!$A$1," ",CHAR(10),'Bundle Tag Info'!$A$2," ",'Bundle Tag Info'!$A$3,CHAR(10),'Bundle Tag Info'!A$6,CHAR(10),'Bundle Tag Info'!A$23),"")</f>
        <v/>
      </c>
      <c r="B18" s="22" t="str">
        <f>IF('Bundle Tag Info'!B$23&lt;&gt;"",CONCATENATE('Bundle Tag Info'!$A$1," ",CHAR(10),'Bundle Tag Info'!$A$2," ",'Bundle Tag Info'!$A$3,CHAR(10),'Bundle Tag Info'!B$6,CHAR(10),'Bundle Tag Info'!B$23),"")</f>
        <v/>
      </c>
      <c r="C18" s="22" t="str">
        <f>IF('Bundle Tag Info'!C$23&lt;&gt;"",CONCATENATE('Bundle Tag Info'!$A$1," ",CHAR(10),'Bundle Tag Info'!$A$2," ",'Bundle Tag Info'!$A$3,CHAR(10),'Bundle Tag Info'!C$6,CHAR(10),'Bundle Tag Info'!C$23),"")</f>
        <v/>
      </c>
      <c r="D18" s="22" t="str">
        <f>IF('Bundle Tag Info'!D$23&lt;&gt;"",CONCATENATE('Bundle Tag Info'!$A$1," ",CHAR(10),'Bundle Tag Info'!$A$2," ",'Bundle Tag Info'!$A$3,CHAR(10),'Bundle Tag Info'!D$6,CHAR(10),'Bundle Tag Info'!D$23),"")</f>
        <v/>
      </c>
      <c r="E18" s="22" t="str">
        <f>IF('Bundle Tag Info'!E$23&lt;&gt;"",CONCATENATE('Bundle Tag Info'!$A$1," ",CHAR(10),'Bundle Tag Info'!$A$2," ",'Bundle Tag Info'!$A$3,CHAR(10),'Bundle Tag Info'!E$6,CHAR(10),'Bundle Tag Info'!E$23),"")</f>
        <v/>
      </c>
      <c r="F1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1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1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1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1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1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1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1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1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1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1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1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1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1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1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1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1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1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1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1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1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1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1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1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18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19" spans="1:30" ht="12.5" customHeight="1" x14ac:dyDescent="0.35">
      <c r="A19" s="22" t="str">
        <f>IF('Bundle Tag Info'!A$24&lt;&gt;"",CONCATENATE('Bundle Tag Info'!$A$1," ",CHAR(10),'Bundle Tag Info'!$A$2," ",'Bundle Tag Info'!$A$3,CHAR(10),'Bundle Tag Info'!A$6,CHAR(10),'Bundle Tag Info'!A$24),"")</f>
        <v/>
      </c>
      <c r="B19" s="22" t="str">
        <f>IF('Bundle Tag Info'!B$24&lt;&gt;"",CONCATENATE('Bundle Tag Info'!$A$1," ",CHAR(10),'Bundle Tag Info'!$A$2," ",'Bundle Tag Info'!$A$3,CHAR(10),'Bundle Tag Info'!B$6,CHAR(10),'Bundle Tag Info'!B$24),"")</f>
        <v/>
      </c>
      <c r="C19" s="22" t="str">
        <f>IF('Bundle Tag Info'!C$24&lt;&gt;"",CONCATENATE('Bundle Tag Info'!$A$1," ",CHAR(10),'Bundle Tag Info'!$A$2," ",'Bundle Tag Info'!$A$3,CHAR(10),'Bundle Tag Info'!C$6,CHAR(10),'Bundle Tag Info'!C$24),"")</f>
        <v/>
      </c>
      <c r="D19" s="22" t="str">
        <f>IF('Bundle Tag Info'!D$24&lt;&gt;"",CONCATENATE('Bundle Tag Info'!$A$1," ",CHAR(10),'Bundle Tag Info'!$A$2," ",'Bundle Tag Info'!$A$3,CHAR(10),'Bundle Tag Info'!D$6,CHAR(10),'Bundle Tag Info'!D$24),"")</f>
        <v/>
      </c>
      <c r="E19" s="22" t="str">
        <f>IF('Bundle Tag Info'!E$24&lt;&gt;"",CONCATENATE('Bundle Tag Info'!$A$1," ",CHAR(10),'Bundle Tag Info'!$A$2," ",'Bundle Tag Info'!$A$3,CHAR(10),'Bundle Tag Info'!E$6,CHAR(10),'Bundle Tag Info'!E$24),"")</f>
        <v/>
      </c>
      <c r="F1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1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1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1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1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1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1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1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1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1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1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1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1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1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1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1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1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1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1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1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1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1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1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1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19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20" spans="1:30" ht="12.5" customHeight="1" x14ac:dyDescent="0.35">
      <c r="A20" s="22" t="str">
        <f>IF('Bundle Tag Info'!A$25&lt;&gt;"",CONCATENATE('Bundle Tag Info'!$A$1," ",CHAR(10),'Bundle Tag Info'!$A$2," ",'Bundle Tag Info'!$A$3,CHAR(10),'Bundle Tag Info'!A$6,CHAR(10),'Bundle Tag Info'!A$25),"")</f>
        <v/>
      </c>
      <c r="B20" s="22" t="str">
        <f>IF('Bundle Tag Info'!B$25&lt;&gt;"",CONCATENATE('Bundle Tag Info'!$A$1," ",CHAR(10),'Bundle Tag Info'!$A$2," ",'Bundle Tag Info'!$A$3,CHAR(10),'Bundle Tag Info'!B$6,CHAR(10),'Bundle Tag Info'!B$25),"")</f>
        <v/>
      </c>
      <c r="C20" s="22" t="str">
        <f>IF('Bundle Tag Info'!C$25&lt;&gt;"",CONCATENATE('Bundle Tag Info'!$A$1," ",CHAR(10),'Bundle Tag Info'!$A$2," ",'Bundle Tag Info'!$A$3,CHAR(10),'Bundle Tag Info'!C$6,CHAR(10),'Bundle Tag Info'!C$25),"")</f>
        <v/>
      </c>
      <c r="D20" s="22" t="str">
        <f>IF('Bundle Tag Info'!D$25&lt;&gt;"",CONCATENATE('Bundle Tag Info'!$A$1," ",CHAR(10),'Bundle Tag Info'!$A$2," ",'Bundle Tag Info'!$A$3,CHAR(10),'Bundle Tag Info'!D$6,CHAR(10),'Bundle Tag Info'!D$25),"")</f>
        <v/>
      </c>
      <c r="E20" s="22" t="str">
        <f>IF('Bundle Tag Info'!E$25&lt;&gt;"",CONCATENATE('Bundle Tag Info'!$A$1," ",CHAR(10),'Bundle Tag Info'!$A$2," ",'Bundle Tag Info'!$A$3,CHAR(10),'Bundle Tag Info'!E$6,CHAR(10),'Bundle Tag Info'!E$25),"")</f>
        <v/>
      </c>
      <c r="F2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2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2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2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2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2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2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2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2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2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2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2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2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2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2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2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2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2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2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2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2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2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2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2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20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21" spans="1:30" ht="12.5" customHeight="1" x14ac:dyDescent="0.35">
      <c r="A21" s="22" t="str">
        <f>IF('Bundle Tag Info'!A$26&lt;&gt;"",CONCATENATE('Bundle Tag Info'!$A$1," ",CHAR(10),'Bundle Tag Info'!$A$2," ",'Bundle Tag Info'!$A$3,CHAR(10),'Bundle Tag Info'!A$6,CHAR(10),'Bundle Tag Info'!A$26),"")</f>
        <v/>
      </c>
      <c r="B21" s="22" t="str">
        <f>IF('Bundle Tag Info'!B$26&lt;&gt;"",CONCATENATE('Bundle Tag Info'!$A$1," ",CHAR(10),'Bundle Tag Info'!$A$2," ",'Bundle Tag Info'!$A$3,CHAR(10),'Bundle Tag Info'!B$6,CHAR(10),'Bundle Tag Info'!B$26),"")</f>
        <v/>
      </c>
      <c r="C21" s="22" t="str">
        <f>IF('Bundle Tag Info'!C$26&lt;&gt;"",CONCATENATE('Bundle Tag Info'!$A$1," ",CHAR(10),'Bundle Tag Info'!$A$2," ",'Bundle Tag Info'!$A$3,CHAR(10),'Bundle Tag Info'!C$6,CHAR(10),'Bundle Tag Info'!C$26),"")</f>
        <v/>
      </c>
      <c r="D21" s="22" t="str">
        <f>IF('Bundle Tag Info'!D$26&lt;&gt;"",CONCATENATE('Bundle Tag Info'!$A$1," ",CHAR(10),'Bundle Tag Info'!$A$2," ",'Bundle Tag Info'!$A$3,CHAR(10),'Bundle Tag Info'!D$6,CHAR(10),'Bundle Tag Info'!D$26),"")</f>
        <v/>
      </c>
      <c r="E21" s="22" t="str">
        <f>IF('Bundle Tag Info'!E$26&lt;&gt;"",CONCATENATE('Bundle Tag Info'!$A$1," ",CHAR(10),'Bundle Tag Info'!$A$2," ",'Bundle Tag Info'!$A$3,CHAR(10),'Bundle Tag Info'!E$6,CHAR(10),'Bundle Tag Info'!E$26),"")</f>
        <v/>
      </c>
      <c r="F2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2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2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2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2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2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2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2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2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2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2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2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2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2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2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2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2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2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2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2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2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2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2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2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21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22" spans="1:30" ht="12.5" customHeight="1" x14ac:dyDescent="0.35">
      <c r="A22" s="22" t="str">
        <f>IF('Bundle Tag Info'!A$27&lt;&gt;"",CONCATENATE('Bundle Tag Info'!$A$1," ",CHAR(10),'Bundle Tag Info'!$A$2," ",'Bundle Tag Info'!$A$3,CHAR(10),'Bundle Tag Info'!A$6,CHAR(10),'Bundle Tag Info'!A$27),"")</f>
        <v/>
      </c>
      <c r="B22" s="22" t="str">
        <f>IF('Bundle Tag Info'!B$27&lt;&gt;"",CONCATENATE('Bundle Tag Info'!$A$1," ",CHAR(10),'Bundle Tag Info'!$A$2," ",'Bundle Tag Info'!$A$3,CHAR(10),'Bundle Tag Info'!B$6,CHAR(10),'Bundle Tag Info'!B$27),"")</f>
        <v/>
      </c>
      <c r="C22" s="22" t="str">
        <f>IF('Bundle Tag Info'!C$27&lt;&gt;"",CONCATENATE('Bundle Tag Info'!$A$1," ",CHAR(10),'Bundle Tag Info'!$A$2," ",'Bundle Tag Info'!$A$3,CHAR(10),'Bundle Tag Info'!C$6,CHAR(10),'Bundle Tag Info'!C$27),"")</f>
        <v/>
      </c>
      <c r="D22" s="22" t="str">
        <f>IF('Bundle Tag Info'!D$27&lt;&gt;"",CONCATENATE('Bundle Tag Info'!$A$1," ",CHAR(10),'Bundle Tag Info'!$A$2," ",'Bundle Tag Info'!$A$3,CHAR(10),'Bundle Tag Info'!D$6,CHAR(10),'Bundle Tag Info'!D$27),"")</f>
        <v/>
      </c>
      <c r="E22" s="22" t="str">
        <f>IF('Bundle Tag Info'!E$27&lt;&gt;"",CONCATENATE('Bundle Tag Info'!$A$1," ",CHAR(10),'Bundle Tag Info'!$A$2," ",'Bundle Tag Info'!$A$3,CHAR(10),'Bundle Tag Info'!E$6,CHAR(10),'Bundle Tag Info'!E$27),"")</f>
        <v/>
      </c>
      <c r="F2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2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2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2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2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2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2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2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2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2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2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2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2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2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2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2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2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2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2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2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2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2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2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22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22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23" spans="1:30" ht="12.5" customHeight="1" x14ac:dyDescent="0.35">
      <c r="A23" s="22" t="str">
        <f>IF('Bundle Tag Info'!A$28&lt;&gt;"",CONCATENATE('Bundle Tag Info'!$A$1," ",CHAR(10),'Bundle Tag Info'!$A$2," ",'Bundle Tag Info'!$A$3,CHAR(10),'Bundle Tag Info'!A$6,CHAR(10),'Bundle Tag Info'!A$28),"")</f>
        <v/>
      </c>
      <c r="B23" s="22" t="str">
        <f>IF('Bundle Tag Info'!B$28&lt;&gt;"",CONCATENATE('Bundle Tag Info'!$A$1," ",CHAR(10),'Bundle Tag Info'!$A$2," ",'Bundle Tag Info'!$A$3,CHAR(10),'Bundle Tag Info'!B$6,CHAR(10),'Bundle Tag Info'!B$28),"")</f>
        <v/>
      </c>
      <c r="C23" s="22" t="str">
        <f>IF('Bundle Tag Info'!C$28&lt;&gt;"",CONCATENATE('Bundle Tag Info'!$A$1," ",CHAR(10),'Bundle Tag Info'!$A$2," ",'Bundle Tag Info'!$A$3,CHAR(10),'Bundle Tag Info'!C$6,CHAR(10),'Bundle Tag Info'!C$28),"")</f>
        <v/>
      </c>
      <c r="D23" s="22" t="str">
        <f>IF('Bundle Tag Info'!D$28&lt;&gt;"",CONCATENATE('Bundle Tag Info'!$A$1," ",CHAR(10),'Bundle Tag Info'!$A$2," ",'Bundle Tag Info'!$A$3,CHAR(10),'Bundle Tag Info'!D$6,CHAR(10),'Bundle Tag Info'!D$28),"")</f>
        <v/>
      </c>
      <c r="E23" s="22" t="str">
        <f>IF('Bundle Tag Info'!E$28&lt;&gt;"",CONCATENATE('Bundle Tag Info'!$A$1," ",CHAR(10),'Bundle Tag Info'!$A$2," ",'Bundle Tag Info'!$A$3,CHAR(10),'Bundle Tag Info'!E$6,CHAR(10),'Bundle Tag Info'!E$28),"")</f>
        <v/>
      </c>
      <c r="F2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2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2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2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2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2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2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2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2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2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2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2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2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2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2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2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2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2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2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2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2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2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2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23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23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24" spans="1:30" ht="12.5" customHeight="1" x14ac:dyDescent="0.35">
      <c r="A24" s="22" t="str">
        <f>IF('Bundle Tag Info'!A$29&lt;&gt;"",CONCATENATE('Bundle Tag Info'!$A$1," ",CHAR(10),'Bundle Tag Info'!$A$2," ",'Bundle Tag Info'!$A$3,CHAR(10),'Bundle Tag Info'!A$6,CHAR(10),'Bundle Tag Info'!A$29),"")</f>
        <v/>
      </c>
      <c r="B24" s="22" t="str">
        <f>IF('Bundle Tag Info'!B$29&lt;&gt;"",CONCATENATE('Bundle Tag Info'!$A$1," ",CHAR(10),'Bundle Tag Info'!$A$2," ",'Bundle Tag Info'!$A$3,CHAR(10),'Bundle Tag Info'!B$6,CHAR(10),'Bundle Tag Info'!B$29),"")</f>
        <v/>
      </c>
      <c r="C24" s="22" t="str">
        <f>IF('Bundle Tag Info'!C$29&lt;&gt;"",CONCATENATE('Bundle Tag Info'!$A$1," ",CHAR(10),'Bundle Tag Info'!$A$2," ",'Bundle Tag Info'!$A$3,CHAR(10),'Bundle Tag Info'!C$6,CHAR(10),'Bundle Tag Info'!C$29),"")</f>
        <v/>
      </c>
      <c r="D24" s="22" t="str">
        <f>IF('Bundle Tag Info'!D$29&lt;&gt;"",CONCATENATE('Bundle Tag Info'!$A$1," ",CHAR(10),'Bundle Tag Info'!$A$2," ",'Bundle Tag Info'!$A$3,CHAR(10),'Bundle Tag Info'!D$6,CHAR(10),'Bundle Tag Info'!D$29),"")</f>
        <v/>
      </c>
      <c r="E24" s="22" t="str">
        <f>IF('Bundle Tag Info'!E$29&lt;&gt;"",CONCATENATE('Bundle Tag Info'!$A$1," ",CHAR(10),'Bundle Tag Info'!$A$2," ",'Bundle Tag Info'!$A$3,CHAR(10),'Bundle Tag Info'!E$6,CHAR(10),'Bundle Tag Info'!E$29),"")</f>
        <v/>
      </c>
      <c r="F2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2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2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2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2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2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2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2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2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2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2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2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2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2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2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2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2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2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2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2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2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2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2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24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24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25" spans="1:30" ht="12.5" customHeight="1" x14ac:dyDescent="0.35">
      <c r="A25" s="22" t="str">
        <f>IF('Bundle Tag Info'!A$30&lt;&gt;"",CONCATENATE('Bundle Tag Info'!$A$1," ",CHAR(10),'Bundle Tag Info'!$A$2," ",'Bundle Tag Info'!$A$3,CHAR(10),'Bundle Tag Info'!A$6,CHAR(10),'Bundle Tag Info'!A$30),"")</f>
        <v/>
      </c>
      <c r="B25" s="22" t="str">
        <f>IF('Bundle Tag Info'!B$30&lt;&gt;"",CONCATENATE('Bundle Tag Info'!$A$1," ",CHAR(10),'Bundle Tag Info'!$A$2," ",'Bundle Tag Info'!$A$3,CHAR(10),'Bundle Tag Info'!B$6,CHAR(10),'Bundle Tag Info'!B$30),"")</f>
        <v/>
      </c>
      <c r="C25" s="22" t="str">
        <f>IF('Bundle Tag Info'!C$30&lt;&gt;"",CONCATENATE('Bundle Tag Info'!$A$1," ",CHAR(10),'Bundle Tag Info'!$A$2," ",'Bundle Tag Info'!$A$3,CHAR(10),'Bundle Tag Info'!C$6,CHAR(10),'Bundle Tag Info'!C$30),"")</f>
        <v/>
      </c>
      <c r="D25" s="22" t="str">
        <f>IF('Bundle Tag Info'!D$30&lt;&gt;"",CONCATENATE('Bundle Tag Info'!$A$1," ",CHAR(10),'Bundle Tag Info'!$A$2," ",'Bundle Tag Info'!$A$3,CHAR(10),'Bundle Tag Info'!D$6,CHAR(10),'Bundle Tag Info'!D$30),"")</f>
        <v/>
      </c>
      <c r="E25" s="22" t="str">
        <f>IF('Bundle Tag Info'!E$30&lt;&gt;"",CONCATENATE('Bundle Tag Info'!$A$1," ",CHAR(10),'Bundle Tag Info'!$A$2," ",'Bundle Tag Info'!$A$3,CHAR(10),'Bundle Tag Info'!E$6,CHAR(10),'Bundle Tag Info'!E$30),"")</f>
        <v/>
      </c>
      <c r="F2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2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2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2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2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2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2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2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2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2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2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2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2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2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2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2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2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2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2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2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2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2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2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25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25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26" spans="1:30" ht="12.5" customHeight="1" x14ac:dyDescent="0.35">
      <c r="A26" s="22" t="str">
        <f>IF('Bundle Tag Info'!A$31&lt;&gt;"",CONCATENATE('Bundle Tag Info'!$A$1," ",CHAR(10),'Bundle Tag Info'!$A$2," ",'Bundle Tag Info'!$A$3,CHAR(10),'Bundle Tag Info'!A$6,CHAR(10),'Bundle Tag Info'!A$31),"")</f>
        <v/>
      </c>
      <c r="B26" s="22" t="str">
        <f>IF('Bundle Tag Info'!B$31&lt;&gt;"",CONCATENATE('Bundle Tag Info'!$A$1," ",CHAR(10),'Bundle Tag Info'!$A$2," ",'Bundle Tag Info'!$A$3,CHAR(10),'Bundle Tag Info'!B$6,CHAR(10),'Bundle Tag Info'!B$31),"")</f>
        <v/>
      </c>
      <c r="C26" s="22" t="str">
        <f>IF('Bundle Tag Info'!C$31&lt;&gt;"",CONCATENATE('Bundle Tag Info'!$A$1," ",CHAR(10),'Bundle Tag Info'!$A$2," ",'Bundle Tag Info'!$A$3,CHAR(10),'Bundle Tag Info'!C$6,CHAR(10),'Bundle Tag Info'!C$31),"")</f>
        <v/>
      </c>
      <c r="D26" s="22" t="str">
        <f>IF('Bundle Tag Info'!D$31&lt;&gt;"",CONCATENATE('Bundle Tag Info'!$A$1," ",CHAR(10),'Bundle Tag Info'!$A$2," ",'Bundle Tag Info'!$A$3,CHAR(10),'Bundle Tag Info'!D$6,CHAR(10),'Bundle Tag Info'!D$31),"")</f>
        <v/>
      </c>
      <c r="E26" s="22" t="str">
        <f>IF('Bundle Tag Info'!E$31&lt;&gt;"",CONCATENATE('Bundle Tag Info'!$A$1," ",CHAR(10),'Bundle Tag Info'!$A$2," ",'Bundle Tag Info'!$A$3,CHAR(10),'Bundle Tag Info'!E$6,CHAR(10),'Bundle Tag Info'!E$31),"")</f>
        <v/>
      </c>
      <c r="F2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2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2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2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2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2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2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2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2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2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2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2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2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2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2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2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2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2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2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2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2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2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2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26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26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27" spans="1:30" ht="12.5" customHeight="1" x14ac:dyDescent="0.35">
      <c r="A27" s="22" t="str">
        <f>IF('Bundle Tag Info'!A$32&lt;&gt;"",CONCATENATE('Bundle Tag Info'!$A$1," ",CHAR(10),'Bundle Tag Info'!$A$2," ",'Bundle Tag Info'!$A$3,CHAR(10),'Bundle Tag Info'!A$6,CHAR(10),'Bundle Tag Info'!A$32),"")</f>
        <v/>
      </c>
      <c r="B27" s="22" t="str">
        <f>IF('Bundle Tag Info'!B$32&lt;&gt;"",CONCATENATE('Bundle Tag Info'!$A$1," ",CHAR(10),'Bundle Tag Info'!$A$2," ",'Bundle Tag Info'!$A$3,CHAR(10),'Bundle Tag Info'!B$6,CHAR(10),'Bundle Tag Info'!B$32),"")</f>
        <v/>
      </c>
      <c r="C27" s="22" t="str">
        <f>IF('Bundle Tag Info'!C$32&lt;&gt;"",CONCATENATE('Bundle Tag Info'!$A$1," ",CHAR(10),'Bundle Tag Info'!$A$2," ",'Bundle Tag Info'!$A$3,CHAR(10),'Bundle Tag Info'!C$6,CHAR(10),'Bundle Tag Info'!C$32),"")</f>
        <v/>
      </c>
      <c r="D27" s="22" t="str">
        <f>IF('Bundle Tag Info'!D$32&lt;&gt;"",CONCATENATE('Bundle Tag Info'!$A$1," ",CHAR(10),'Bundle Tag Info'!$A$2," ",'Bundle Tag Info'!$A$3,CHAR(10),'Bundle Tag Info'!D$6,CHAR(10),'Bundle Tag Info'!D$32),"")</f>
        <v/>
      </c>
      <c r="E27" s="22" t="str">
        <f>IF('Bundle Tag Info'!E$32&lt;&gt;"",CONCATENATE('Bundle Tag Info'!$A$1," ",CHAR(10),'Bundle Tag Info'!$A$2," ",'Bundle Tag Info'!$A$3,CHAR(10),'Bundle Tag Info'!E$6,CHAR(10),'Bundle Tag Info'!E$32),"")</f>
        <v/>
      </c>
      <c r="F2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2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2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2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2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2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2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2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2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2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2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2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2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2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2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2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2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2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2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2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2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2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2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27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27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28" spans="1:30" ht="12.5" customHeight="1" x14ac:dyDescent="0.35">
      <c r="A28" s="22" t="str">
        <f>IF('Bundle Tag Info'!A$33&lt;&gt;"",CONCATENATE('Bundle Tag Info'!$A$1," ",CHAR(10),'Bundle Tag Info'!$A$2," ",'Bundle Tag Info'!$A$3,CHAR(10),'Bundle Tag Info'!A$6,CHAR(10),'Bundle Tag Info'!A$33),"")</f>
        <v/>
      </c>
      <c r="B28" s="22" t="str">
        <f>IF('Bundle Tag Info'!B$33&lt;&gt;"",CONCATENATE('Bundle Tag Info'!$A$1," ",CHAR(10),'Bundle Tag Info'!$A$2," ",'Bundle Tag Info'!$A$3,CHAR(10),'Bundle Tag Info'!B$6,CHAR(10),'Bundle Tag Info'!B$33),"")</f>
        <v/>
      </c>
      <c r="C28" s="22" t="str">
        <f>IF('Bundle Tag Info'!C$33&lt;&gt;"",CONCATENATE('Bundle Tag Info'!$A$1," ",CHAR(10),'Bundle Tag Info'!$A$2," ",'Bundle Tag Info'!$A$3,CHAR(10),'Bundle Tag Info'!C$6,CHAR(10),'Bundle Tag Info'!C$33),"")</f>
        <v/>
      </c>
      <c r="D28" s="22" t="str">
        <f>IF('Bundle Tag Info'!D$33&lt;&gt;"",CONCATENATE('Bundle Tag Info'!$A$1," ",CHAR(10),'Bundle Tag Info'!$A$2," ",'Bundle Tag Info'!$A$3,CHAR(10),'Bundle Tag Info'!D$6,CHAR(10),'Bundle Tag Info'!D$33),"")</f>
        <v/>
      </c>
      <c r="E28" s="22" t="str">
        <f>IF('Bundle Tag Info'!E$33&lt;&gt;"",CONCATENATE('Bundle Tag Info'!$A$1," ",CHAR(10),'Bundle Tag Info'!$A$2," ",'Bundle Tag Info'!$A$3,CHAR(10),'Bundle Tag Info'!E$6,CHAR(10),'Bundle Tag Info'!E$33),"")</f>
        <v/>
      </c>
      <c r="F2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2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2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2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2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2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2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2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2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2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2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2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2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2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2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2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2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2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2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2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2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2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2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28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28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29" spans="1:30" ht="12.5" customHeight="1" x14ac:dyDescent="0.35">
      <c r="A29" s="22" t="str">
        <f>IF('Bundle Tag Info'!A$34&lt;&gt;"",CONCATENATE('Bundle Tag Info'!$A$1," ",CHAR(10),'Bundle Tag Info'!$A$2," ",'Bundle Tag Info'!$A$3,CHAR(10),'Bundle Tag Info'!A$6,CHAR(10),'Bundle Tag Info'!A$34),"")</f>
        <v/>
      </c>
      <c r="B29" s="22" t="str">
        <f>IF('Bundle Tag Info'!B$34&lt;&gt;"",CONCATENATE('Bundle Tag Info'!$A$1," ",CHAR(10),'Bundle Tag Info'!$A$2," ",'Bundle Tag Info'!$A$3,CHAR(10),'Bundle Tag Info'!B$6,CHAR(10),'Bundle Tag Info'!B$34),"")</f>
        <v/>
      </c>
      <c r="C29" s="22" t="str">
        <f>IF('Bundle Tag Info'!C$34&lt;&gt;"",CONCATENATE('Bundle Tag Info'!$A$1," ",CHAR(10),'Bundle Tag Info'!$A$2," ",'Bundle Tag Info'!$A$3,CHAR(10),'Bundle Tag Info'!C$6,CHAR(10),'Bundle Tag Info'!C$34),"")</f>
        <v/>
      </c>
      <c r="D29" s="22" t="str">
        <f>IF('Bundle Tag Info'!D$34&lt;&gt;"",CONCATENATE('Bundle Tag Info'!$A$1," ",CHAR(10),'Bundle Tag Info'!$A$2," ",'Bundle Tag Info'!$A$3,CHAR(10),'Bundle Tag Info'!D$6,CHAR(10),'Bundle Tag Info'!D$34),"")</f>
        <v/>
      </c>
      <c r="E29" s="22" t="str">
        <f>IF('Bundle Tag Info'!E$34&lt;&gt;"",CONCATENATE('Bundle Tag Info'!$A$1," ",CHAR(10),'Bundle Tag Info'!$A$2," ",'Bundle Tag Info'!$A$3,CHAR(10),'Bundle Tag Info'!E$6,CHAR(10),'Bundle Tag Info'!E$34),"")</f>
        <v/>
      </c>
      <c r="F2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2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2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2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2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2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2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2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2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2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2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2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2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2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2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2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2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2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2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2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2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2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2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29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29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30" spans="1:30" ht="12.5" customHeight="1" x14ac:dyDescent="0.35">
      <c r="A30" s="22" t="str">
        <f>IF('Bundle Tag Info'!A$35&lt;&gt;"",CONCATENATE('Bundle Tag Info'!$A$1," ",CHAR(10),'Bundle Tag Info'!$A$2," ",'Bundle Tag Info'!$A$3,CHAR(10),'Bundle Tag Info'!A$6,CHAR(10),'Bundle Tag Info'!A$35),"")</f>
        <v/>
      </c>
      <c r="B30" s="22" t="str">
        <f>IF('Bundle Tag Info'!B$35&lt;&gt;"",CONCATENATE('Bundle Tag Info'!$A$1," ",CHAR(10),'Bundle Tag Info'!$A$2," ",'Bundle Tag Info'!$A$3,CHAR(10),'Bundle Tag Info'!B$6,CHAR(10),'Bundle Tag Info'!B$35),"")</f>
        <v/>
      </c>
      <c r="C30" s="22" t="str">
        <f>IF('Bundle Tag Info'!C$35&lt;&gt;"",CONCATENATE('Bundle Tag Info'!$A$1," ",CHAR(10),'Bundle Tag Info'!$A$2," ",'Bundle Tag Info'!$A$3,CHAR(10),'Bundle Tag Info'!C$6,CHAR(10),'Bundle Tag Info'!C$35),"")</f>
        <v/>
      </c>
      <c r="D30" s="22" t="str">
        <f>IF('Bundle Tag Info'!D$35&lt;&gt;"",CONCATENATE('Bundle Tag Info'!$A$1," ",CHAR(10),'Bundle Tag Info'!$A$2," ",'Bundle Tag Info'!$A$3,CHAR(10),'Bundle Tag Info'!D$6,CHAR(10),'Bundle Tag Info'!D$35),"")</f>
        <v/>
      </c>
      <c r="E30" s="22" t="str">
        <f>IF('Bundle Tag Info'!E$35&lt;&gt;"",CONCATENATE('Bundle Tag Info'!$A$1," ",CHAR(10),'Bundle Tag Info'!$A$2," ",'Bundle Tag Info'!$A$3,CHAR(10),'Bundle Tag Info'!E$6,CHAR(10),'Bundle Tag Info'!E$35),"")</f>
        <v/>
      </c>
      <c r="F3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3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3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3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3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3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3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3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3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3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3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3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3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3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3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3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3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3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3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3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3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3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3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30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30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  <row r="31" spans="1:30" ht="12.5" customHeight="1" x14ac:dyDescent="0.35">
      <c r="A31" s="22" t="str">
        <f>IF('Bundle Tag Info'!A$36&lt;&gt;"",CONCATENATE('Bundle Tag Info'!$A$1," ",CHAR(10),'Bundle Tag Info'!$A$2," ",'Bundle Tag Info'!$A$3,CHAR(10),'Bundle Tag Info'!A$6,CHAR(10),'Bundle Tag Info'!A$36),"")</f>
        <v/>
      </c>
      <c r="B31" s="22" t="str">
        <f>IF('Bundle Tag Info'!B$36&lt;&gt;"",CONCATENATE('Bundle Tag Info'!$A$1," ",CHAR(10),'Bundle Tag Info'!$A$2," ",'Bundle Tag Info'!$A$3,CHAR(10),'Bundle Tag Info'!B$6,CHAR(10),'Bundle Tag Info'!B$36),"")</f>
        <v/>
      </c>
      <c r="C31" s="22" t="str">
        <f>IF('Bundle Tag Info'!C$36&lt;&gt;"",CONCATENATE('Bundle Tag Info'!$A$1," ",CHAR(10),'Bundle Tag Info'!$A$2," ",'Bundle Tag Info'!$A$3,CHAR(10),'Bundle Tag Info'!C$6,CHAR(10),'Bundle Tag Info'!C$36),"")</f>
        <v/>
      </c>
      <c r="D31" s="22" t="str">
        <f>IF('Bundle Tag Info'!D$36&lt;&gt;"",CONCATENATE('Bundle Tag Info'!$A$1," ",CHAR(10),'Bundle Tag Info'!$A$2," ",'Bundle Tag Info'!$A$3,CHAR(10),'Bundle Tag Info'!D$6,CHAR(10),'Bundle Tag Info'!D$36),"")</f>
        <v/>
      </c>
      <c r="E31" s="22" t="str">
        <f>IF('Bundle Tag Info'!E$36&lt;&gt;"",CONCATENATE('Bundle Tag Info'!$A$1," ",CHAR(10),'Bundle Tag Info'!$A$2," ",'Bundle Tag Info'!$A$3,CHAR(10),'Bundle Tag Info'!E$6,CHAR(10),'Bundle Tag Info'!E$36),"")</f>
        <v/>
      </c>
      <c r="F3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G3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H3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I3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J3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K3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L3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M3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N3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O3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P3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Q3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R3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S3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T3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U3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V3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W3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X3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Y3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Z3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A3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B3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C31" s="22" t="e">
        <f>IF('Bundle Tag Info'!#REF!&lt;&gt;"",CONCATENATE('Bundle Tag Info'!$A$1," ",CHAR(10),'Bundle Tag Info'!$A$2," ",'Bundle Tag Info'!$A$3,CHAR(10),'Bundle Tag Info'!#REF!,CHAR(10),'Bundle Tag Info'!#REF!),"")</f>
        <v>#REF!</v>
      </c>
      <c r="AD31" s="22" t="e">
        <f>IF('Bundle Tag Info'!#REF!&lt;&gt;"",CONCATENATE('Bundle Tag Info'!$A$1," ",CHAR(10),'Bundle Tag Info'!$A$2," ",'Bundle Tag Info'!$A$3,CHAR(10),'Bundle Tag Info'!#REF!,CHAR(10),'Bundle Tag Info'!#REF!),"")</f>
        <v>#REF!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95319-D1D3-4B5B-92C6-AAAE837F825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Blue Labels</vt:lpstr>
      <vt:lpstr>White Labels</vt:lpstr>
      <vt:lpstr>Heat Shrink Labels</vt:lpstr>
      <vt:lpstr>Panel Errors</vt:lpstr>
      <vt:lpstr>Cable Part Numbers</vt:lpstr>
      <vt:lpstr>Part Number List</vt:lpstr>
      <vt:lpstr>CONSOLE_S</vt:lpstr>
      <vt:lpstr>SCS_S</vt:lpstr>
      <vt:lpstr>LEFT SIDE PANEL_S</vt:lpstr>
      <vt:lpstr>BACK PANEL_S</vt:lpstr>
      <vt:lpstr>RIGHT SIDE PANEL_S</vt:lpstr>
      <vt:lpstr>Bundle Tag Info</vt:lpstr>
      <vt:lpstr>Bundle Tags2</vt:lpstr>
      <vt:lpstr>ALL</vt:lpstr>
      <vt:lpstr>Sheet7</vt:lpstr>
      <vt:lpstr>'Cable Part Numbers'!Print_Titles</vt:lpstr>
      <vt:lpstr>'Panel Errors'!Print_Titles</vt:lpstr>
      <vt:lpstr>'Part Number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Jadacie Prom</dc:creator>
  <cp:lastModifiedBy>Jadacie Prom</cp:lastModifiedBy>
  <cp:lastPrinted>2026-04-21T05:49:23Z</cp:lastPrinted>
  <dcterms:created xsi:type="dcterms:W3CDTF">2026-04-15T17:11:28Z</dcterms:created>
  <dcterms:modified xsi:type="dcterms:W3CDTF">2026-04-21T06:16:34Z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2026-04-15T17:11:39Z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1f63e9cd-4089-49c0-a4d8-ea0d459fca8d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