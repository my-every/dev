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082 SR-COLE\"/>
    </mc:Choice>
  </mc:AlternateContent>
  <xr:revisionPtr revIDLastSave="0" documentId="13_ncr:1_{23510070-D7D1-4DEB-A788-B9E43F1CA1D8}" xr6:coauthVersionLast="47" xr6:coauthVersionMax="47" xr10:uidLastSave="{00000000-0000-0000-0000-000000000000}"/>
  <bookViews>
    <workbookView xWindow="25080" yWindow="-120" windowWidth="25440" windowHeight="15270" tabRatio="1000" activeTab="4" xr2:uid="{00000000-000D-0000-FFFF-FFFF00000000}"/>
  </bookViews>
  <sheets>
    <sheet name="JB70 DOOR_S" sheetId="20" r:id="rId1"/>
    <sheet name="JB70 R RAIL_S" sheetId="27" r:id="rId2"/>
    <sheet name="PLC_S" sheetId="26" r:id="rId3"/>
    <sheet name="A_S" sheetId="24" r:id="rId4"/>
    <sheet name="B_S" sheetId="25" r:id="rId5"/>
    <sheet name="JB72 L RAIL_S" sheetId="29" r:id="rId6"/>
    <sheet name="JB72 VIB_S" sheetId="31" r:id="rId7"/>
    <sheet name="JB72 GEN_S" sheetId="28" r:id="rId8"/>
    <sheet name="JB1123_S" sheetId="21" r:id="rId9"/>
    <sheet name="MCC RAIL_S" sheetId="32" r:id="rId10"/>
    <sheet name="Bundle Tag Info" sheetId="34" r:id="rId11"/>
    <sheet name="Bundle Tags2" sheetId="35" r:id="rId12"/>
    <sheet name="ALL" sheetId="36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6" l="1"/>
  <c r="AC31" i="36"/>
  <c r="AB31" i="36"/>
  <c r="AA31" i="36"/>
  <c r="Z31" i="36"/>
  <c r="Y31" i="36"/>
  <c r="X31" i="36"/>
  <c r="W31" i="36"/>
  <c r="V31" i="36"/>
  <c r="U31" i="36"/>
  <c r="T31" i="36"/>
  <c r="S31" i="36"/>
  <c r="R31" i="36"/>
  <c r="Q31" i="36"/>
  <c r="P31" i="36"/>
  <c r="O31" i="36"/>
  <c r="N31" i="36"/>
  <c r="M31" i="36"/>
  <c r="L31" i="36"/>
  <c r="K31" i="36"/>
  <c r="J31" i="36"/>
  <c r="I31" i="36"/>
  <c r="H31" i="36"/>
  <c r="G31" i="36"/>
  <c r="F31" i="36"/>
  <c r="E31" i="36"/>
  <c r="D31" i="36"/>
  <c r="C31" i="36"/>
  <c r="B31" i="36"/>
  <c r="A31" i="36"/>
  <c r="AD30" i="36"/>
  <c r="AC30" i="36"/>
  <c r="AB30" i="36"/>
  <c r="AA30" i="36"/>
  <c r="Z30" i="36"/>
  <c r="Y30" i="36"/>
  <c r="X30" i="36"/>
  <c r="W30" i="36"/>
  <c r="V30" i="36"/>
  <c r="U30" i="36"/>
  <c r="T30" i="36"/>
  <c r="S30" i="36"/>
  <c r="R30" i="36"/>
  <c r="Q30" i="36"/>
  <c r="P30" i="36"/>
  <c r="O30" i="36"/>
  <c r="N30" i="36"/>
  <c r="M30" i="36"/>
  <c r="L30" i="36"/>
  <c r="K30" i="36"/>
  <c r="J30" i="36"/>
  <c r="I30" i="36"/>
  <c r="H30" i="36"/>
  <c r="G30" i="36"/>
  <c r="F30" i="36"/>
  <c r="E30" i="36"/>
  <c r="D30" i="36"/>
  <c r="C30" i="36"/>
  <c r="B30" i="36"/>
  <c r="A30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B29" i="36"/>
  <c r="A29" i="36"/>
  <c r="AD28" i="36"/>
  <c r="AC28" i="36"/>
  <c r="AB28" i="36"/>
  <c r="AA28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F28" i="36"/>
  <c r="E28" i="36"/>
  <c r="D28" i="36"/>
  <c r="C28" i="36"/>
  <c r="B28" i="36"/>
  <c r="A28" i="36"/>
  <c r="AD27" i="36"/>
  <c r="AC27" i="36"/>
  <c r="AB27" i="36"/>
  <c r="AA27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B27" i="36"/>
  <c r="A27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C26" i="36"/>
  <c r="B26" i="36"/>
  <c r="A26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C25" i="36"/>
  <c r="B25" i="36"/>
  <c r="A25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B24" i="36"/>
  <c r="A24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A23" i="36"/>
  <c r="AD22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J22" i="36"/>
  <c r="I22" i="36"/>
  <c r="H22" i="36"/>
  <c r="G22" i="36"/>
  <c r="F22" i="36"/>
  <c r="E22" i="36"/>
  <c r="D22" i="36"/>
  <c r="C22" i="36"/>
  <c r="B22" i="36"/>
  <c r="A22" i="36"/>
  <c r="AD21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F21" i="36"/>
  <c r="E21" i="36"/>
  <c r="D21" i="36"/>
  <c r="C21" i="36"/>
  <c r="B21" i="36"/>
  <c r="A21" i="36"/>
  <c r="AD20" i="36"/>
  <c r="AC20" i="36"/>
  <c r="AB20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A20" i="36"/>
  <c r="AD19" i="36"/>
  <c r="AC19" i="36"/>
  <c r="AB19" i="36"/>
  <c r="AA19" i="36"/>
  <c r="Z19" i="36"/>
  <c r="Y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D19" i="36"/>
  <c r="C19" i="36"/>
  <c r="B19" i="36"/>
  <c r="A19" i="36"/>
  <c r="AD18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F18" i="36"/>
  <c r="E18" i="36"/>
  <c r="D18" i="36"/>
  <c r="C18" i="36"/>
  <c r="B18" i="36"/>
  <c r="A18" i="36"/>
  <c r="AD17" i="36"/>
  <c r="AC17" i="36"/>
  <c r="AB17" i="36"/>
  <c r="AA17" i="36"/>
  <c r="Z17" i="36"/>
  <c r="Y17" i="36"/>
  <c r="X17" i="36"/>
  <c r="W17" i="36"/>
  <c r="V17" i="36"/>
  <c r="U17" i="36"/>
  <c r="T17" i="36"/>
  <c r="S17" i="36"/>
  <c r="R17" i="36"/>
  <c r="Q17" i="36"/>
  <c r="P17" i="36"/>
  <c r="O17" i="36"/>
  <c r="N17" i="36"/>
  <c r="M17" i="36"/>
  <c r="L17" i="36"/>
  <c r="K17" i="36"/>
  <c r="J17" i="36"/>
  <c r="I17" i="36"/>
  <c r="H17" i="36"/>
  <c r="G17" i="36"/>
  <c r="F17" i="36"/>
  <c r="E17" i="36"/>
  <c r="D17" i="36"/>
  <c r="C17" i="36"/>
  <c r="B17" i="36"/>
  <c r="A17" i="36"/>
  <c r="AD16" i="36"/>
  <c r="AC16" i="36"/>
  <c r="AB16" i="36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G16" i="36"/>
  <c r="F16" i="36"/>
  <c r="E16" i="36"/>
  <c r="D16" i="36"/>
  <c r="C16" i="36"/>
  <c r="B16" i="36"/>
  <c r="A16" i="36"/>
  <c r="AD15" i="36"/>
  <c r="AC15" i="36"/>
  <c r="AB15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G15" i="36"/>
  <c r="F15" i="36"/>
  <c r="E15" i="36"/>
  <c r="D15" i="36"/>
  <c r="C15" i="36"/>
  <c r="B15" i="36"/>
  <c r="A15" i="36"/>
  <c r="AD14" i="36"/>
  <c r="AC14" i="36"/>
  <c r="AB14" i="36"/>
  <c r="AA14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A14" i="36"/>
  <c r="AD13" i="36"/>
  <c r="AC13" i="36"/>
  <c r="AB13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H13" i="36"/>
  <c r="G13" i="36"/>
  <c r="F13" i="36"/>
  <c r="E13" i="36"/>
  <c r="D13" i="36"/>
  <c r="C13" i="36"/>
  <c r="B13" i="36"/>
  <c r="A13" i="36"/>
  <c r="AD12" i="36"/>
  <c r="AC12" i="36"/>
  <c r="AB12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C12" i="36"/>
  <c r="B12" i="36"/>
  <c r="A12" i="36"/>
  <c r="AD11" i="36"/>
  <c r="AC11" i="36"/>
  <c r="AB11" i="36"/>
  <c r="AA11" i="36"/>
  <c r="Z11" i="36"/>
  <c r="Y11" i="36"/>
  <c r="X11" i="36"/>
  <c r="W11" i="36"/>
  <c r="V11" i="36"/>
  <c r="U11" i="36"/>
  <c r="T11" i="36"/>
  <c r="S11" i="36"/>
  <c r="R11" i="36"/>
  <c r="Q11" i="36"/>
  <c r="P11" i="36"/>
  <c r="O11" i="36"/>
  <c r="N11" i="36"/>
  <c r="M11" i="36"/>
  <c r="L11" i="36"/>
  <c r="K11" i="36"/>
  <c r="J11" i="36"/>
  <c r="I11" i="36"/>
  <c r="H11" i="36"/>
  <c r="G11" i="36"/>
  <c r="F11" i="36"/>
  <c r="E11" i="36"/>
  <c r="D11" i="36"/>
  <c r="C11" i="36"/>
  <c r="B11" i="36"/>
  <c r="A11" i="36"/>
  <c r="AD10" i="36"/>
  <c r="AC10" i="36"/>
  <c r="AB10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L10" i="36"/>
  <c r="K10" i="36"/>
  <c r="J10" i="36"/>
  <c r="I10" i="36"/>
  <c r="H10" i="36"/>
  <c r="G10" i="36"/>
  <c r="F10" i="36"/>
  <c r="E10" i="36"/>
  <c r="D10" i="36"/>
  <c r="C10" i="36"/>
  <c r="B10" i="36"/>
  <c r="A10" i="36"/>
  <c r="AD9" i="36"/>
  <c r="AC9" i="36"/>
  <c r="AB9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A9" i="36"/>
  <c r="AD8" i="36"/>
  <c r="AC8" i="36"/>
  <c r="AB8" i="36"/>
  <c r="AA8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B8" i="36"/>
  <c r="A8" i="36"/>
  <c r="AD7" i="36"/>
  <c r="AC7" i="36"/>
  <c r="AB7" i="36"/>
  <c r="AA7" i="36"/>
  <c r="Z7" i="36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J7" i="36"/>
  <c r="I7" i="36"/>
  <c r="H7" i="36"/>
  <c r="G7" i="36"/>
  <c r="F7" i="36"/>
  <c r="E7" i="36"/>
  <c r="D7" i="36"/>
  <c r="C7" i="36"/>
  <c r="B7" i="36"/>
  <c r="A7" i="36"/>
  <c r="AD6" i="36"/>
  <c r="AC6" i="36"/>
  <c r="AB6" i="36"/>
  <c r="AA6" i="36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J6" i="36"/>
  <c r="I6" i="36"/>
  <c r="H6" i="36"/>
  <c r="G6" i="36"/>
  <c r="F6" i="36"/>
  <c r="E6" i="36"/>
  <c r="D6" i="36"/>
  <c r="C6" i="36"/>
  <c r="B6" i="36"/>
  <c r="A6" i="36"/>
  <c r="AD5" i="36"/>
  <c r="AC5" i="36"/>
  <c r="AB5" i="36"/>
  <c r="AA5" i="36"/>
  <c r="Z5" i="36"/>
  <c r="Y5" i="36"/>
  <c r="X5" i="36"/>
  <c r="W5" i="36"/>
  <c r="V5" i="36"/>
  <c r="U5" i="36"/>
  <c r="T5" i="36"/>
  <c r="S5" i="36"/>
  <c r="R5" i="36"/>
  <c r="Q5" i="36"/>
  <c r="P5" i="36"/>
  <c r="O5" i="36"/>
  <c r="N5" i="36"/>
  <c r="M5" i="36"/>
  <c r="L5" i="36"/>
  <c r="K5" i="36"/>
  <c r="J5" i="36"/>
  <c r="I5" i="36"/>
  <c r="H5" i="36"/>
  <c r="G5" i="36"/>
  <c r="F5" i="36"/>
  <c r="E5" i="36"/>
  <c r="D5" i="36"/>
  <c r="C5" i="36"/>
  <c r="B5" i="36"/>
  <c r="A5" i="36"/>
  <c r="AD4" i="36"/>
  <c r="AC4" i="36"/>
  <c r="AB4" i="36"/>
  <c r="AA4" i="36"/>
  <c r="Z4" i="36"/>
  <c r="Y4" i="36"/>
  <c r="X4" i="36"/>
  <c r="W4" i="36"/>
  <c r="V4" i="36"/>
  <c r="U4" i="36"/>
  <c r="T4" i="36"/>
  <c r="S4" i="36"/>
  <c r="R4" i="36"/>
  <c r="Q4" i="36"/>
  <c r="P4" i="36"/>
  <c r="O4" i="36"/>
  <c r="N4" i="36"/>
  <c r="M4" i="36"/>
  <c r="L4" i="36"/>
  <c r="K4" i="36"/>
  <c r="J4" i="36"/>
  <c r="I4" i="36"/>
  <c r="H4" i="36"/>
  <c r="G4" i="36"/>
  <c r="F4" i="36"/>
  <c r="E4" i="36"/>
  <c r="D4" i="36"/>
  <c r="C4" i="36"/>
  <c r="B4" i="36"/>
  <c r="A4" i="36"/>
  <c r="AD3" i="36"/>
  <c r="AC3" i="36"/>
  <c r="AB3" i="36"/>
  <c r="AA3" i="36"/>
  <c r="Z3" i="36"/>
  <c r="Y3" i="36"/>
  <c r="X3" i="36"/>
  <c r="W3" i="36"/>
  <c r="V3" i="36"/>
  <c r="U3" i="36"/>
  <c r="T3" i="36"/>
  <c r="S3" i="36"/>
  <c r="R3" i="36"/>
  <c r="Q3" i="36"/>
  <c r="P3" i="36"/>
  <c r="O3" i="36"/>
  <c r="N3" i="36"/>
  <c r="M3" i="36"/>
  <c r="L3" i="36"/>
  <c r="K3" i="36"/>
  <c r="J3" i="36"/>
  <c r="I3" i="36"/>
  <c r="H3" i="36"/>
  <c r="G3" i="36"/>
  <c r="F3" i="36"/>
  <c r="E3" i="36"/>
  <c r="D3" i="36"/>
  <c r="C3" i="36"/>
  <c r="B3" i="36"/>
  <c r="A3" i="36"/>
  <c r="AD2" i="36"/>
  <c r="AC2" i="36"/>
  <c r="AB2" i="36"/>
  <c r="AA2" i="36"/>
  <c r="Z2" i="36"/>
  <c r="Y2" i="36"/>
  <c r="X2" i="36"/>
  <c r="W2" i="36"/>
  <c r="V2" i="36"/>
  <c r="U2" i="36"/>
  <c r="T2" i="36"/>
  <c r="S2" i="36"/>
  <c r="R2" i="36"/>
  <c r="Q2" i="36"/>
  <c r="P2" i="36"/>
  <c r="O2" i="36"/>
  <c r="N2" i="36"/>
  <c r="M2" i="36"/>
  <c r="L2" i="36"/>
  <c r="K2" i="36"/>
  <c r="J2" i="36"/>
  <c r="I2" i="36"/>
  <c r="H2" i="36"/>
  <c r="G2" i="36"/>
  <c r="F2" i="36"/>
  <c r="E2" i="36"/>
  <c r="D2" i="36"/>
  <c r="C2" i="36"/>
  <c r="B2" i="36"/>
  <c r="A2" i="36"/>
  <c r="AD1" i="36"/>
  <c r="AC1" i="36"/>
  <c r="AB1" i="36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1" i="36"/>
  <c r="G1" i="36"/>
  <c r="F1" i="36"/>
  <c r="E1" i="36"/>
  <c r="D1" i="36"/>
  <c r="C1" i="36"/>
  <c r="B1" i="36"/>
  <c r="A1" i="36"/>
  <c r="AD31" i="35"/>
  <c r="AC31" i="35"/>
  <c r="AB31" i="35"/>
  <c r="AA31" i="35"/>
  <c r="Z31" i="35"/>
  <c r="Y31" i="35"/>
  <c r="X31" i="35"/>
  <c r="W31" i="35"/>
  <c r="V31" i="35"/>
  <c r="U31" i="35"/>
  <c r="T31" i="35"/>
  <c r="S31" i="35"/>
  <c r="R31" i="35"/>
  <c r="Q31" i="35"/>
  <c r="P31" i="35"/>
  <c r="O31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B31" i="35"/>
  <c r="A31" i="35"/>
  <c r="AD30" i="35"/>
  <c r="AC30" i="35"/>
  <c r="AB30" i="35"/>
  <c r="AA30" i="35"/>
  <c r="Z30" i="35"/>
  <c r="Y30" i="35"/>
  <c r="X30" i="35"/>
  <c r="W30" i="35"/>
  <c r="V30" i="35"/>
  <c r="U30" i="35"/>
  <c r="T30" i="35"/>
  <c r="S30" i="35"/>
  <c r="R30" i="35"/>
  <c r="Q30" i="35"/>
  <c r="P30" i="35"/>
  <c r="O30" i="35"/>
  <c r="N30" i="35"/>
  <c r="M30" i="35"/>
  <c r="L30" i="35"/>
  <c r="K30" i="35"/>
  <c r="J30" i="35"/>
  <c r="I30" i="35"/>
  <c r="H30" i="35"/>
  <c r="G30" i="35"/>
  <c r="F30" i="35"/>
  <c r="E30" i="35"/>
  <c r="D30" i="35"/>
  <c r="C30" i="35"/>
  <c r="B30" i="35"/>
  <c r="A30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B29" i="35"/>
  <c r="A29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B28" i="35"/>
  <c r="A28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B27" i="35"/>
  <c r="A27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B26" i="35"/>
  <c r="A26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B25" i="35"/>
  <c r="A25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B24" i="35"/>
  <c r="A24" i="35"/>
  <c r="AD23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E23" i="35"/>
  <c r="D23" i="35"/>
  <c r="C23" i="35"/>
  <c r="B23" i="35"/>
  <c r="A23" i="35"/>
  <c r="AD22" i="35"/>
  <c r="AC22" i="35"/>
  <c r="AB22" i="35"/>
  <c r="AA22" i="35"/>
  <c r="Z22" i="35"/>
  <c r="Y22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K22" i="35"/>
  <c r="J22" i="35"/>
  <c r="I22" i="35"/>
  <c r="H22" i="35"/>
  <c r="G22" i="35"/>
  <c r="F22" i="35"/>
  <c r="E22" i="35"/>
  <c r="D22" i="35"/>
  <c r="C22" i="35"/>
  <c r="B22" i="35"/>
  <c r="A22" i="35"/>
  <c r="AD21" i="35"/>
  <c r="AC21" i="35"/>
  <c r="AB21" i="35"/>
  <c r="AA21" i="35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G21" i="35"/>
  <c r="F21" i="35"/>
  <c r="E21" i="35"/>
  <c r="D21" i="35"/>
  <c r="C21" i="35"/>
  <c r="B21" i="35"/>
  <c r="A21" i="35"/>
  <c r="AD20" i="35"/>
  <c r="AC20" i="35"/>
  <c r="AB20" i="35"/>
  <c r="AA20" i="35"/>
  <c r="Z20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J20" i="35"/>
  <c r="I20" i="35"/>
  <c r="H20" i="35"/>
  <c r="G20" i="35"/>
  <c r="F20" i="35"/>
  <c r="E20" i="35"/>
  <c r="D20" i="35"/>
  <c r="C20" i="35"/>
  <c r="B20" i="35"/>
  <c r="A20" i="35"/>
  <c r="AD19" i="35"/>
  <c r="AC19" i="35"/>
  <c r="AB19" i="35"/>
  <c r="AA19" i="35"/>
  <c r="Z19" i="35"/>
  <c r="Y19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J19" i="35"/>
  <c r="I19" i="35"/>
  <c r="H19" i="35"/>
  <c r="G19" i="35"/>
  <c r="F19" i="35"/>
  <c r="E19" i="35"/>
  <c r="D19" i="35"/>
  <c r="C19" i="35"/>
  <c r="B19" i="35"/>
  <c r="A19" i="35"/>
  <c r="AD18" i="35"/>
  <c r="AC18" i="35"/>
  <c r="AB18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F18" i="35"/>
  <c r="E18" i="35"/>
  <c r="D18" i="35"/>
  <c r="C18" i="35"/>
  <c r="B18" i="35"/>
  <c r="A18" i="35"/>
  <c r="AD17" i="35"/>
  <c r="AC17" i="35"/>
  <c r="AB17" i="35"/>
  <c r="AA17" i="35"/>
  <c r="Z17" i="35"/>
  <c r="Y17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J17" i="35"/>
  <c r="I17" i="35"/>
  <c r="H17" i="35"/>
  <c r="G17" i="35"/>
  <c r="F17" i="35"/>
  <c r="E17" i="35"/>
  <c r="D17" i="35"/>
  <c r="C17" i="35"/>
  <c r="B17" i="35"/>
  <c r="A17" i="35"/>
  <c r="AD16" i="35"/>
  <c r="AC16" i="35"/>
  <c r="AB16" i="35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B16" i="35"/>
  <c r="A16" i="35"/>
  <c r="AD15" i="35"/>
  <c r="AC15" i="35"/>
  <c r="AB15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B15" i="35"/>
  <c r="A15" i="35"/>
  <c r="AD14" i="35"/>
  <c r="AC14" i="35"/>
  <c r="AB14" i="35"/>
  <c r="AA14" i="35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G14" i="35"/>
  <c r="F14" i="35"/>
  <c r="E14" i="35"/>
  <c r="D14" i="35"/>
  <c r="C14" i="35"/>
  <c r="B14" i="35"/>
  <c r="A14" i="35"/>
  <c r="AD13" i="35"/>
  <c r="AC13" i="35"/>
  <c r="AB13" i="35"/>
  <c r="AA13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B13" i="35"/>
  <c r="A13" i="35"/>
  <c r="AD12" i="35"/>
  <c r="AC12" i="35"/>
  <c r="AB12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B12" i="35"/>
  <c r="A12" i="35"/>
  <c r="AD11" i="35"/>
  <c r="AC11" i="35"/>
  <c r="AB11" i="35"/>
  <c r="AA11" i="35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G11" i="35"/>
  <c r="F11" i="35"/>
  <c r="E11" i="35"/>
  <c r="D11" i="35"/>
  <c r="C11" i="35"/>
  <c r="B11" i="35"/>
  <c r="A11" i="35"/>
  <c r="AD10" i="35"/>
  <c r="AC10" i="35"/>
  <c r="AB10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B10" i="35"/>
  <c r="A10" i="35"/>
  <c r="AD9" i="35"/>
  <c r="AC9" i="35"/>
  <c r="AB9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D9" i="35"/>
  <c r="C9" i="35"/>
  <c r="B9" i="35"/>
  <c r="A9" i="35"/>
  <c r="AD8" i="35"/>
  <c r="AC8" i="35"/>
  <c r="AB8" i="35"/>
  <c r="AA8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H8" i="35"/>
  <c r="G8" i="35"/>
  <c r="F8" i="35"/>
  <c r="E8" i="35"/>
  <c r="D8" i="35"/>
  <c r="C8" i="35"/>
  <c r="B8" i="35"/>
  <c r="A8" i="35"/>
  <c r="AD7" i="35"/>
  <c r="AC7" i="35"/>
  <c r="AB7" i="35"/>
  <c r="AA7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H7" i="35"/>
  <c r="G7" i="35"/>
  <c r="F7" i="35"/>
  <c r="E7" i="35"/>
  <c r="D7" i="35"/>
  <c r="C7" i="35"/>
  <c r="B7" i="35"/>
  <c r="A7" i="35"/>
  <c r="AD6" i="35"/>
  <c r="AC6" i="35"/>
  <c r="AB6" i="35"/>
  <c r="AA6" i="35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H6" i="35"/>
  <c r="G6" i="35"/>
  <c r="F6" i="35"/>
  <c r="E6" i="35"/>
  <c r="D6" i="35"/>
  <c r="C6" i="35"/>
  <c r="B6" i="35"/>
  <c r="A6" i="35"/>
  <c r="AD5" i="35"/>
  <c r="AC5" i="35"/>
  <c r="AB5" i="35"/>
  <c r="AA5" i="35"/>
  <c r="Z5" i="35"/>
  <c r="Y5" i="35"/>
  <c r="X5" i="35"/>
  <c r="W5" i="35"/>
  <c r="V5" i="35"/>
  <c r="U5" i="35"/>
  <c r="T5" i="35"/>
  <c r="S5" i="35"/>
  <c r="R5" i="35"/>
  <c r="Q5" i="35"/>
  <c r="P5" i="35"/>
  <c r="O5" i="35"/>
  <c r="N5" i="35"/>
  <c r="M5" i="35"/>
  <c r="L5" i="35"/>
  <c r="K5" i="35"/>
  <c r="J5" i="35"/>
  <c r="I5" i="35"/>
  <c r="H5" i="35"/>
  <c r="G5" i="35"/>
  <c r="F5" i="35"/>
  <c r="E5" i="35"/>
  <c r="D5" i="35"/>
  <c r="C5" i="35"/>
  <c r="B5" i="35"/>
  <c r="A5" i="35"/>
  <c r="AD4" i="35"/>
  <c r="AC4" i="35"/>
  <c r="AB4" i="35"/>
  <c r="AA4" i="35"/>
  <c r="Z4" i="35"/>
  <c r="Y4" i="35"/>
  <c r="X4" i="35"/>
  <c r="W4" i="35"/>
  <c r="V4" i="35"/>
  <c r="U4" i="35"/>
  <c r="T4" i="35"/>
  <c r="S4" i="35"/>
  <c r="R4" i="35"/>
  <c r="Q4" i="35"/>
  <c r="P4" i="35"/>
  <c r="O4" i="35"/>
  <c r="N4" i="35"/>
  <c r="M4" i="35"/>
  <c r="L4" i="35"/>
  <c r="K4" i="35"/>
  <c r="J4" i="35"/>
  <c r="I4" i="35"/>
  <c r="H4" i="35"/>
  <c r="G4" i="35"/>
  <c r="F4" i="35"/>
  <c r="E4" i="35"/>
  <c r="D4" i="35"/>
  <c r="C4" i="35"/>
  <c r="B4" i="35"/>
  <c r="A4" i="35"/>
  <c r="AD3" i="35"/>
  <c r="AC3" i="35"/>
  <c r="AB3" i="35"/>
  <c r="AA3" i="35"/>
  <c r="Z3" i="35"/>
  <c r="Y3" i="35"/>
  <c r="X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J3" i="35"/>
  <c r="I3" i="35"/>
  <c r="H3" i="35"/>
  <c r="G3" i="35"/>
  <c r="F3" i="35"/>
  <c r="E3" i="35"/>
  <c r="D3" i="35"/>
  <c r="C3" i="35"/>
  <c r="B3" i="35"/>
  <c r="A3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H2" i="35"/>
  <c r="G2" i="35"/>
  <c r="F2" i="35"/>
  <c r="E2" i="35"/>
  <c r="D2" i="35"/>
  <c r="C2" i="35"/>
  <c r="B2" i="35"/>
  <c r="A2" i="35"/>
  <c r="AD1" i="35"/>
  <c r="AC1" i="35"/>
  <c r="AB1" i="35"/>
  <c r="AA1" i="35"/>
  <c r="Z1" i="35"/>
  <c r="Y1" i="35"/>
  <c r="X1" i="35"/>
  <c r="W1" i="35"/>
  <c r="V1" i="35"/>
  <c r="U1" i="35"/>
  <c r="T1" i="35"/>
  <c r="S1" i="35"/>
  <c r="R1" i="35"/>
  <c r="Q1" i="35"/>
  <c r="P1" i="35"/>
  <c r="O1" i="35"/>
  <c r="N1" i="35"/>
  <c r="M1" i="35"/>
  <c r="L1" i="35"/>
  <c r="K1" i="35"/>
  <c r="J1" i="35"/>
  <c r="I1" i="35"/>
  <c r="H1" i="35"/>
  <c r="G1" i="35"/>
  <c r="F1" i="35"/>
  <c r="E1" i="35"/>
  <c r="D1" i="35"/>
  <c r="C1" i="35"/>
  <c r="B1" i="35"/>
  <c r="A1" i="3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tc={756EC7C3-F04D-49B0-BB76-43BC93F9194B}</author>
  </authors>
  <commentList>
    <comment ref="C107" authorId="0" shapeId="0" xr:uid="{756EC7C3-F04D-49B0-BB76-43BC93F9194B}">
      <text>
        <t>[Threaded comment]
Your version of Excel allows you to read this threaded comment; however, any edits to it will get removed if the file is opened in a newer version of Excel. Learn more: https://go.microsoft.com/fwlink/?linkid=870924
Comment:
    Grounds should be GRN
Was: WHT
Changed to: GRN
MRCA: 1992376</t>
      </text>
    </comment>
  </commentList>
</comments>
</file>

<file path=xl/sharedStrings.xml><?xml version="1.0" encoding="utf-8"?>
<sst xmlns="http://schemas.openxmlformats.org/spreadsheetml/2006/main" count="3752" uniqueCount="1253">
  <si>
    <t>Project #</t>
  </si>
  <si>
    <t>4M082</t>
  </si>
  <si>
    <t>Project Name</t>
  </si>
  <si>
    <t>STEEL REEF BURKE LLC</t>
  </si>
  <si>
    <t>Revision</t>
  </si>
  <si>
    <t>C</t>
  </si>
  <si>
    <t>Controls DE</t>
  </si>
  <si>
    <t>J. UNGER</t>
  </si>
  <si>
    <t>Phone:</t>
  </si>
  <si>
    <t>Controls ME</t>
  </si>
  <si>
    <t>Device ID</t>
  </si>
  <si>
    <t>Location</t>
  </si>
  <si>
    <t>AT1100</t>
  </si>
  <si>
    <t>CONTROL,JB70;TT6</t>
  </si>
  <si>
    <t>SA0471</t>
  </si>
  <si>
    <t>SA0472</t>
  </si>
  <si>
    <t>SA0473</t>
  </si>
  <si>
    <t>SB0471</t>
  </si>
  <si>
    <t>SB0472</t>
  </si>
  <si>
    <t>SB0473</t>
  </si>
  <si>
    <t>SB0474</t>
  </si>
  <si>
    <t>SH0470</t>
  </si>
  <si>
    <t>SH0471</t>
  </si>
  <si>
    <t>SH0472</t>
  </si>
  <si>
    <t>JB1123 FO PANEL</t>
  </si>
  <si>
    <t>FU1123</t>
  </si>
  <si>
    <t>FU1124</t>
  </si>
  <si>
    <t>JB70 PANEL A</t>
  </si>
  <si>
    <t>FU0080</t>
  </si>
  <si>
    <t>FU0081</t>
  </si>
  <si>
    <t>FU0090</t>
  </si>
  <si>
    <t>FU0091</t>
  </si>
  <si>
    <t>FU0092</t>
  </si>
  <si>
    <t>FU0093</t>
  </si>
  <si>
    <t>FU0136</t>
  </si>
  <si>
    <t>FU0137</t>
  </si>
  <si>
    <t>FU0139</t>
  </si>
  <si>
    <t>FU0387</t>
  </si>
  <si>
    <t>FU0388</t>
  </si>
  <si>
    <t>FU0389</t>
  </si>
  <si>
    <t>JB70 PANEL B</t>
  </si>
  <si>
    <t>FU0023</t>
  </si>
  <si>
    <t>FU0031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</si>
  <si>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</si>
  <si>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</si>
  <si>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</si>
  <si>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</si>
  <si>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</si>
  <si>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</si>
  <si>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</si>
  <si>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</si>
  <si>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FU0210</t>
  </si>
  <si>
    <t>FU0212</t>
  </si>
  <si>
    <t>FU0410</t>
  </si>
  <si>
    <t>FU1100</t>
  </si>
  <si>
    <t>JB70 PLC PANEL</t>
  </si>
  <si>
    <t>FU0010</t>
  </si>
  <si>
    <t>FU0021</t>
  </si>
  <si>
    <t>FU0022</t>
  </si>
  <si>
    <t>JB70 RIGHT RAIL</t>
  </si>
  <si>
    <t>JB72 GEN PANEL</t>
  </si>
  <si>
    <t>FU0120</t>
  </si>
  <si>
    <t>FU0121</t>
  </si>
  <si>
    <t>FU0122</t>
  </si>
  <si>
    <t>FU0332</t>
  </si>
  <si>
    <t>FU0333</t>
  </si>
  <si>
    <t>FU0334</t>
  </si>
  <si>
    <t>JB72 LEFT RAIL</t>
  </si>
  <si>
    <t>FU0180</t>
  </si>
  <si>
    <t>FU0181</t>
  </si>
  <si>
    <t>FU0182</t>
  </si>
  <si>
    <t>JB72 VIB PANEL</t>
  </si>
  <si>
    <t>FU0510</t>
  </si>
  <si>
    <t>MCC RAIL</t>
  </si>
  <si>
    <t>FU0110</t>
  </si>
  <si>
    <t>FU0111</t>
  </si>
  <si>
    <t>FU1110</t>
  </si>
  <si>
    <t>FU1111</t>
  </si>
  <si>
    <t>FU1112</t>
  </si>
  <si>
    <t>From</t>
  </si>
  <si>
    <t>To</t>
  </si>
  <si>
    <t>Wire ID</t>
  </si>
  <si>
    <t>Wire No.</t>
  </si>
  <si>
    <t>Gauge/Size</t>
  </si>
  <si>
    <t>XT0100:1</t>
  </si>
  <si>
    <t>XT0100:2</t>
  </si>
  <si>
    <t>XT1124:1</t>
  </si>
  <si>
    <t>XT1124:2</t>
  </si>
  <si>
    <t>XT1124:3</t>
  </si>
  <si>
    <t>XT1124:7</t>
  </si>
  <si>
    <t>XT1124:4</t>
  </si>
  <si>
    <t>XT1124:5</t>
  </si>
  <si>
    <t>XT1124:6</t>
  </si>
  <si>
    <t>XT1124:8</t>
  </si>
  <si>
    <t>AF0111:00</t>
  </si>
  <si>
    <t>WHT</t>
  </si>
  <si>
    <t>20</t>
  </si>
  <si>
    <t>KA7000:A1</t>
  </si>
  <si>
    <t>AF0111:01</t>
  </si>
  <si>
    <t>KA7001:A1</t>
  </si>
  <si>
    <t>AF0111:02</t>
  </si>
  <si>
    <t>KA7002:A1</t>
  </si>
  <si>
    <t>AF0111:03</t>
  </si>
  <si>
    <t>KA7003:A1</t>
  </si>
  <si>
    <t>AF0111:04</t>
  </si>
  <si>
    <t>KA7004:A1</t>
  </si>
  <si>
    <t>AF0111:05</t>
  </si>
  <si>
    <t>KA7005:A1</t>
  </si>
  <si>
    <t>AF0111:06</t>
  </si>
  <si>
    <t>KA7006:A1</t>
  </si>
  <si>
    <t>AF0111:07</t>
  </si>
  <si>
    <t>KA7007:A1</t>
  </si>
  <si>
    <t>AF0111:09</t>
  </si>
  <si>
    <t>KA7009:A1</t>
  </si>
  <si>
    <t>AF0111:10</t>
  </si>
  <si>
    <t>KA7010:A1</t>
  </si>
  <si>
    <t>AF0111:11</t>
  </si>
  <si>
    <t>KA7011:A1</t>
  </si>
  <si>
    <t>AF0111:12</t>
  </si>
  <si>
    <t>KA7012:A1</t>
  </si>
  <si>
    <t>AF0111:13</t>
  </si>
  <si>
    <t>KA7013:A1</t>
  </si>
  <si>
    <t>AF0111:16</t>
  </si>
  <si>
    <t>KA7000:A2</t>
  </si>
  <si>
    <t>AF0111:17</t>
  </si>
  <si>
    <t>KA7001:A2</t>
  </si>
  <si>
    <t>AF0111:18</t>
  </si>
  <si>
    <t>KA7002:A2</t>
  </si>
  <si>
    <t>AF0111:19</t>
  </si>
  <si>
    <t>KA7003:A2</t>
  </si>
  <si>
    <t>AF0111:20</t>
  </si>
  <si>
    <t>KA7004:A2</t>
  </si>
  <si>
    <t>AF0111:21</t>
  </si>
  <si>
    <t>KA7005:A2</t>
  </si>
  <si>
    <t>AF0111:22</t>
  </si>
  <si>
    <t>KA7006:A2</t>
  </si>
  <si>
    <t>AF0111:23</t>
  </si>
  <si>
    <t>KA7007:A2</t>
  </si>
  <si>
    <t>AF0111:24</t>
  </si>
  <si>
    <t>KA7008:A2</t>
  </si>
  <si>
    <t>AF0111:25</t>
  </si>
  <si>
    <t>KA7009:A2</t>
  </si>
  <si>
    <t>AF0111:26</t>
  </si>
  <si>
    <t>KA7010:A2</t>
  </si>
  <si>
    <t>AF0111:27</t>
  </si>
  <si>
    <t>KA7011:A2</t>
  </si>
  <si>
    <t>AF0111:28</t>
  </si>
  <si>
    <t>KA7012:A2</t>
  </si>
  <si>
    <t>AF0111:29</t>
  </si>
  <si>
    <t>KA7013:A2</t>
  </si>
  <si>
    <t>AU0110:V+</t>
  </si>
  <si>
    <t>AF0112:COM</t>
  </si>
  <si>
    <t>14</t>
  </si>
  <si>
    <t>AF0112:V+</t>
  </si>
  <si>
    <t>16</t>
  </si>
  <si>
    <t>FU0111:LD</t>
  </si>
  <si>
    <t>FU0110:LD</t>
  </si>
  <si>
    <t>BA0110:V1(-)</t>
  </si>
  <si>
    <t>BA0110:V1(+)</t>
  </si>
  <si>
    <t>FU1110:LD</t>
  </si>
  <si>
    <t>BA0111:V1(-)</t>
  </si>
  <si>
    <t>BA0111:V1(+)</t>
  </si>
  <si>
    <t>FU1111:LD</t>
  </si>
  <si>
    <t>BA0112:V1(-)</t>
  </si>
  <si>
    <t>BA0112:V1(+)</t>
  </si>
  <si>
    <t>FU1112:LD</t>
  </si>
  <si>
    <t>FU0110:LI</t>
  </si>
  <si>
    <t>FU1110:LI</t>
  </si>
  <si>
    <t>FU1111:LI</t>
  </si>
  <si>
    <t>FU1112:LI</t>
  </si>
  <si>
    <t>KA7002:11</t>
  </si>
  <si>
    <t>KA700211</t>
  </si>
  <si>
    <t>KA7003:22</t>
  </si>
  <si>
    <t>KA7002:14</t>
  </si>
  <si>
    <t>KA700214</t>
  </si>
  <si>
    <t>KA7003:14</t>
  </si>
  <si>
    <t>KA7002:22</t>
  </si>
  <si>
    <t>KA700311</t>
  </si>
  <si>
    <t>KA7003:11</t>
  </si>
  <si>
    <t>KA7004:11</t>
  </si>
  <si>
    <t>KA700411</t>
  </si>
  <si>
    <t>KA7005:22</t>
  </si>
  <si>
    <t>KA7004:14</t>
  </si>
  <si>
    <t>KA700414</t>
  </si>
  <si>
    <t>KA7005:14</t>
  </si>
  <si>
    <t>KA7004:22</t>
  </si>
  <si>
    <t>KA700511</t>
  </si>
  <si>
    <t>KA7005:11</t>
  </si>
  <si>
    <t>KA7006:11</t>
  </si>
  <si>
    <t>KA700611</t>
  </si>
  <si>
    <t>KA7007:22</t>
  </si>
  <si>
    <t>KA7006:14</t>
  </si>
  <si>
    <t>KA700614</t>
  </si>
  <si>
    <t>KA7007:14</t>
  </si>
  <si>
    <t>KA7006:22</t>
  </si>
  <si>
    <t>KA700711</t>
  </si>
  <si>
    <t>KA7007:11</t>
  </si>
  <si>
    <t>XT0501:1</t>
  </si>
  <si>
    <t>XT0501:2</t>
  </si>
  <si>
    <t>AF0510:53</t>
  </si>
  <si>
    <t>AF0510:55</t>
  </si>
  <si>
    <t>FU0510:LD</t>
  </si>
  <si>
    <t>FU0510:LI</t>
  </si>
  <si>
    <t>XT0335:3</t>
  </si>
  <si>
    <t>XT0336:3</t>
  </si>
  <si>
    <t>RED</t>
  </si>
  <si>
    <t>AF0181:00</t>
  </si>
  <si>
    <t>KA0180:A1</t>
  </si>
  <si>
    <t>AF0181:02</t>
  </si>
  <si>
    <t>KA0181A1</t>
  </si>
  <si>
    <t>KA0181:A1</t>
  </si>
  <si>
    <t>AF0181:10</t>
  </si>
  <si>
    <t>KA0185:A1</t>
  </si>
  <si>
    <t>AF0181:16</t>
  </si>
  <si>
    <t>KA0180:A2</t>
  </si>
  <si>
    <t>AF0181:18</t>
  </si>
  <si>
    <t>KA0181A2</t>
  </si>
  <si>
    <t>KA0181:A2</t>
  </si>
  <si>
    <t>AF0181:26</t>
  </si>
  <si>
    <t>XT0181:2</t>
  </si>
  <si>
    <t>AF0181:COM</t>
  </si>
  <si>
    <t>XT0180:1</t>
  </si>
  <si>
    <t>AF0181:V+</t>
  </si>
  <si>
    <t>FU0181:LD</t>
  </si>
  <si>
    <t>AF0182:COM</t>
  </si>
  <si>
    <t>AU0180N</t>
  </si>
  <si>
    <t>AU0180:COM</t>
  </si>
  <si>
    <t>AF0182:V+</t>
  </si>
  <si>
    <t>AU0180P</t>
  </si>
  <si>
    <t>AU0180:V+</t>
  </si>
  <si>
    <t>FU0180:LD</t>
  </si>
  <si>
    <t>BA0120:V1(-)</t>
  </si>
  <si>
    <t>XT1207:2</t>
  </si>
  <si>
    <t>BA0120:V1(+)</t>
  </si>
  <si>
    <t>FU0133LD</t>
  </si>
  <si>
    <t>FU0133:LD</t>
  </si>
  <si>
    <t>BA0121:V1(-)</t>
  </si>
  <si>
    <t>BA0121:V1(+)</t>
  </si>
  <si>
    <t>FU0134LD</t>
  </si>
  <si>
    <t>FU0134:LD</t>
  </si>
  <si>
    <t>FU0133:LI</t>
  </si>
  <si>
    <t>XT1207:1</t>
  </si>
  <si>
    <t>FU0134:LI</t>
  </si>
  <si>
    <t>FU0180:LI</t>
  </si>
  <si>
    <t>FU0182:LD</t>
  </si>
  <si>
    <t>KA0185:A2</t>
  </si>
  <si>
    <t>KA0185A2</t>
  </si>
  <si>
    <t>XT0181:1</t>
  </si>
  <si>
    <t>FU0182:LI</t>
  </si>
  <si>
    <t>KA0185:11</t>
  </si>
  <si>
    <t>KA018511</t>
  </si>
  <si>
    <t>XT0338:3</t>
  </si>
  <si>
    <t>KA0185:14</t>
  </si>
  <si>
    <t>KA0332A1</t>
  </si>
  <si>
    <t>XT0338:4</t>
  </si>
  <si>
    <t>12</t>
  </si>
  <si>
    <t>XT0335:8</t>
  </si>
  <si>
    <t>XT0336:8</t>
  </si>
  <si>
    <t>XT0335:1</t>
  </si>
  <si>
    <t>XT0335:2</t>
  </si>
  <si>
    <t>XT0335:4</t>
  </si>
  <si>
    <t>XT0335:6</t>
  </si>
  <si>
    <t>XT0336:2</t>
  </si>
  <si>
    <t>XT0336:4</t>
  </si>
  <si>
    <t>XT0336:5</t>
  </si>
  <si>
    <t>XT0336:6</t>
  </si>
  <si>
    <t>VBUSA</t>
  </si>
  <si>
    <t>XT0351:2</t>
  </si>
  <si>
    <t>XT0351:11</t>
  </si>
  <si>
    <t>VGENB</t>
  </si>
  <si>
    <t>XT0351:13</t>
  </si>
  <si>
    <t>VGENC</t>
  </si>
  <si>
    <t>XT0351:3</t>
  </si>
  <si>
    <t>VBUSB</t>
  </si>
  <si>
    <t>XT0351:5</t>
  </si>
  <si>
    <t>VBUSC</t>
  </si>
  <si>
    <t>XT0351:9</t>
  </si>
  <si>
    <t>VGENA</t>
  </si>
  <si>
    <t>AF0121:01</t>
  </si>
  <si>
    <t>KA0121:A1</t>
  </si>
  <si>
    <t>AF0121:03</t>
  </si>
  <si>
    <t>KA0123A1</t>
  </si>
  <si>
    <t>KA0123:A1</t>
  </si>
  <si>
    <t>AF0121:08</t>
  </si>
  <si>
    <t>KA0128:A1</t>
  </si>
  <si>
    <t>AF0121:09</t>
  </si>
  <si>
    <t>KA7610A1</t>
  </si>
  <si>
    <t>KA7610:A1</t>
  </si>
  <si>
    <t>AF0121:14</t>
  </si>
  <si>
    <t>KA033611</t>
  </si>
  <si>
    <t>KA0336:11</t>
  </si>
  <si>
    <t>AF0121:17</t>
  </si>
  <si>
    <t>KA0121:A2</t>
  </si>
  <si>
    <t>AF0121:19</t>
  </si>
  <si>
    <t>KA0123A2</t>
  </si>
  <si>
    <t>KA0123:A2</t>
  </si>
  <si>
    <t>AF0121:24</t>
  </si>
  <si>
    <t>KA0128:A2</t>
  </si>
  <si>
    <t>AF0121:25</t>
  </si>
  <si>
    <t>KA7610A2</t>
  </si>
  <si>
    <t>KA7610:A2</t>
  </si>
  <si>
    <t>AF0121:30</t>
  </si>
  <si>
    <t>KA4100A2</t>
  </si>
  <si>
    <t>KA4100:A2</t>
  </si>
  <si>
    <t>AF0121:COM</t>
  </si>
  <si>
    <t>XT0120:2</t>
  </si>
  <si>
    <t>AF0121:V+</t>
  </si>
  <si>
    <t>FU0121:LD</t>
  </si>
  <si>
    <t>AF0122:00</t>
  </si>
  <si>
    <t>KA0330:11</t>
  </si>
  <si>
    <t>AF0122:01</t>
  </si>
  <si>
    <t>KA0331:11</t>
  </si>
  <si>
    <t>AF0122:02</t>
  </si>
  <si>
    <t>KA031011</t>
  </si>
  <si>
    <t>KA0310:11</t>
  </si>
  <si>
    <t>AF0122:32</t>
  </si>
  <si>
    <t>KA0330:14</t>
  </si>
  <si>
    <t>AF0122:33</t>
  </si>
  <si>
    <t>KA0331:14</t>
  </si>
  <si>
    <t>AF0122:34</t>
  </si>
  <si>
    <t>KA031014</t>
  </si>
  <si>
    <t>KA0310:14</t>
  </si>
  <si>
    <t>AF0122:COM</t>
  </si>
  <si>
    <t>AU0120N</t>
  </si>
  <si>
    <t>AU0120:COM</t>
  </si>
  <si>
    <t>AF0122:V+</t>
  </si>
  <si>
    <t>AU0120P</t>
  </si>
  <si>
    <t>AU0120:V+</t>
  </si>
  <si>
    <t>AF0123:SH</t>
  </si>
  <si>
    <t>AU0120G</t>
  </si>
  <si>
    <t>AU0120:GND</t>
  </si>
  <si>
    <t>AT0140:13 VGEN-A</t>
  </si>
  <si>
    <t>AT0140:14 VGEN-B</t>
  </si>
  <si>
    <t>AT0140:15 VGEN-C</t>
  </si>
  <si>
    <t>AT0140:17 VBUS-A</t>
  </si>
  <si>
    <t>AT0140:18 VBUS-B</t>
  </si>
  <si>
    <t>AT0140:19 VBUS-C</t>
  </si>
  <si>
    <t>AT0140:3 EX-D(-)</t>
  </si>
  <si>
    <t>AT0140:36 I1(+)</t>
  </si>
  <si>
    <t>MCTA</t>
  </si>
  <si>
    <t>BLU</t>
  </si>
  <si>
    <t>XT0352:1</t>
  </si>
  <si>
    <t>AT0140:37 I1(-)</t>
  </si>
  <si>
    <t>MCTAN</t>
  </si>
  <si>
    <t>XT0352:10</t>
  </si>
  <si>
    <t>AT0140:38 I2(+)</t>
  </si>
  <si>
    <t>MCTB</t>
  </si>
  <si>
    <t>XT0352:2</t>
  </si>
  <si>
    <t>AT0140:39 I2(-)</t>
  </si>
  <si>
    <t>MCTBN</t>
  </si>
  <si>
    <t>XT0352:9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</si>
  <si>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</si>
  <si>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</si>
  <si>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</si>
  <si>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</si>
  <si>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</si>
  <si>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</si>
  <si>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</si>
  <si>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MCTCN</t>
  </si>
  <si>
    <t>XT0352:8</t>
  </si>
  <si>
    <t>AT0140:BAT(-) 48</t>
  </si>
  <si>
    <t>AT0140:BAT(+) 47</t>
  </si>
  <si>
    <t>XT0339:1</t>
  </si>
  <si>
    <t>AT0140:FLT 29</t>
  </si>
  <si>
    <t>KA0310A2</t>
  </si>
  <si>
    <t>KA0310:A2</t>
  </si>
  <si>
    <t>AT0140:FLT 30</t>
  </si>
  <si>
    <t>FU0120:LD</t>
  </si>
  <si>
    <t>FU0120:LI</t>
  </si>
  <si>
    <t>FU0122:LD</t>
  </si>
  <si>
    <t>FU0122:LI</t>
  </si>
  <si>
    <t>FU0332:LD</t>
  </si>
  <si>
    <t>FU0333:LD</t>
  </si>
  <si>
    <t>XT0338:1</t>
  </si>
  <si>
    <t>FU0333:LI</t>
  </si>
  <si>
    <t>FU0334:LD</t>
  </si>
  <si>
    <t>FU0334:LI</t>
  </si>
  <si>
    <t>KA0121:11</t>
  </si>
  <si>
    <t>KA0121:14</t>
  </si>
  <si>
    <t>KA0123:11</t>
  </si>
  <si>
    <t>KA0313:2</t>
  </si>
  <si>
    <t>KA0313:7</t>
  </si>
  <si>
    <t>KA0128:11</t>
  </si>
  <si>
    <t>KA0335:21</t>
  </si>
  <si>
    <t>KA0128:21</t>
  </si>
  <si>
    <t>KA012821</t>
  </si>
  <si>
    <t>XT0337:1</t>
  </si>
  <si>
    <t>KA0128:24</t>
  </si>
  <si>
    <t>KA012824</t>
  </si>
  <si>
    <t>XT0337:2</t>
  </si>
  <si>
    <t>KA0310:24</t>
  </si>
  <si>
    <t>KA0333A1</t>
  </si>
  <si>
    <t>XT0338:2</t>
  </si>
  <si>
    <t>KA0335:22</t>
  </si>
  <si>
    <t>KA0310:A1</t>
  </si>
  <si>
    <t>KA0314:2</t>
  </si>
  <si>
    <t>KA0314:7</t>
  </si>
  <si>
    <t>KA0330:A1</t>
  </si>
  <si>
    <t>KA0330A1</t>
  </si>
  <si>
    <t>XT0338:5</t>
  </si>
  <si>
    <t>KA0331:A2</t>
  </si>
  <si>
    <t>KA0331:A1</t>
  </si>
  <si>
    <t>KA0331A1</t>
  </si>
  <si>
    <t>XT0338:6</t>
  </si>
  <si>
    <t>KA0332:11</t>
  </si>
  <si>
    <t>KA033211</t>
  </si>
  <si>
    <t>XT0337:3</t>
  </si>
  <si>
    <t>KA0332:14</t>
  </si>
  <si>
    <t>KA033214</t>
  </si>
  <si>
    <t>XT0337:4</t>
  </si>
  <si>
    <t>KA0332:A1</t>
  </si>
  <si>
    <t>KA0333:A2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</si>
  <si>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</si>
  <si>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</si>
  <si>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</si>
  <si>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</si>
  <si>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</si>
  <si>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</si>
  <si>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</si>
  <si>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</si>
  <si>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</si>
  <si>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KA0310:21</t>
  </si>
  <si>
    <t>KA0128:14</t>
  </si>
  <si>
    <t>KA0335:A1</t>
  </si>
  <si>
    <t>ESTOP</t>
  </si>
  <si>
    <t>XT0120:4</t>
  </si>
  <si>
    <t>KA0335:A2</t>
  </si>
  <si>
    <t>XT0120:3</t>
  </si>
  <si>
    <t>KA0336:14</t>
  </si>
  <si>
    <t>KA4100A1</t>
  </si>
  <si>
    <t>KA4100:A1</t>
  </si>
  <si>
    <t>KA0336:A1</t>
  </si>
  <si>
    <t>KA0131A1</t>
  </si>
  <si>
    <t>XT0120:5</t>
  </si>
  <si>
    <t>XT0120:1</t>
  </si>
  <si>
    <t>XT0111:1</t>
  </si>
  <si>
    <t>SH047111</t>
  </si>
  <si>
    <t>SH0471:11</t>
  </si>
  <si>
    <t>XT0111:10</t>
  </si>
  <si>
    <t>SH047014</t>
  </si>
  <si>
    <t>SH0470:14</t>
  </si>
  <si>
    <t>XT0111:11</t>
  </si>
  <si>
    <t>SH0470X2</t>
  </si>
  <si>
    <t>SH0470:X2</t>
  </si>
  <si>
    <t>XT0111:12</t>
  </si>
  <si>
    <t>SH0470X1</t>
  </si>
  <si>
    <t>SH0470:X1</t>
  </si>
  <si>
    <t>XT0111:13</t>
  </si>
  <si>
    <t>SH047211</t>
  </si>
  <si>
    <t>SH0472:11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</si>
  <si>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</si>
  <si>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</si>
  <si>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</si>
  <si>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</si>
  <si>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</si>
  <si>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</si>
  <si>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</si>
  <si>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</si>
  <si>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</si>
  <si>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</si>
  <si>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</si>
  <si>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</si>
  <si>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</si>
  <si>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</si>
  <si>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</si>
  <si>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</si>
  <si>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SB0472:B1-11</t>
  </si>
  <si>
    <t>XT0111:2</t>
  </si>
  <si>
    <t>SH047112</t>
  </si>
  <si>
    <t>SH0471:12</t>
  </si>
  <si>
    <t>XT0111:20</t>
  </si>
  <si>
    <t>ESTOPA</t>
  </si>
  <si>
    <t>SB0472:B1-12</t>
  </si>
  <si>
    <t>XT0111:22</t>
  </si>
  <si>
    <t>AT1100:NEG</t>
  </si>
  <si>
    <t>XT0111:3</t>
  </si>
  <si>
    <t>SH047113</t>
  </si>
  <si>
    <t>SH0471:13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</si>
  <si>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</si>
  <si>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</si>
  <si>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</si>
  <si>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</si>
  <si>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</si>
  <si>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</si>
  <si>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</si>
  <si>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</si>
  <si>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</si>
  <si>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</si>
  <si>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</si>
  <si>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</si>
  <si>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</si>
  <si>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</si>
  <si>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</si>
  <si>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</si>
  <si>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</si>
  <si>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</si>
  <si>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XT0111:24</t>
  </si>
  <si>
    <t>HA047201</t>
  </si>
  <si>
    <t>XT0111:23</t>
  </si>
  <si>
    <t>HA047202</t>
  </si>
  <si>
    <t>AF0093:06</t>
  </si>
  <si>
    <t>AF0093:22</t>
  </si>
  <si>
    <t>XT0081:6</t>
  </si>
  <si>
    <t>XT0081:7</t>
  </si>
  <si>
    <t>AF0092:13</t>
  </si>
  <si>
    <t>KA0240:21</t>
  </si>
  <si>
    <t>AF0092:29</t>
  </si>
  <si>
    <t>XT0089:3</t>
  </si>
  <si>
    <t>XT0089:4</t>
  </si>
  <si>
    <t>XT0111:21</t>
  </si>
  <si>
    <t>XT0002:6</t>
  </si>
  <si>
    <t>XT0003:6</t>
  </si>
  <si>
    <t>AF0092:12</t>
  </si>
  <si>
    <t>AF0092:28</t>
  </si>
  <si>
    <t>AF0087:32</t>
  </si>
  <si>
    <t>AF0087:00</t>
  </si>
  <si>
    <t>AF0093:15</t>
  </si>
  <si>
    <t>AF0093:31</t>
  </si>
  <si>
    <t>AF0087:33</t>
  </si>
  <si>
    <t>AF0087:01</t>
  </si>
  <si>
    <t>FU0291:LI</t>
  </si>
  <si>
    <t>FU1100:LI</t>
  </si>
  <si>
    <t>UV0291:24V(-)</t>
  </si>
  <si>
    <t>AT0680:NEG</t>
  </si>
  <si>
    <t>XT0680:2</t>
  </si>
  <si>
    <t>AT0680:POS</t>
  </si>
  <si>
    <t>AT0680POS</t>
  </si>
  <si>
    <t>XT0680:1</t>
  </si>
  <si>
    <t>BA0001:V1(+)</t>
  </si>
  <si>
    <t>FU0021:LD</t>
  </si>
  <si>
    <t>BA0002:V1(+)</t>
  </si>
  <si>
    <t>FU0022:LD</t>
  </si>
  <si>
    <t>FU0010:LD</t>
  </si>
  <si>
    <t>UV0600:(+)</t>
  </si>
  <si>
    <t>FU0680:LD</t>
  </si>
  <si>
    <t>FU0010:LI</t>
  </si>
  <si>
    <t>XT0002:4</t>
  </si>
  <si>
    <t>UV0600:(-)</t>
  </si>
  <si>
    <t>XT0003:4</t>
  </si>
  <si>
    <t>BA0001:V1(-)</t>
  </si>
  <si>
    <t>XT0051:5</t>
  </si>
  <si>
    <t>BA0002:V1(-)</t>
  </si>
  <si>
    <t>XT0051:6</t>
  </si>
  <si>
    <t>FU0021:LI</t>
  </si>
  <si>
    <t>XT0051:1</t>
  </si>
  <si>
    <t>FU0022:LI</t>
  </si>
  <si>
    <t>XT0051:2</t>
  </si>
  <si>
    <t>FU0680:LI</t>
  </si>
  <si>
    <t>XT0051:4</t>
  </si>
  <si>
    <t>XT0051:8</t>
  </si>
  <si>
    <t>XT0051:3</t>
  </si>
  <si>
    <t>XT0051:7</t>
  </si>
  <si>
    <t>XT0060:1</t>
  </si>
  <si>
    <t>XT0060:2</t>
  </si>
  <si>
    <t>XT0060:3</t>
  </si>
  <si>
    <t>XT0060:4</t>
  </si>
  <si>
    <t>XT0062:1</t>
  </si>
  <si>
    <t>XT0062:2</t>
  </si>
  <si>
    <t>XT0401:1</t>
  </si>
  <si>
    <t>XT0401:2</t>
  </si>
  <si>
    <t>AF0061:02</t>
  </si>
  <si>
    <t>KA0233:14</t>
  </si>
  <si>
    <t>AF0061:14</t>
  </si>
  <si>
    <t>KA0234:14</t>
  </si>
  <si>
    <t>AF0061:COM</t>
  </si>
  <si>
    <t>AF0061:V+</t>
  </si>
  <si>
    <t>FU0062:LD</t>
  </si>
  <si>
    <t>AF0062:00</t>
  </si>
  <si>
    <t>KA0222:14</t>
  </si>
  <si>
    <t>AF0062:COM</t>
  </si>
  <si>
    <t>AF0062:V+</t>
  </si>
  <si>
    <t>FU0063:LD</t>
  </si>
  <si>
    <t>AF0063:COM</t>
  </si>
  <si>
    <t>AU0060N</t>
  </si>
  <si>
    <t>AU0060:COM</t>
  </si>
  <si>
    <t>AF0063:V+</t>
  </si>
  <si>
    <t>AU0060P</t>
  </si>
  <si>
    <t>AU0060:V+</t>
  </si>
  <si>
    <t>AF0066:COM</t>
  </si>
  <si>
    <t>AF0066:V+</t>
  </si>
  <si>
    <t>AF0066N</t>
  </si>
  <si>
    <t>AF0068:COM</t>
  </si>
  <si>
    <t>AF0066P</t>
  </si>
  <si>
    <t>AF0068:V+</t>
  </si>
  <si>
    <t>AF0067:COM</t>
  </si>
  <si>
    <t>AF0067:V+</t>
  </si>
  <si>
    <t>FU0064:LD</t>
  </si>
  <si>
    <t>AU0070:COM</t>
  </si>
  <si>
    <t>AU0070:V+</t>
  </si>
  <si>
    <t>AF0076:00</t>
  </si>
  <si>
    <t>KA023514</t>
  </si>
  <si>
    <t>KA0235:14</t>
  </si>
  <si>
    <t>AF0076:01</t>
  </si>
  <si>
    <t>KA023714</t>
  </si>
  <si>
    <t>KA0237:14</t>
  </si>
  <si>
    <t>AF0076:02</t>
  </si>
  <si>
    <t>KA0221:A1</t>
  </si>
  <si>
    <t>AF0076:04</t>
  </si>
  <si>
    <t>KA0222:A1</t>
  </si>
  <si>
    <t>AF0076:08</t>
  </si>
  <si>
    <t>KA1020A1</t>
  </si>
  <si>
    <t>KA1020:A1</t>
  </si>
  <si>
    <t>AF0076:15</t>
  </si>
  <si>
    <t>KA0224:A1</t>
  </si>
  <si>
    <t>AF0076:18</t>
  </si>
  <si>
    <t>KA0221:A2</t>
  </si>
  <si>
    <t>AF0076:20</t>
  </si>
  <si>
    <t>KA0222:A2</t>
  </si>
  <si>
    <t>AF0076:24</t>
  </si>
  <si>
    <t>KA1020A2</t>
  </si>
  <si>
    <t>KA1020:A2</t>
  </si>
  <si>
    <t>AF0076:31</t>
  </si>
  <si>
    <t>KA0224:A2</t>
  </si>
  <si>
    <t>AF0076:COM</t>
  </si>
  <si>
    <t>AF0076:V+</t>
  </si>
  <si>
    <t>FU0076:LD</t>
  </si>
  <si>
    <t>AF0410:53</t>
  </si>
  <si>
    <t>AF0410:54</t>
  </si>
  <si>
    <t>AF0420:53</t>
  </si>
  <si>
    <t>AF0410:55</t>
  </si>
  <si>
    <t>FU0410:LD</t>
  </si>
  <si>
    <t>AF0410:56</t>
  </si>
  <si>
    <t>AF0420:55</t>
  </si>
  <si>
    <t>AF0420:54</t>
  </si>
  <si>
    <t>AF0450:53</t>
  </si>
  <si>
    <t>AF0420:56</t>
  </si>
  <si>
    <t>AF0450:55</t>
  </si>
  <si>
    <t>FU0061:LD</t>
  </si>
  <si>
    <t>FU0070:LD</t>
  </si>
  <si>
    <t>BA0003:V1(-)</t>
  </si>
  <si>
    <t>BA0003:V1(+)</t>
  </si>
  <si>
    <t>FU0023:LD</t>
  </si>
  <si>
    <t>BA0011:V1(-)</t>
  </si>
  <si>
    <t>BA0011:V1(+)</t>
  </si>
  <si>
    <t>FU0031:LD</t>
  </si>
  <si>
    <t>BA1100:NEG</t>
  </si>
  <si>
    <t>BA1100N</t>
  </si>
  <si>
    <t>UV0291:OUT1(-)</t>
  </si>
  <si>
    <t>BA1100:POS</t>
  </si>
  <si>
    <t>FU1101LD</t>
  </si>
  <si>
    <t>FU1101:LD</t>
  </si>
  <si>
    <t>FU0023:LI</t>
  </si>
  <si>
    <t>FU0031:LI</t>
  </si>
  <si>
    <t>FU0060:LI</t>
  </si>
  <si>
    <t>FU0210:LD</t>
  </si>
  <si>
    <t>FU0100:LI</t>
  </si>
  <si>
    <t>FU0061:LI</t>
  </si>
  <si>
    <t>FU0060:LD</t>
  </si>
  <si>
    <t>FU0064:LI</t>
  </si>
  <si>
    <t>FU0070:LI</t>
  </si>
  <si>
    <t>FU0100:LD</t>
  </si>
  <si>
    <t>KA1020:14</t>
  </si>
  <si>
    <t>FU0113:LI</t>
  </si>
  <si>
    <t>FU0115:LI</t>
  </si>
  <si>
    <t>FU0212:LI</t>
  </si>
  <si>
    <t>FU0291:LD</t>
  </si>
  <si>
    <t>FU0291LD</t>
  </si>
  <si>
    <t>UV0291:24V(+)</t>
  </si>
  <si>
    <t>FU1101:LI</t>
  </si>
  <si>
    <t>FU1101LI</t>
  </si>
  <si>
    <t>UV0291:OUT1(+)</t>
  </si>
  <si>
    <t>KA0221:11</t>
  </si>
  <si>
    <t>KA0235:24</t>
  </si>
  <si>
    <t>KA0222:11</t>
  </si>
  <si>
    <t>KA0237:24</t>
  </si>
  <si>
    <t>KA0224:11</t>
  </si>
  <si>
    <t>KA022411</t>
  </si>
  <si>
    <t>XT0224:1</t>
  </si>
  <si>
    <t>KA0224:14</t>
  </si>
  <si>
    <t>KA022414</t>
  </si>
  <si>
    <t>XT0224:2</t>
  </si>
  <si>
    <t>KA0233:A1</t>
  </si>
  <si>
    <t>KA0234:A1</t>
  </si>
  <si>
    <t>KA0233:A2</t>
  </si>
  <si>
    <t>KA0131A2</t>
  </si>
  <si>
    <t>KA1020:24</t>
  </si>
  <si>
    <t>PC0470:INP_A</t>
  </si>
  <si>
    <t>FU1100:LD</t>
  </si>
  <si>
    <t>AT1100:POS</t>
  </si>
  <si>
    <t>AF0067:12</t>
  </si>
  <si>
    <t>KA0134A1</t>
  </si>
  <si>
    <t>KA0134:A1</t>
  </si>
  <si>
    <t>AF0074:05</t>
  </si>
  <si>
    <t>XT0089:18</t>
  </si>
  <si>
    <t>AF0074:21</t>
  </si>
  <si>
    <t>XT0089:19</t>
  </si>
  <si>
    <t>AF0076:10</t>
  </si>
  <si>
    <t>KT014615</t>
  </si>
  <si>
    <t>KT0146:15</t>
  </si>
  <si>
    <t>AF0076:11</t>
  </si>
  <si>
    <t>UA1200J14</t>
  </si>
  <si>
    <t>UA1200:J1-4</t>
  </si>
  <si>
    <t>AF0076:12</t>
  </si>
  <si>
    <t>XT0237:1 B2</t>
  </si>
  <si>
    <t>AF0076:13</t>
  </si>
  <si>
    <t>KT0146B1</t>
  </si>
  <si>
    <t>KT0146:B1</t>
  </si>
  <si>
    <t>AF0076:29</t>
  </si>
  <si>
    <t>KT0146A2</t>
  </si>
  <si>
    <t>KT0146:A2</t>
  </si>
  <si>
    <t>FU0210:LI</t>
  </si>
  <si>
    <t>XT0002:1</t>
  </si>
  <si>
    <t>FU0212:LD</t>
  </si>
  <si>
    <t>KA0239:21</t>
  </si>
  <si>
    <t>FU0410:LI</t>
  </si>
  <si>
    <t>XT0002:3</t>
  </si>
  <si>
    <t>KA0221:14</t>
  </si>
  <si>
    <t>AF0095:02</t>
  </si>
  <si>
    <t>KA0232:A1</t>
  </si>
  <si>
    <t>KA0232:A2</t>
  </si>
  <si>
    <t>XT0089:8</t>
  </si>
  <si>
    <t>KA0235:A1</t>
  </si>
  <si>
    <t>XT0089:5</t>
  </si>
  <si>
    <t>KA0236:A1</t>
  </si>
  <si>
    <t>KA0235:A2</t>
  </si>
  <si>
    <t>KA0236:A2</t>
  </si>
  <si>
    <t>KA0242:A2</t>
  </si>
  <si>
    <t>KA0237:A1</t>
  </si>
  <si>
    <t>KA0239:A1</t>
  </si>
  <si>
    <t>KA0237:A2</t>
  </si>
  <si>
    <t>KA0239:A2</t>
  </si>
  <si>
    <t>KA0251:A1</t>
  </si>
  <si>
    <t>KA0240:A1</t>
  </si>
  <si>
    <t>XT0089:6</t>
  </si>
  <si>
    <t>KA0251:A2</t>
  </si>
  <si>
    <t>KA0240:A2</t>
  </si>
  <si>
    <t>PC0470:+PWR</t>
  </si>
  <si>
    <t>AF0093:44</t>
  </si>
  <si>
    <t>AF0093:12</t>
  </si>
  <si>
    <t>PC0470:-PWR</t>
  </si>
  <si>
    <t>AF0093:28</t>
  </si>
  <si>
    <t>XT0002:7</t>
  </si>
  <si>
    <t>XT0003:7</t>
  </si>
  <si>
    <t>XT0003:1</t>
  </si>
  <si>
    <t>XT0003:3</t>
  </si>
  <si>
    <t>XT0002:2</t>
  </si>
  <si>
    <t>XT0002:5</t>
  </si>
  <si>
    <t>XT0003:2</t>
  </si>
  <si>
    <t>XT0003:5</t>
  </si>
  <si>
    <t>XT0080:1</t>
  </si>
  <si>
    <t>XT0080:2</t>
  </si>
  <si>
    <t>XT0080:3</t>
  </si>
  <si>
    <t>XT0080:4</t>
  </si>
  <si>
    <t>XT0080:5</t>
  </si>
  <si>
    <t>XT0080:6</t>
  </si>
  <si>
    <t>XT0080:7</t>
  </si>
  <si>
    <t>XT0080:8</t>
  </si>
  <si>
    <t>XT0081:1</t>
  </si>
  <si>
    <t>XT0081:2</t>
  </si>
  <si>
    <t>XT0081:3</t>
  </si>
  <si>
    <t>XT0081:4</t>
  </si>
  <si>
    <t>XT0081:5</t>
  </si>
  <si>
    <t>XT0082:1</t>
  </si>
  <si>
    <t>XT0082:2</t>
  </si>
  <si>
    <t>XT0082:3</t>
  </si>
  <si>
    <t>XT0082:4</t>
  </si>
  <si>
    <t>XT0082:5</t>
  </si>
  <si>
    <t>AF0081:00</t>
  </si>
  <si>
    <t>UA1200J21</t>
  </si>
  <si>
    <t>XT0089:20</t>
  </si>
  <si>
    <t>AF0081:01</t>
  </si>
  <si>
    <t>KA024314</t>
  </si>
  <si>
    <t>KA0243:14</t>
  </si>
  <si>
    <t>AF0081:02</t>
  </si>
  <si>
    <t>KA024514</t>
  </si>
  <si>
    <t>KA0245:14</t>
  </si>
  <si>
    <t>AF0081:03</t>
  </si>
  <si>
    <t>KA013014</t>
  </si>
  <si>
    <t>KA0130:14</t>
  </si>
  <si>
    <t>AF0081:08</t>
  </si>
  <si>
    <t>KT014618</t>
  </si>
  <si>
    <t>KT0146:18</t>
  </si>
  <si>
    <t>AF0081:09</t>
  </si>
  <si>
    <t>KA023914</t>
  </si>
  <si>
    <t>KA0239:14</t>
  </si>
  <si>
    <t>AF0081:19</t>
  </si>
  <si>
    <t>UA1200J27</t>
  </si>
  <si>
    <t>UA1200:J2-7</t>
  </si>
  <si>
    <t>AF0081:24</t>
  </si>
  <si>
    <t>KA0131:A2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</si>
  <si>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</si>
  <si>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</si>
  <si>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</si>
  <si>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</si>
  <si>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</si>
  <si>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</si>
  <si>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</si>
  <si>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</si>
  <si>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</si>
  <si>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XT0089:1</t>
  </si>
  <si>
    <t>AF0081:40</t>
  </si>
  <si>
    <t>KA014124</t>
  </si>
  <si>
    <t>KA0141:24</t>
  </si>
  <si>
    <t>AF0081:41</t>
  </si>
  <si>
    <t>KA023911</t>
  </si>
  <si>
    <t>KA0239:11</t>
  </si>
  <si>
    <t>AU0080:COM</t>
  </si>
  <si>
    <t>AU0080:V+</t>
  </si>
  <si>
    <t>AF0083:COM</t>
  </si>
  <si>
    <t>AF0083:V+</t>
  </si>
  <si>
    <t>AF0083N</t>
  </si>
  <si>
    <t>AF0084:COM</t>
  </si>
  <si>
    <t>AF0083P</t>
  </si>
  <si>
    <t>AF0084:V+</t>
  </si>
  <si>
    <t>AF0086:12</t>
  </si>
  <si>
    <t>FT21082</t>
  </si>
  <si>
    <t>XT0050:2</t>
  </si>
  <si>
    <t>AF0086:28</t>
  </si>
  <si>
    <t>XT0050:3</t>
  </si>
  <si>
    <t>AF0086:60</t>
  </si>
  <si>
    <t>FT2108S</t>
  </si>
  <si>
    <t>XT0050:4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</si>
  <si>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</si>
  <si>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</si>
  <si>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</si>
  <si>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</si>
  <si>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</si>
  <si>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</si>
  <si>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</si>
  <si>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</si>
  <si>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</si>
  <si>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AF0091:09</t>
  </si>
  <si>
    <t>UJ0131OK2</t>
  </si>
  <si>
    <t>UJ0131:OK2</t>
  </si>
  <si>
    <t>AF0091:12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</si>
  <si>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</si>
  <si>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</si>
  <si>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</si>
  <si>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</si>
  <si>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</si>
  <si>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</si>
  <si>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</si>
  <si>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</si>
  <si>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</si>
  <si>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</si>
  <si>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</si>
  <si>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</si>
  <si>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</si>
  <si>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</si>
  <si>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AF0092:01</t>
  </si>
  <si>
    <t>KA3330:A1</t>
  </si>
  <si>
    <t>AF0092:02</t>
  </si>
  <si>
    <t>KA0133A1</t>
  </si>
  <si>
    <t>KA0133:A1</t>
  </si>
  <si>
    <t>AF0092:03</t>
  </si>
  <si>
    <t>KA3331:A1</t>
  </si>
  <si>
    <t>AF0092:04</t>
  </si>
  <si>
    <t>KA2160A1</t>
  </si>
  <si>
    <t>KA2160:A1</t>
  </si>
  <si>
    <t>AF0092:06</t>
  </si>
  <si>
    <t>KA013114</t>
  </si>
  <si>
    <t>KA0131:14</t>
  </si>
  <si>
    <t>AF0092:07</t>
  </si>
  <si>
    <t>KA2161A1</t>
  </si>
  <si>
    <t>KA2161:A1</t>
  </si>
  <si>
    <t>AF0092:08</t>
  </si>
  <si>
    <t>KA3103A1</t>
  </si>
  <si>
    <t>KA3103:A1</t>
  </si>
  <si>
    <t>AF0092:17</t>
  </si>
  <si>
    <t>KA3330:A2</t>
  </si>
  <si>
    <t>AF0092:19</t>
  </si>
  <si>
    <t>KA3331:A2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</si>
  <si>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</si>
  <si>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</si>
  <si>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</si>
  <si>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</si>
  <si>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</si>
  <si>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</si>
  <si>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</si>
  <si>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</si>
  <si>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</si>
  <si>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</si>
  <si>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</si>
  <si>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</si>
  <si>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</si>
  <si>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AF0092:V+</t>
  </si>
  <si>
    <t>FU0091:LD</t>
  </si>
  <si>
    <t>AF0093:COM</t>
  </si>
  <si>
    <t>AF0093:V+</t>
  </si>
  <si>
    <t>FU0092:LD</t>
  </si>
  <si>
    <t>AF0094:04</t>
  </si>
  <si>
    <t>UJ0131VIN</t>
  </si>
  <si>
    <t>UJ0131:VIN</t>
  </si>
  <si>
    <t>AF0094:05</t>
  </si>
  <si>
    <t>AF0094:06</t>
  </si>
  <si>
    <t>UJ0131IOUT</t>
  </si>
  <si>
    <t>UJ0131:IOUT</t>
  </si>
  <si>
    <t>AF0094:07</t>
  </si>
  <si>
    <t>AF0095:COM</t>
  </si>
  <si>
    <t>AF0095:V+</t>
  </si>
  <si>
    <t>FU0093:LD</t>
  </si>
  <si>
    <t>FU0081:LD</t>
  </si>
  <si>
    <t>FU0090:LD</t>
  </si>
  <si>
    <t>FU0011:LD</t>
  </si>
  <si>
    <t>UJ0131P</t>
  </si>
  <si>
    <t>UJ0131:+</t>
  </si>
  <si>
    <t>FU0080:LI</t>
  </si>
  <si>
    <t>FU0137:LD</t>
  </si>
  <si>
    <t>FU0139:LI</t>
  </si>
  <si>
    <t>FU0081:LI</t>
  </si>
  <si>
    <t>FU0080:LD</t>
  </si>
  <si>
    <t>FU0090:LI</t>
  </si>
  <si>
    <t>FU0137:LI</t>
  </si>
  <si>
    <t>FU0139:LD</t>
  </si>
  <si>
    <t>FU0387:LD</t>
  </si>
  <si>
    <t>XT0089:17</t>
  </si>
  <si>
    <t>FU0388:LD</t>
  </si>
  <si>
    <t>KA0138:14</t>
  </si>
  <si>
    <t>FU0389:LD</t>
  </si>
  <si>
    <t>XT0089:21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</si>
  <si>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</si>
  <si>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</si>
  <si>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</si>
  <si>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</si>
  <si>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</si>
  <si>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</si>
  <si>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</si>
  <si>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KA0131:12</t>
  </si>
  <si>
    <t>KA013112</t>
  </si>
  <si>
    <t>KA0137:24</t>
  </si>
  <si>
    <t>KA0131:A1</t>
  </si>
  <si>
    <t>KA0132:A1</t>
  </si>
  <si>
    <t>KA0242:14</t>
  </si>
  <si>
    <t>KA0132:A2</t>
  </si>
  <si>
    <t>KA0132:11</t>
  </si>
  <si>
    <t>KA0133:11</t>
  </si>
  <si>
    <t>KA0132:12</t>
  </si>
  <si>
    <t>KT014315</t>
  </si>
  <si>
    <t>KT0142:A1</t>
  </si>
  <si>
    <t>KA0133:12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</si>
  <si>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</si>
  <si>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</si>
  <si>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</si>
  <si>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</si>
  <si>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</si>
  <si>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</si>
  <si>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</si>
  <si>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</si>
  <si>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</si>
  <si>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</si>
  <si>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</si>
  <si>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</si>
  <si>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</si>
  <si>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</si>
  <si>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</si>
  <si>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</si>
  <si>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</si>
  <si>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</si>
  <si>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</si>
  <si>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</si>
  <si>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</si>
  <si>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KA0135:A2</t>
  </si>
  <si>
    <t>KA0137:A2</t>
  </si>
  <si>
    <t>KT0145:A2</t>
  </si>
  <si>
    <t>KA0136:14</t>
  </si>
  <si>
    <t>KA013821</t>
  </si>
  <si>
    <t>KA0138:21</t>
  </si>
  <si>
    <t>KA0136:A1</t>
  </si>
  <si>
    <t>PS32002</t>
  </si>
  <si>
    <t>XT0089:14</t>
  </si>
  <si>
    <t>KA0138:A2</t>
  </si>
  <si>
    <t>KA0137:11</t>
  </si>
  <si>
    <t>KT0140:15</t>
  </si>
  <si>
    <t>KA0137:14</t>
  </si>
  <si>
    <t>KT0144:18</t>
  </si>
  <si>
    <t>KA0137:21</t>
  </si>
  <si>
    <t>KA0244:11</t>
  </si>
  <si>
    <t>KT0142:15</t>
  </si>
  <si>
    <t>AF0087:09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</si>
  <si>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</si>
  <si>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</si>
  <si>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</si>
  <si>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</si>
  <si>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</si>
  <si>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</si>
  <si>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</si>
  <si>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</si>
  <si>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</si>
  <si>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</si>
  <si>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</si>
  <si>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</si>
  <si>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</si>
  <si>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</si>
  <si>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</si>
  <si>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</si>
  <si>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</si>
  <si>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</si>
  <si>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</si>
  <si>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</si>
  <si>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KA0245:21</t>
  </si>
  <si>
    <t>KA0236:11</t>
  </si>
  <si>
    <t>KA0236:21</t>
  </si>
  <si>
    <t>KA0241:11</t>
  </si>
  <si>
    <t>KA0236:24</t>
  </si>
  <si>
    <t>KA024114</t>
  </si>
  <si>
    <t>KA0241:14</t>
  </si>
  <si>
    <t>KA0239:22</t>
  </si>
  <si>
    <t>KA024224</t>
  </si>
  <si>
    <t>KA0242:24</t>
  </si>
  <si>
    <t>KA0240:11</t>
  </si>
  <si>
    <t>PS32004</t>
  </si>
  <si>
    <t>XT0089:15</t>
  </si>
  <si>
    <t>KA0240:14</t>
  </si>
  <si>
    <t>UF1300</t>
  </si>
  <si>
    <t>XT0084:1</t>
  </si>
  <si>
    <t>KA0231:21</t>
  </si>
  <si>
    <t>KA0241:A1</t>
  </si>
  <si>
    <t>KA0241:A2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</si>
  <si>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</si>
  <si>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</si>
  <si>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</si>
  <si>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</si>
  <si>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</si>
  <si>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</si>
  <si>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</si>
  <si>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</si>
  <si>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KA0245:24</t>
  </si>
  <si>
    <t>KA0243:24</t>
  </si>
  <si>
    <t>ESTOPD</t>
  </si>
  <si>
    <t>KA0243:A1</t>
  </si>
  <si>
    <t>KA9982C</t>
  </si>
  <si>
    <t>XT0089:10</t>
  </si>
  <si>
    <t>KA0243:A2</t>
  </si>
  <si>
    <t>KA0244:12</t>
  </si>
  <si>
    <t>KT0145A1</t>
  </si>
  <si>
    <t>KT0145:A1</t>
  </si>
  <si>
    <t>KA0245:A1</t>
  </si>
  <si>
    <t>KA9984C</t>
  </si>
  <si>
    <t>XT0089:11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</si>
  <si>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</si>
  <si>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</si>
  <si>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</si>
  <si>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</si>
  <si>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</si>
  <si>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</si>
  <si>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</si>
  <si>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</si>
  <si>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</si>
  <si>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</si>
  <si>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</si>
  <si>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</si>
  <si>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KT0142:A2</t>
  </si>
  <si>
    <t>KT0145:15</t>
  </si>
  <si>
    <t>KT0142:18</t>
  </si>
  <si>
    <t>UA1200:J1-10</t>
  </si>
  <si>
    <t>UA1200:J1-5</t>
  </si>
  <si>
    <t>UA1200J15</t>
  </si>
  <si>
    <t>XT0237:1 B1</t>
  </si>
  <si>
    <t>UA1200:J1-8</t>
  </si>
  <si>
    <t>UA1200J</t>
  </si>
  <si>
    <t>UA1200:J3-5</t>
  </si>
  <si>
    <t>UA1200:J1-9</t>
  </si>
  <si>
    <t>XT0089:22</t>
  </si>
  <si>
    <t>UA1200:J2-1</t>
  </si>
  <si>
    <t>UA1200:J2-2</t>
  </si>
  <si>
    <t>UJ0131:-</t>
  </si>
  <si>
    <t>XT0011:1</t>
  </si>
  <si>
    <t>XT0050:1</t>
  </si>
  <si>
    <t>XT0089:12</t>
  </si>
  <si>
    <t>XT0089:13</t>
  </si>
  <si>
    <t>AF0081:04</t>
  </si>
  <si>
    <t>SB0472B212</t>
  </si>
  <si>
    <t>SB0472:B2-12</t>
  </si>
  <si>
    <t>AF0081:36</t>
  </si>
  <si>
    <t>SB0472B211</t>
  </si>
  <si>
    <t>SB0472:B2-11</t>
  </si>
  <si>
    <t>AF0087:02</t>
  </si>
  <si>
    <t>SB047112</t>
  </si>
  <si>
    <t>SB0471:12</t>
  </si>
  <si>
    <t>AF0087:03</t>
  </si>
  <si>
    <t>SB047314</t>
  </si>
  <si>
    <t>SB0473:14</t>
  </si>
  <si>
    <t>AF0087:04</t>
  </si>
  <si>
    <t>SB047414</t>
  </si>
  <si>
    <t>SB0474:14</t>
  </si>
  <si>
    <t>AF0087:05</t>
  </si>
  <si>
    <t>SA047312</t>
  </si>
  <si>
    <t>SA0473:12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</si>
  <si>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</si>
  <si>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</si>
  <si>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</si>
  <si>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</si>
  <si>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</si>
  <si>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</si>
  <si>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</si>
  <si>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</si>
  <si>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</si>
  <si>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</si>
  <si>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</si>
  <si>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</si>
  <si>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</si>
  <si>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</si>
  <si>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</si>
  <si>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</si>
  <si>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</si>
  <si>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</si>
  <si>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</si>
  <si>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</si>
  <si>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</si>
  <si>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</si>
  <si>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</si>
  <si>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</si>
  <si>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</si>
  <si>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</si>
  <si>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</si>
  <si>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</si>
  <si>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</si>
  <si>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</si>
  <si>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AF0091:14</t>
  </si>
  <si>
    <t>SA0472B214</t>
  </si>
  <si>
    <t>SA0472:B2-14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</si>
  <si>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</si>
  <si>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</si>
  <si>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</si>
  <si>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</si>
  <si>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</si>
  <si>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</si>
  <si>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</si>
  <si>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</si>
  <si>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</si>
  <si>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BA0005:V1(-)</t>
  </si>
  <si>
    <t>XT1123:2</t>
  </si>
  <si>
    <t>BA0005:V1(+)</t>
  </si>
  <si>
    <t>FU1123:LD</t>
  </si>
  <si>
    <t>BA0006:V1(-)</t>
  </si>
  <si>
    <t>BA0006:V1(+)</t>
  </si>
  <si>
    <t>FU1124:LD</t>
  </si>
  <si>
    <t>FU1123:LI</t>
  </si>
  <si>
    <t>XT1123:1</t>
  </si>
  <si>
    <t>FU1124:LI</t>
  </si>
  <si>
    <t>Length</t>
  </si>
  <si>
    <t>Bundle Name</t>
  </si>
  <si>
    <t>-011100</t>
  </si>
  <si>
    <t>-011116</t>
  </si>
  <si>
    <t>-011101</t>
  </si>
  <si>
    <t>-011117</t>
  </si>
  <si>
    <t>-011102</t>
  </si>
  <si>
    <t>-011118</t>
  </si>
  <si>
    <t>-011103</t>
  </si>
  <si>
    <t>-011119</t>
  </si>
  <si>
    <t>-011104</t>
  </si>
  <si>
    <t>-011120</t>
  </si>
  <si>
    <t>-011105</t>
  </si>
  <si>
    <t>-011121</t>
  </si>
  <si>
    <t>-011106</t>
  </si>
  <si>
    <t>-011122</t>
  </si>
  <si>
    <t>-011107</t>
  </si>
  <si>
    <t>-011123</t>
  </si>
  <si>
    <t>-011124</t>
  </si>
  <si>
    <t>-011109</t>
  </si>
  <si>
    <t>-011125</t>
  </si>
  <si>
    <t>-011110</t>
  </si>
  <si>
    <t>-011126</t>
  </si>
  <si>
    <t>-011111</t>
  </si>
  <si>
    <t>-011127</t>
  </si>
  <si>
    <t>-011112</t>
  </si>
  <si>
    <t>-011128</t>
  </si>
  <si>
    <t>-011113</t>
  </si>
  <si>
    <t>-011129</t>
  </si>
  <si>
    <t>-0V</t>
  </si>
  <si>
    <t>-018126</t>
  </si>
  <si>
    <t>-018100</t>
  </si>
  <si>
    <t>-018116</t>
  </si>
  <si>
    <t>-018110</t>
  </si>
  <si>
    <t>-012101</t>
  </si>
  <si>
    <t>-012117</t>
  </si>
  <si>
    <t>-012108</t>
  </si>
  <si>
    <t>-012124</t>
  </si>
  <si>
    <t>-012200</t>
  </si>
  <si>
    <t>-012232</t>
  </si>
  <si>
    <t>-012201</t>
  </si>
  <si>
    <t>-012233</t>
  </si>
  <si>
    <t>-023524</t>
  </si>
  <si>
    <t>-007602</t>
  </si>
  <si>
    <t>-007618</t>
  </si>
  <si>
    <t>-023724</t>
  </si>
  <si>
    <t>-006200</t>
  </si>
  <si>
    <t>-007604</t>
  </si>
  <si>
    <t>-007620</t>
  </si>
  <si>
    <t>-007615</t>
  </si>
  <si>
    <t>-007631</t>
  </si>
  <si>
    <t>-006102</t>
  </si>
  <si>
    <t>-006114</t>
  </si>
  <si>
    <t>-009312</t>
  </si>
  <si>
    <t>-007405</t>
  </si>
  <si>
    <t>-007612</t>
  </si>
  <si>
    <t>-009502</t>
  </si>
  <si>
    <t>-009344</t>
  </si>
  <si>
    <t>-009328</t>
  </si>
  <si>
    <t>-009201</t>
  </si>
  <si>
    <t>-009217</t>
  </si>
  <si>
    <t>-009203</t>
  </si>
  <si>
    <t>-009219</t>
  </si>
  <si>
    <t>-521NEG</t>
  </si>
  <si>
    <t>Project Name and Unit #</t>
  </si>
  <si>
    <t>PD #</t>
  </si>
  <si>
    <t>Panel Name</t>
  </si>
  <si>
    <t>Insert</t>
  </si>
  <si>
    <t>Tag Names</t>
  </si>
  <si>
    <t>Here</t>
  </si>
  <si>
    <t>180</t>
  </si>
  <si>
    <t>240</t>
  </si>
  <si>
    <t>200</t>
  </si>
  <si>
    <t>DOOR</t>
  </si>
  <si>
    <t>XT</t>
  </si>
  <si>
    <t>160</t>
  </si>
  <si>
    <t>XT-B</t>
  </si>
  <si>
    <t>PLC</t>
  </si>
  <si>
    <t>A</t>
  </si>
  <si>
    <t>B</t>
  </si>
  <si>
    <t>JB72 L RAIL</t>
  </si>
  <si>
    <t>JB72 VIB</t>
  </si>
  <si>
    <t>GEN</t>
  </si>
  <si>
    <t>JB1123</t>
  </si>
  <si>
    <t>BA</t>
  </si>
  <si>
    <t>AT</t>
  </si>
  <si>
    <t>FU</t>
  </si>
  <si>
    <t>80</t>
  </si>
  <si>
    <t>60</t>
  </si>
  <si>
    <t>FU/UV-A</t>
  </si>
  <si>
    <t>BA-B</t>
  </si>
  <si>
    <t>FU/XT-B</t>
  </si>
  <si>
    <t>AF/AU080s</t>
  </si>
  <si>
    <t>UA</t>
  </si>
  <si>
    <t>UJ</t>
  </si>
  <si>
    <t>KT R/S</t>
  </si>
  <si>
    <t>KT L/S</t>
  </si>
  <si>
    <t>KA</t>
  </si>
  <si>
    <t>KA A2</t>
  </si>
  <si>
    <t>KA A1</t>
  </si>
  <si>
    <t>AF/AU090s</t>
  </si>
  <si>
    <t>AF-B</t>
  </si>
  <si>
    <t>KA-B</t>
  </si>
  <si>
    <t>KT-B</t>
  </si>
  <si>
    <t>UA-B</t>
  </si>
  <si>
    <t>AF/AU060s</t>
  </si>
  <si>
    <t>AF/AU070s</t>
  </si>
  <si>
    <t>1444s</t>
  </si>
  <si>
    <t>KA A1/A2</t>
  </si>
  <si>
    <t>KA-GEN</t>
  </si>
  <si>
    <t>FU/XT-GEN</t>
  </si>
  <si>
    <t>AF/AU180s</t>
  </si>
  <si>
    <t>12B</t>
  </si>
  <si>
    <t>16R</t>
  </si>
  <si>
    <t>AT BLU</t>
  </si>
  <si>
    <t>AT RED</t>
  </si>
  <si>
    <t>AF/AU120s</t>
  </si>
  <si>
    <t>120</t>
  </si>
  <si>
    <t>GRN</t>
  </si>
  <si>
    <t>FU/BA</t>
  </si>
  <si>
    <t>FU/XT</t>
  </si>
  <si>
    <t>AF/AU110s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</si>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</sst>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4" fillId="0" borderId="0" xfId="1"/>
    <xf numFmtId="0" fontId="4" fillId="0" borderId="5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49" fontId="0" fillId="3" borderId="5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49" fontId="0" fillId="4" borderId="5" xfId="0" applyNumberFormat="1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0" fontId="4" fillId="0" borderId="0" xfId="1" applyAlignment="1">
      <alignment horizontal="left"/>
    </xf>
  </cellXfs>
  <cellStyles count="2">
    <cellStyle name="Normal" xfId="0" builtinId="0"/>
    <cellStyle name="Normal 2" xfId="1" xr:uid="{435C7132-10EA-49E1-9B11-02081B99B2EA}"/>
  </cellStyles>
  <dxfs count="37"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mruColors>
      <color rgb="FFFFD1FF"/>
      <color rgb="FFB889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ko Benaso" id="{A02A088C-B904-4CA9-A578-FC2B537DAED0}" userId="S::mikko.benaso@solarturbines.com::3db1e116-1446-4bc3-b63f-95179c22df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7" dT="2026-03-06T06:00:44.31" personId="{A02A088C-B904-4CA9-A578-FC2B537DAED0}" id="{756EC7C3-F04D-49B0-BB76-43BC93F9194B}">
    <text>Grounds should be GRN
Was: WHT
Changed to: GRN
MRCA: 1992376</text>
  </threadedComment>
</ThreadedComment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5ED7-A242-443B-ABE1-A92CBD3A1DCE}">
  <sheetPr>
    <tabColor rgb="FF7030A0"/>
  </sheetPr>
  <dimension ref="A1:I67"/>
  <sheetViews>
    <sheetView showGridLines="0" workbookViewId="0">
      <selection activeCell="M11" sqref="M11"/>
    </sheetView>
  </sheetViews>
  <sheetFormatPr defaultRowHeight="17.100000000000001" customHeight="1" x14ac:dyDescent="0.25"/>
  <cols>
    <col min="1" max="1" width="12.140625" style="2" bestFit="1" customWidth="1"/>
    <col min="2" max="2" width="11" style="2" bestFit="1" customWidth="1"/>
    <col min="3" max="3" width="6.5703125" style="2" bestFit="1" customWidth="1"/>
    <col min="4" max="4" width="9.85546875" style="2" bestFit="1" customWidth="1"/>
    <col min="5" max="5" width="6.42578125" style="2" bestFit="1" customWidth="1"/>
    <col min="6" max="6" width="9.5703125" style="2" bestFit="1" customWidth="1"/>
    <col min="7" max="7" width="14.42578125" bestFit="1" customWidth="1"/>
    <col min="8" max="8" width="9.140625" bestFit="1" customWidth="1"/>
    <col min="9" max="9" width="10.28515625" customWidth="1"/>
  </cols>
  <sheetData>
    <row r="1" spans="1:9" ht="18" customHeight="1" x14ac:dyDescent="0.25">
      <c r="A1" s="22" t="s">
        <v>13</v>
      </c>
      <c r="B1" s="22"/>
      <c r="C1" s="22"/>
      <c r="D1" s="22"/>
    </row>
    <row r="2" spans="1:9" ht="12" customHeight="1" x14ac:dyDescent="0.25">
      <c r="A2" s="23" t="s">
        <v>1203</v>
      </c>
      <c r="B2" s="23"/>
      <c r="C2" s="23"/>
      <c r="D2" s="23"/>
    </row>
    <row r="3" spans="1:9" ht="12.75" customHeight="1" x14ac:dyDescent="0.25">
      <c r="A3" s="1" t="s">
        <v>0</v>
      </c>
      <c r="B3" s="18" t="s">
        <v>1</v>
      </c>
      <c r="C3" s="18"/>
      <c r="D3" s="18"/>
    </row>
    <row r="4" spans="1:9" ht="12" customHeight="1" x14ac:dyDescent="0.25">
      <c r="A4" s="1" t="s">
        <v>2</v>
      </c>
      <c r="B4" s="18" t="s">
        <v>3</v>
      </c>
      <c r="C4" s="18"/>
      <c r="D4" s="18"/>
    </row>
    <row r="5" spans="1:9" ht="12.75" customHeight="1" x14ac:dyDescent="0.25">
      <c r="A5" s="1" t="s">
        <v>4</v>
      </c>
      <c r="B5" s="18" t="s">
        <v>5</v>
      </c>
      <c r="C5" s="18"/>
      <c r="D5" s="18"/>
    </row>
    <row r="6" spans="1:9" ht="5.25" customHeight="1" x14ac:dyDescent="0.25"/>
    <row r="7" spans="1:9" ht="12" customHeight="1" x14ac:dyDescent="0.25">
      <c r="A7" s="1" t="s">
        <v>6</v>
      </c>
      <c r="B7" s="18" t="s">
        <v>7</v>
      </c>
      <c r="C7" s="18"/>
      <c r="D7" s="18"/>
    </row>
    <row r="8" spans="1:9" ht="12.75" customHeight="1" x14ac:dyDescent="0.25">
      <c r="A8" s="1" t="s">
        <v>8</v>
      </c>
      <c r="B8" s="18"/>
      <c r="C8" s="18"/>
      <c r="D8" s="18"/>
    </row>
    <row r="9" spans="1:9" ht="12" customHeight="1" x14ac:dyDescent="0.25">
      <c r="A9" s="1" t="s">
        <v>9</v>
      </c>
      <c r="B9" s="18"/>
      <c r="C9" s="18"/>
      <c r="D9" s="18"/>
    </row>
    <row r="10" spans="1:9" ht="12.75" customHeight="1" x14ac:dyDescent="0.25">
      <c r="A10" s="1" t="s">
        <v>8</v>
      </c>
      <c r="B10" s="18"/>
      <c r="C10" s="18"/>
      <c r="D10" s="18"/>
    </row>
    <row r="11" spans="1:9" ht="10.5" customHeight="1" x14ac:dyDescent="0.25"/>
    <row r="12" spans="1:9" ht="16.5" customHeight="1" x14ac:dyDescent="0.25">
      <c r="A12" s="19" t="s">
        <v>79</v>
      </c>
      <c r="B12" s="19"/>
      <c r="C12" s="19"/>
      <c r="D12" s="19"/>
      <c r="E12" s="19"/>
      <c r="F12" s="19"/>
      <c r="G12" s="20" t="s">
        <v>80</v>
      </c>
      <c r="H12" s="21"/>
      <c r="I12" s="8"/>
    </row>
    <row r="13" spans="1:9" ht="43.5" customHeight="1" x14ac:dyDescent="0.25">
      <c r="A13" s="3" t="s">
        <v>10</v>
      </c>
      <c r="B13" s="4" t="s">
        <v>82</v>
      </c>
      <c r="C13" s="4" t="s">
        <v>81</v>
      </c>
      <c r="D13" s="4" t="s">
        <v>83</v>
      </c>
      <c r="E13" s="4" t="s">
        <v>1130</v>
      </c>
      <c r="F13" s="5" t="s">
        <v>10</v>
      </c>
      <c r="G13" s="5" t="s">
        <v>11</v>
      </c>
      <c r="H13" s="5" t="s">
        <v>1131</v>
      </c>
    </row>
    <row r="14" spans="1:9" ht="17.100000000000001" customHeight="1" x14ac:dyDescent="0.25">
      <c r="A14" s="6" t="s">
        <v>474</v>
      </c>
      <c r="B14" s="6" t="s">
        <v>1159</v>
      </c>
      <c r="C14" s="6" t="s">
        <v>95</v>
      </c>
      <c r="D14" s="6" t="s">
        <v>152</v>
      </c>
      <c r="E14" s="6" t="s">
        <v>1200</v>
      </c>
      <c r="F14" s="7" t="s">
        <v>473</v>
      </c>
      <c r="G14" s="7" t="s">
        <v>59</v>
      </c>
      <c r="H14" s="7" t="s">
        <v>12</v>
      </c>
    </row>
    <row r="15" spans="1:9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9" ht="17.100000000000001" customHeight="1" x14ac:dyDescent="0.25">
      <c r="A16" s="6" t="s">
        <v>678</v>
      </c>
      <c r="B16" s="6" t="s">
        <v>54</v>
      </c>
      <c r="C16" s="6" t="s">
        <v>95</v>
      </c>
      <c r="D16" s="6" t="s">
        <v>152</v>
      </c>
      <c r="E16" s="6" t="s">
        <v>1202</v>
      </c>
      <c r="F16" s="7" t="s">
        <v>677</v>
      </c>
      <c r="G16" s="7" t="s">
        <v>1209</v>
      </c>
      <c r="H16" s="7"/>
    </row>
    <row r="17" spans="1:8" ht="17.100000000000001" customHeight="1" x14ac:dyDescent="0.25">
      <c r="A17" s="13"/>
      <c r="B17" s="13"/>
      <c r="C17" s="13"/>
      <c r="D17" s="13"/>
      <c r="E17" s="13"/>
      <c r="F17" s="14"/>
      <c r="G17" s="14"/>
      <c r="H17" s="14"/>
    </row>
    <row r="18" spans="1:8" ht="17.100000000000001" customHeight="1" x14ac:dyDescent="0.25">
      <c r="A18" s="6" t="s">
        <v>1107</v>
      </c>
      <c r="B18" s="6" t="s">
        <v>1106</v>
      </c>
      <c r="C18" s="6" t="s">
        <v>95</v>
      </c>
      <c r="D18" s="6" t="s">
        <v>96</v>
      </c>
      <c r="E18" s="6" t="s">
        <v>1201</v>
      </c>
      <c r="F18" s="7" t="s">
        <v>1105</v>
      </c>
      <c r="G18" s="7" t="s">
        <v>1208</v>
      </c>
      <c r="H18" s="7" t="s">
        <v>14</v>
      </c>
    </row>
    <row r="19" spans="1:8" ht="17.100000000000001" customHeight="1" x14ac:dyDescent="0.25">
      <c r="A19" s="6" t="s">
        <v>1086</v>
      </c>
      <c r="B19" s="6" t="s">
        <v>1085</v>
      </c>
      <c r="C19" s="6" t="s">
        <v>95</v>
      </c>
      <c r="D19" s="6" t="s">
        <v>96</v>
      </c>
      <c r="E19" s="6" t="s">
        <v>1201</v>
      </c>
      <c r="F19" s="7" t="s">
        <v>1084</v>
      </c>
      <c r="G19" s="7" t="s">
        <v>1208</v>
      </c>
      <c r="H19" s="7"/>
    </row>
    <row r="20" spans="1:8" ht="17.100000000000001" customHeight="1" x14ac:dyDescent="0.25">
      <c r="A20" s="6" t="s">
        <v>1104</v>
      </c>
      <c r="B20" s="6" t="s">
        <v>1103</v>
      </c>
      <c r="C20" s="6" t="s">
        <v>95</v>
      </c>
      <c r="D20" s="6" t="s">
        <v>96</v>
      </c>
      <c r="E20" s="6" t="s">
        <v>1201</v>
      </c>
      <c r="F20" s="7" t="s">
        <v>1102</v>
      </c>
      <c r="G20" s="7" t="s">
        <v>1208</v>
      </c>
      <c r="H20" s="7"/>
    </row>
    <row r="21" spans="1:8" ht="17.100000000000001" customHeight="1" x14ac:dyDescent="0.25">
      <c r="A21" s="6" t="s">
        <v>1083</v>
      </c>
      <c r="B21" s="6" t="s">
        <v>1082</v>
      </c>
      <c r="C21" s="6" t="s">
        <v>95</v>
      </c>
      <c r="D21" s="6" t="s">
        <v>96</v>
      </c>
      <c r="E21" s="6" t="s">
        <v>1201</v>
      </c>
      <c r="F21" s="7" t="s">
        <v>1081</v>
      </c>
      <c r="G21" s="7" t="s">
        <v>1208</v>
      </c>
      <c r="H21" s="7"/>
    </row>
    <row r="22" spans="1:8" ht="17.100000000000001" customHeight="1" x14ac:dyDescent="0.25">
      <c r="A22" s="13"/>
      <c r="B22" s="13"/>
      <c r="C22" s="13"/>
      <c r="D22" s="13"/>
      <c r="E22" s="13"/>
      <c r="F22" s="14"/>
      <c r="G22" s="14"/>
      <c r="H22" s="14"/>
    </row>
    <row r="23" spans="1:8" ht="17.100000000000001" customHeight="1" x14ac:dyDescent="0.25">
      <c r="A23" s="6" t="s">
        <v>1119</v>
      </c>
      <c r="B23" s="6" t="s">
        <v>1118</v>
      </c>
      <c r="C23" s="6" t="s">
        <v>95</v>
      </c>
      <c r="D23" s="6" t="s">
        <v>96</v>
      </c>
      <c r="E23" s="6" t="s">
        <v>1201</v>
      </c>
      <c r="F23" s="7" t="s">
        <v>1117</v>
      </c>
      <c r="G23" s="7" t="s">
        <v>1208</v>
      </c>
      <c r="H23" s="7" t="s">
        <v>15</v>
      </c>
    </row>
    <row r="24" spans="1:8" ht="17.100000000000001" customHeight="1" x14ac:dyDescent="0.25">
      <c r="A24" s="6" t="s">
        <v>1113</v>
      </c>
      <c r="B24" s="6" t="s">
        <v>1112</v>
      </c>
      <c r="C24" s="6" t="s">
        <v>95</v>
      </c>
      <c r="D24" s="6" t="s">
        <v>96</v>
      </c>
      <c r="E24" s="6" t="s">
        <v>1201</v>
      </c>
      <c r="F24" s="7" t="s">
        <v>1111</v>
      </c>
      <c r="G24" s="7" t="s">
        <v>1208</v>
      </c>
      <c r="H24" s="7"/>
    </row>
    <row r="25" spans="1:8" ht="17.100000000000001" customHeight="1" x14ac:dyDescent="0.25">
      <c r="A25" s="6" t="s">
        <v>1116</v>
      </c>
      <c r="B25" s="6" t="s">
        <v>1115</v>
      </c>
      <c r="C25" s="6" t="s">
        <v>95</v>
      </c>
      <c r="D25" s="6" t="s">
        <v>96</v>
      </c>
      <c r="E25" s="6" t="s">
        <v>1201</v>
      </c>
      <c r="F25" s="7" t="s">
        <v>1114</v>
      </c>
      <c r="G25" s="7" t="s">
        <v>1208</v>
      </c>
      <c r="H25" s="7"/>
    </row>
    <row r="26" spans="1:8" ht="17.100000000000001" customHeight="1" x14ac:dyDescent="0.25">
      <c r="A26" s="6" t="s">
        <v>1110</v>
      </c>
      <c r="B26" s="6" t="s">
        <v>1109</v>
      </c>
      <c r="C26" s="6" t="s">
        <v>95</v>
      </c>
      <c r="D26" s="6" t="s">
        <v>96</v>
      </c>
      <c r="E26" s="6" t="s">
        <v>1201</v>
      </c>
      <c r="F26" s="7" t="s">
        <v>1108</v>
      </c>
      <c r="G26" s="7" t="s">
        <v>1208</v>
      </c>
      <c r="H26" s="7"/>
    </row>
    <row r="27" spans="1:8" ht="17.100000000000001" customHeight="1" x14ac:dyDescent="0.25">
      <c r="A27" s="13"/>
      <c r="B27" s="13"/>
      <c r="C27" s="13"/>
      <c r="D27" s="13"/>
      <c r="E27" s="13"/>
      <c r="F27" s="14"/>
      <c r="G27" s="14"/>
      <c r="H27" s="14"/>
    </row>
    <row r="28" spans="1:8" ht="17.100000000000001" customHeight="1" x14ac:dyDescent="0.25">
      <c r="A28" s="6" t="s">
        <v>1098</v>
      </c>
      <c r="B28" s="6" t="s">
        <v>1097</v>
      </c>
      <c r="C28" s="6" t="s">
        <v>95</v>
      </c>
      <c r="D28" s="6" t="s">
        <v>96</v>
      </c>
      <c r="E28" s="6" t="s">
        <v>1201</v>
      </c>
      <c r="F28" s="7" t="s">
        <v>1096</v>
      </c>
      <c r="G28" s="7" t="s">
        <v>1208</v>
      </c>
      <c r="H28" s="7" t="s">
        <v>16</v>
      </c>
    </row>
    <row r="29" spans="1:8" ht="17.100000000000001" customHeight="1" x14ac:dyDescent="0.25">
      <c r="A29" s="6" t="s">
        <v>1077</v>
      </c>
      <c r="B29" s="6" t="s">
        <v>1076</v>
      </c>
      <c r="C29" s="6" t="s">
        <v>95</v>
      </c>
      <c r="D29" s="6" t="s">
        <v>96</v>
      </c>
      <c r="E29" s="6" t="s">
        <v>1201</v>
      </c>
      <c r="F29" s="7" t="s">
        <v>1075</v>
      </c>
      <c r="G29" s="7" t="s">
        <v>1208</v>
      </c>
      <c r="H29" s="7"/>
    </row>
    <row r="30" spans="1:8" ht="17.100000000000001" customHeight="1" x14ac:dyDescent="0.25">
      <c r="A30" s="6" t="s">
        <v>1101</v>
      </c>
      <c r="B30" s="6" t="s">
        <v>1100</v>
      </c>
      <c r="C30" s="6" t="s">
        <v>95</v>
      </c>
      <c r="D30" s="6" t="s">
        <v>96</v>
      </c>
      <c r="E30" s="6" t="s">
        <v>1201</v>
      </c>
      <c r="F30" s="7" t="s">
        <v>1099</v>
      </c>
      <c r="G30" s="7" t="s">
        <v>1208</v>
      </c>
      <c r="H30" s="7"/>
    </row>
    <row r="31" spans="1:8" ht="17.100000000000001" customHeight="1" x14ac:dyDescent="0.25">
      <c r="A31" s="6" t="s">
        <v>1080</v>
      </c>
      <c r="B31" s="6" t="s">
        <v>1079</v>
      </c>
      <c r="C31" s="6" t="s">
        <v>95</v>
      </c>
      <c r="D31" s="6" t="s">
        <v>96</v>
      </c>
      <c r="E31" s="6" t="s">
        <v>1201</v>
      </c>
      <c r="F31" s="7" t="s">
        <v>1078</v>
      </c>
      <c r="G31" s="7" t="s">
        <v>1208</v>
      </c>
      <c r="H31" s="7"/>
    </row>
    <row r="32" spans="1:8" ht="17.100000000000001" customHeight="1" x14ac:dyDescent="0.25">
      <c r="A32" s="13"/>
      <c r="B32" s="13"/>
      <c r="C32" s="13"/>
      <c r="D32" s="13"/>
      <c r="E32" s="13"/>
      <c r="F32" s="14"/>
      <c r="G32" s="14"/>
      <c r="H32" s="14"/>
    </row>
    <row r="33" spans="1:8" ht="17.100000000000001" customHeight="1" x14ac:dyDescent="0.25">
      <c r="A33" s="6" t="s">
        <v>1089</v>
      </c>
      <c r="B33" s="6" t="s">
        <v>1088</v>
      </c>
      <c r="C33" s="6" t="s">
        <v>95</v>
      </c>
      <c r="D33" s="6" t="s">
        <v>96</v>
      </c>
      <c r="E33" s="6" t="s">
        <v>1201</v>
      </c>
      <c r="F33" s="7" t="s">
        <v>1087</v>
      </c>
      <c r="G33" s="7" t="s">
        <v>1208</v>
      </c>
      <c r="H33" s="7" t="s">
        <v>17</v>
      </c>
    </row>
    <row r="34" spans="1:8" ht="17.100000000000001" customHeight="1" x14ac:dyDescent="0.25">
      <c r="A34" s="6" t="s">
        <v>1068</v>
      </c>
      <c r="B34" s="6" t="s">
        <v>1067</v>
      </c>
      <c r="C34" s="6" t="s">
        <v>95</v>
      </c>
      <c r="D34" s="6" t="s">
        <v>96</v>
      </c>
      <c r="E34" s="6" t="s">
        <v>1201</v>
      </c>
      <c r="F34" s="7" t="s">
        <v>1066</v>
      </c>
      <c r="G34" s="7" t="s">
        <v>1208</v>
      </c>
      <c r="H34" s="7"/>
    </row>
    <row r="35" spans="1:8" ht="17.100000000000001" customHeight="1" x14ac:dyDescent="0.25">
      <c r="A35" s="13"/>
      <c r="B35" s="13"/>
      <c r="C35" s="13"/>
      <c r="D35" s="13"/>
      <c r="E35" s="13"/>
      <c r="F35" s="14"/>
      <c r="G35" s="14"/>
      <c r="H35" s="14"/>
    </row>
    <row r="36" spans="1:8" ht="17.100000000000001" customHeight="1" x14ac:dyDescent="0.25">
      <c r="A36" s="6" t="s">
        <v>472</v>
      </c>
      <c r="B36" s="6" t="s">
        <v>471</v>
      </c>
      <c r="C36" s="6" t="s">
        <v>95</v>
      </c>
      <c r="D36" s="6" t="s">
        <v>96</v>
      </c>
      <c r="E36" s="6" t="s">
        <v>1200</v>
      </c>
      <c r="F36" s="7" t="s">
        <v>470</v>
      </c>
      <c r="G36" s="7" t="s">
        <v>59</v>
      </c>
      <c r="H36" s="7" t="s">
        <v>18</v>
      </c>
    </row>
    <row r="37" spans="1:8" ht="17.100000000000001" customHeight="1" x14ac:dyDescent="0.25">
      <c r="A37" s="6" t="s">
        <v>466</v>
      </c>
      <c r="B37" s="6" t="s">
        <v>465</v>
      </c>
      <c r="C37" s="6" t="s">
        <v>95</v>
      </c>
      <c r="D37" s="6" t="s">
        <v>96</v>
      </c>
      <c r="E37" s="6" t="s">
        <v>1200</v>
      </c>
      <c r="F37" s="7" t="s">
        <v>464</v>
      </c>
      <c r="G37" s="7" t="s">
        <v>59</v>
      </c>
      <c r="H37" s="7"/>
    </row>
    <row r="38" spans="1:8" ht="17.100000000000001" customHeight="1" x14ac:dyDescent="0.25">
      <c r="A38" s="6"/>
      <c r="B38" s="6"/>
      <c r="C38" s="6"/>
      <c r="D38" s="6"/>
      <c r="E38" s="6"/>
      <c r="F38" s="7"/>
      <c r="G38" s="7"/>
      <c r="H38" s="7"/>
    </row>
    <row r="39" spans="1:8" ht="17.100000000000001" customHeight="1" x14ac:dyDescent="0.25">
      <c r="A39" s="6" t="s">
        <v>1065</v>
      </c>
      <c r="B39" s="6" t="s">
        <v>1064</v>
      </c>
      <c r="C39" s="6" t="s">
        <v>95</v>
      </c>
      <c r="D39" s="6" t="s">
        <v>96</v>
      </c>
      <c r="E39" s="6" t="s">
        <v>1201</v>
      </c>
      <c r="F39" s="7" t="s">
        <v>1063</v>
      </c>
      <c r="G39" s="7" t="s">
        <v>1208</v>
      </c>
      <c r="H39" s="7"/>
    </row>
    <row r="40" spans="1:8" ht="17.100000000000001" customHeight="1" x14ac:dyDescent="0.25">
      <c r="A40" s="6" t="s">
        <v>1062</v>
      </c>
      <c r="B40" s="6" t="s">
        <v>1061</v>
      </c>
      <c r="C40" s="6" t="s">
        <v>95</v>
      </c>
      <c r="D40" s="6" t="s">
        <v>96</v>
      </c>
      <c r="E40" s="6" t="s">
        <v>1201</v>
      </c>
      <c r="F40" s="7" t="s">
        <v>1060</v>
      </c>
      <c r="G40" s="7" t="s">
        <v>1208</v>
      </c>
      <c r="H40" s="7"/>
    </row>
    <row r="41" spans="1:8" ht="17.100000000000001" customHeight="1" x14ac:dyDescent="0.25">
      <c r="A41" s="13"/>
      <c r="B41" s="13"/>
      <c r="C41" s="13"/>
      <c r="D41" s="13"/>
      <c r="E41" s="13"/>
      <c r="F41" s="14"/>
      <c r="G41" s="14"/>
      <c r="H41" s="14"/>
    </row>
    <row r="42" spans="1:8" ht="17.100000000000001" customHeight="1" x14ac:dyDescent="0.25">
      <c r="A42" s="6" t="s">
        <v>1092</v>
      </c>
      <c r="B42" s="6" t="s">
        <v>1091</v>
      </c>
      <c r="C42" s="6" t="s">
        <v>95</v>
      </c>
      <c r="D42" s="6" t="s">
        <v>96</v>
      </c>
      <c r="E42" s="6" t="s">
        <v>1201</v>
      </c>
      <c r="F42" s="7" t="s">
        <v>1090</v>
      </c>
      <c r="G42" s="7" t="s">
        <v>1208</v>
      </c>
      <c r="H42" s="7" t="s">
        <v>19</v>
      </c>
    </row>
    <row r="43" spans="1:8" ht="17.100000000000001" customHeight="1" x14ac:dyDescent="0.25">
      <c r="A43" s="6" t="s">
        <v>1071</v>
      </c>
      <c r="B43" s="6" t="s">
        <v>1070</v>
      </c>
      <c r="C43" s="6" t="s">
        <v>95</v>
      </c>
      <c r="D43" s="6" t="s">
        <v>96</v>
      </c>
      <c r="E43" s="6" t="s">
        <v>1201</v>
      </c>
      <c r="F43" s="7" t="s">
        <v>1069</v>
      </c>
      <c r="G43" s="7" t="s">
        <v>1208</v>
      </c>
      <c r="H43" s="7"/>
    </row>
    <row r="44" spans="1:8" ht="17.100000000000001" customHeight="1" x14ac:dyDescent="0.25">
      <c r="A44" s="13"/>
      <c r="B44" s="13"/>
      <c r="C44" s="13"/>
      <c r="D44" s="13"/>
      <c r="E44" s="13"/>
      <c r="F44" s="14"/>
      <c r="G44" s="14"/>
      <c r="H44" s="14"/>
    </row>
    <row r="45" spans="1:8" ht="17.100000000000001" customHeight="1" x14ac:dyDescent="0.25">
      <c r="A45" s="6" t="s">
        <v>1095</v>
      </c>
      <c r="B45" s="6" t="s">
        <v>1094</v>
      </c>
      <c r="C45" s="6" t="s">
        <v>95</v>
      </c>
      <c r="D45" s="6" t="s">
        <v>96</v>
      </c>
      <c r="E45" s="6" t="s">
        <v>1201</v>
      </c>
      <c r="F45" s="7" t="s">
        <v>1093</v>
      </c>
      <c r="G45" s="7" t="s">
        <v>1208</v>
      </c>
      <c r="H45" s="7" t="s">
        <v>20</v>
      </c>
    </row>
    <row r="46" spans="1:8" ht="17.100000000000001" customHeight="1" x14ac:dyDescent="0.25">
      <c r="A46" s="6" t="s">
        <v>1074</v>
      </c>
      <c r="B46" s="6" t="s">
        <v>1073</v>
      </c>
      <c r="C46" s="6" t="s">
        <v>95</v>
      </c>
      <c r="D46" s="6" t="s">
        <v>96</v>
      </c>
      <c r="E46" s="6" t="s">
        <v>1201</v>
      </c>
      <c r="F46" s="7" t="s">
        <v>1072</v>
      </c>
      <c r="G46" s="7" t="s">
        <v>1208</v>
      </c>
      <c r="H46" s="7"/>
    </row>
    <row r="47" spans="1:8" ht="17.100000000000001" customHeight="1" x14ac:dyDescent="0.25">
      <c r="A47" s="13"/>
      <c r="B47" s="13"/>
      <c r="C47" s="13"/>
      <c r="D47" s="13"/>
      <c r="E47" s="13"/>
      <c r="F47" s="14"/>
      <c r="G47" s="14"/>
      <c r="H47" s="14"/>
    </row>
    <row r="48" spans="1:8" ht="17.100000000000001" customHeight="1" x14ac:dyDescent="0.25">
      <c r="A48" s="6" t="s">
        <v>489</v>
      </c>
      <c r="B48" s="6" t="s">
        <v>488</v>
      </c>
      <c r="C48" s="6" t="s">
        <v>95</v>
      </c>
      <c r="D48" s="6" t="s">
        <v>96</v>
      </c>
      <c r="E48" s="6" t="s">
        <v>1200</v>
      </c>
      <c r="F48" s="7" t="s">
        <v>487</v>
      </c>
      <c r="G48" s="7" t="s">
        <v>59</v>
      </c>
      <c r="H48" s="7" t="s">
        <v>21</v>
      </c>
    </row>
    <row r="49" spans="1:8" ht="17.100000000000001" customHeight="1" x14ac:dyDescent="0.25">
      <c r="A49" s="6" t="s">
        <v>492</v>
      </c>
      <c r="B49" s="6" t="s">
        <v>491</v>
      </c>
      <c r="C49" s="6" t="s">
        <v>95</v>
      </c>
      <c r="D49" s="6" t="s">
        <v>96</v>
      </c>
      <c r="E49" s="6" t="s">
        <v>1200</v>
      </c>
      <c r="F49" s="7" t="s">
        <v>490</v>
      </c>
      <c r="G49" s="7" t="s">
        <v>59</v>
      </c>
      <c r="H49" s="7"/>
    </row>
    <row r="50" spans="1:8" ht="17.100000000000001" customHeight="1" x14ac:dyDescent="0.25">
      <c r="A50" s="6" t="s">
        <v>495</v>
      </c>
      <c r="B50" s="6" t="s">
        <v>494</v>
      </c>
      <c r="C50" s="6" t="s">
        <v>95</v>
      </c>
      <c r="D50" s="6" t="s">
        <v>96</v>
      </c>
      <c r="E50" s="6" t="s">
        <v>1200</v>
      </c>
      <c r="F50" s="7" t="s">
        <v>493</v>
      </c>
      <c r="G50" s="7" t="s">
        <v>59</v>
      </c>
      <c r="H50" s="7"/>
    </row>
    <row r="51" spans="1:8" ht="17.100000000000001" customHeight="1" x14ac:dyDescent="0.25">
      <c r="A51" s="6" t="s">
        <v>440</v>
      </c>
      <c r="B51" s="6" t="s">
        <v>439</v>
      </c>
      <c r="C51" s="6" t="s">
        <v>95</v>
      </c>
      <c r="D51" s="6" t="s">
        <v>96</v>
      </c>
      <c r="E51" s="6" t="s">
        <v>1200</v>
      </c>
      <c r="F51" s="7" t="s">
        <v>438</v>
      </c>
      <c r="G51" s="7" t="s">
        <v>59</v>
      </c>
      <c r="H51" s="7"/>
    </row>
    <row r="52" spans="1:8" ht="17.100000000000001" customHeight="1" x14ac:dyDescent="0.25">
      <c r="A52" s="6" t="s">
        <v>446</v>
      </c>
      <c r="B52" s="6" t="s">
        <v>445</v>
      </c>
      <c r="C52" s="6" t="s">
        <v>95</v>
      </c>
      <c r="D52" s="6" t="s">
        <v>96</v>
      </c>
      <c r="E52" s="6" t="s">
        <v>1200</v>
      </c>
      <c r="F52" s="7" t="s">
        <v>444</v>
      </c>
      <c r="G52" s="7" t="s">
        <v>59</v>
      </c>
      <c r="H52" s="7"/>
    </row>
    <row r="53" spans="1:8" ht="17.100000000000001" customHeight="1" x14ac:dyDescent="0.25">
      <c r="A53" s="6" t="s">
        <v>443</v>
      </c>
      <c r="B53" s="6" t="s">
        <v>442</v>
      </c>
      <c r="C53" s="6" t="s">
        <v>95</v>
      </c>
      <c r="D53" s="6" t="s">
        <v>96</v>
      </c>
      <c r="E53" s="6" t="s">
        <v>1200</v>
      </c>
      <c r="F53" s="7" t="s">
        <v>441</v>
      </c>
      <c r="G53" s="7" t="s">
        <v>59</v>
      </c>
      <c r="H53" s="7"/>
    </row>
    <row r="54" spans="1:8" ht="17.100000000000001" customHeight="1" x14ac:dyDescent="0.25">
      <c r="A54" s="13"/>
      <c r="B54" s="13"/>
      <c r="C54" s="13"/>
      <c r="D54" s="13"/>
      <c r="E54" s="13"/>
      <c r="F54" s="14"/>
      <c r="G54" s="14"/>
      <c r="H54" s="14"/>
    </row>
    <row r="55" spans="1:8" ht="17.100000000000001" customHeight="1" x14ac:dyDescent="0.25">
      <c r="A55" s="6" t="s">
        <v>437</v>
      </c>
      <c r="B55" s="6" t="s">
        <v>436</v>
      </c>
      <c r="C55" s="6" t="s">
        <v>95</v>
      </c>
      <c r="D55" s="6" t="s">
        <v>96</v>
      </c>
      <c r="E55" s="6" t="s">
        <v>1200</v>
      </c>
      <c r="F55" s="7" t="s">
        <v>435</v>
      </c>
      <c r="G55" s="7" t="s">
        <v>59</v>
      </c>
      <c r="H55" s="7" t="s">
        <v>22</v>
      </c>
    </row>
    <row r="56" spans="1:8" ht="17.100000000000001" customHeight="1" x14ac:dyDescent="0.25">
      <c r="A56" s="6" t="s">
        <v>469</v>
      </c>
      <c r="B56" s="6" t="s">
        <v>468</v>
      </c>
      <c r="C56" s="6" t="s">
        <v>95</v>
      </c>
      <c r="D56" s="6" t="s">
        <v>96</v>
      </c>
      <c r="E56" s="6" t="s">
        <v>1200</v>
      </c>
      <c r="F56" s="7" t="s">
        <v>467</v>
      </c>
      <c r="G56" s="7" t="s">
        <v>59</v>
      </c>
      <c r="H56" s="7"/>
    </row>
    <row r="57" spans="1:8" ht="17.100000000000001" customHeight="1" x14ac:dyDescent="0.25">
      <c r="A57" s="6" t="s">
        <v>477</v>
      </c>
      <c r="B57" s="6" t="s">
        <v>476</v>
      </c>
      <c r="C57" s="6" t="s">
        <v>95</v>
      </c>
      <c r="D57" s="6" t="s">
        <v>96</v>
      </c>
      <c r="E57" s="6" t="s">
        <v>1200</v>
      </c>
      <c r="F57" s="7" t="s">
        <v>475</v>
      </c>
      <c r="G57" s="7" t="s">
        <v>59</v>
      </c>
      <c r="H57" s="7"/>
    </row>
    <row r="58" spans="1:8" ht="17.100000000000001" customHeight="1" x14ac:dyDescent="0.25">
      <c r="A58" s="6" t="s">
        <v>480</v>
      </c>
      <c r="B58" s="6" t="s">
        <v>479</v>
      </c>
      <c r="C58" s="6" t="s">
        <v>95</v>
      </c>
      <c r="D58" s="6" t="s">
        <v>96</v>
      </c>
      <c r="E58" s="6" t="s">
        <v>1200</v>
      </c>
      <c r="F58" s="7" t="s">
        <v>478</v>
      </c>
      <c r="G58" s="7" t="s">
        <v>59</v>
      </c>
      <c r="H58" s="7"/>
    </row>
    <row r="59" spans="1:8" ht="17.100000000000001" customHeight="1" x14ac:dyDescent="0.25">
      <c r="A59" s="6" t="s">
        <v>486</v>
      </c>
      <c r="B59" s="6" t="s">
        <v>485</v>
      </c>
      <c r="C59" s="6" t="s">
        <v>95</v>
      </c>
      <c r="D59" s="6" t="s">
        <v>96</v>
      </c>
      <c r="E59" s="6" t="s">
        <v>1200</v>
      </c>
      <c r="F59" s="7" t="s">
        <v>484</v>
      </c>
      <c r="G59" s="7" t="s">
        <v>59</v>
      </c>
      <c r="H59" s="7"/>
    </row>
    <row r="60" spans="1:8" ht="17.100000000000001" customHeight="1" x14ac:dyDescent="0.25">
      <c r="A60" s="6" t="s">
        <v>483</v>
      </c>
      <c r="B60" s="6" t="s">
        <v>482</v>
      </c>
      <c r="C60" s="6" t="s">
        <v>95</v>
      </c>
      <c r="D60" s="6" t="s">
        <v>96</v>
      </c>
      <c r="E60" s="6" t="s">
        <v>1200</v>
      </c>
      <c r="F60" s="7" t="s">
        <v>481</v>
      </c>
      <c r="G60" s="7" t="s">
        <v>59</v>
      </c>
      <c r="H60" s="7"/>
    </row>
    <row r="61" spans="1:8" ht="17.100000000000001" customHeight="1" x14ac:dyDescent="0.25">
      <c r="A61" s="13"/>
      <c r="B61" s="13"/>
      <c r="C61" s="13"/>
      <c r="D61" s="13"/>
      <c r="E61" s="13"/>
      <c r="F61" s="14"/>
      <c r="G61" s="14"/>
      <c r="H61" s="14"/>
    </row>
    <row r="62" spans="1:8" ht="17.100000000000001" customHeight="1" x14ac:dyDescent="0.25">
      <c r="A62" s="6" t="s">
        <v>454</v>
      </c>
      <c r="B62" s="6" t="s">
        <v>36</v>
      </c>
      <c r="C62" s="6" t="s">
        <v>95</v>
      </c>
      <c r="D62" s="6" t="s">
        <v>96</v>
      </c>
      <c r="E62" s="6" t="s">
        <v>1200</v>
      </c>
      <c r="F62" s="7" t="s">
        <v>453</v>
      </c>
      <c r="G62" s="7" t="s">
        <v>59</v>
      </c>
      <c r="H62" s="7" t="s">
        <v>23</v>
      </c>
    </row>
    <row r="63" spans="1:8" ht="17.100000000000001" customHeight="1" x14ac:dyDescent="0.25">
      <c r="A63" s="6" t="s">
        <v>457</v>
      </c>
      <c r="B63" s="6" t="s">
        <v>456</v>
      </c>
      <c r="C63" s="6" t="s">
        <v>95</v>
      </c>
      <c r="D63" s="6" t="s">
        <v>96</v>
      </c>
      <c r="E63" s="6" t="s">
        <v>1200</v>
      </c>
      <c r="F63" s="7" t="s">
        <v>455</v>
      </c>
      <c r="G63" s="7" t="s">
        <v>59</v>
      </c>
      <c r="H63" s="7"/>
    </row>
    <row r="64" spans="1:8" ht="17.100000000000001" customHeight="1" x14ac:dyDescent="0.25">
      <c r="A64" s="6" t="s">
        <v>449</v>
      </c>
      <c r="B64" s="6" t="s">
        <v>448</v>
      </c>
      <c r="C64" s="6" t="s">
        <v>95</v>
      </c>
      <c r="D64" s="6" t="s">
        <v>96</v>
      </c>
      <c r="E64" s="6" t="s">
        <v>1200</v>
      </c>
      <c r="F64" s="7" t="s">
        <v>447</v>
      </c>
      <c r="G64" s="7" t="s">
        <v>59</v>
      </c>
      <c r="H64" s="7"/>
    </row>
    <row r="65" spans="1:8" ht="17.100000000000001" customHeight="1" x14ac:dyDescent="0.25">
      <c r="A65" s="6" t="s">
        <v>452</v>
      </c>
      <c r="B65" s="6" t="s">
        <v>451</v>
      </c>
      <c r="C65" s="6" t="s">
        <v>95</v>
      </c>
      <c r="D65" s="6" t="s">
        <v>96</v>
      </c>
      <c r="E65" s="6" t="s">
        <v>1200</v>
      </c>
      <c r="F65" s="7" t="s">
        <v>450</v>
      </c>
      <c r="G65" s="7" t="s">
        <v>59</v>
      </c>
      <c r="H65" s="7"/>
    </row>
    <row r="66" spans="1:8" ht="17.100000000000001" customHeight="1" x14ac:dyDescent="0.25">
      <c r="A66" s="6" t="s">
        <v>463</v>
      </c>
      <c r="B66" s="6" t="s">
        <v>462</v>
      </c>
      <c r="C66" s="6" t="s">
        <v>95</v>
      </c>
      <c r="D66" s="6" t="s">
        <v>96</v>
      </c>
      <c r="E66" s="6" t="s">
        <v>1200</v>
      </c>
      <c r="F66" s="7" t="s">
        <v>461</v>
      </c>
      <c r="G66" s="7" t="s">
        <v>59</v>
      </c>
      <c r="H66" s="7"/>
    </row>
    <row r="67" spans="1:8" ht="17.100000000000001" customHeight="1" x14ac:dyDescent="0.25">
      <c r="A67" s="6" t="s">
        <v>460</v>
      </c>
      <c r="B67" s="6" t="s">
        <v>459</v>
      </c>
      <c r="C67" s="6" t="s">
        <v>95</v>
      </c>
      <c r="D67" s="6" t="s">
        <v>96</v>
      </c>
      <c r="E67" s="6" t="s">
        <v>1200</v>
      </c>
      <c r="F67" s="7" t="s">
        <v>458</v>
      </c>
      <c r="G67" s="7" t="s">
        <v>59</v>
      </c>
      <c r="H67" s="7"/>
    </row>
  </sheetData>
  <sortState xmlns:xlrd2="http://schemas.microsoft.com/office/spreadsheetml/2017/richdata2" ref="A62:G67">
    <sortCondition ref="B62:B6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C81B-14EF-432F-AE22-D812B1E1E9B1}">
  <sheetPr>
    <tabColor rgb="FF7030A0"/>
  </sheetPr>
  <dimension ref="A1:I38"/>
  <sheetViews>
    <sheetView showGridLines="0" topLeftCell="A25" workbookViewId="0">
      <selection activeCell="H35" sqref="H35"/>
    </sheetView>
  </sheetViews>
  <sheetFormatPr defaultRowHeight="17.100000000000001" customHeight="1" x14ac:dyDescent="0.25"/>
  <cols>
    <col min="1" max="1" width="11.5703125" style="2" bestFit="1" customWidth="1"/>
    <col min="2" max="2" width="9.28515625" style="2" bestFit="1" customWidth="1"/>
    <col min="3" max="3" width="6.5703125" style="2" bestFit="1" customWidth="1"/>
    <col min="4" max="4" width="9.85546875" style="2" bestFit="1" customWidth="1"/>
    <col min="5" max="5" width="6.42578125" style="2" bestFit="1" customWidth="1"/>
    <col min="6" max="6" width="12.7109375" style="2" bestFit="1" customWidth="1"/>
    <col min="7" max="7" width="16.5703125" bestFit="1" customWidth="1"/>
    <col min="8" max="8" width="9.140625" bestFit="1" customWidth="1"/>
    <col min="9" max="9" width="10.28515625" customWidth="1"/>
  </cols>
  <sheetData>
    <row r="1" spans="1:9" ht="18" customHeight="1" x14ac:dyDescent="0.25">
      <c r="A1" s="22" t="s">
        <v>59</v>
      </c>
      <c r="B1" s="22"/>
      <c r="C1" s="22"/>
      <c r="D1" s="22"/>
    </row>
    <row r="2" spans="1:9" ht="12" customHeight="1" x14ac:dyDescent="0.25">
      <c r="A2" s="23"/>
      <c r="B2" s="23"/>
      <c r="C2" s="23"/>
      <c r="D2" s="23"/>
    </row>
    <row r="3" spans="1:9" ht="12.75" customHeight="1" x14ac:dyDescent="0.25">
      <c r="A3" s="1" t="s">
        <v>0</v>
      </c>
      <c r="B3" s="18" t="s">
        <v>1</v>
      </c>
      <c r="C3" s="18"/>
      <c r="D3" s="18"/>
    </row>
    <row r="4" spans="1:9" ht="12" customHeight="1" x14ac:dyDescent="0.25">
      <c r="A4" s="1" t="s">
        <v>2</v>
      </c>
      <c r="B4" s="18" t="s">
        <v>3</v>
      </c>
      <c r="C4" s="18"/>
      <c r="D4" s="18"/>
    </row>
    <row r="5" spans="1:9" ht="12.75" customHeight="1" x14ac:dyDescent="0.25">
      <c r="A5" s="1" t="s">
        <v>4</v>
      </c>
      <c r="B5" s="18" t="s">
        <v>5</v>
      </c>
      <c r="C5" s="18"/>
      <c r="D5" s="18"/>
    </row>
    <row r="6" spans="1:9" ht="5.25" customHeight="1" x14ac:dyDescent="0.25"/>
    <row r="7" spans="1:9" ht="12" customHeight="1" x14ac:dyDescent="0.25">
      <c r="A7" s="1" t="s">
        <v>6</v>
      </c>
      <c r="B7" s="18" t="s">
        <v>7</v>
      </c>
      <c r="C7" s="18"/>
      <c r="D7" s="18"/>
    </row>
    <row r="8" spans="1:9" ht="12.75" customHeight="1" x14ac:dyDescent="0.25">
      <c r="A8" s="1" t="s">
        <v>8</v>
      </c>
      <c r="B8" s="18"/>
      <c r="C8" s="18"/>
      <c r="D8" s="18"/>
    </row>
    <row r="9" spans="1:9" ht="12" customHeight="1" x14ac:dyDescent="0.25">
      <c r="A9" s="1" t="s">
        <v>9</v>
      </c>
      <c r="B9" s="18"/>
      <c r="C9" s="18"/>
      <c r="D9" s="18"/>
    </row>
    <row r="10" spans="1:9" ht="12.75" customHeight="1" x14ac:dyDescent="0.25">
      <c r="A10" s="1" t="s">
        <v>8</v>
      </c>
      <c r="B10" s="18"/>
      <c r="C10" s="18"/>
      <c r="D10" s="18"/>
    </row>
    <row r="11" spans="1:9" ht="10.5" customHeight="1" x14ac:dyDescent="0.25"/>
    <row r="12" spans="1:9" ht="16.5" customHeight="1" x14ac:dyDescent="0.25">
      <c r="A12" s="19" t="s">
        <v>79</v>
      </c>
      <c r="B12" s="19"/>
      <c r="C12" s="19"/>
      <c r="D12" s="19"/>
      <c r="E12" s="19"/>
      <c r="F12" s="19"/>
      <c r="G12" s="20" t="s">
        <v>80</v>
      </c>
      <c r="H12" s="21"/>
      <c r="I12" s="8"/>
    </row>
    <row r="13" spans="1:9" ht="43.5" customHeight="1" x14ac:dyDescent="0.25">
      <c r="A13" s="3" t="s">
        <v>10</v>
      </c>
      <c r="B13" s="4" t="s">
        <v>82</v>
      </c>
      <c r="C13" s="4" t="s">
        <v>81</v>
      </c>
      <c r="D13" s="4" t="s">
        <v>83</v>
      </c>
      <c r="E13" s="4" t="s">
        <v>1130</v>
      </c>
      <c r="F13" s="5" t="s">
        <v>10</v>
      </c>
      <c r="G13" s="5" t="s">
        <v>11</v>
      </c>
      <c r="H13" s="5" t="s">
        <v>1131</v>
      </c>
    </row>
    <row r="14" spans="1:9" ht="17.100000000000001" customHeight="1" x14ac:dyDescent="0.25">
      <c r="A14" s="6" t="s">
        <v>470</v>
      </c>
      <c r="B14" s="6" t="s">
        <v>471</v>
      </c>
      <c r="C14" s="6" t="s">
        <v>95</v>
      </c>
      <c r="D14" s="6" t="s">
        <v>96</v>
      </c>
      <c r="E14" s="6" t="s">
        <v>1202</v>
      </c>
      <c r="F14" s="7" t="s">
        <v>508</v>
      </c>
      <c r="G14" s="7" t="s">
        <v>1208</v>
      </c>
      <c r="H14" s="7" t="s">
        <v>1204</v>
      </c>
    </row>
    <row r="15" spans="1:9" ht="17.100000000000001" customHeight="1" x14ac:dyDescent="0.25">
      <c r="A15" s="6" t="s">
        <v>464</v>
      </c>
      <c r="B15" s="6" t="s">
        <v>465</v>
      </c>
      <c r="C15" s="6" t="s">
        <v>95</v>
      </c>
      <c r="D15" s="6" t="s">
        <v>96</v>
      </c>
      <c r="E15" s="6" t="s">
        <v>1202</v>
      </c>
      <c r="F15" s="7" t="s">
        <v>507</v>
      </c>
      <c r="G15" s="7" t="s">
        <v>1208</v>
      </c>
      <c r="H15" s="7"/>
    </row>
    <row r="16" spans="1:9" ht="17.100000000000001" customHeight="1" x14ac:dyDescent="0.25">
      <c r="A16" s="6" t="s">
        <v>453</v>
      </c>
      <c r="B16" s="6" t="s">
        <v>36</v>
      </c>
      <c r="C16" s="6" t="s">
        <v>95</v>
      </c>
      <c r="D16" s="6" t="s">
        <v>96</v>
      </c>
      <c r="E16" s="6" t="s">
        <v>1202</v>
      </c>
      <c r="F16" s="7" t="s">
        <v>502</v>
      </c>
      <c r="G16" s="7" t="s">
        <v>1208</v>
      </c>
      <c r="H16" s="7"/>
    </row>
    <row r="17" spans="1:8" ht="17.100000000000001" customHeight="1" x14ac:dyDescent="0.25">
      <c r="A17" s="6" t="s">
        <v>496</v>
      </c>
      <c r="B17" s="6" t="s">
        <v>497</v>
      </c>
      <c r="C17" s="6" t="s">
        <v>95</v>
      </c>
      <c r="D17" s="6" t="s">
        <v>96</v>
      </c>
      <c r="E17" s="6" t="s">
        <v>1202</v>
      </c>
      <c r="F17" s="7" t="s">
        <v>513</v>
      </c>
      <c r="G17" s="7" t="s">
        <v>1208</v>
      </c>
      <c r="H17" s="7"/>
    </row>
    <row r="18" spans="1:8" ht="17.100000000000001" customHeight="1" x14ac:dyDescent="0.25">
      <c r="A18" s="6" t="s">
        <v>498</v>
      </c>
      <c r="B18" s="6" t="s">
        <v>499</v>
      </c>
      <c r="C18" s="6" t="s">
        <v>95</v>
      </c>
      <c r="D18" s="6" t="s">
        <v>96</v>
      </c>
      <c r="E18" s="6" t="s">
        <v>1202</v>
      </c>
      <c r="F18" s="7" t="s">
        <v>512</v>
      </c>
      <c r="G18" s="7" t="s">
        <v>1208</v>
      </c>
      <c r="H18" s="7"/>
    </row>
    <row r="19" spans="1:8" ht="17.100000000000001" customHeight="1" x14ac:dyDescent="0.25">
      <c r="A19" s="6" t="s">
        <v>455</v>
      </c>
      <c r="B19" s="6" t="s">
        <v>456</v>
      </c>
      <c r="C19" s="6" t="s">
        <v>95</v>
      </c>
      <c r="D19" s="6" t="s">
        <v>96</v>
      </c>
      <c r="E19" s="6" t="s">
        <v>1202</v>
      </c>
      <c r="F19" s="7" t="s">
        <v>503</v>
      </c>
      <c r="G19" s="7" t="s">
        <v>1208</v>
      </c>
      <c r="H19" s="7"/>
    </row>
    <row r="20" spans="1:8" ht="17.100000000000001" customHeight="1" x14ac:dyDescent="0.25">
      <c r="A20" s="6" t="s">
        <v>487</v>
      </c>
      <c r="B20" s="6" t="s">
        <v>488</v>
      </c>
      <c r="C20" s="6" t="s">
        <v>95</v>
      </c>
      <c r="D20" s="6" t="s">
        <v>96</v>
      </c>
      <c r="E20" s="6" t="s">
        <v>1202</v>
      </c>
      <c r="F20" s="7" t="s">
        <v>518</v>
      </c>
      <c r="G20" s="7" t="s">
        <v>1208</v>
      </c>
      <c r="H20" s="7"/>
    </row>
    <row r="21" spans="1:8" ht="17.100000000000001" customHeight="1" x14ac:dyDescent="0.25">
      <c r="A21" s="6" t="s">
        <v>490</v>
      </c>
      <c r="B21" s="6" t="s">
        <v>491</v>
      </c>
      <c r="C21" s="6" t="s">
        <v>95</v>
      </c>
      <c r="D21" s="6" t="s">
        <v>96</v>
      </c>
      <c r="E21" s="6" t="s">
        <v>1202</v>
      </c>
      <c r="F21" s="7" t="s">
        <v>519</v>
      </c>
      <c r="G21" s="7" t="s">
        <v>1208</v>
      </c>
      <c r="H21" s="7"/>
    </row>
    <row r="22" spans="1:8" ht="17.100000000000001" customHeight="1" x14ac:dyDescent="0.25">
      <c r="A22" s="6" t="s">
        <v>444</v>
      </c>
      <c r="B22" s="6" t="s">
        <v>445</v>
      </c>
      <c r="C22" s="6" t="s">
        <v>95</v>
      </c>
      <c r="D22" s="6" t="s">
        <v>96</v>
      </c>
      <c r="E22" s="6" t="s">
        <v>1202</v>
      </c>
      <c r="F22" s="7" t="s">
        <v>501</v>
      </c>
      <c r="G22" s="7" t="s">
        <v>1208</v>
      </c>
      <c r="H22" s="7"/>
    </row>
    <row r="23" spans="1:8" ht="17.100000000000001" customHeight="1" x14ac:dyDescent="0.25">
      <c r="A23" s="6" t="s">
        <v>441</v>
      </c>
      <c r="B23" s="6" t="s">
        <v>442</v>
      </c>
      <c r="C23" s="6" t="s">
        <v>95</v>
      </c>
      <c r="D23" s="6" t="s">
        <v>96</v>
      </c>
      <c r="E23" s="6" t="s">
        <v>1202</v>
      </c>
      <c r="F23" s="7" t="s">
        <v>500</v>
      </c>
      <c r="G23" s="7" t="s">
        <v>1208</v>
      </c>
      <c r="H23" s="7"/>
    </row>
    <row r="24" spans="1:8" ht="17.100000000000001" customHeight="1" x14ac:dyDescent="0.25">
      <c r="A24" s="6" t="s">
        <v>475</v>
      </c>
      <c r="B24" s="6" t="s">
        <v>476</v>
      </c>
      <c r="C24" s="6" t="s">
        <v>95</v>
      </c>
      <c r="D24" s="6" t="s">
        <v>96</v>
      </c>
      <c r="E24" s="6" t="s">
        <v>1202</v>
      </c>
      <c r="F24" s="7" t="s">
        <v>514</v>
      </c>
      <c r="G24" s="7" t="s">
        <v>1208</v>
      </c>
      <c r="H24" s="7"/>
    </row>
    <row r="25" spans="1:8" ht="17.100000000000001" customHeight="1" x14ac:dyDescent="0.25">
      <c r="A25" s="6" t="s">
        <v>478</v>
      </c>
      <c r="B25" s="6" t="s">
        <v>479</v>
      </c>
      <c r="C25" s="6" t="s">
        <v>95</v>
      </c>
      <c r="D25" s="6" t="s">
        <v>96</v>
      </c>
      <c r="E25" s="6" t="s">
        <v>1202</v>
      </c>
      <c r="F25" s="7" t="s">
        <v>515</v>
      </c>
      <c r="G25" s="7" t="s">
        <v>1208</v>
      </c>
      <c r="H25" s="7"/>
    </row>
    <row r="26" spans="1:8" ht="17.100000000000001" customHeight="1" x14ac:dyDescent="0.25">
      <c r="A26" s="6" t="s">
        <v>484</v>
      </c>
      <c r="B26" s="6" t="s">
        <v>485</v>
      </c>
      <c r="C26" s="6" t="s">
        <v>95</v>
      </c>
      <c r="D26" s="6" t="s">
        <v>96</v>
      </c>
      <c r="E26" s="6" t="s">
        <v>1202</v>
      </c>
      <c r="F26" s="7" t="s">
        <v>517</v>
      </c>
      <c r="G26" s="7" t="s">
        <v>1208</v>
      </c>
      <c r="H26" s="7"/>
    </row>
    <row r="27" spans="1:8" ht="17.100000000000001" customHeight="1" x14ac:dyDescent="0.25">
      <c r="A27" s="6" t="s">
        <v>481</v>
      </c>
      <c r="B27" s="6" t="s">
        <v>482</v>
      </c>
      <c r="C27" s="6" t="s">
        <v>95</v>
      </c>
      <c r="D27" s="6" t="s">
        <v>96</v>
      </c>
      <c r="E27" s="6" t="s">
        <v>1202</v>
      </c>
      <c r="F27" s="7" t="s">
        <v>516</v>
      </c>
      <c r="G27" s="7" t="s">
        <v>1208</v>
      </c>
      <c r="H27" s="7"/>
    </row>
    <row r="28" spans="1:8" ht="17.100000000000001" customHeight="1" x14ac:dyDescent="0.25">
      <c r="A28" s="6" t="s">
        <v>461</v>
      </c>
      <c r="B28" s="6" t="s">
        <v>462</v>
      </c>
      <c r="C28" s="6" t="s">
        <v>95</v>
      </c>
      <c r="D28" s="6" t="s">
        <v>96</v>
      </c>
      <c r="E28" s="6" t="s">
        <v>1202</v>
      </c>
      <c r="F28" s="7" t="s">
        <v>506</v>
      </c>
      <c r="G28" s="7" t="s">
        <v>1208</v>
      </c>
      <c r="H28" s="7"/>
    </row>
    <row r="29" spans="1:8" ht="17.100000000000001" customHeight="1" x14ac:dyDescent="0.25">
      <c r="A29" s="6" t="s">
        <v>458</v>
      </c>
      <c r="B29" s="6" t="s">
        <v>459</v>
      </c>
      <c r="C29" s="6" t="s">
        <v>95</v>
      </c>
      <c r="D29" s="6" t="s">
        <v>96</v>
      </c>
      <c r="E29" s="6" t="s">
        <v>1202</v>
      </c>
      <c r="F29" s="7" t="s">
        <v>504</v>
      </c>
      <c r="G29" s="7" t="s">
        <v>1208</v>
      </c>
      <c r="H29" s="7"/>
    </row>
    <row r="30" spans="1:8" ht="17.100000000000001" customHeight="1" x14ac:dyDescent="0.25">
      <c r="A30" s="6" t="s">
        <v>458</v>
      </c>
      <c r="B30" s="6" t="s">
        <v>459</v>
      </c>
      <c r="C30" s="6" t="s">
        <v>95</v>
      </c>
      <c r="D30" s="6" t="s">
        <v>96</v>
      </c>
      <c r="E30" s="6" t="s">
        <v>1202</v>
      </c>
      <c r="F30" s="7" t="s">
        <v>505</v>
      </c>
      <c r="G30" s="7" t="s">
        <v>1208</v>
      </c>
      <c r="H30" s="7"/>
    </row>
    <row r="31" spans="1:8" ht="17.100000000000001" customHeight="1" x14ac:dyDescent="0.25">
      <c r="A31" s="6"/>
      <c r="B31" s="6"/>
      <c r="C31" s="6"/>
      <c r="D31" s="6"/>
      <c r="E31" s="6"/>
      <c r="F31" s="7"/>
      <c r="G31" s="7"/>
      <c r="H31" s="7"/>
    </row>
    <row r="32" spans="1:8" ht="17.100000000000001" customHeight="1" x14ac:dyDescent="0.25">
      <c r="A32" s="6" t="s">
        <v>473</v>
      </c>
      <c r="B32" s="6" t="s">
        <v>1159</v>
      </c>
      <c r="C32" s="6" t="s">
        <v>95</v>
      </c>
      <c r="D32" s="6" t="s">
        <v>152</v>
      </c>
      <c r="E32" s="6" t="s">
        <v>1202</v>
      </c>
      <c r="F32" s="7" t="s">
        <v>511</v>
      </c>
      <c r="G32" s="7" t="s">
        <v>1208</v>
      </c>
      <c r="H32" s="7"/>
    </row>
    <row r="33" spans="1:8" ht="17.100000000000001" customHeight="1" x14ac:dyDescent="0.25">
      <c r="A33" s="6" t="s">
        <v>509</v>
      </c>
      <c r="B33" s="6" t="s">
        <v>34</v>
      </c>
      <c r="C33" s="6" t="s">
        <v>95</v>
      </c>
      <c r="D33" s="6" t="s">
        <v>152</v>
      </c>
      <c r="E33" s="6" t="s">
        <v>1202</v>
      </c>
      <c r="F33" s="7" t="s">
        <v>510</v>
      </c>
      <c r="G33" s="7" t="s">
        <v>1208</v>
      </c>
      <c r="H33" s="7"/>
    </row>
    <row r="34" spans="1:8" ht="17.100000000000001" customHeight="1" x14ac:dyDescent="0.25">
      <c r="A34" s="15"/>
      <c r="B34" s="15"/>
      <c r="C34" s="15"/>
      <c r="D34" s="15"/>
      <c r="E34" s="15"/>
      <c r="F34" s="16"/>
      <c r="G34" s="16"/>
      <c r="H34" s="16"/>
    </row>
    <row r="35" spans="1:8" ht="17.100000000000001" customHeight="1" x14ac:dyDescent="0.25">
      <c r="A35" s="6" t="s">
        <v>509</v>
      </c>
      <c r="B35" s="6" t="s">
        <v>34</v>
      </c>
      <c r="C35" s="6" t="s">
        <v>95</v>
      </c>
      <c r="D35" s="6" t="s">
        <v>154</v>
      </c>
      <c r="E35" s="6" t="s">
        <v>1200</v>
      </c>
      <c r="F35" s="7" t="s">
        <v>520</v>
      </c>
      <c r="G35" s="7" t="s">
        <v>1209</v>
      </c>
      <c r="H35" s="7" t="s">
        <v>1206</v>
      </c>
    </row>
    <row r="36" spans="1:8" ht="17.100000000000001" customHeight="1" x14ac:dyDescent="0.25">
      <c r="A36" s="6" t="s">
        <v>509</v>
      </c>
      <c r="B36" s="6" t="s">
        <v>34</v>
      </c>
      <c r="C36" s="6" t="s">
        <v>95</v>
      </c>
      <c r="D36" s="6" t="s">
        <v>154</v>
      </c>
      <c r="E36" s="6" t="s">
        <v>1200</v>
      </c>
      <c r="F36" s="7" t="s">
        <v>521</v>
      </c>
      <c r="G36" s="7" t="s">
        <v>1209</v>
      </c>
      <c r="H36" s="7"/>
    </row>
    <row r="37" spans="1:8" ht="17.100000000000001" customHeight="1" x14ac:dyDescent="0.25">
      <c r="A37" s="6"/>
      <c r="B37" s="6"/>
      <c r="C37" s="6"/>
      <c r="D37" s="6"/>
      <c r="E37" s="6"/>
      <c r="F37" s="7"/>
      <c r="G37" s="7"/>
      <c r="H37" s="7"/>
    </row>
    <row r="38" spans="1:8" ht="17.100000000000001" customHeight="1" x14ac:dyDescent="0.25">
      <c r="A38" s="6" t="s">
        <v>473</v>
      </c>
      <c r="B38" s="6" t="s">
        <v>1159</v>
      </c>
      <c r="C38" s="6" t="s">
        <v>95</v>
      </c>
      <c r="D38" s="6" t="s">
        <v>152</v>
      </c>
      <c r="E38" s="6" t="s">
        <v>1200</v>
      </c>
      <c r="F38" s="7" t="s">
        <v>522</v>
      </c>
      <c r="G38" s="7" t="s">
        <v>1209</v>
      </c>
      <c r="H38" s="7"/>
    </row>
  </sheetData>
  <sortState xmlns:xlrd2="http://schemas.microsoft.com/office/spreadsheetml/2017/richdata2" ref="A14:H33">
    <sortCondition descending="1" ref="D14:D33"/>
    <sortCondition ref="B14:B3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9AA4-2871-494C-8F55-B91211426689}">
  <sheetPr>
    <tabColor rgb="FF7030A0"/>
  </sheetPr>
  <dimension ref="A1:I33"/>
  <sheetViews>
    <sheetView showGridLines="0" topLeftCell="A17" workbookViewId="0">
      <selection activeCell="E33" sqref="E33"/>
    </sheetView>
  </sheetViews>
  <sheetFormatPr defaultRowHeight="17.100000000000001" customHeight="1" x14ac:dyDescent="0.25"/>
  <cols>
    <col min="1" max="1" width="12" style="2" bestFit="1" customWidth="1"/>
    <col min="2" max="2" width="10.28515625" style="2" bestFit="1" customWidth="1"/>
    <col min="3" max="3" width="6.5703125" style="2" bestFit="1" customWidth="1"/>
    <col min="4" max="4" width="9.85546875" style="2" bestFit="1" customWidth="1"/>
    <col min="5" max="5" width="6.42578125" style="2" bestFit="1" customWidth="1"/>
    <col min="6" max="6" width="10" style="2" bestFit="1" customWidth="1"/>
    <col min="7" max="7" width="7.5703125" bestFit="1" customWidth="1"/>
    <col min="8" max="8" width="9.140625" bestFit="1" customWidth="1"/>
    <col min="9" max="9" width="10.28515625" customWidth="1"/>
  </cols>
  <sheetData>
    <row r="1" spans="1:9" ht="18" customHeight="1" x14ac:dyDescent="0.25">
      <c r="A1" s="22" t="s">
        <v>55</v>
      </c>
      <c r="B1" s="22"/>
      <c r="C1" s="22"/>
      <c r="D1" s="22"/>
    </row>
    <row r="2" spans="1:9" ht="12" customHeight="1" x14ac:dyDescent="0.25">
      <c r="A2" s="23"/>
      <c r="B2" s="23"/>
      <c r="C2" s="23"/>
      <c r="D2" s="23"/>
    </row>
    <row r="3" spans="1:9" ht="12.75" customHeight="1" x14ac:dyDescent="0.25">
      <c r="A3" s="1" t="s">
        <v>0</v>
      </c>
      <c r="B3" s="18" t="s">
        <v>1</v>
      </c>
      <c r="C3" s="18"/>
      <c r="D3" s="18"/>
    </row>
    <row r="4" spans="1:9" ht="12" customHeight="1" x14ac:dyDescent="0.25">
      <c r="A4" s="1" t="s">
        <v>2</v>
      </c>
      <c r="B4" s="18" t="s">
        <v>3</v>
      </c>
      <c r="C4" s="18"/>
      <c r="D4" s="18"/>
    </row>
    <row r="5" spans="1:9" ht="12.75" customHeight="1" x14ac:dyDescent="0.25">
      <c r="A5" s="1" t="s">
        <v>4</v>
      </c>
      <c r="B5" s="18" t="s">
        <v>5</v>
      </c>
      <c r="C5" s="18"/>
      <c r="D5" s="18"/>
    </row>
    <row r="6" spans="1:9" ht="5.25" customHeight="1" x14ac:dyDescent="0.25"/>
    <row r="7" spans="1:9" ht="12" customHeight="1" x14ac:dyDescent="0.25">
      <c r="A7" s="1" t="s">
        <v>6</v>
      </c>
      <c r="B7" s="18" t="s">
        <v>7</v>
      </c>
      <c r="C7" s="18"/>
      <c r="D7" s="18"/>
    </row>
    <row r="8" spans="1:9" ht="12.75" customHeight="1" x14ac:dyDescent="0.25">
      <c r="A8" s="1" t="s">
        <v>8</v>
      </c>
      <c r="B8" s="18"/>
      <c r="C8" s="18"/>
      <c r="D8" s="18"/>
    </row>
    <row r="9" spans="1:9" ht="12" customHeight="1" x14ac:dyDescent="0.25">
      <c r="A9" s="1" t="s">
        <v>9</v>
      </c>
      <c r="B9" s="18"/>
      <c r="C9" s="18"/>
      <c r="D9" s="18"/>
    </row>
    <row r="10" spans="1:9" ht="12.75" customHeight="1" x14ac:dyDescent="0.25">
      <c r="A10" s="1" t="s">
        <v>8</v>
      </c>
      <c r="B10" s="18"/>
      <c r="C10" s="18"/>
      <c r="D10" s="18"/>
    </row>
    <row r="11" spans="1:9" ht="10.5" customHeight="1" x14ac:dyDescent="0.25"/>
    <row r="12" spans="1:9" ht="16.5" customHeight="1" x14ac:dyDescent="0.25">
      <c r="A12" s="19" t="s">
        <v>79</v>
      </c>
      <c r="B12" s="19"/>
      <c r="C12" s="19"/>
      <c r="D12" s="19"/>
      <c r="E12" s="19"/>
      <c r="F12" s="19"/>
      <c r="G12" s="20" t="s">
        <v>80</v>
      </c>
      <c r="H12" s="21"/>
      <c r="I12" s="8"/>
    </row>
    <row r="13" spans="1:9" ht="43.5" customHeight="1" x14ac:dyDescent="0.25">
      <c r="A13" s="3" t="s">
        <v>10</v>
      </c>
      <c r="B13" s="4" t="s">
        <v>82</v>
      </c>
      <c r="C13" s="4" t="s">
        <v>81</v>
      </c>
      <c r="D13" s="4" t="s">
        <v>83</v>
      </c>
      <c r="E13" s="4" t="s">
        <v>1130</v>
      </c>
      <c r="F13" s="5" t="s">
        <v>10</v>
      </c>
      <c r="G13" s="5" t="s">
        <v>11</v>
      </c>
      <c r="H13" s="5" t="s">
        <v>1131</v>
      </c>
    </row>
    <row r="14" spans="1:9" ht="17.100000000000001" customHeight="1" x14ac:dyDescent="0.25">
      <c r="A14" s="6" t="s">
        <v>528</v>
      </c>
      <c r="B14" s="6" t="s">
        <v>57</v>
      </c>
      <c r="C14" s="6" t="s">
        <v>95</v>
      </c>
      <c r="D14" s="6" t="s">
        <v>154</v>
      </c>
      <c r="E14" s="6" t="s">
        <v>1218</v>
      </c>
      <c r="F14" s="7" t="s">
        <v>529</v>
      </c>
      <c r="G14" s="7" t="s">
        <v>1207</v>
      </c>
      <c r="H14" s="7" t="s">
        <v>1214</v>
      </c>
    </row>
    <row r="15" spans="1:9" ht="17.100000000000001" customHeight="1" x14ac:dyDescent="0.25">
      <c r="A15" s="6" t="s">
        <v>530</v>
      </c>
      <c r="B15" s="6" t="s">
        <v>58</v>
      </c>
      <c r="C15" s="6" t="s">
        <v>95</v>
      </c>
      <c r="D15" s="6" t="s">
        <v>154</v>
      </c>
      <c r="E15" s="6" t="s">
        <v>1218</v>
      </c>
      <c r="F15" s="7" t="s">
        <v>531</v>
      </c>
      <c r="G15" s="7" t="s">
        <v>1207</v>
      </c>
      <c r="H15" s="7"/>
    </row>
    <row r="16" spans="1:9" ht="17.100000000000001" customHeight="1" x14ac:dyDescent="0.25">
      <c r="A16" s="15"/>
      <c r="B16" s="15"/>
      <c r="C16" s="15"/>
      <c r="D16" s="15"/>
      <c r="E16" s="15"/>
      <c r="F16" s="16"/>
      <c r="G16" s="16"/>
      <c r="H16" s="16"/>
    </row>
    <row r="17" spans="1:8" ht="17.100000000000001" customHeight="1" x14ac:dyDescent="0.25">
      <c r="A17" s="6" t="s">
        <v>523</v>
      </c>
      <c r="B17" s="6" t="s">
        <v>1159</v>
      </c>
      <c r="C17" s="6" t="s">
        <v>95</v>
      </c>
      <c r="D17" s="6" t="s">
        <v>152</v>
      </c>
      <c r="E17" s="6" t="s">
        <v>1218</v>
      </c>
      <c r="F17" s="7" t="s">
        <v>524</v>
      </c>
      <c r="G17" s="7" t="s">
        <v>1207</v>
      </c>
      <c r="H17" s="7" t="s">
        <v>1215</v>
      </c>
    </row>
    <row r="18" spans="1:8" ht="17.100000000000001" customHeight="1" x14ac:dyDescent="0.25">
      <c r="A18" s="6" t="s">
        <v>525</v>
      </c>
      <c r="B18" s="6" t="s">
        <v>526</v>
      </c>
      <c r="C18" s="6" t="s">
        <v>95</v>
      </c>
      <c r="D18" s="6" t="s">
        <v>152</v>
      </c>
      <c r="E18" s="6" t="s">
        <v>1218</v>
      </c>
      <c r="F18" s="7" t="s">
        <v>527</v>
      </c>
      <c r="G18" s="7" t="s">
        <v>1207</v>
      </c>
      <c r="H18" s="7"/>
    </row>
    <row r="19" spans="1:8" ht="17.100000000000001" customHeight="1" x14ac:dyDescent="0.25">
      <c r="A19" s="15"/>
      <c r="B19" s="15"/>
      <c r="C19" s="15"/>
      <c r="D19" s="15"/>
      <c r="E19" s="15"/>
      <c r="F19" s="16"/>
      <c r="G19" s="16"/>
      <c r="H19" s="16"/>
    </row>
    <row r="20" spans="1:8" ht="17.100000000000001" customHeight="1" x14ac:dyDescent="0.25">
      <c r="A20" s="6" t="s">
        <v>532</v>
      </c>
      <c r="B20" s="6" t="s">
        <v>56</v>
      </c>
      <c r="C20" s="6" t="s">
        <v>95</v>
      </c>
      <c r="D20" s="6" t="s">
        <v>152</v>
      </c>
      <c r="E20" s="6" t="s">
        <v>1218</v>
      </c>
      <c r="F20" s="7" t="s">
        <v>533</v>
      </c>
      <c r="G20" s="7" t="s">
        <v>1207</v>
      </c>
      <c r="H20" s="7" t="s">
        <v>1216</v>
      </c>
    </row>
    <row r="21" spans="1:8" ht="17.100000000000001" customHeight="1" x14ac:dyDescent="0.25">
      <c r="A21" s="6" t="s">
        <v>534</v>
      </c>
      <c r="B21" s="6" t="s">
        <v>526</v>
      </c>
      <c r="C21" s="6" t="s">
        <v>95</v>
      </c>
      <c r="D21" s="6" t="s">
        <v>152</v>
      </c>
      <c r="E21" s="6" t="s">
        <v>1218</v>
      </c>
      <c r="F21" s="7" t="s">
        <v>527</v>
      </c>
      <c r="G21" s="7" t="s">
        <v>1207</v>
      </c>
      <c r="H21" s="7"/>
    </row>
    <row r="22" spans="1:8" ht="17.100000000000001" customHeight="1" x14ac:dyDescent="0.25">
      <c r="A22" s="13"/>
      <c r="B22" s="13"/>
      <c r="C22" s="13"/>
      <c r="D22" s="13"/>
      <c r="E22" s="13"/>
      <c r="F22" s="14"/>
      <c r="G22" s="14"/>
      <c r="H22" s="14"/>
    </row>
    <row r="23" spans="1:8" ht="17.100000000000001" customHeight="1" x14ac:dyDescent="0.25">
      <c r="A23" s="6" t="s">
        <v>537</v>
      </c>
      <c r="B23" s="6" t="s">
        <v>1159</v>
      </c>
      <c r="C23" s="6" t="s">
        <v>95</v>
      </c>
      <c r="D23" s="6" t="s">
        <v>152</v>
      </c>
      <c r="E23" s="6" t="s">
        <v>1217</v>
      </c>
      <c r="F23" s="7" t="s">
        <v>538</v>
      </c>
      <c r="G23" s="7" t="s">
        <v>1208</v>
      </c>
      <c r="H23" s="7" t="s">
        <v>1219</v>
      </c>
    </row>
    <row r="24" spans="1:8" ht="17.100000000000001" customHeight="1" x14ac:dyDescent="0.25">
      <c r="A24" s="6" t="s">
        <v>535</v>
      </c>
      <c r="B24" s="6" t="s">
        <v>34</v>
      </c>
      <c r="C24" s="6" t="s">
        <v>95</v>
      </c>
      <c r="D24" s="6" t="s">
        <v>152</v>
      </c>
      <c r="E24" s="6" t="s">
        <v>1217</v>
      </c>
      <c r="F24" s="7" t="s">
        <v>536</v>
      </c>
      <c r="G24" s="7" t="s">
        <v>1208</v>
      </c>
      <c r="H24" s="7"/>
    </row>
    <row r="25" spans="1:8" ht="17.100000000000001" customHeight="1" x14ac:dyDescent="0.25">
      <c r="A25" s="13"/>
      <c r="B25" s="13"/>
      <c r="C25" s="13"/>
      <c r="D25" s="13"/>
      <c r="E25" s="13"/>
      <c r="F25" s="14"/>
      <c r="G25" s="14"/>
      <c r="H25" s="14"/>
    </row>
    <row r="26" spans="1:8" ht="17.100000000000001" customHeight="1" x14ac:dyDescent="0.25">
      <c r="A26" s="6" t="s">
        <v>539</v>
      </c>
      <c r="B26" s="6" t="s">
        <v>1159</v>
      </c>
      <c r="C26" s="6" t="s">
        <v>95</v>
      </c>
      <c r="D26" s="6" t="s">
        <v>154</v>
      </c>
      <c r="E26" s="6" t="s">
        <v>1217</v>
      </c>
      <c r="F26" s="7" t="s">
        <v>540</v>
      </c>
      <c r="G26" s="7" t="s">
        <v>1209</v>
      </c>
      <c r="H26" s="7" t="s">
        <v>1220</v>
      </c>
    </row>
    <row r="27" spans="1:8" ht="17.100000000000001" customHeight="1" x14ac:dyDescent="0.25">
      <c r="A27" s="6" t="s">
        <v>541</v>
      </c>
      <c r="B27" s="6" t="s">
        <v>1159</v>
      </c>
      <c r="C27" s="6" t="s">
        <v>95</v>
      </c>
      <c r="D27" s="6" t="s">
        <v>154</v>
      </c>
      <c r="E27" s="6" t="s">
        <v>1217</v>
      </c>
      <c r="F27" s="7" t="s">
        <v>542</v>
      </c>
      <c r="G27" s="7" t="s">
        <v>1209</v>
      </c>
      <c r="H27" s="7"/>
    </row>
    <row r="28" spans="1:8" ht="17.100000000000001" customHeight="1" x14ac:dyDescent="0.25">
      <c r="A28" s="15"/>
      <c r="B28" s="15"/>
      <c r="C28" s="15"/>
      <c r="D28" s="15"/>
      <c r="E28" s="15"/>
      <c r="F28" s="16"/>
      <c r="G28" s="16"/>
      <c r="H28" s="16"/>
    </row>
    <row r="29" spans="1:8" ht="17.100000000000001" customHeight="1" x14ac:dyDescent="0.25">
      <c r="A29" s="6" t="s">
        <v>543</v>
      </c>
      <c r="B29" s="6" t="s">
        <v>34</v>
      </c>
      <c r="C29" s="6" t="s">
        <v>95</v>
      </c>
      <c r="D29" s="6" t="s">
        <v>154</v>
      </c>
      <c r="E29" s="6" t="s">
        <v>1217</v>
      </c>
      <c r="F29" s="7" t="s">
        <v>544</v>
      </c>
      <c r="G29" s="7" t="s">
        <v>1209</v>
      </c>
      <c r="H29" s="7" t="s">
        <v>1221</v>
      </c>
    </row>
    <row r="30" spans="1:8" ht="17.100000000000001" customHeight="1" x14ac:dyDescent="0.25">
      <c r="A30" s="6" t="s">
        <v>545</v>
      </c>
      <c r="B30" s="6" t="s">
        <v>34</v>
      </c>
      <c r="C30" s="6" t="s">
        <v>95</v>
      </c>
      <c r="D30" s="6" t="s">
        <v>154</v>
      </c>
      <c r="E30" s="6" t="s">
        <v>1217</v>
      </c>
      <c r="F30" s="7" t="s">
        <v>546</v>
      </c>
      <c r="G30" s="7" t="s">
        <v>1209</v>
      </c>
      <c r="H30" s="7"/>
    </row>
    <row r="31" spans="1:8" ht="17.100000000000001" customHeight="1" x14ac:dyDescent="0.25">
      <c r="A31" s="6" t="s">
        <v>547</v>
      </c>
      <c r="B31" s="6" t="s">
        <v>34</v>
      </c>
      <c r="C31" s="6" t="s">
        <v>95</v>
      </c>
      <c r="D31" s="6" t="s">
        <v>154</v>
      </c>
      <c r="E31" s="6" t="s">
        <v>1217</v>
      </c>
      <c r="F31" s="7" t="s">
        <v>548</v>
      </c>
      <c r="G31" s="7" t="s">
        <v>1209</v>
      </c>
      <c r="H31" s="7"/>
    </row>
    <row r="32" spans="1:8" ht="17.100000000000001" customHeight="1" x14ac:dyDescent="0.25">
      <c r="A32" s="6"/>
      <c r="B32" s="6"/>
      <c r="C32" s="6"/>
      <c r="D32" s="6"/>
      <c r="E32" s="6"/>
      <c r="F32" s="7"/>
      <c r="G32" s="7"/>
      <c r="H32" s="7"/>
    </row>
    <row r="33" spans="1:8" ht="17.100000000000001" customHeight="1" x14ac:dyDescent="0.25">
      <c r="A33" s="6" t="s">
        <v>524</v>
      </c>
      <c r="B33" s="6" t="s">
        <v>1159</v>
      </c>
      <c r="C33" s="6" t="s">
        <v>95</v>
      </c>
      <c r="D33" s="6" t="s">
        <v>152</v>
      </c>
      <c r="E33" s="6" t="s">
        <v>1217</v>
      </c>
      <c r="F33" s="7" t="s">
        <v>549</v>
      </c>
      <c r="G33" s="7" t="s">
        <v>1209</v>
      </c>
      <c r="H33" s="7"/>
    </row>
  </sheetData>
  <sortState xmlns:xlrd2="http://schemas.microsoft.com/office/spreadsheetml/2017/richdata2" ref="A29:G33">
    <sortCondition descending="1" ref="D29:D33"/>
    <sortCondition ref="B29:B33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BD0E-D35A-4846-BEA4-671FA1DE64D3}">
  <sheetPr>
    <tabColor rgb="FFFFD1FF"/>
  </sheetPr>
  <dimension ref="A1:I233"/>
  <sheetViews>
    <sheetView showGridLines="0" topLeftCell="A164" zoomScale="115" zoomScaleNormal="115" workbookViewId="0">
      <selection activeCell="E169" sqref="E169"/>
    </sheetView>
  </sheetViews>
  <sheetFormatPr defaultRowHeight="17.100000000000001" customHeight="1" x14ac:dyDescent="0.25"/>
  <cols>
    <col min="1" max="1" width="12.140625" style="2" bestFit="1" customWidth="1"/>
    <col min="2" max="2" width="11" style="2" bestFit="1" customWidth="1"/>
    <col min="3" max="3" width="6.5703125" style="2" bestFit="1" customWidth="1"/>
    <col min="4" max="4" width="9.85546875" style="2" bestFit="1" customWidth="1"/>
    <col min="5" max="5" width="6.42578125" style="2" bestFit="1" customWidth="1"/>
    <col min="6" max="6" width="12.42578125" style="2" bestFit="1" customWidth="1"/>
    <col min="7" max="7" width="7.5703125" bestFit="1" customWidth="1"/>
    <col min="8" max="8" width="10.42578125" bestFit="1" customWidth="1"/>
    <col min="9" max="9" width="10.28515625" customWidth="1"/>
  </cols>
  <sheetData>
    <row r="1" spans="1:9" ht="18" customHeight="1" x14ac:dyDescent="0.25">
      <c r="A1" s="22" t="s">
        <v>27</v>
      </c>
      <c r="B1" s="22"/>
      <c r="C1" s="22"/>
      <c r="D1" s="22"/>
    </row>
    <row r="2" spans="1:9" ht="12" customHeight="1" x14ac:dyDescent="0.25">
      <c r="A2" s="23"/>
      <c r="B2" s="23"/>
      <c r="C2" s="23"/>
      <c r="D2" s="23"/>
    </row>
    <row r="3" spans="1:9" ht="12.75" customHeight="1" x14ac:dyDescent="0.25">
      <c r="A3" s="1" t="s">
        <v>0</v>
      </c>
      <c r="B3" s="18" t="s">
        <v>1</v>
      </c>
      <c r="C3" s="18"/>
      <c r="D3" s="18"/>
    </row>
    <row r="4" spans="1:9" ht="12" customHeight="1" x14ac:dyDescent="0.25">
      <c r="A4" s="1" t="s">
        <v>2</v>
      </c>
      <c r="B4" s="18" t="s">
        <v>3</v>
      </c>
      <c r="C4" s="18"/>
      <c r="D4" s="18"/>
    </row>
    <row r="5" spans="1:9" ht="12.75" customHeight="1" x14ac:dyDescent="0.25">
      <c r="A5" s="1" t="s">
        <v>4</v>
      </c>
      <c r="B5" s="18" t="s">
        <v>5</v>
      </c>
      <c r="C5" s="18"/>
      <c r="D5" s="18"/>
    </row>
    <row r="6" spans="1:9" ht="5.25" customHeight="1" x14ac:dyDescent="0.25"/>
    <row r="7" spans="1:9" ht="12" customHeight="1" x14ac:dyDescent="0.25">
      <c r="A7" s="1" t="s">
        <v>6</v>
      </c>
      <c r="B7" s="18" t="s">
        <v>7</v>
      </c>
      <c r="C7" s="18"/>
      <c r="D7" s="18"/>
    </row>
    <row r="8" spans="1:9" ht="12.75" customHeight="1" x14ac:dyDescent="0.25">
      <c r="A8" s="1" t="s">
        <v>8</v>
      </c>
      <c r="B8" s="18"/>
      <c r="C8" s="18"/>
      <c r="D8" s="18"/>
    </row>
    <row r="9" spans="1:9" ht="12" customHeight="1" x14ac:dyDescent="0.25">
      <c r="A9" s="1" t="s">
        <v>9</v>
      </c>
      <c r="B9" s="18"/>
      <c r="C9" s="18"/>
      <c r="D9" s="18"/>
    </row>
    <row r="10" spans="1:9" ht="12.75" customHeight="1" x14ac:dyDescent="0.25">
      <c r="A10" s="1" t="s">
        <v>8</v>
      </c>
      <c r="B10" s="18"/>
      <c r="C10" s="18"/>
      <c r="D10" s="18"/>
    </row>
    <row r="11" spans="1:9" ht="10.5" customHeight="1" x14ac:dyDescent="0.25"/>
    <row r="12" spans="1:9" ht="16.5" customHeight="1" x14ac:dyDescent="0.25">
      <c r="A12" s="19" t="s">
        <v>79</v>
      </c>
      <c r="B12" s="19"/>
      <c r="C12" s="19"/>
      <c r="D12" s="19"/>
      <c r="E12" s="19"/>
      <c r="F12" s="19"/>
      <c r="G12" s="20" t="s">
        <v>80</v>
      </c>
      <c r="H12" s="21"/>
      <c r="I12" s="8"/>
    </row>
    <row r="13" spans="1:9" ht="43.5" customHeight="1" x14ac:dyDescent="0.25">
      <c r="A13" s="3" t="s">
        <v>10</v>
      </c>
      <c r="B13" s="4" t="s">
        <v>82</v>
      </c>
      <c r="C13" s="4" t="s">
        <v>81</v>
      </c>
      <c r="D13" s="4" t="s">
        <v>83</v>
      </c>
      <c r="E13" s="4" t="s">
        <v>1130</v>
      </c>
      <c r="F13" s="5" t="s">
        <v>10</v>
      </c>
      <c r="G13" s="5" t="s">
        <v>11</v>
      </c>
      <c r="H13" s="5" t="s">
        <v>1131</v>
      </c>
    </row>
    <row r="14" spans="1:9" ht="17.100000000000001" customHeight="1" x14ac:dyDescent="0.25">
      <c r="A14" s="6" t="s">
        <v>804</v>
      </c>
      <c r="B14" s="6" t="s">
        <v>805</v>
      </c>
      <c r="C14" s="6" t="s">
        <v>95</v>
      </c>
      <c r="D14" s="6" t="s">
        <v>96</v>
      </c>
      <c r="E14" s="6" t="s">
        <v>1218</v>
      </c>
      <c r="F14" s="7" t="s">
        <v>806</v>
      </c>
      <c r="G14" s="7" t="s">
        <v>1208</v>
      </c>
      <c r="H14" s="7" t="s">
        <v>1222</v>
      </c>
    </row>
    <row r="15" spans="1:9" ht="17.100000000000001" customHeight="1" x14ac:dyDescent="0.25">
      <c r="A15" s="6" t="s">
        <v>757</v>
      </c>
      <c r="B15" s="6" t="s">
        <v>758</v>
      </c>
      <c r="C15" s="6" t="s">
        <v>95</v>
      </c>
      <c r="D15" s="6" t="s">
        <v>96</v>
      </c>
      <c r="E15" s="6" t="s">
        <v>1217</v>
      </c>
      <c r="F15" s="7" t="s">
        <v>759</v>
      </c>
      <c r="G15" s="7" t="s">
        <v>1208</v>
      </c>
      <c r="H15" s="7"/>
    </row>
    <row r="16" spans="1:9" ht="17.100000000000001" customHeight="1" x14ac:dyDescent="0.25">
      <c r="A16" s="6"/>
      <c r="B16" s="6"/>
      <c r="C16" s="6"/>
      <c r="D16" s="6"/>
      <c r="E16" s="6"/>
      <c r="F16" s="7"/>
      <c r="G16" s="7"/>
      <c r="H16" s="7"/>
    </row>
    <row r="17" spans="1:8" ht="17.100000000000001" customHeight="1" x14ac:dyDescent="0.25">
      <c r="A17" s="6" t="s">
        <v>807</v>
      </c>
      <c r="B17" s="6" t="s">
        <v>1159</v>
      </c>
      <c r="C17" s="6" t="s">
        <v>95</v>
      </c>
      <c r="D17" s="6" t="s">
        <v>154</v>
      </c>
      <c r="E17" s="6" t="s">
        <v>1218</v>
      </c>
      <c r="F17" s="7" t="s">
        <v>808</v>
      </c>
      <c r="G17" s="7" t="s">
        <v>1208</v>
      </c>
      <c r="H17" s="7"/>
    </row>
    <row r="18" spans="1:8" ht="17.100000000000001" customHeight="1" x14ac:dyDescent="0.25">
      <c r="A18" s="6" t="s">
        <v>796</v>
      </c>
      <c r="B18" s="6" t="s">
        <v>1159</v>
      </c>
      <c r="C18" s="6" t="s">
        <v>95</v>
      </c>
      <c r="D18" s="6" t="s">
        <v>154</v>
      </c>
      <c r="E18" s="6" t="s">
        <v>1218</v>
      </c>
      <c r="F18" s="7" t="s">
        <v>739</v>
      </c>
      <c r="G18" s="7" t="s">
        <v>1208</v>
      </c>
      <c r="H18" s="7"/>
    </row>
    <row r="19" spans="1:8" ht="17.100000000000001" customHeight="1" x14ac:dyDescent="0.25">
      <c r="A19" s="6" t="s">
        <v>798</v>
      </c>
      <c r="B19" s="6" t="s">
        <v>800</v>
      </c>
      <c r="C19" s="6" t="s">
        <v>95</v>
      </c>
      <c r="D19" s="6" t="s">
        <v>154</v>
      </c>
      <c r="E19" s="6" t="s">
        <v>1218</v>
      </c>
      <c r="F19" s="7" t="s">
        <v>801</v>
      </c>
      <c r="G19" s="7" t="s">
        <v>1208</v>
      </c>
      <c r="H19" s="7"/>
    </row>
    <row r="20" spans="1:8" ht="17.100000000000001" customHeight="1" x14ac:dyDescent="0.25">
      <c r="A20" s="6" t="s">
        <v>799</v>
      </c>
      <c r="B20" s="6" t="s">
        <v>802</v>
      </c>
      <c r="C20" s="6" t="s">
        <v>95</v>
      </c>
      <c r="D20" s="6" t="s">
        <v>154</v>
      </c>
      <c r="E20" s="6" t="s">
        <v>1218</v>
      </c>
      <c r="F20" s="7" t="s">
        <v>803</v>
      </c>
      <c r="G20" s="7" t="s">
        <v>1208</v>
      </c>
      <c r="H20" s="7"/>
    </row>
    <row r="21" spans="1:8" ht="17.100000000000001" customHeight="1" x14ac:dyDescent="0.25">
      <c r="A21" s="6" t="s">
        <v>809</v>
      </c>
      <c r="B21" s="6" t="s">
        <v>810</v>
      </c>
      <c r="C21" s="6" t="s">
        <v>95</v>
      </c>
      <c r="D21" s="6" t="s">
        <v>154</v>
      </c>
      <c r="E21" s="6" t="s">
        <v>1218</v>
      </c>
      <c r="F21" s="7" t="s">
        <v>811</v>
      </c>
      <c r="G21" s="7" t="s">
        <v>1208</v>
      </c>
      <c r="H21" s="7"/>
    </row>
    <row r="22" spans="1:8" ht="17.100000000000001" customHeight="1" x14ac:dyDescent="0.25">
      <c r="A22" s="6" t="s">
        <v>797</v>
      </c>
      <c r="B22" s="6" t="s">
        <v>29</v>
      </c>
      <c r="C22" s="6" t="s">
        <v>95</v>
      </c>
      <c r="D22" s="6" t="s">
        <v>154</v>
      </c>
      <c r="E22" s="6" t="s">
        <v>1218</v>
      </c>
      <c r="F22" s="7" t="s">
        <v>891</v>
      </c>
      <c r="G22" s="7" t="s">
        <v>1208</v>
      </c>
      <c r="H22" s="7"/>
    </row>
    <row r="23" spans="1:8" ht="17.100000000000001" customHeight="1" x14ac:dyDescent="0.25">
      <c r="A23" s="15"/>
      <c r="B23" s="15"/>
      <c r="C23" s="15"/>
      <c r="D23" s="15"/>
      <c r="E23" s="15"/>
      <c r="F23" s="16"/>
      <c r="G23" s="16"/>
      <c r="H23" s="16"/>
    </row>
    <row r="24" spans="1:8" ht="17.100000000000001" customHeight="1" x14ac:dyDescent="0.25">
      <c r="A24" s="6" t="s">
        <v>883</v>
      </c>
      <c r="B24" s="6" t="s">
        <v>1159</v>
      </c>
      <c r="C24" s="6" t="s">
        <v>95</v>
      </c>
      <c r="D24" s="6" t="s">
        <v>96</v>
      </c>
      <c r="E24" s="6" t="s">
        <v>1217</v>
      </c>
      <c r="F24" s="7" t="s">
        <v>756</v>
      </c>
      <c r="G24" s="7" t="s">
        <v>1208</v>
      </c>
      <c r="H24" s="7" t="s">
        <v>1230</v>
      </c>
    </row>
    <row r="25" spans="1:8" ht="17.100000000000001" customHeight="1" x14ac:dyDescent="0.25">
      <c r="A25" s="6" t="s">
        <v>887</v>
      </c>
      <c r="B25" s="6" t="s">
        <v>1159</v>
      </c>
      <c r="C25" s="6" t="s">
        <v>95</v>
      </c>
      <c r="D25" s="6" t="s">
        <v>96</v>
      </c>
      <c r="E25" s="6" t="s">
        <v>1217</v>
      </c>
      <c r="F25" s="7" t="s">
        <v>756</v>
      </c>
      <c r="G25" s="7" t="s">
        <v>1208</v>
      </c>
      <c r="H25" s="7"/>
    </row>
    <row r="26" spans="1:8" ht="17.100000000000001" customHeight="1" x14ac:dyDescent="0.25">
      <c r="A26" s="6"/>
      <c r="B26" s="6"/>
      <c r="C26" s="6"/>
      <c r="D26" s="6"/>
      <c r="E26" s="6"/>
      <c r="F26" s="7"/>
      <c r="G26" s="7"/>
      <c r="H26" s="7"/>
    </row>
    <row r="27" spans="1:8" ht="17.100000000000001" customHeight="1" x14ac:dyDescent="0.25">
      <c r="A27" s="6" t="s">
        <v>874</v>
      </c>
      <c r="B27" s="6" t="s">
        <v>1159</v>
      </c>
      <c r="C27" s="6" t="s">
        <v>95</v>
      </c>
      <c r="D27" s="6" t="s">
        <v>154</v>
      </c>
      <c r="E27" s="6" t="s">
        <v>1217</v>
      </c>
      <c r="F27" s="7" t="s">
        <v>740</v>
      </c>
      <c r="G27" s="7" t="s">
        <v>1208</v>
      </c>
      <c r="H27" s="7"/>
    </row>
    <row r="28" spans="1:8" ht="17.100000000000001" customHeight="1" x14ac:dyDescent="0.25">
      <c r="A28" s="6" t="s">
        <v>877</v>
      </c>
      <c r="B28" s="6" t="s">
        <v>1159</v>
      </c>
      <c r="C28" s="6" t="s">
        <v>95</v>
      </c>
      <c r="D28" s="6" t="s">
        <v>154</v>
      </c>
      <c r="E28" s="6" t="s">
        <v>1217</v>
      </c>
      <c r="F28" s="7" t="s">
        <v>741</v>
      </c>
      <c r="G28" s="7" t="s">
        <v>1208</v>
      </c>
      <c r="H28" s="7"/>
    </row>
    <row r="29" spans="1:8" ht="17.100000000000001" customHeight="1" x14ac:dyDescent="0.25">
      <c r="A29" s="6" t="s">
        <v>888</v>
      </c>
      <c r="B29" s="6" t="s">
        <v>1159</v>
      </c>
      <c r="C29" s="6" t="s">
        <v>95</v>
      </c>
      <c r="D29" s="6" t="s">
        <v>154</v>
      </c>
      <c r="E29" s="6" t="s">
        <v>1217</v>
      </c>
      <c r="F29" s="7" t="s">
        <v>742</v>
      </c>
      <c r="G29" s="7" t="s">
        <v>1208</v>
      </c>
      <c r="H29" s="7"/>
    </row>
    <row r="30" spans="1:8" ht="17.100000000000001" customHeight="1" x14ac:dyDescent="0.25">
      <c r="A30" s="6" t="s">
        <v>834</v>
      </c>
      <c r="B30" s="6" t="s">
        <v>1159</v>
      </c>
      <c r="C30" s="6" t="s">
        <v>95</v>
      </c>
      <c r="D30" s="6" t="s">
        <v>154</v>
      </c>
      <c r="E30" s="6" t="s">
        <v>1218</v>
      </c>
      <c r="F30" s="7" t="s">
        <v>740</v>
      </c>
      <c r="G30" s="7" t="s">
        <v>1208</v>
      </c>
      <c r="H30" s="7"/>
    </row>
    <row r="31" spans="1:8" ht="17.100000000000001" customHeight="1" x14ac:dyDescent="0.25">
      <c r="A31" s="6" t="s">
        <v>831</v>
      </c>
      <c r="B31" s="6" t="s">
        <v>832</v>
      </c>
      <c r="C31" s="6" t="s">
        <v>95</v>
      </c>
      <c r="D31" s="6" t="s">
        <v>154</v>
      </c>
      <c r="E31" s="6" t="s">
        <v>1218</v>
      </c>
      <c r="F31" s="7" t="s">
        <v>833</v>
      </c>
      <c r="G31" s="7" t="s">
        <v>1208</v>
      </c>
      <c r="H31" s="7"/>
    </row>
    <row r="32" spans="1:8" ht="17.100000000000001" customHeight="1" x14ac:dyDescent="0.25">
      <c r="A32" s="6" t="s">
        <v>835</v>
      </c>
      <c r="B32" s="6" t="s">
        <v>836</v>
      </c>
      <c r="C32" s="6" t="s">
        <v>95</v>
      </c>
      <c r="D32" s="6" t="s">
        <v>154</v>
      </c>
      <c r="E32" s="6" t="s">
        <v>1218</v>
      </c>
      <c r="F32" s="7" t="s">
        <v>837</v>
      </c>
      <c r="G32" s="7" t="s">
        <v>1208</v>
      </c>
      <c r="H32" s="7"/>
    </row>
    <row r="33" spans="1:8" ht="17.100000000000001" customHeight="1" x14ac:dyDescent="0.25">
      <c r="A33" s="6" t="s">
        <v>838</v>
      </c>
      <c r="B33" s="6" t="s">
        <v>30</v>
      </c>
      <c r="C33" s="6" t="s">
        <v>95</v>
      </c>
      <c r="D33" s="6" t="s">
        <v>154</v>
      </c>
      <c r="E33" s="6" t="s">
        <v>1218</v>
      </c>
      <c r="F33" s="7" t="s">
        <v>892</v>
      </c>
      <c r="G33" s="7" t="s">
        <v>1208</v>
      </c>
      <c r="H33" s="7"/>
    </row>
    <row r="34" spans="1:8" ht="17.100000000000001" customHeight="1" x14ac:dyDescent="0.25">
      <c r="A34" s="6" t="s">
        <v>875</v>
      </c>
      <c r="B34" s="6" t="s">
        <v>31</v>
      </c>
      <c r="C34" s="6" t="s">
        <v>95</v>
      </c>
      <c r="D34" s="6" t="s">
        <v>154</v>
      </c>
      <c r="E34" s="6" t="s">
        <v>1218</v>
      </c>
      <c r="F34" s="7" t="s">
        <v>876</v>
      </c>
      <c r="G34" s="7" t="s">
        <v>1208</v>
      </c>
      <c r="H34" s="7"/>
    </row>
    <row r="35" spans="1:8" ht="17.100000000000001" customHeight="1" x14ac:dyDescent="0.25">
      <c r="A35" s="6" t="s">
        <v>878</v>
      </c>
      <c r="B35" s="6" t="s">
        <v>32</v>
      </c>
      <c r="C35" s="6" t="s">
        <v>95</v>
      </c>
      <c r="D35" s="6" t="s">
        <v>154</v>
      </c>
      <c r="E35" s="6" t="s">
        <v>1218</v>
      </c>
      <c r="F35" s="7" t="s">
        <v>879</v>
      </c>
      <c r="G35" s="7" t="s">
        <v>1208</v>
      </c>
      <c r="H35" s="7"/>
    </row>
    <row r="36" spans="1:8" ht="17.100000000000001" customHeight="1" x14ac:dyDescent="0.25">
      <c r="A36" s="6" t="s">
        <v>889</v>
      </c>
      <c r="B36" s="6" t="s">
        <v>33</v>
      </c>
      <c r="C36" s="6" t="s">
        <v>95</v>
      </c>
      <c r="D36" s="6" t="s">
        <v>154</v>
      </c>
      <c r="E36" s="6" t="s">
        <v>1218</v>
      </c>
      <c r="F36" s="7" t="s">
        <v>890</v>
      </c>
      <c r="G36" s="7" t="s">
        <v>1208</v>
      </c>
      <c r="H36" s="7"/>
    </row>
    <row r="37" spans="1:8" ht="17.100000000000001" customHeight="1" x14ac:dyDescent="0.25">
      <c r="A37" s="15"/>
      <c r="B37" s="15"/>
      <c r="C37" s="15"/>
      <c r="D37" s="15"/>
      <c r="E37" s="15"/>
      <c r="F37" s="16"/>
      <c r="G37" s="16"/>
      <c r="H37" s="16"/>
    </row>
    <row r="38" spans="1:8" ht="17.100000000000001" customHeight="1" x14ac:dyDescent="0.25">
      <c r="A38" s="6" t="s">
        <v>903</v>
      </c>
      <c r="B38" s="6" t="s">
        <v>36</v>
      </c>
      <c r="C38" s="6" t="s">
        <v>95</v>
      </c>
      <c r="D38" s="6" t="s">
        <v>154</v>
      </c>
      <c r="E38" s="6" t="s">
        <v>1218</v>
      </c>
      <c r="F38" s="7" t="s">
        <v>747</v>
      </c>
      <c r="G38" s="7" t="s">
        <v>1208</v>
      </c>
      <c r="H38" s="7" t="s">
        <v>1216</v>
      </c>
    </row>
    <row r="39" spans="1:8" ht="17.100000000000001" customHeight="1" x14ac:dyDescent="0.25">
      <c r="A39" s="6" t="s">
        <v>904</v>
      </c>
      <c r="B39" s="6" t="s">
        <v>37</v>
      </c>
      <c r="C39" s="6" t="s">
        <v>95</v>
      </c>
      <c r="D39" s="6" t="s">
        <v>154</v>
      </c>
      <c r="E39" s="6" t="s">
        <v>1218</v>
      </c>
      <c r="F39" s="7" t="s">
        <v>905</v>
      </c>
      <c r="G39" s="7" t="s">
        <v>1208</v>
      </c>
      <c r="H39" s="7"/>
    </row>
    <row r="40" spans="1:8" ht="17.100000000000001" customHeight="1" x14ac:dyDescent="0.25">
      <c r="A40" s="6" t="s">
        <v>908</v>
      </c>
      <c r="B40" s="6" t="s">
        <v>39</v>
      </c>
      <c r="C40" s="6" t="s">
        <v>95</v>
      </c>
      <c r="D40" s="6" t="s">
        <v>154</v>
      </c>
      <c r="E40" s="6" t="s">
        <v>1218</v>
      </c>
      <c r="F40" s="7" t="s">
        <v>909</v>
      </c>
      <c r="G40" s="7" t="s">
        <v>1208</v>
      </c>
      <c r="H40" s="7"/>
    </row>
    <row r="41" spans="1:8" ht="17.100000000000001" customHeight="1" x14ac:dyDescent="0.25">
      <c r="A41" s="6"/>
      <c r="B41" s="6"/>
      <c r="C41" s="6"/>
      <c r="D41" s="6"/>
      <c r="E41" s="6"/>
      <c r="F41" s="7"/>
      <c r="G41" s="7"/>
      <c r="H41" s="7"/>
    </row>
    <row r="42" spans="1:8" ht="17.100000000000001" customHeight="1" x14ac:dyDescent="0.25">
      <c r="A42" s="6" t="s">
        <v>899</v>
      </c>
      <c r="B42" s="6" t="s">
        <v>28</v>
      </c>
      <c r="C42" s="6" t="s">
        <v>95</v>
      </c>
      <c r="D42" s="6" t="s">
        <v>152</v>
      </c>
      <c r="E42" s="6" t="s">
        <v>1218</v>
      </c>
      <c r="F42" s="7" t="s">
        <v>900</v>
      </c>
      <c r="G42" s="7" t="s">
        <v>1208</v>
      </c>
      <c r="H42" s="7"/>
    </row>
    <row r="43" spans="1:8" ht="17.100000000000001" customHeight="1" x14ac:dyDescent="0.25">
      <c r="A43" s="6" t="s">
        <v>899</v>
      </c>
      <c r="B43" s="6" t="s">
        <v>28</v>
      </c>
      <c r="C43" s="6" t="s">
        <v>95</v>
      </c>
      <c r="D43" s="6" t="s">
        <v>152</v>
      </c>
      <c r="E43" s="6" t="s">
        <v>1218</v>
      </c>
      <c r="F43" s="7" t="s">
        <v>901</v>
      </c>
      <c r="G43" s="7" t="s">
        <v>1208</v>
      </c>
      <c r="H43" s="7"/>
    </row>
    <row r="44" spans="1:8" ht="17.100000000000001" customHeight="1" x14ac:dyDescent="0.25">
      <c r="A44" s="6"/>
      <c r="B44" s="6"/>
      <c r="C44" s="6"/>
      <c r="D44" s="6"/>
      <c r="E44" s="6"/>
      <c r="F44" s="7"/>
      <c r="G44" s="7"/>
      <c r="H44" s="7"/>
    </row>
    <row r="45" spans="1:8" ht="17.100000000000001" customHeight="1" x14ac:dyDescent="0.25">
      <c r="A45" s="6" t="s">
        <v>902</v>
      </c>
      <c r="B45" s="6" t="s">
        <v>34</v>
      </c>
      <c r="C45" s="6" t="s">
        <v>95</v>
      </c>
      <c r="D45" s="6" t="s">
        <v>255</v>
      </c>
      <c r="E45" s="6" t="s">
        <v>1217</v>
      </c>
      <c r="F45" s="7" t="s">
        <v>735</v>
      </c>
      <c r="G45" s="7" t="s">
        <v>1208</v>
      </c>
      <c r="H45" s="7"/>
    </row>
    <row r="46" spans="1:8" ht="17.100000000000001" customHeight="1" x14ac:dyDescent="0.25">
      <c r="A46" s="6" t="s">
        <v>896</v>
      </c>
      <c r="B46" s="6" t="s">
        <v>35</v>
      </c>
      <c r="C46" s="6" t="s">
        <v>95</v>
      </c>
      <c r="D46" s="6" t="s">
        <v>255</v>
      </c>
      <c r="E46" s="6" t="s">
        <v>1218</v>
      </c>
      <c r="F46" s="7" t="s">
        <v>897</v>
      </c>
      <c r="G46" s="7" t="s">
        <v>1208</v>
      </c>
      <c r="H46" s="7"/>
    </row>
    <row r="47" spans="1:8" ht="17.100000000000001" customHeight="1" x14ac:dyDescent="0.25">
      <c r="A47" s="6" t="s">
        <v>896</v>
      </c>
      <c r="B47" s="6" t="s">
        <v>35</v>
      </c>
      <c r="C47" s="6" t="s">
        <v>95</v>
      </c>
      <c r="D47" s="6" t="s">
        <v>255</v>
      </c>
      <c r="E47" s="6" t="s">
        <v>1218</v>
      </c>
      <c r="F47" s="7" t="s">
        <v>898</v>
      </c>
      <c r="G47" s="7" t="s">
        <v>1208</v>
      </c>
      <c r="H47" s="7"/>
    </row>
    <row r="48" spans="1:8" ht="17.100000000000001" customHeight="1" x14ac:dyDescent="0.25">
      <c r="A48" s="15"/>
      <c r="B48" s="15"/>
      <c r="C48" s="15"/>
      <c r="D48" s="15"/>
      <c r="E48" s="15"/>
      <c r="F48" s="16"/>
      <c r="G48" s="16"/>
      <c r="H48" s="16"/>
    </row>
    <row r="49" spans="1:8" ht="17.100000000000001" customHeight="1" x14ac:dyDescent="0.25">
      <c r="A49" s="6" t="s">
        <v>840</v>
      </c>
      <c r="B49" s="6" t="s">
        <v>1189</v>
      </c>
      <c r="C49" s="6" t="s">
        <v>95</v>
      </c>
      <c r="D49" s="6" t="s">
        <v>96</v>
      </c>
      <c r="E49" s="6" t="s">
        <v>1218</v>
      </c>
      <c r="F49" s="7" t="s">
        <v>839</v>
      </c>
      <c r="G49" s="7" t="s">
        <v>1208</v>
      </c>
      <c r="H49" s="7" t="s">
        <v>1229</v>
      </c>
    </row>
    <row r="50" spans="1:8" ht="17.100000000000001" customHeight="1" x14ac:dyDescent="0.25">
      <c r="A50" s="6" t="s">
        <v>845</v>
      </c>
      <c r="B50" s="6" t="s">
        <v>1191</v>
      </c>
      <c r="C50" s="6" t="s">
        <v>95</v>
      </c>
      <c r="D50" s="6" t="s">
        <v>96</v>
      </c>
      <c r="E50" s="6" t="s">
        <v>1218</v>
      </c>
      <c r="F50" s="7" t="s">
        <v>844</v>
      </c>
      <c r="G50" s="7" t="s">
        <v>1208</v>
      </c>
      <c r="H50" s="7"/>
    </row>
    <row r="51" spans="1:8" ht="17.100000000000001" customHeight="1" x14ac:dyDescent="0.25">
      <c r="A51" s="6" t="s">
        <v>718</v>
      </c>
      <c r="B51" s="6" t="s">
        <v>424</v>
      </c>
      <c r="C51" s="6" t="s">
        <v>95</v>
      </c>
      <c r="D51" s="6" t="s">
        <v>96</v>
      </c>
      <c r="E51" s="6" t="s">
        <v>1218</v>
      </c>
      <c r="F51" s="7" t="s">
        <v>722</v>
      </c>
      <c r="G51" s="7" t="s">
        <v>1208</v>
      </c>
      <c r="H51" s="7"/>
    </row>
    <row r="52" spans="1:8" ht="17.100000000000001" customHeight="1" x14ac:dyDescent="0.25">
      <c r="A52" s="6" t="s">
        <v>788</v>
      </c>
      <c r="B52" s="6" t="s">
        <v>787</v>
      </c>
      <c r="C52" s="6" t="s">
        <v>95</v>
      </c>
      <c r="D52" s="6" t="s">
        <v>96</v>
      </c>
      <c r="E52" s="6" t="s">
        <v>1217</v>
      </c>
      <c r="F52" s="7" t="s">
        <v>786</v>
      </c>
      <c r="G52" s="7" t="s">
        <v>1208</v>
      </c>
      <c r="H52" s="7"/>
    </row>
    <row r="53" spans="1:8" ht="17.100000000000001" customHeight="1" x14ac:dyDescent="0.25">
      <c r="A53" s="6" t="s">
        <v>788</v>
      </c>
      <c r="B53" s="6" t="s">
        <v>787</v>
      </c>
      <c r="C53" s="6" t="s">
        <v>95</v>
      </c>
      <c r="D53" s="6" t="s">
        <v>96</v>
      </c>
      <c r="E53" s="6" t="s">
        <v>1218</v>
      </c>
      <c r="F53" s="7" t="s">
        <v>910</v>
      </c>
      <c r="G53" s="7" t="s">
        <v>1208</v>
      </c>
      <c r="H53" s="7"/>
    </row>
    <row r="54" spans="1:8" ht="17.100000000000001" customHeight="1" x14ac:dyDescent="0.25">
      <c r="A54" s="6" t="s">
        <v>921</v>
      </c>
      <c r="B54" s="6" t="s">
        <v>432</v>
      </c>
      <c r="C54" s="6" t="s">
        <v>95</v>
      </c>
      <c r="D54" s="6" t="s">
        <v>96</v>
      </c>
      <c r="E54" s="6" t="s">
        <v>1218</v>
      </c>
      <c r="F54" s="7" t="s">
        <v>939</v>
      </c>
      <c r="G54" s="7" t="s">
        <v>1208</v>
      </c>
      <c r="H54" s="7"/>
    </row>
    <row r="55" spans="1:8" ht="17.100000000000001" customHeight="1" x14ac:dyDescent="0.25">
      <c r="A55" s="6" t="s">
        <v>939</v>
      </c>
      <c r="B55" s="6" t="s">
        <v>432</v>
      </c>
      <c r="C55" s="6" t="s">
        <v>95</v>
      </c>
      <c r="D55" s="6" t="s">
        <v>96</v>
      </c>
      <c r="E55" s="6" t="s">
        <v>1218</v>
      </c>
      <c r="F55" s="7" t="s">
        <v>983</v>
      </c>
      <c r="G55" s="7" t="s">
        <v>1208</v>
      </c>
      <c r="H55" s="7"/>
    </row>
    <row r="56" spans="1:8" ht="17.100000000000001" customHeight="1" x14ac:dyDescent="0.25">
      <c r="A56" s="6" t="s">
        <v>983</v>
      </c>
      <c r="B56" s="6" t="s">
        <v>432</v>
      </c>
      <c r="C56" s="6" t="s">
        <v>95</v>
      </c>
      <c r="D56" s="6" t="s">
        <v>96</v>
      </c>
      <c r="E56" s="6" t="s">
        <v>1218</v>
      </c>
      <c r="F56" s="7" t="s">
        <v>985</v>
      </c>
      <c r="G56" s="7" t="s">
        <v>1208</v>
      </c>
      <c r="H56" s="7"/>
    </row>
    <row r="57" spans="1:8" ht="17.100000000000001" customHeight="1" x14ac:dyDescent="0.25">
      <c r="A57" s="6" t="s">
        <v>985</v>
      </c>
      <c r="B57" s="6" t="s">
        <v>432</v>
      </c>
      <c r="C57" s="6" t="s">
        <v>95</v>
      </c>
      <c r="D57" s="6" t="s">
        <v>96</v>
      </c>
      <c r="E57" s="6" t="s">
        <v>1218</v>
      </c>
      <c r="F57" s="7" t="s">
        <v>708</v>
      </c>
      <c r="G57" s="7" t="s">
        <v>1208</v>
      </c>
      <c r="H57" s="7"/>
    </row>
    <row r="58" spans="1:8" ht="17.100000000000001" customHeight="1" x14ac:dyDescent="0.25">
      <c r="A58" s="6" t="s">
        <v>920</v>
      </c>
      <c r="B58" s="6" t="s">
        <v>432</v>
      </c>
      <c r="C58" s="6" t="s">
        <v>95</v>
      </c>
      <c r="D58" s="6" t="s">
        <v>96</v>
      </c>
      <c r="E58" s="6" t="s">
        <v>1218</v>
      </c>
      <c r="F58" s="7" t="s">
        <v>922</v>
      </c>
      <c r="G58" s="7" t="s">
        <v>1208</v>
      </c>
      <c r="H58" s="7"/>
    </row>
    <row r="59" spans="1:8" ht="17.100000000000001" customHeight="1" x14ac:dyDescent="0.25">
      <c r="A59" s="6" t="s">
        <v>843</v>
      </c>
      <c r="B59" s="6" t="s">
        <v>842</v>
      </c>
      <c r="C59" s="6" t="s">
        <v>95</v>
      </c>
      <c r="D59" s="6" t="s">
        <v>96</v>
      </c>
      <c r="E59" s="6" t="s">
        <v>1218</v>
      </c>
      <c r="F59" s="7" t="s">
        <v>841</v>
      </c>
      <c r="G59" s="7" t="s">
        <v>1208</v>
      </c>
      <c r="H59" s="7"/>
    </row>
    <row r="60" spans="1:8" ht="17.100000000000001" customHeight="1" x14ac:dyDescent="0.25">
      <c r="A60" s="6" t="s">
        <v>681</v>
      </c>
      <c r="B60" s="6" t="s">
        <v>680</v>
      </c>
      <c r="C60" s="6" t="s">
        <v>95</v>
      </c>
      <c r="D60" s="6" t="s">
        <v>96</v>
      </c>
      <c r="E60" s="6" t="s">
        <v>1218</v>
      </c>
      <c r="F60" s="7" t="s">
        <v>824</v>
      </c>
      <c r="G60" s="7" t="s">
        <v>1208</v>
      </c>
      <c r="H60" s="7"/>
    </row>
    <row r="61" spans="1:8" ht="17.100000000000001" customHeight="1" x14ac:dyDescent="0.25">
      <c r="A61" s="7" t="s">
        <v>916</v>
      </c>
      <c r="B61" s="6" t="s">
        <v>915</v>
      </c>
      <c r="C61" s="6" t="s">
        <v>95</v>
      </c>
      <c r="D61" s="6" t="s">
        <v>96</v>
      </c>
      <c r="E61" s="6" t="s">
        <v>1218</v>
      </c>
      <c r="F61" s="6" t="s">
        <v>914</v>
      </c>
      <c r="G61" s="7" t="s">
        <v>1208</v>
      </c>
      <c r="H61" s="7"/>
    </row>
    <row r="62" spans="1:8" ht="17.100000000000001" customHeight="1" x14ac:dyDescent="0.25">
      <c r="A62" s="6" t="s">
        <v>916</v>
      </c>
      <c r="B62" s="6" t="s">
        <v>915</v>
      </c>
      <c r="C62" s="6" t="s">
        <v>95</v>
      </c>
      <c r="D62" s="6" t="s">
        <v>96</v>
      </c>
      <c r="E62" s="6" t="s">
        <v>1217</v>
      </c>
      <c r="F62" s="7" t="s">
        <v>950</v>
      </c>
      <c r="G62" s="7" t="s">
        <v>1208</v>
      </c>
      <c r="H62" s="7"/>
    </row>
    <row r="63" spans="1:8" ht="17.100000000000001" customHeight="1" x14ac:dyDescent="0.25">
      <c r="A63" s="7" t="s">
        <v>932</v>
      </c>
      <c r="B63" s="6" t="s">
        <v>931</v>
      </c>
      <c r="C63" s="6" t="s">
        <v>95</v>
      </c>
      <c r="D63" s="6" t="s">
        <v>96</v>
      </c>
      <c r="E63" s="6" t="s">
        <v>1218</v>
      </c>
      <c r="F63" s="6" t="s">
        <v>930</v>
      </c>
      <c r="G63" s="7" t="s">
        <v>1208</v>
      </c>
      <c r="H63" s="7"/>
    </row>
    <row r="64" spans="1:8" ht="17.100000000000001" customHeight="1" x14ac:dyDescent="0.25">
      <c r="A64" s="6" t="s">
        <v>1006</v>
      </c>
      <c r="B64" s="6" t="s">
        <v>456</v>
      </c>
      <c r="C64" s="6" t="s">
        <v>95</v>
      </c>
      <c r="D64" s="6" t="s">
        <v>96</v>
      </c>
      <c r="E64" s="6" t="s">
        <v>1217</v>
      </c>
      <c r="F64" s="7" t="s">
        <v>503</v>
      </c>
      <c r="G64" s="7" t="s">
        <v>1208</v>
      </c>
      <c r="H64" s="7"/>
    </row>
    <row r="65" spans="1:8" ht="17.100000000000001" customHeight="1" x14ac:dyDescent="0.25">
      <c r="A65" s="6" t="s">
        <v>848</v>
      </c>
      <c r="B65" s="6" t="s">
        <v>847</v>
      </c>
      <c r="C65" s="6" t="s">
        <v>95</v>
      </c>
      <c r="D65" s="6" t="s">
        <v>96</v>
      </c>
      <c r="E65" s="6" t="s">
        <v>1218</v>
      </c>
      <c r="F65" s="7" t="s">
        <v>846</v>
      </c>
      <c r="G65" s="7" t="s">
        <v>1208</v>
      </c>
      <c r="H65" s="7"/>
    </row>
    <row r="66" spans="1:8" ht="17.100000000000001" customHeight="1" x14ac:dyDescent="0.25">
      <c r="A66" s="6" t="s">
        <v>854</v>
      </c>
      <c r="B66" s="6" t="s">
        <v>853</v>
      </c>
      <c r="C66" s="6" t="s">
        <v>95</v>
      </c>
      <c r="D66" s="6" t="s">
        <v>96</v>
      </c>
      <c r="E66" s="6" t="s">
        <v>1218</v>
      </c>
      <c r="F66" s="7" t="s">
        <v>852</v>
      </c>
      <c r="G66" s="7" t="s">
        <v>1208</v>
      </c>
      <c r="H66" s="7"/>
    </row>
    <row r="67" spans="1:8" ht="17.100000000000001" customHeight="1" x14ac:dyDescent="0.25">
      <c r="A67" s="6" t="s">
        <v>857</v>
      </c>
      <c r="B67" s="6" t="s">
        <v>856</v>
      </c>
      <c r="C67" s="6" t="s">
        <v>95</v>
      </c>
      <c r="D67" s="6" t="s">
        <v>96</v>
      </c>
      <c r="E67" s="6" t="s">
        <v>1218</v>
      </c>
      <c r="F67" s="7" t="s">
        <v>855</v>
      </c>
      <c r="G67" s="7" t="s">
        <v>1208</v>
      </c>
      <c r="H67" s="7"/>
    </row>
    <row r="68" spans="1:8" ht="17.100000000000001" customHeight="1" x14ac:dyDescent="0.25">
      <c r="A68" s="6" t="s">
        <v>1019</v>
      </c>
      <c r="B68" s="6" t="s">
        <v>1020</v>
      </c>
      <c r="C68" s="6" t="s">
        <v>95</v>
      </c>
      <c r="D68" s="6" t="s">
        <v>96</v>
      </c>
      <c r="E68" s="6" t="s">
        <v>1218</v>
      </c>
      <c r="F68" s="7" t="s">
        <v>1021</v>
      </c>
      <c r="G68" s="7" t="s">
        <v>1208</v>
      </c>
      <c r="H68" s="7"/>
    </row>
    <row r="69" spans="1:8" ht="17.100000000000001" customHeight="1" x14ac:dyDescent="0.25">
      <c r="A69" s="6" t="s">
        <v>1026</v>
      </c>
      <c r="B69" s="6" t="s">
        <v>1027</v>
      </c>
      <c r="C69" s="6" t="s">
        <v>95</v>
      </c>
      <c r="D69" s="6" t="s">
        <v>96</v>
      </c>
      <c r="E69" s="6" t="s">
        <v>1218</v>
      </c>
      <c r="F69" s="7" t="s">
        <v>1028</v>
      </c>
      <c r="G69" s="7" t="s">
        <v>1208</v>
      </c>
      <c r="H69" s="7"/>
    </row>
    <row r="70" spans="1:8" ht="17.100000000000001" customHeight="1" x14ac:dyDescent="0.25">
      <c r="A70" s="6" t="s">
        <v>957</v>
      </c>
      <c r="B70" s="6" t="s">
        <v>958</v>
      </c>
      <c r="C70" s="6" t="s">
        <v>95</v>
      </c>
      <c r="D70" s="6" t="s">
        <v>96</v>
      </c>
      <c r="E70" s="6" t="s">
        <v>1218</v>
      </c>
      <c r="F70" s="7" t="s">
        <v>959</v>
      </c>
      <c r="G70" s="7" t="s">
        <v>1208</v>
      </c>
      <c r="H70" s="7"/>
    </row>
    <row r="71" spans="1:8" ht="17.100000000000001" customHeight="1" x14ac:dyDescent="0.25">
      <c r="A71" s="15"/>
      <c r="B71" s="15"/>
      <c r="C71" s="15"/>
      <c r="D71" s="15"/>
      <c r="E71" s="15"/>
      <c r="F71" s="16"/>
      <c r="G71" s="16"/>
      <c r="H71" s="16"/>
    </row>
    <row r="72" spans="1:8" ht="17.100000000000001" customHeight="1" x14ac:dyDescent="0.25">
      <c r="A72" s="6" t="s">
        <v>859</v>
      </c>
      <c r="B72" s="6" t="s">
        <v>1190</v>
      </c>
      <c r="C72" s="6" t="s">
        <v>95</v>
      </c>
      <c r="D72" s="6" t="s">
        <v>96</v>
      </c>
      <c r="E72" s="6" t="s">
        <v>1218</v>
      </c>
      <c r="F72" s="7" t="s">
        <v>858</v>
      </c>
      <c r="G72" s="7" t="s">
        <v>1208</v>
      </c>
      <c r="H72" s="7" t="s">
        <v>1228</v>
      </c>
    </row>
    <row r="73" spans="1:8" ht="17.100000000000001" customHeight="1" x14ac:dyDescent="0.25">
      <c r="A73" s="6" t="s">
        <v>861</v>
      </c>
      <c r="B73" s="6" t="s">
        <v>1192</v>
      </c>
      <c r="C73" s="6" t="s">
        <v>95</v>
      </c>
      <c r="D73" s="6" t="s">
        <v>96</v>
      </c>
      <c r="E73" s="6" t="s">
        <v>1218</v>
      </c>
      <c r="F73" s="7" t="s">
        <v>860</v>
      </c>
      <c r="G73" s="7" t="s">
        <v>1208</v>
      </c>
      <c r="H73" s="7"/>
    </row>
    <row r="74" spans="1:8" ht="17.100000000000001" customHeight="1" x14ac:dyDescent="0.25">
      <c r="A74" s="6" t="s">
        <v>942</v>
      </c>
      <c r="B74" s="6" t="s">
        <v>1159</v>
      </c>
      <c r="C74" s="6" t="s">
        <v>95</v>
      </c>
      <c r="D74" s="6" t="s">
        <v>96</v>
      </c>
      <c r="E74" s="6" t="s">
        <v>1218</v>
      </c>
      <c r="F74" s="7" t="s">
        <v>943</v>
      </c>
      <c r="G74" s="7" t="s">
        <v>1208</v>
      </c>
      <c r="H74" s="7"/>
    </row>
    <row r="75" spans="1:8" ht="17.100000000000001" customHeight="1" x14ac:dyDescent="0.25">
      <c r="A75" s="6" t="s">
        <v>951</v>
      </c>
      <c r="B75" s="6" t="s">
        <v>1159</v>
      </c>
      <c r="C75" s="6" t="s">
        <v>95</v>
      </c>
      <c r="D75" s="6" t="s">
        <v>96</v>
      </c>
      <c r="E75" s="6" t="s">
        <v>1217</v>
      </c>
      <c r="F75" s="7" t="s">
        <v>952</v>
      </c>
      <c r="G75" s="7" t="s">
        <v>1208</v>
      </c>
      <c r="H75" s="7"/>
    </row>
    <row r="76" spans="1:8" ht="17.100000000000001" customHeight="1" x14ac:dyDescent="0.25">
      <c r="A76" s="6" t="s">
        <v>943</v>
      </c>
      <c r="B76" s="6" t="s">
        <v>1159</v>
      </c>
      <c r="C76" s="6" t="s">
        <v>95</v>
      </c>
      <c r="D76" s="6" t="s">
        <v>96</v>
      </c>
      <c r="E76" s="6" t="s">
        <v>1218</v>
      </c>
      <c r="F76" s="7" t="s">
        <v>960</v>
      </c>
      <c r="G76" s="7" t="s">
        <v>1208</v>
      </c>
      <c r="H76" s="7"/>
    </row>
    <row r="77" spans="1:8" ht="17.100000000000001" customHeight="1" x14ac:dyDescent="0.25">
      <c r="A77" s="6" t="s">
        <v>720</v>
      </c>
      <c r="B77" s="6" t="s">
        <v>1159</v>
      </c>
      <c r="C77" s="6" t="s">
        <v>95</v>
      </c>
      <c r="D77" s="6" t="s">
        <v>96</v>
      </c>
      <c r="E77" s="6" t="s">
        <v>1218</v>
      </c>
      <c r="F77" s="7" t="s">
        <v>725</v>
      </c>
      <c r="G77" s="7" t="s">
        <v>1208</v>
      </c>
      <c r="H77" s="7"/>
    </row>
    <row r="78" spans="1:8" ht="17.100000000000001" customHeight="1" x14ac:dyDescent="0.25">
      <c r="A78" s="6" t="s">
        <v>1007</v>
      </c>
      <c r="B78" s="6" t="s">
        <v>1159</v>
      </c>
      <c r="C78" s="6" t="s">
        <v>95</v>
      </c>
      <c r="D78" s="6" t="s">
        <v>96</v>
      </c>
      <c r="E78" s="6" t="s">
        <v>1217</v>
      </c>
      <c r="F78" s="7" t="s">
        <v>746</v>
      </c>
      <c r="G78" s="7" t="s">
        <v>1208</v>
      </c>
      <c r="H78" s="7"/>
    </row>
    <row r="79" spans="1:8" ht="17.100000000000001" customHeight="1" x14ac:dyDescent="0.25">
      <c r="A79" s="6" t="s">
        <v>1022</v>
      </c>
      <c r="B79" s="6" t="s">
        <v>1159</v>
      </c>
      <c r="C79" s="6" t="s">
        <v>95</v>
      </c>
      <c r="D79" s="6" t="s">
        <v>96</v>
      </c>
      <c r="E79" s="6" t="s">
        <v>1217</v>
      </c>
      <c r="F79" s="7" t="s">
        <v>745</v>
      </c>
      <c r="G79" s="7" t="s">
        <v>1208</v>
      </c>
      <c r="H79" s="7"/>
    </row>
    <row r="80" spans="1:8" ht="17.100000000000001" customHeight="1" x14ac:dyDescent="0.25">
      <c r="A80" s="6" t="s">
        <v>779</v>
      </c>
      <c r="B80" s="6" t="s">
        <v>674</v>
      </c>
      <c r="C80" s="6" t="s">
        <v>95</v>
      </c>
      <c r="D80" s="6" t="s">
        <v>96</v>
      </c>
      <c r="E80" s="6" t="s">
        <v>1217</v>
      </c>
      <c r="F80" s="7" t="s">
        <v>778</v>
      </c>
      <c r="G80" s="7" t="s">
        <v>1208</v>
      </c>
      <c r="H80" s="7"/>
    </row>
    <row r="81" spans="1:8" ht="17.100000000000001" customHeight="1" x14ac:dyDescent="0.25">
      <c r="A81" s="6" t="s">
        <v>923</v>
      </c>
      <c r="B81" s="6" t="s">
        <v>674</v>
      </c>
      <c r="C81" s="6" t="s">
        <v>95</v>
      </c>
      <c r="D81" s="6" t="s">
        <v>96</v>
      </c>
      <c r="E81" s="6" t="s">
        <v>1218</v>
      </c>
      <c r="F81" s="7" t="s">
        <v>940</v>
      </c>
      <c r="G81" s="7" t="s">
        <v>1208</v>
      </c>
      <c r="H81" s="7"/>
    </row>
    <row r="82" spans="1:8" ht="17.100000000000001" customHeight="1" x14ac:dyDescent="0.25">
      <c r="A82" s="6" t="s">
        <v>940</v>
      </c>
      <c r="B82" s="6" t="s">
        <v>674</v>
      </c>
      <c r="C82" s="6" t="s">
        <v>95</v>
      </c>
      <c r="D82" s="6" t="s">
        <v>96</v>
      </c>
      <c r="E82" s="6" t="s">
        <v>1218</v>
      </c>
      <c r="F82" s="7" t="s">
        <v>984</v>
      </c>
      <c r="G82" s="7" t="s">
        <v>1208</v>
      </c>
      <c r="H82" s="7"/>
    </row>
    <row r="83" spans="1:8" ht="17.100000000000001" customHeight="1" x14ac:dyDescent="0.25">
      <c r="A83" s="6" t="s">
        <v>984</v>
      </c>
      <c r="B83" s="6" t="s">
        <v>674</v>
      </c>
      <c r="C83" s="6" t="s">
        <v>95</v>
      </c>
      <c r="D83" s="6" t="s">
        <v>96</v>
      </c>
      <c r="E83" s="6" t="s">
        <v>1218</v>
      </c>
      <c r="F83" s="7" t="s">
        <v>986</v>
      </c>
      <c r="G83" s="7" t="s">
        <v>1208</v>
      </c>
      <c r="H83" s="7"/>
    </row>
    <row r="84" spans="1:8" ht="17.100000000000001" customHeight="1" x14ac:dyDescent="0.25">
      <c r="A84" s="6" t="s">
        <v>986</v>
      </c>
      <c r="B84" s="6" t="s">
        <v>674</v>
      </c>
      <c r="C84" s="6" t="s">
        <v>95</v>
      </c>
      <c r="D84" s="6" t="s">
        <v>96</v>
      </c>
      <c r="E84" s="6" t="s">
        <v>1218</v>
      </c>
      <c r="F84" s="7" t="s">
        <v>709</v>
      </c>
      <c r="G84" s="7" t="s">
        <v>1208</v>
      </c>
      <c r="H84" s="7"/>
    </row>
    <row r="85" spans="1:8" ht="17.100000000000001" customHeight="1" x14ac:dyDescent="0.25">
      <c r="A85" s="6" t="s">
        <v>864</v>
      </c>
      <c r="B85" s="6" t="s">
        <v>863</v>
      </c>
      <c r="C85" s="6" t="s">
        <v>95</v>
      </c>
      <c r="D85" s="6" t="s">
        <v>96</v>
      </c>
      <c r="E85" s="6" t="s">
        <v>1218</v>
      </c>
      <c r="F85" s="7" t="s">
        <v>862</v>
      </c>
      <c r="G85" s="7" t="s">
        <v>1208</v>
      </c>
      <c r="H85" s="7"/>
    </row>
    <row r="86" spans="1:8" ht="17.100000000000001" customHeight="1" x14ac:dyDescent="0.25">
      <c r="A86" s="6" t="s">
        <v>867</v>
      </c>
      <c r="B86" s="6" t="s">
        <v>866</v>
      </c>
      <c r="C86" s="6" t="s">
        <v>95</v>
      </c>
      <c r="D86" s="6" t="s">
        <v>96</v>
      </c>
      <c r="E86" s="6" t="s">
        <v>1218</v>
      </c>
      <c r="F86" s="7" t="s">
        <v>865</v>
      </c>
      <c r="G86" s="7" t="s">
        <v>1208</v>
      </c>
      <c r="H86" s="7"/>
    </row>
    <row r="87" spans="1:8" ht="17.100000000000001" customHeight="1" x14ac:dyDescent="0.25">
      <c r="A87" s="6" t="s">
        <v>870</v>
      </c>
      <c r="B87" s="6" t="s">
        <v>869</v>
      </c>
      <c r="C87" s="6" t="s">
        <v>95</v>
      </c>
      <c r="D87" s="6" t="s">
        <v>96</v>
      </c>
      <c r="E87" s="6" t="s">
        <v>1218</v>
      </c>
      <c r="F87" s="7" t="s">
        <v>868</v>
      </c>
      <c r="G87" s="7" t="s">
        <v>1208</v>
      </c>
      <c r="H87" s="7"/>
    </row>
    <row r="88" spans="1:8" ht="17.100000000000001" customHeight="1" x14ac:dyDescent="0.25">
      <c r="A88" s="15"/>
      <c r="B88" s="15"/>
      <c r="C88" s="15"/>
      <c r="D88" s="15"/>
      <c r="E88" s="15"/>
      <c r="F88" s="16"/>
      <c r="G88" s="16"/>
      <c r="H88" s="16"/>
    </row>
    <row r="89" spans="1:8" ht="17.100000000000001" customHeight="1" x14ac:dyDescent="0.25">
      <c r="A89" s="6" t="s">
        <v>1017</v>
      </c>
      <c r="B89" s="6" t="s">
        <v>1018</v>
      </c>
      <c r="C89" s="6" t="s">
        <v>95</v>
      </c>
      <c r="D89" s="6" t="s">
        <v>96</v>
      </c>
      <c r="E89" s="6"/>
      <c r="F89" s="7" t="s">
        <v>789</v>
      </c>
      <c r="G89" s="7" t="s">
        <v>1208</v>
      </c>
      <c r="H89" s="7" t="s">
        <v>1227</v>
      </c>
    </row>
    <row r="90" spans="1:8" ht="17.100000000000001" customHeight="1" x14ac:dyDescent="0.25">
      <c r="A90" s="6" t="s">
        <v>924</v>
      </c>
      <c r="B90" s="6" t="s">
        <v>36</v>
      </c>
      <c r="C90" s="6" t="s">
        <v>95</v>
      </c>
      <c r="D90" s="6" t="s">
        <v>96</v>
      </c>
      <c r="E90" s="6"/>
      <c r="F90" s="7" t="s">
        <v>925</v>
      </c>
      <c r="G90" s="7" t="s">
        <v>1208</v>
      </c>
      <c r="H90" s="7"/>
    </row>
    <row r="91" spans="1:8" ht="17.100000000000001" customHeight="1" x14ac:dyDescent="0.25">
      <c r="A91" s="6" t="s">
        <v>924</v>
      </c>
      <c r="B91" s="6" t="s">
        <v>36</v>
      </c>
      <c r="C91" s="6" t="s">
        <v>95</v>
      </c>
      <c r="D91" s="6" t="s">
        <v>96</v>
      </c>
      <c r="E91" s="6"/>
      <c r="F91" s="7" t="s">
        <v>747</v>
      </c>
      <c r="G91" s="7" t="s">
        <v>1208</v>
      </c>
      <c r="H91" s="7"/>
    </row>
    <row r="92" spans="1:8" ht="17.100000000000001" customHeight="1" x14ac:dyDescent="0.25">
      <c r="A92" s="6" t="s">
        <v>945</v>
      </c>
      <c r="B92" s="6" t="s">
        <v>36</v>
      </c>
      <c r="C92" s="6" t="s">
        <v>95</v>
      </c>
      <c r="D92" s="6" t="s">
        <v>96</v>
      </c>
      <c r="E92" s="6"/>
      <c r="F92" s="7" t="s">
        <v>947</v>
      </c>
      <c r="G92" s="7" t="s">
        <v>1208</v>
      </c>
      <c r="H92" s="7"/>
    </row>
    <row r="93" spans="1:8" ht="17.100000000000001" customHeight="1" x14ac:dyDescent="0.25">
      <c r="A93" s="6" t="s">
        <v>965</v>
      </c>
      <c r="B93" s="6" t="s">
        <v>36</v>
      </c>
      <c r="C93" s="6" t="s">
        <v>95</v>
      </c>
      <c r="D93" s="6" t="s">
        <v>96</v>
      </c>
      <c r="E93" s="6"/>
      <c r="F93" s="7" t="s">
        <v>966</v>
      </c>
      <c r="G93" s="7" t="s">
        <v>1208</v>
      </c>
      <c r="H93" s="7"/>
    </row>
    <row r="94" spans="1:8" ht="17.100000000000001" customHeight="1" x14ac:dyDescent="0.25">
      <c r="A94" s="6" t="s">
        <v>990</v>
      </c>
      <c r="B94" s="6" t="s">
        <v>36</v>
      </c>
      <c r="C94" s="6" t="s">
        <v>95</v>
      </c>
      <c r="D94" s="6" t="s">
        <v>96</v>
      </c>
      <c r="E94" s="6"/>
      <c r="F94" s="7" t="s">
        <v>751</v>
      </c>
      <c r="G94" s="7" t="s">
        <v>1208</v>
      </c>
      <c r="H94" s="7"/>
    </row>
    <row r="95" spans="1:8" ht="17.100000000000001" customHeight="1" x14ac:dyDescent="0.25">
      <c r="A95" s="6" t="s">
        <v>966</v>
      </c>
      <c r="B95" s="6" t="s">
        <v>36</v>
      </c>
      <c r="C95" s="6" t="s">
        <v>95</v>
      </c>
      <c r="D95" s="6" t="s">
        <v>96</v>
      </c>
      <c r="E95" s="6"/>
      <c r="F95" s="7" t="s">
        <v>748</v>
      </c>
      <c r="G95" s="7" t="s">
        <v>1208</v>
      </c>
      <c r="H95" s="7"/>
    </row>
    <row r="96" spans="1:8" ht="17.100000000000001" customHeight="1" x14ac:dyDescent="0.25">
      <c r="A96" s="6" t="s">
        <v>768</v>
      </c>
      <c r="B96" s="6" t="s">
        <v>767</v>
      </c>
      <c r="C96" s="6" t="s">
        <v>95</v>
      </c>
      <c r="D96" s="6" t="s">
        <v>96</v>
      </c>
      <c r="E96" s="6"/>
      <c r="F96" s="7" t="s">
        <v>766</v>
      </c>
      <c r="G96" s="7" t="s">
        <v>1208</v>
      </c>
      <c r="H96" s="7"/>
    </row>
    <row r="97" spans="1:8" ht="17.100000000000001" customHeight="1" x14ac:dyDescent="0.25">
      <c r="A97" s="6" t="s">
        <v>917</v>
      </c>
      <c r="B97" s="6" t="s">
        <v>918</v>
      </c>
      <c r="C97" s="6" t="s">
        <v>95</v>
      </c>
      <c r="D97" s="6" t="s">
        <v>96</v>
      </c>
      <c r="E97" s="6"/>
      <c r="F97" s="7" t="s">
        <v>919</v>
      </c>
      <c r="G97" s="7" t="s">
        <v>1208</v>
      </c>
      <c r="H97" s="7"/>
    </row>
    <row r="98" spans="1:8" ht="17.100000000000001" customHeight="1" x14ac:dyDescent="0.25">
      <c r="A98" s="6" t="s">
        <v>919</v>
      </c>
      <c r="B98" s="6" t="s">
        <v>918</v>
      </c>
      <c r="C98" s="6" t="s">
        <v>95</v>
      </c>
      <c r="D98" s="6" t="s">
        <v>96</v>
      </c>
      <c r="E98" s="6"/>
      <c r="F98" s="7" t="s">
        <v>968</v>
      </c>
      <c r="G98" s="7" t="s">
        <v>1208</v>
      </c>
      <c r="H98" s="7"/>
    </row>
    <row r="99" spans="1:8" ht="17.100000000000001" customHeight="1" x14ac:dyDescent="0.25">
      <c r="A99" s="6" t="s">
        <v>851</v>
      </c>
      <c r="B99" s="6" t="s">
        <v>850</v>
      </c>
      <c r="C99" s="6" t="s">
        <v>95</v>
      </c>
      <c r="D99" s="6" t="s">
        <v>96</v>
      </c>
      <c r="E99" s="6"/>
      <c r="F99" s="7" t="s">
        <v>849</v>
      </c>
      <c r="G99" s="7" t="s">
        <v>1208</v>
      </c>
      <c r="H99" s="7"/>
    </row>
    <row r="100" spans="1:8" ht="17.100000000000001" customHeight="1" x14ac:dyDescent="0.25">
      <c r="A100" s="6" t="s">
        <v>922</v>
      </c>
      <c r="B100" s="6" t="s">
        <v>432</v>
      </c>
      <c r="C100" s="6" t="s">
        <v>95</v>
      </c>
      <c r="D100" s="6" t="s">
        <v>96</v>
      </c>
      <c r="E100" s="6"/>
      <c r="F100" s="7" t="s">
        <v>1010</v>
      </c>
      <c r="G100" s="7" t="s">
        <v>1208</v>
      </c>
      <c r="H100" s="7"/>
    </row>
    <row r="101" spans="1:8" ht="17.100000000000001" customHeight="1" x14ac:dyDescent="0.25">
      <c r="A101" s="6" t="s">
        <v>936</v>
      </c>
      <c r="B101" s="6" t="s">
        <v>937</v>
      </c>
      <c r="C101" s="6" t="s">
        <v>95</v>
      </c>
      <c r="D101" s="6" t="s">
        <v>96</v>
      </c>
      <c r="E101" s="6"/>
      <c r="F101" s="7" t="s">
        <v>938</v>
      </c>
      <c r="G101" s="7" t="s">
        <v>1208</v>
      </c>
      <c r="H101" s="7"/>
    </row>
    <row r="102" spans="1:8" ht="17.100000000000001" customHeight="1" x14ac:dyDescent="0.25">
      <c r="A102" s="6" t="s">
        <v>817</v>
      </c>
      <c r="B102" s="6" t="s">
        <v>816</v>
      </c>
      <c r="C102" s="6" t="s">
        <v>95</v>
      </c>
      <c r="D102" s="6" t="s">
        <v>96</v>
      </c>
      <c r="E102" s="6"/>
      <c r="F102" s="7" t="s">
        <v>815</v>
      </c>
      <c r="G102" s="7" t="s">
        <v>1208</v>
      </c>
      <c r="H102" s="7"/>
    </row>
    <row r="103" spans="1:8" ht="17.100000000000001" customHeight="1" x14ac:dyDescent="0.25">
      <c r="A103" s="6" t="s">
        <v>814</v>
      </c>
      <c r="B103" s="6" t="s">
        <v>813</v>
      </c>
      <c r="C103" s="6" t="s">
        <v>95</v>
      </c>
      <c r="D103" s="6" t="s">
        <v>96</v>
      </c>
      <c r="E103" s="6"/>
      <c r="F103" s="7" t="s">
        <v>812</v>
      </c>
      <c r="G103" s="7" t="s">
        <v>1208</v>
      </c>
      <c r="H103" s="7"/>
    </row>
    <row r="104" spans="1:8" ht="17.100000000000001" customHeight="1" x14ac:dyDescent="0.25">
      <c r="A104" s="6" t="s">
        <v>954</v>
      </c>
      <c r="B104" s="6" t="s">
        <v>955</v>
      </c>
      <c r="C104" s="6" t="s">
        <v>95</v>
      </c>
      <c r="D104" s="6" t="s">
        <v>96</v>
      </c>
      <c r="E104" s="6"/>
      <c r="F104" s="7" t="s">
        <v>956</v>
      </c>
      <c r="G104" s="7" t="s">
        <v>1208</v>
      </c>
      <c r="H104" s="7"/>
    </row>
    <row r="105" spans="1:8" ht="17.100000000000001" customHeight="1" x14ac:dyDescent="0.25">
      <c r="A105" s="6" t="s">
        <v>827</v>
      </c>
      <c r="B105" s="6" t="s">
        <v>826</v>
      </c>
      <c r="C105" s="6" t="s">
        <v>95</v>
      </c>
      <c r="D105" s="6" t="s">
        <v>96</v>
      </c>
      <c r="E105" s="6"/>
      <c r="F105" s="7" t="s">
        <v>825</v>
      </c>
      <c r="G105" s="7" t="s">
        <v>1208</v>
      </c>
      <c r="H105" s="7"/>
    </row>
    <row r="106" spans="1:8" ht="17.100000000000001" customHeight="1" x14ac:dyDescent="0.25">
      <c r="A106" s="6" t="s">
        <v>820</v>
      </c>
      <c r="B106" s="6" t="s">
        <v>819</v>
      </c>
      <c r="C106" s="6" t="s">
        <v>95</v>
      </c>
      <c r="D106" s="6" t="s">
        <v>96</v>
      </c>
      <c r="E106" s="6"/>
      <c r="F106" s="7" t="s">
        <v>818</v>
      </c>
      <c r="G106" s="7" t="s">
        <v>1208</v>
      </c>
      <c r="H106" s="7"/>
    </row>
    <row r="107" spans="1:8" ht="17.100000000000001" customHeight="1" x14ac:dyDescent="0.25">
      <c r="A107" s="6" t="s">
        <v>792</v>
      </c>
      <c r="B107" s="6" t="s">
        <v>791</v>
      </c>
      <c r="C107" s="6" t="s">
        <v>95</v>
      </c>
      <c r="D107" s="6" t="s">
        <v>96</v>
      </c>
      <c r="E107" s="6"/>
      <c r="F107" s="7" t="s">
        <v>790</v>
      </c>
      <c r="G107" s="7" t="s">
        <v>1208</v>
      </c>
      <c r="H107" s="7"/>
    </row>
    <row r="108" spans="1:8" ht="17.100000000000001" customHeight="1" x14ac:dyDescent="0.25">
      <c r="A108" s="6" t="s">
        <v>792</v>
      </c>
      <c r="B108" s="6" t="s">
        <v>791</v>
      </c>
      <c r="C108" s="6" t="s">
        <v>95</v>
      </c>
      <c r="D108" s="6" t="s">
        <v>96</v>
      </c>
      <c r="E108" s="6"/>
      <c r="F108" s="7" t="s">
        <v>982</v>
      </c>
      <c r="G108" s="7" t="s">
        <v>1208</v>
      </c>
      <c r="H108" s="7"/>
    </row>
    <row r="109" spans="1:8" ht="17.100000000000001" customHeight="1" x14ac:dyDescent="0.25">
      <c r="A109" s="6" t="s">
        <v>987</v>
      </c>
      <c r="B109" s="6" t="s">
        <v>988</v>
      </c>
      <c r="C109" s="6" t="s">
        <v>95</v>
      </c>
      <c r="D109" s="6" t="s">
        <v>96</v>
      </c>
      <c r="E109" s="6"/>
      <c r="F109" s="7" t="s">
        <v>989</v>
      </c>
      <c r="G109" s="7" t="s">
        <v>1208</v>
      </c>
      <c r="H109" s="7"/>
    </row>
    <row r="110" spans="1:8" ht="17.100000000000001" customHeight="1" x14ac:dyDescent="0.25">
      <c r="A110" s="6" t="s">
        <v>795</v>
      </c>
      <c r="B110" s="6" t="s">
        <v>794</v>
      </c>
      <c r="C110" s="6" t="s">
        <v>95</v>
      </c>
      <c r="D110" s="6" t="s">
        <v>96</v>
      </c>
      <c r="E110" s="6"/>
      <c r="F110" s="7" t="s">
        <v>793</v>
      </c>
      <c r="G110" s="7" t="s">
        <v>1208</v>
      </c>
      <c r="H110" s="7"/>
    </row>
    <row r="111" spans="1:8" ht="17.100000000000001" customHeight="1" x14ac:dyDescent="0.25">
      <c r="A111" s="6" t="s">
        <v>774</v>
      </c>
      <c r="B111" s="6" t="s">
        <v>773</v>
      </c>
      <c r="C111" s="6" t="s">
        <v>95</v>
      </c>
      <c r="D111" s="6" t="s">
        <v>96</v>
      </c>
      <c r="E111" s="6"/>
      <c r="F111" s="7" t="s">
        <v>772</v>
      </c>
      <c r="G111" s="7" t="s">
        <v>1208</v>
      </c>
      <c r="H111" s="7"/>
    </row>
    <row r="112" spans="1:8" ht="17.100000000000001" customHeight="1" x14ac:dyDescent="0.25">
      <c r="A112" s="6" t="s">
        <v>873</v>
      </c>
      <c r="B112" s="6" t="s">
        <v>872</v>
      </c>
      <c r="C112" s="6" t="s">
        <v>95</v>
      </c>
      <c r="D112" s="6" t="s">
        <v>96</v>
      </c>
      <c r="E112" s="6"/>
      <c r="F112" s="7" t="s">
        <v>871</v>
      </c>
      <c r="G112" s="7" t="s">
        <v>1208</v>
      </c>
      <c r="H112" s="7"/>
    </row>
    <row r="113" spans="1:8" ht="17.100000000000001" customHeight="1" x14ac:dyDescent="0.25">
      <c r="A113" s="6" t="s">
        <v>993</v>
      </c>
      <c r="B113" s="6" t="s">
        <v>994</v>
      </c>
      <c r="C113" s="6" t="s">
        <v>95</v>
      </c>
      <c r="D113" s="6" t="s">
        <v>96</v>
      </c>
      <c r="E113" s="6"/>
      <c r="F113" s="7" t="s">
        <v>995</v>
      </c>
      <c r="G113" s="7" t="s">
        <v>1208</v>
      </c>
      <c r="H113" s="7"/>
    </row>
    <row r="114" spans="1:8" ht="17.100000000000001" customHeight="1" x14ac:dyDescent="0.25">
      <c r="A114" s="6" t="s">
        <v>995</v>
      </c>
      <c r="B114" s="6" t="s">
        <v>994</v>
      </c>
      <c r="C114" s="6" t="s">
        <v>95</v>
      </c>
      <c r="D114" s="6" t="s">
        <v>96</v>
      </c>
      <c r="E114" s="6"/>
      <c r="F114" s="7" t="s">
        <v>1005</v>
      </c>
      <c r="G114" s="7" t="s">
        <v>1208</v>
      </c>
      <c r="H114" s="7"/>
    </row>
    <row r="115" spans="1:8" ht="17.100000000000001" customHeight="1" x14ac:dyDescent="0.25">
      <c r="A115" s="6" t="s">
        <v>1011</v>
      </c>
      <c r="B115" s="6" t="s">
        <v>1012</v>
      </c>
      <c r="C115" s="6" t="s">
        <v>95</v>
      </c>
      <c r="D115" s="6" t="s">
        <v>96</v>
      </c>
      <c r="E115" s="6"/>
      <c r="F115" s="7" t="s">
        <v>1013</v>
      </c>
      <c r="G115" s="7" t="s">
        <v>1208</v>
      </c>
      <c r="H115" s="7"/>
    </row>
    <row r="116" spans="1:8" ht="17.100000000000001" customHeight="1" x14ac:dyDescent="0.25">
      <c r="A116" s="6" t="s">
        <v>782</v>
      </c>
      <c r="B116" s="6" t="s">
        <v>781</v>
      </c>
      <c r="C116" s="6" t="s">
        <v>95</v>
      </c>
      <c r="D116" s="6" t="s">
        <v>96</v>
      </c>
      <c r="E116" s="6"/>
      <c r="F116" s="7" t="s">
        <v>780</v>
      </c>
      <c r="G116" s="7" t="s">
        <v>1208</v>
      </c>
      <c r="H116" s="7"/>
    </row>
    <row r="117" spans="1:8" ht="17.100000000000001" customHeight="1" x14ac:dyDescent="0.25">
      <c r="A117" s="6" t="s">
        <v>762</v>
      </c>
      <c r="B117" s="6" t="s">
        <v>761</v>
      </c>
      <c r="C117" s="6" t="s">
        <v>95</v>
      </c>
      <c r="D117" s="6" t="s">
        <v>96</v>
      </c>
      <c r="E117" s="6"/>
      <c r="F117" s="7" t="s">
        <v>760</v>
      </c>
      <c r="G117" s="7" t="s">
        <v>1208</v>
      </c>
      <c r="H117" s="7"/>
    </row>
    <row r="118" spans="1:8" ht="17.100000000000001" customHeight="1" x14ac:dyDescent="0.25">
      <c r="A118" s="6" t="s">
        <v>785</v>
      </c>
      <c r="B118" s="6" t="s">
        <v>784</v>
      </c>
      <c r="C118" s="6" t="s">
        <v>95</v>
      </c>
      <c r="D118" s="6" t="s">
        <v>96</v>
      </c>
      <c r="E118" s="6"/>
      <c r="F118" s="7" t="s">
        <v>783</v>
      </c>
      <c r="G118" s="7" t="s">
        <v>1208</v>
      </c>
      <c r="H118" s="7"/>
    </row>
    <row r="119" spans="1:8" ht="17.100000000000001" customHeight="1" x14ac:dyDescent="0.25">
      <c r="A119" s="6" t="s">
        <v>765</v>
      </c>
      <c r="B119" s="6" t="s">
        <v>764</v>
      </c>
      <c r="C119" s="6" t="s">
        <v>95</v>
      </c>
      <c r="D119" s="6" t="s">
        <v>96</v>
      </c>
      <c r="E119" s="6"/>
      <c r="F119" s="7" t="s">
        <v>763</v>
      </c>
      <c r="G119" s="7" t="s">
        <v>1208</v>
      </c>
      <c r="H119" s="7"/>
    </row>
    <row r="120" spans="1:8" ht="17.100000000000001" customHeight="1" x14ac:dyDescent="0.25">
      <c r="A120" s="6" t="s">
        <v>1014</v>
      </c>
      <c r="B120" s="6" t="s">
        <v>1015</v>
      </c>
      <c r="C120" s="6" t="s">
        <v>95</v>
      </c>
      <c r="D120" s="6" t="s">
        <v>96</v>
      </c>
      <c r="E120" s="6"/>
      <c r="F120" s="7" t="s">
        <v>1016</v>
      </c>
      <c r="G120" s="7" t="s">
        <v>1208</v>
      </c>
      <c r="H120" s="7"/>
    </row>
    <row r="121" spans="1:8" ht="17.100000000000001" customHeight="1" x14ac:dyDescent="0.25">
      <c r="A121" s="6" t="s">
        <v>972</v>
      </c>
      <c r="B121" s="6" t="s">
        <v>973</v>
      </c>
      <c r="C121" s="6" t="s">
        <v>95</v>
      </c>
      <c r="D121" s="6" t="s">
        <v>96</v>
      </c>
      <c r="E121" s="6"/>
      <c r="F121" s="7" t="s">
        <v>974</v>
      </c>
      <c r="G121" s="7" t="s">
        <v>1208</v>
      </c>
      <c r="H121" s="7"/>
    </row>
    <row r="122" spans="1:8" ht="17.100000000000001" customHeight="1" x14ac:dyDescent="0.25">
      <c r="A122" s="6" t="s">
        <v>926</v>
      </c>
      <c r="B122" s="6" t="s">
        <v>927</v>
      </c>
      <c r="C122" s="6" t="s">
        <v>95</v>
      </c>
      <c r="D122" s="6" t="s">
        <v>96</v>
      </c>
      <c r="E122" s="6"/>
      <c r="F122" s="7" t="s">
        <v>929</v>
      </c>
      <c r="G122" s="7" t="s">
        <v>1208</v>
      </c>
      <c r="H122" s="7"/>
    </row>
    <row r="123" spans="1:8" ht="17.100000000000001" customHeight="1" x14ac:dyDescent="0.25">
      <c r="A123" s="6" t="s">
        <v>1008</v>
      </c>
      <c r="B123" s="6" t="s">
        <v>770</v>
      </c>
      <c r="C123" s="6" t="s">
        <v>95</v>
      </c>
      <c r="D123" s="6" t="s">
        <v>96</v>
      </c>
      <c r="E123" s="6"/>
      <c r="F123" s="7" t="s">
        <v>1009</v>
      </c>
      <c r="G123" s="7" t="s">
        <v>1208</v>
      </c>
      <c r="H123" s="7"/>
    </row>
    <row r="124" spans="1:8" ht="17.100000000000001" customHeight="1" x14ac:dyDescent="0.25">
      <c r="A124" s="6" t="s">
        <v>978</v>
      </c>
      <c r="B124" s="6" t="s">
        <v>979</v>
      </c>
      <c r="C124" s="6" t="s">
        <v>95</v>
      </c>
      <c r="D124" s="6" t="s">
        <v>96</v>
      </c>
      <c r="E124" s="6"/>
      <c r="F124" s="7" t="s">
        <v>980</v>
      </c>
      <c r="G124" s="7" t="s">
        <v>1208</v>
      </c>
      <c r="H124" s="7"/>
    </row>
    <row r="125" spans="1:8" ht="17.100000000000001" customHeight="1" x14ac:dyDescent="0.25">
      <c r="A125" s="6" t="s">
        <v>999</v>
      </c>
      <c r="B125" s="6" t="s">
        <v>1000</v>
      </c>
      <c r="C125" s="6" t="s">
        <v>95</v>
      </c>
      <c r="D125" s="6" t="s">
        <v>96</v>
      </c>
      <c r="E125" s="6"/>
      <c r="F125" s="7" t="s">
        <v>1001</v>
      </c>
      <c r="G125" s="7" t="s">
        <v>1208</v>
      </c>
      <c r="H125" s="7"/>
    </row>
    <row r="126" spans="1:8" ht="17.100000000000001" customHeight="1" x14ac:dyDescent="0.25">
      <c r="A126" s="6" t="s">
        <v>991</v>
      </c>
      <c r="B126" s="6" t="s">
        <v>758</v>
      </c>
      <c r="C126" s="6" t="s">
        <v>95</v>
      </c>
      <c r="D126" s="6" t="s">
        <v>96</v>
      </c>
      <c r="E126" s="6"/>
      <c r="F126" s="7" t="s">
        <v>992</v>
      </c>
      <c r="G126" s="7" t="s">
        <v>1208</v>
      </c>
      <c r="H126" s="7"/>
    </row>
    <row r="127" spans="1:8" ht="17.100000000000001" customHeight="1" x14ac:dyDescent="0.25">
      <c r="A127" s="6" t="s">
        <v>992</v>
      </c>
      <c r="B127" s="6" t="s">
        <v>758</v>
      </c>
      <c r="C127" s="6" t="s">
        <v>95</v>
      </c>
      <c r="D127" s="6" t="s">
        <v>96</v>
      </c>
      <c r="E127" s="6"/>
      <c r="F127" s="7" t="s">
        <v>759</v>
      </c>
      <c r="G127" s="7" t="s">
        <v>1208</v>
      </c>
      <c r="H127" s="7"/>
    </row>
    <row r="128" spans="1:8" ht="17.100000000000001" customHeight="1" x14ac:dyDescent="0.25">
      <c r="A128" s="6" t="s">
        <v>1002</v>
      </c>
      <c r="B128" s="6" t="s">
        <v>1003</v>
      </c>
      <c r="C128" s="6" t="s">
        <v>95</v>
      </c>
      <c r="D128" s="6" t="s">
        <v>96</v>
      </c>
      <c r="E128" s="6"/>
      <c r="F128" s="7" t="s">
        <v>1004</v>
      </c>
      <c r="G128" s="7" t="s">
        <v>1208</v>
      </c>
      <c r="H128" s="7"/>
    </row>
    <row r="129" spans="1:8" ht="17.100000000000001" customHeight="1" x14ac:dyDescent="0.25">
      <c r="A129" s="6" t="s">
        <v>907</v>
      </c>
      <c r="B129" s="6" t="s">
        <v>38</v>
      </c>
      <c r="C129" s="6" t="s">
        <v>95</v>
      </c>
      <c r="D129" s="6" t="s">
        <v>154</v>
      </c>
      <c r="E129" s="6"/>
      <c r="F129" s="7" t="s">
        <v>906</v>
      </c>
      <c r="G129" s="7" t="s">
        <v>1208</v>
      </c>
      <c r="H129" s="7"/>
    </row>
    <row r="130" spans="1:8" ht="17.100000000000001" customHeight="1" x14ac:dyDescent="0.25">
      <c r="A130" s="6" t="s">
        <v>996</v>
      </c>
      <c r="B130" s="6" t="s">
        <v>997</v>
      </c>
      <c r="C130" s="6" t="s">
        <v>95</v>
      </c>
      <c r="D130" s="6" t="s">
        <v>154</v>
      </c>
      <c r="E130" s="6"/>
      <c r="F130" s="7" t="s">
        <v>998</v>
      </c>
      <c r="G130" s="7" t="s">
        <v>1208</v>
      </c>
      <c r="H130" s="7"/>
    </row>
    <row r="131" spans="1:8" ht="17.100000000000001" customHeight="1" x14ac:dyDescent="0.25">
      <c r="A131" s="15"/>
      <c r="B131" s="15"/>
      <c r="C131" s="15"/>
      <c r="D131" s="15"/>
      <c r="E131" s="15"/>
      <c r="F131" s="16"/>
      <c r="G131" s="16"/>
      <c r="H131" s="16"/>
    </row>
    <row r="132" spans="1:8" ht="17.100000000000001" customHeight="1" x14ac:dyDescent="0.25">
      <c r="A132" s="6" t="s">
        <v>1038</v>
      </c>
      <c r="B132" s="6" t="s">
        <v>1159</v>
      </c>
      <c r="C132" s="6" t="s">
        <v>95</v>
      </c>
      <c r="D132" s="6" t="s">
        <v>96</v>
      </c>
      <c r="E132" s="6" t="s">
        <v>1217</v>
      </c>
      <c r="F132" s="7" t="s">
        <v>743</v>
      </c>
      <c r="G132" s="7" t="s">
        <v>1208</v>
      </c>
      <c r="H132" s="7" t="s">
        <v>1226</v>
      </c>
    </row>
    <row r="133" spans="1:8" ht="17.100000000000001" customHeight="1" x14ac:dyDescent="0.25">
      <c r="A133" s="6" t="s">
        <v>1041</v>
      </c>
      <c r="B133" s="6" t="s">
        <v>1159</v>
      </c>
      <c r="C133" s="6" t="s">
        <v>95</v>
      </c>
      <c r="D133" s="6" t="s">
        <v>96</v>
      </c>
      <c r="E133" s="6" t="s">
        <v>1218</v>
      </c>
      <c r="F133" s="7" t="s">
        <v>944</v>
      </c>
      <c r="G133" s="7" t="s">
        <v>1208</v>
      </c>
      <c r="H133" s="7"/>
    </row>
    <row r="134" spans="1:8" ht="17.100000000000001" customHeight="1" x14ac:dyDescent="0.25">
      <c r="A134" s="6" t="s">
        <v>949</v>
      </c>
      <c r="B134" s="6" t="s">
        <v>1159</v>
      </c>
      <c r="C134" s="6" t="s">
        <v>95</v>
      </c>
      <c r="D134" s="6" t="s">
        <v>96</v>
      </c>
      <c r="E134" s="6" t="s">
        <v>1218</v>
      </c>
      <c r="F134" s="7" t="s">
        <v>948</v>
      </c>
      <c r="G134" s="7" t="s">
        <v>1208</v>
      </c>
      <c r="H134" s="7"/>
    </row>
    <row r="135" spans="1:8" ht="17.100000000000001" customHeight="1" x14ac:dyDescent="0.25">
      <c r="A135" s="6" t="s">
        <v>949</v>
      </c>
      <c r="B135" s="6" t="s">
        <v>1159</v>
      </c>
      <c r="C135" s="6" t="s">
        <v>95</v>
      </c>
      <c r="D135" s="6" t="s">
        <v>96</v>
      </c>
      <c r="E135" s="6" t="s">
        <v>1218</v>
      </c>
      <c r="F135" s="7" t="s">
        <v>960</v>
      </c>
      <c r="G135" s="7" t="s">
        <v>1208</v>
      </c>
      <c r="H135" s="7"/>
    </row>
    <row r="136" spans="1:8" ht="17.100000000000001" customHeight="1" x14ac:dyDescent="0.25">
      <c r="A136" s="6" t="s">
        <v>944</v>
      </c>
      <c r="B136" s="6" t="s">
        <v>1159</v>
      </c>
      <c r="C136" s="6" t="s">
        <v>95</v>
      </c>
      <c r="D136" s="6" t="s">
        <v>96</v>
      </c>
      <c r="E136" s="6" t="s">
        <v>1218</v>
      </c>
      <c r="F136" s="7" t="s">
        <v>942</v>
      </c>
      <c r="G136" s="7" t="s">
        <v>1208</v>
      </c>
      <c r="H136" s="7"/>
    </row>
    <row r="137" spans="1:8" ht="17.100000000000001" customHeight="1" x14ac:dyDescent="0.25">
      <c r="A137" s="6" t="s">
        <v>953</v>
      </c>
      <c r="B137" s="6" t="s">
        <v>1159</v>
      </c>
      <c r="C137" s="6" t="s">
        <v>95</v>
      </c>
      <c r="D137" s="6" t="s">
        <v>96</v>
      </c>
      <c r="E137" s="6" t="s">
        <v>1217</v>
      </c>
      <c r="F137" s="7" t="s">
        <v>951</v>
      </c>
      <c r="G137" s="7" t="s">
        <v>1208</v>
      </c>
      <c r="H137" s="7"/>
    </row>
    <row r="138" spans="1:8" ht="17.100000000000001" customHeight="1" x14ac:dyDescent="0.25">
      <c r="A138" s="6" t="s">
        <v>953</v>
      </c>
      <c r="B138" s="6" t="s">
        <v>1159</v>
      </c>
      <c r="C138" s="6" t="s">
        <v>95</v>
      </c>
      <c r="D138" s="6" t="s">
        <v>96</v>
      </c>
      <c r="E138" s="6" t="s">
        <v>1217</v>
      </c>
      <c r="F138" s="7" t="s">
        <v>744</v>
      </c>
      <c r="G138" s="7" t="s">
        <v>1208</v>
      </c>
      <c r="H138" s="7"/>
    </row>
    <row r="139" spans="1:8" ht="17.100000000000001" customHeight="1" x14ac:dyDescent="0.25">
      <c r="A139" s="6" t="s">
        <v>935</v>
      </c>
      <c r="B139" s="6" t="s">
        <v>934</v>
      </c>
      <c r="C139" s="6" t="s">
        <v>95</v>
      </c>
      <c r="D139" s="6" t="s">
        <v>96</v>
      </c>
      <c r="E139" s="6" t="s">
        <v>1218</v>
      </c>
      <c r="F139" s="7" t="s">
        <v>933</v>
      </c>
      <c r="G139" s="7" t="s">
        <v>1208</v>
      </c>
      <c r="H139" s="7"/>
    </row>
    <row r="140" spans="1:8" ht="17.100000000000001" customHeight="1" x14ac:dyDescent="0.25">
      <c r="A140" s="6" t="s">
        <v>935</v>
      </c>
      <c r="B140" s="6" t="s">
        <v>934</v>
      </c>
      <c r="C140" s="6" t="s">
        <v>95</v>
      </c>
      <c r="D140" s="6" t="s">
        <v>96</v>
      </c>
      <c r="E140" s="6" t="s">
        <v>1218</v>
      </c>
      <c r="F140" s="7" t="s">
        <v>963</v>
      </c>
      <c r="G140" s="7" t="s">
        <v>1208</v>
      </c>
      <c r="H140" s="7"/>
    </row>
    <row r="141" spans="1:8" ht="17.100000000000001" customHeight="1" x14ac:dyDescent="0.25">
      <c r="A141" s="6" t="s">
        <v>964</v>
      </c>
      <c r="B141" s="6" t="s">
        <v>934</v>
      </c>
      <c r="C141" s="6" t="s">
        <v>95</v>
      </c>
      <c r="D141" s="6" t="s">
        <v>96</v>
      </c>
      <c r="E141" s="6" t="s">
        <v>1218</v>
      </c>
      <c r="F141" s="7" t="s">
        <v>963</v>
      </c>
      <c r="G141" s="7" t="s">
        <v>1208</v>
      </c>
      <c r="H141" s="7"/>
    </row>
    <row r="142" spans="1:8" ht="17.100000000000001" customHeight="1" x14ac:dyDescent="0.25">
      <c r="A142" s="6" t="s">
        <v>971</v>
      </c>
      <c r="B142" s="6" t="s">
        <v>970</v>
      </c>
      <c r="C142" s="6" t="s">
        <v>95</v>
      </c>
      <c r="D142" s="6" t="s">
        <v>96</v>
      </c>
      <c r="E142" s="6" t="s">
        <v>1218</v>
      </c>
      <c r="F142" s="7" t="s">
        <v>969</v>
      </c>
      <c r="G142" s="7" t="s">
        <v>1208</v>
      </c>
      <c r="H142" s="7"/>
    </row>
    <row r="143" spans="1:8" ht="17.100000000000001" customHeight="1" x14ac:dyDescent="0.25">
      <c r="A143" s="6" t="s">
        <v>971</v>
      </c>
      <c r="B143" s="6" t="s">
        <v>970</v>
      </c>
      <c r="C143" s="6" t="s">
        <v>95</v>
      </c>
      <c r="D143" s="6" t="s">
        <v>96</v>
      </c>
      <c r="E143" s="6" t="s">
        <v>1218</v>
      </c>
      <c r="F143" s="7" t="s">
        <v>1043</v>
      </c>
      <c r="G143" s="7" t="s">
        <v>1208</v>
      </c>
      <c r="H143" s="7"/>
    </row>
    <row r="144" spans="1:8" ht="17.100000000000001" customHeight="1" x14ac:dyDescent="0.25">
      <c r="A144" s="6" t="s">
        <v>1029</v>
      </c>
      <c r="B144" s="6" t="s">
        <v>1030</v>
      </c>
      <c r="C144" s="6" t="s">
        <v>95</v>
      </c>
      <c r="D144" s="6" t="s">
        <v>96</v>
      </c>
      <c r="E144" s="6" t="s">
        <v>1218</v>
      </c>
      <c r="F144" s="7" t="s">
        <v>1031</v>
      </c>
      <c r="G144" s="7" t="s">
        <v>1208</v>
      </c>
      <c r="H144" s="7"/>
    </row>
    <row r="145" spans="1:8" ht="17.100000000000001" customHeight="1" x14ac:dyDescent="0.25">
      <c r="A145" s="6" t="s">
        <v>1032</v>
      </c>
      <c r="B145" s="6" t="s">
        <v>1033</v>
      </c>
      <c r="C145" s="6" t="s">
        <v>95</v>
      </c>
      <c r="D145" s="6" t="s">
        <v>96</v>
      </c>
      <c r="E145" s="6" t="s">
        <v>1218</v>
      </c>
      <c r="F145" s="7" t="s">
        <v>1034</v>
      </c>
      <c r="G145" s="7" t="s">
        <v>1208</v>
      </c>
      <c r="H145" s="7"/>
    </row>
    <row r="146" spans="1:8" ht="17.100000000000001" customHeight="1" x14ac:dyDescent="0.25">
      <c r="A146" s="6" t="s">
        <v>771</v>
      </c>
      <c r="B146" s="6" t="s">
        <v>770</v>
      </c>
      <c r="C146" s="6" t="s">
        <v>95</v>
      </c>
      <c r="D146" s="6" t="s">
        <v>96</v>
      </c>
      <c r="E146" s="6" t="s">
        <v>1217</v>
      </c>
      <c r="F146" s="7" t="s">
        <v>769</v>
      </c>
      <c r="G146" s="7" t="s">
        <v>1208</v>
      </c>
      <c r="H146" s="7"/>
    </row>
    <row r="147" spans="1:8" ht="17.100000000000001" customHeight="1" x14ac:dyDescent="0.25">
      <c r="A147" s="6" t="s">
        <v>771</v>
      </c>
      <c r="B147" s="6" t="s">
        <v>770</v>
      </c>
      <c r="C147" s="6" t="s">
        <v>95</v>
      </c>
      <c r="D147" s="6" t="s">
        <v>96</v>
      </c>
      <c r="E147" s="6" t="s">
        <v>1218</v>
      </c>
      <c r="F147" s="7" t="s">
        <v>1008</v>
      </c>
      <c r="G147" s="7" t="s">
        <v>1208</v>
      </c>
      <c r="H147" s="7"/>
    </row>
    <row r="148" spans="1:8" ht="17.100000000000001" customHeight="1" x14ac:dyDescent="0.25">
      <c r="A148" s="15"/>
      <c r="B148" s="15"/>
      <c r="C148" s="15"/>
      <c r="D148" s="15"/>
      <c r="E148" s="15"/>
      <c r="F148" s="16"/>
      <c r="G148" s="16"/>
      <c r="H148" s="16"/>
    </row>
    <row r="149" spans="1:8" ht="17.100000000000001" customHeight="1" x14ac:dyDescent="0.25">
      <c r="A149" s="6" t="s">
        <v>962</v>
      </c>
      <c r="B149" s="6" t="s">
        <v>36</v>
      </c>
      <c r="C149" s="6" t="s">
        <v>95</v>
      </c>
      <c r="D149" s="6" t="s">
        <v>96</v>
      </c>
      <c r="E149" s="6" t="s">
        <v>1218</v>
      </c>
      <c r="F149" s="7" t="s">
        <v>961</v>
      </c>
      <c r="G149" s="7" t="s">
        <v>1208</v>
      </c>
      <c r="H149" s="7" t="s">
        <v>1225</v>
      </c>
    </row>
    <row r="150" spans="1:8" ht="17.100000000000001" customHeight="1" x14ac:dyDescent="0.25">
      <c r="A150" s="6" t="s">
        <v>967</v>
      </c>
      <c r="B150" s="6" t="s">
        <v>36</v>
      </c>
      <c r="C150" s="6" t="s">
        <v>95</v>
      </c>
      <c r="D150" s="6" t="s">
        <v>96</v>
      </c>
      <c r="E150" s="6" t="s">
        <v>1218</v>
      </c>
      <c r="F150" s="7" t="s">
        <v>965</v>
      </c>
      <c r="G150" s="7" t="s">
        <v>1208</v>
      </c>
      <c r="H150" s="7"/>
    </row>
    <row r="151" spans="1:8" ht="17.100000000000001" customHeight="1" x14ac:dyDescent="0.25">
      <c r="A151" s="6" t="s">
        <v>967</v>
      </c>
      <c r="B151" s="6" t="s">
        <v>36</v>
      </c>
      <c r="C151" s="6" t="s">
        <v>95</v>
      </c>
      <c r="D151" s="6" t="s">
        <v>96</v>
      </c>
      <c r="E151" s="6" t="s">
        <v>1218</v>
      </c>
      <c r="F151" s="7" t="s">
        <v>1042</v>
      </c>
      <c r="G151" s="7" t="s">
        <v>1208</v>
      </c>
      <c r="H151" s="7"/>
    </row>
    <row r="152" spans="1:8" ht="17.100000000000001" customHeight="1" x14ac:dyDescent="0.25">
      <c r="A152" s="6" t="s">
        <v>946</v>
      </c>
      <c r="B152" s="6" t="s">
        <v>36</v>
      </c>
      <c r="C152" s="6" t="s">
        <v>95</v>
      </c>
      <c r="D152" s="6" t="s">
        <v>96</v>
      </c>
      <c r="E152" s="6" t="s">
        <v>1218</v>
      </c>
      <c r="F152" s="7" t="s">
        <v>945</v>
      </c>
      <c r="G152" s="7" t="s">
        <v>1208</v>
      </c>
      <c r="H152" s="7"/>
    </row>
    <row r="153" spans="1:8" ht="17.100000000000001" customHeight="1" x14ac:dyDescent="0.25">
      <c r="A153" s="6" t="s">
        <v>946</v>
      </c>
      <c r="B153" s="6" t="s">
        <v>36</v>
      </c>
      <c r="C153" s="6" t="s">
        <v>95</v>
      </c>
      <c r="D153" s="6" t="s">
        <v>96</v>
      </c>
      <c r="E153" s="6" t="s">
        <v>1218</v>
      </c>
      <c r="F153" s="7" t="s">
        <v>961</v>
      </c>
      <c r="G153" s="7" t="s">
        <v>1208</v>
      </c>
      <c r="H153" s="7"/>
    </row>
    <row r="154" spans="1:8" ht="17.100000000000001" customHeight="1" x14ac:dyDescent="0.25">
      <c r="A154" s="6" t="s">
        <v>941</v>
      </c>
      <c r="B154" s="6" t="s">
        <v>36</v>
      </c>
      <c r="C154" s="6" t="s">
        <v>95</v>
      </c>
      <c r="D154" s="6" t="s">
        <v>96</v>
      </c>
      <c r="E154" s="6" t="s">
        <v>1218</v>
      </c>
      <c r="F154" s="7" t="s">
        <v>925</v>
      </c>
      <c r="G154" s="7" t="s">
        <v>1208</v>
      </c>
      <c r="H154" s="7"/>
    </row>
    <row r="155" spans="1:8" ht="17.100000000000001" customHeight="1" x14ac:dyDescent="0.25">
      <c r="A155" s="6" t="s">
        <v>941</v>
      </c>
      <c r="B155" s="6" t="s">
        <v>36</v>
      </c>
      <c r="C155" s="6" t="s">
        <v>95</v>
      </c>
      <c r="D155" s="6" t="s">
        <v>96</v>
      </c>
      <c r="E155" s="6" t="s">
        <v>1218</v>
      </c>
      <c r="F155" s="7" t="s">
        <v>947</v>
      </c>
      <c r="G155" s="7" t="s">
        <v>1208</v>
      </c>
      <c r="H155" s="7"/>
    </row>
    <row r="156" spans="1:8" ht="17.100000000000001" customHeight="1" x14ac:dyDescent="0.25">
      <c r="A156" s="6" t="s">
        <v>1035</v>
      </c>
      <c r="B156" s="6" t="s">
        <v>1036</v>
      </c>
      <c r="C156" s="6" t="s">
        <v>95</v>
      </c>
      <c r="D156" s="6" t="s">
        <v>96</v>
      </c>
      <c r="E156" s="6" t="s">
        <v>1218</v>
      </c>
      <c r="F156" s="7" t="s">
        <v>1037</v>
      </c>
      <c r="G156" s="7" t="s">
        <v>1208</v>
      </c>
      <c r="H156" s="7"/>
    </row>
    <row r="157" spans="1:8" ht="17.100000000000001" customHeight="1" x14ac:dyDescent="0.25">
      <c r="A157" s="6" t="s">
        <v>1039</v>
      </c>
      <c r="B157" s="6" t="s">
        <v>927</v>
      </c>
      <c r="C157" s="6" t="s">
        <v>95</v>
      </c>
      <c r="D157" s="6" t="s">
        <v>96</v>
      </c>
      <c r="E157" s="6" t="s">
        <v>1218</v>
      </c>
      <c r="F157" s="7" t="s">
        <v>1040</v>
      </c>
      <c r="G157" s="7" t="s">
        <v>1208</v>
      </c>
      <c r="H157" s="7"/>
    </row>
    <row r="158" spans="1:8" ht="17.100000000000001" customHeight="1" x14ac:dyDescent="0.25">
      <c r="A158" s="6" t="s">
        <v>928</v>
      </c>
      <c r="B158" s="6" t="s">
        <v>927</v>
      </c>
      <c r="C158" s="6" t="s">
        <v>95</v>
      </c>
      <c r="D158" s="6" t="s">
        <v>96</v>
      </c>
      <c r="E158" s="6" t="s">
        <v>1218</v>
      </c>
      <c r="F158" s="7" t="s">
        <v>926</v>
      </c>
      <c r="G158" s="7" t="s">
        <v>1208</v>
      </c>
      <c r="H158" s="7"/>
    </row>
    <row r="159" spans="1:8" ht="17.100000000000001" customHeight="1" x14ac:dyDescent="0.25">
      <c r="A159" s="6" t="s">
        <v>977</v>
      </c>
      <c r="B159" s="6" t="s">
        <v>976</v>
      </c>
      <c r="C159" s="6" t="s">
        <v>95</v>
      </c>
      <c r="D159" s="6" t="s">
        <v>96</v>
      </c>
      <c r="E159" s="6" t="s">
        <v>1218</v>
      </c>
      <c r="F159" s="7" t="s">
        <v>975</v>
      </c>
      <c r="G159" s="7" t="s">
        <v>1208</v>
      </c>
      <c r="H159" s="7"/>
    </row>
    <row r="160" spans="1:8" ht="17.100000000000001" customHeight="1" x14ac:dyDescent="0.25">
      <c r="A160" s="6" t="s">
        <v>1025</v>
      </c>
      <c r="B160" s="6" t="s">
        <v>1024</v>
      </c>
      <c r="C160" s="6" t="s">
        <v>95</v>
      </c>
      <c r="D160" s="6" t="s">
        <v>96</v>
      </c>
      <c r="E160" s="6" t="s">
        <v>1218</v>
      </c>
      <c r="F160" s="7" t="s">
        <v>1023</v>
      </c>
      <c r="G160" s="7" t="s">
        <v>1208</v>
      </c>
      <c r="H160" s="7"/>
    </row>
    <row r="161" spans="1:8" ht="17.100000000000001" customHeight="1" x14ac:dyDescent="0.25">
      <c r="A161" s="6" t="s">
        <v>981</v>
      </c>
      <c r="B161" s="6" t="s">
        <v>979</v>
      </c>
      <c r="C161" s="6" t="s">
        <v>95</v>
      </c>
      <c r="D161" s="6" t="s">
        <v>96</v>
      </c>
      <c r="E161" s="6" t="s">
        <v>1218</v>
      </c>
      <c r="F161" s="7" t="s">
        <v>978</v>
      </c>
      <c r="G161" s="7" t="s">
        <v>1208</v>
      </c>
      <c r="H161" s="7"/>
    </row>
    <row r="162" spans="1:8" ht="17.100000000000001" customHeight="1" x14ac:dyDescent="0.25">
      <c r="A162" s="15"/>
      <c r="B162" s="15"/>
      <c r="C162" s="15"/>
      <c r="D162" s="15"/>
      <c r="E162" s="15"/>
      <c r="F162" s="16"/>
      <c r="G162" s="16"/>
      <c r="H162" s="16"/>
    </row>
    <row r="163" spans="1:8" ht="17.100000000000001" customHeight="1" x14ac:dyDescent="0.25">
      <c r="A163" s="6" t="s">
        <v>1051</v>
      </c>
      <c r="B163" s="6" t="s">
        <v>1159</v>
      </c>
      <c r="C163" s="6" t="s">
        <v>95</v>
      </c>
      <c r="D163" s="6" t="s">
        <v>96</v>
      </c>
      <c r="E163" s="6" t="s">
        <v>1252</v>
      </c>
      <c r="F163" s="7" t="s">
        <v>1052</v>
      </c>
      <c r="G163" s="7" t="s">
        <v>1208</v>
      </c>
      <c r="H163" s="7" t="s">
        <v>1223</v>
      </c>
    </row>
    <row r="164" spans="1:8" ht="17.100000000000001" customHeight="1" x14ac:dyDescent="0.25">
      <c r="A164" s="6" t="s">
        <v>1044</v>
      </c>
      <c r="B164" s="6" t="s">
        <v>39</v>
      </c>
      <c r="C164" s="6" t="s">
        <v>95</v>
      </c>
      <c r="D164" s="6" t="s">
        <v>96</v>
      </c>
      <c r="E164" s="6" t="s">
        <v>1252</v>
      </c>
      <c r="F164" s="7" t="s">
        <v>909</v>
      </c>
      <c r="G164" s="7" t="s">
        <v>1208</v>
      </c>
      <c r="H164" s="7"/>
    </row>
    <row r="165" spans="1:8" ht="17.100000000000001" customHeight="1" x14ac:dyDescent="0.25">
      <c r="A165" s="6" t="s">
        <v>1054</v>
      </c>
      <c r="B165" s="6" t="s">
        <v>39</v>
      </c>
      <c r="C165" s="6" t="s">
        <v>95</v>
      </c>
      <c r="D165" s="6" t="s">
        <v>96</v>
      </c>
      <c r="E165" s="6" t="s">
        <v>1252</v>
      </c>
      <c r="F165" s="7" t="s">
        <v>909</v>
      </c>
      <c r="G165" s="7" t="s">
        <v>1208</v>
      </c>
      <c r="H165" s="7"/>
    </row>
    <row r="166" spans="1:8" ht="17.100000000000001" customHeight="1" x14ac:dyDescent="0.25">
      <c r="A166" s="6" t="s">
        <v>1048</v>
      </c>
      <c r="B166" s="6" t="s">
        <v>1049</v>
      </c>
      <c r="C166" s="6" t="s">
        <v>95</v>
      </c>
      <c r="D166" s="6" t="s">
        <v>96</v>
      </c>
      <c r="E166" s="6" t="s">
        <v>1218</v>
      </c>
      <c r="F166" s="7" t="s">
        <v>1050</v>
      </c>
      <c r="G166" s="7" t="s">
        <v>1208</v>
      </c>
      <c r="H166" s="7"/>
    </row>
    <row r="167" spans="1:8" ht="17.100000000000001" customHeight="1" x14ac:dyDescent="0.25">
      <c r="A167" s="6" t="s">
        <v>1045</v>
      </c>
      <c r="B167" s="6" t="s">
        <v>1046</v>
      </c>
      <c r="C167" s="6" t="s">
        <v>95</v>
      </c>
      <c r="D167" s="6" t="s">
        <v>96</v>
      </c>
      <c r="E167" s="6" t="s">
        <v>1217</v>
      </c>
      <c r="F167" s="7" t="s">
        <v>1047</v>
      </c>
      <c r="G167" s="7" t="s">
        <v>1208</v>
      </c>
      <c r="H167" s="7"/>
    </row>
    <row r="168" spans="1:8" ht="17.100000000000001" customHeight="1" x14ac:dyDescent="0.25">
      <c r="A168" s="6" t="s">
        <v>1053</v>
      </c>
      <c r="B168" s="6" t="s">
        <v>758</v>
      </c>
      <c r="C168" s="6" t="s">
        <v>95</v>
      </c>
      <c r="D168" s="6" t="s">
        <v>96</v>
      </c>
      <c r="E168" s="6" t="s">
        <v>1252</v>
      </c>
      <c r="F168" s="7" t="s">
        <v>759</v>
      </c>
      <c r="G168" s="7" t="s">
        <v>1208</v>
      </c>
      <c r="H168" s="7"/>
    </row>
    <row r="169" spans="1:8" ht="17.100000000000001" customHeight="1" x14ac:dyDescent="0.25">
      <c r="A169" s="7" t="s">
        <v>913</v>
      </c>
      <c r="B169" s="6" t="s">
        <v>912</v>
      </c>
      <c r="C169" s="6" t="s">
        <v>95</v>
      </c>
      <c r="D169" s="6" t="s">
        <v>96</v>
      </c>
      <c r="E169" s="6" t="s">
        <v>1252</v>
      </c>
      <c r="F169" s="6" t="s">
        <v>911</v>
      </c>
      <c r="G169" s="7" t="s">
        <v>1208</v>
      </c>
      <c r="H169" s="7"/>
    </row>
    <row r="170" spans="1:8" ht="17.100000000000001" customHeight="1" x14ac:dyDescent="0.25">
      <c r="A170" s="7" t="s">
        <v>777</v>
      </c>
      <c r="B170" s="6" t="s">
        <v>776</v>
      </c>
      <c r="C170" s="6" t="s">
        <v>95</v>
      </c>
      <c r="D170" s="6" t="s">
        <v>96</v>
      </c>
      <c r="E170" s="6" t="s">
        <v>1217</v>
      </c>
      <c r="F170" s="6" t="s">
        <v>775</v>
      </c>
      <c r="G170" s="7" t="s">
        <v>1208</v>
      </c>
      <c r="H170" s="7"/>
    </row>
    <row r="171" spans="1:8" ht="17.100000000000001" customHeight="1" x14ac:dyDescent="0.25">
      <c r="A171" s="15"/>
      <c r="B171" s="15"/>
      <c r="C171" s="15"/>
      <c r="D171" s="15"/>
      <c r="E171" s="15"/>
      <c r="F171" s="16"/>
      <c r="G171" s="16"/>
      <c r="H171" s="16"/>
    </row>
    <row r="172" spans="1:8" ht="17.100000000000001" customHeight="1" x14ac:dyDescent="0.25">
      <c r="A172" s="7" t="s">
        <v>886</v>
      </c>
      <c r="B172" s="6" t="s">
        <v>885</v>
      </c>
      <c r="C172" s="6" t="s">
        <v>95</v>
      </c>
      <c r="D172" s="6" t="s">
        <v>96</v>
      </c>
      <c r="E172" s="6" t="s">
        <v>1217</v>
      </c>
      <c r="F172" s="6" t="s">
        <v>884</v>
      </c>
      <c r="G172" s="7" t="s">
        <v>1208</v>
      </c>
      <c r="H172" s="7" t="s">
        <v>1224</v>
      </c>
    </row>
    <row r="173" spans="1:8" ht="17.100000000000001" customHeight="1" x14ac:dyDescent="0.25">
      <c r="A173" s="7" t="s">
        <v>830</v>
      </c>
      <c r="B173" s="6" t="s">
        <v>829</v>
      </c>
      <c r="C173" s="6" t="s">
        <v>95</v>
      </c>
      <c r="D173" s="6" t="s">
        <v>96</v>
      </c>
      <c r="E173" s="6" t="s">
        <v>1218</v>
      </c>
      <c r="F173" s="6" t="s">
        <v>828</v>
      </c>
      <c r="G173" s="7" t="s">
        <v>1208</v>
      </c>
      <c r="H173" s="7"/>
    </row>
    <row r="174" spans="1:8" ht="17.100000000000001" customHeight="1" x14ac:dyDescent="0.25">
      <c r="A174" s="7" t="s">
        <v>823</v>
      </c>
      <c r="B174" s="6" t="s">
        <v>822</v>
      </c>
      <c r="C174" s="6" t="s">
        <v>95</v>
      </c>
      <c r="D174" s="6" t="s">
        <v>96</v>
      </c>
      <c r="E174" s="6" t="s">
        <v>1218</v>
      </c>
      <c r="F174" s="6" t="s">
        <v>821</v>
      </c>
      <c r="G174" s="7" t="s">
        <v>1208</v>
      </c>
      <c r="H174" s="7"/>
    </row>
    <row r="175" spans="1:8" ht="17.100000000000001" customHeight="1" x14ac:dyDescent="0.25">
      <c r="A175" s="7" t="s">
        <v>882</v>
      </c>
      <c r="B175" s="6" t="s">
        <v>881</v>
      </c>
      <c r="C175" s="6" t="s">
        <v>95</v>
      </c>
      <c r="D175" s="6" t="s">
        <v>96</v>
      </c>
      <c r="E175" s="6" t="s">
        <v>1217</v>
      </c>
      <c r="F175" s="6" t="s">
        <v>880</v>
      </c>
      <c r="G175" s="7" t="s">
        <v>1208</v>
      </c>
      <c r="H175" s="7"/>
    </row>
    <row r="176" spans="1:8" ht="17.100000000000001" customHeight="1" x14ac:dyDescent="0.25">
      <c r="A176" s="7"/>
      <c r="B176" s="6"/>
      <c r="C176" s="6"/>
      <c r="D176" s="6"/>
      <c r="E176" s="6"/>
      <c r="F176" s="6"/>
      <c r="G176" s="7"/>
      <c r="H176" s="7"/>
    </row>
    <row r="177" spans="1:8" ht="17.100000000000001" customHeight="1" x14ac:dyDescent="0.25">
      <c r="A177" s="6" t="s">
        <v>1055</v>
      </c>
      <c r="B177" s="6" t="s">
        <v>1193</v>
      </c>
      <c r="C177" s="6" t="s">
        <v>95</v>
      </c>
      <c r="D177" s="6" t="s">
        <v>255</v>
      </c>
      <c r="E177" s="6" t="s">
        <v>1218</v>
      </c>
      <c r="F177" s="7" t="s">
        <v>1056</v>
      </c>
      <c r="G177" s="7" t="s">
        <v>1208</v>
      </c>
      <c r="H177" s="7"/>
    </row>
    <row r="178" spans="1:8" ht="17.100000000000001" customHeight="1" x14ac:dyDescent="0.25">
      <c r="A178" s="7" t="s">
        <v>895</v>
      </c>
      <c r="B178" s="6" t="s">
        <v>894</v>
      </c>
      <c r="C178" s="6" t="s">
        <v>95</v>
      </c>
      <c r="D178" s="6" t="s">
        <v>255</v>
      </c>
      <c r="E178" s="6" t="s">
        <v>1218</v>
      </c>
      <c r="F178" s="6" t="s">
        <v>893</v>
      </c>
      <c r="G178" s="7" t="s">
        <v>1208</v>
      </c>
      <c r="H178" s="7"/>
    </row>
    <row r="179" spans="1:8" ht="17.100000000000001" customHeight="1" x14ac:dyDescent="0.25">
      <c r="A179" s="15"/>
      <c r="B179" s="15"/>
      <c r="C179" s="15"/>
      <c r="D179" s="15"/>
      <c r="E179" s="15"/>
      <c r="F179" s="16"/>
      <c r="G179" s="16"/>
      <c r="H179" s="16"/>
    </row>
    <row r="180" spans="1:8" ht="17.100000000000001" customHeight="1" x14ac:dyDescent="0.25">
      <c r="A180" s="6" t="s">
        <v>753</v>
      </c>
      <c r="B180" s="6" t="s">
        <v>1159</v>
      </c>
      <c r="C180" s="6" t="s">
        <v>95</v>
      </c>
      <c r="D180" s="6" t="s">
        <v>96</v>
      </c>
      <c r="E180" s="6" t="s">
        <v>1218</v>
      </c>
      <c r="F180" s="7" t="s">
        <v>743</v>
      </c>
      <c r="G180" s="7" t="s">
        <v>1208</v>
      </c>
      <c r="H180" s="7" t="s">
        <v>1204</v>
      </c>
    </row>
    <row r="181" spans="1:8" ht="17.100000000000001" customHeight="1" x14ac:dyDescent="0.25">
      <c r="A181" s="6" t="s">
        <v>754</v>
      </c>
      <c r="B181" s="6" t="s">
        <v>1159</v>
      </c>
      <c r="C181" s="6" t="s">
        <v>95</v>
      </c>
      <c r="D181" s="6" t="s">
        <v>96</v>
      </c>
      <c r="E181" s="6" t="s">
        <v>1218</v>
      </c>
      <c r="F181" s="7" t="s">
        <v>685</v>
      </c>
      <c r="G181" s="7" t="s">
        <v>1208</v>
      </c>
      <c r="H181" s="7"/>
    </row>
    <row r="182" spans="1:8" ht="17.100000000000001" customHeight="1" x14ac:dyDescent="0.25">
      <c r="A182" s="6" t="s">
        <v>749</v>
      </c>
      <c r="B182" s="6" t="s">
        <v>36</v>
      </c>
      <c r="C182" s="6" t="s">
        <v>95</v>
      </c>
      <c r="D182" s="6" t="s">
        <v>96</v>
      </c>
      <c r="E182" s="6" t="s">
        <v>1218</v>
      </c>
      <c r="F182" s="7" t="s">
        <v>1058</v>
      </c>
      <c r="G182" s="7" t="s">
        <v>1208</v>
      </c>
      <c r="H182" s="7"/>
    </row>
    <row r="183" spans="1:8" ht="17.100000000000001" customHeight="1" x14ac:dyDescent="0.25">
      <c r="A183" s="6" t="s">
        <v>1059</v>
      </c>
      <c r="B183" s="6" t="s">
        <v>36</v>
      </c>
      <c r="C183" s="6" t="s">
        <v>95</v>
      </c>
      <c r="D183" s="6" t="s">
        <v>96</v>
      </c>
      <c r="E183" s="6" t="s">
        <v>1218</v>
      </c>
      <c r="F183" s="7" t="s">
        <v>750</v>
      </c>
      <c r="G183" s="7" t="s">
        <v>1208</v>
      </c>
      <c r="H183" s="7"/>
    </row>
    <row r="184" spans="1:8" ht="17.100000000000001" customHeight="1" x14ac:dyDescent="0.25">
      <c r="A184" s="6"/>
      <c r="B184" s="6"/>
      <c r="C184" s="6"/>
      <c r="D184" s="6"/>
      <c r="E184" s="6"/>
      <c r="F184" s="7"/>
      <c r="G184" s="7"/>
      <c r="H184" s="7"/>
    </row>
    <row r="185" spans="1:8" ht="17.100000000000001" customHeight="1" x14ac:dyDescent="0.25">
      <c r="A185" s="6" t="s">
        <v>755</v>
      </c>
      <c r="B185" s="6" t="s">
        <v>1159</v>
      </c>
      <c r="C185" s="6" t="s">
        <v>95</v>
      </c>
      <c r="D185" s="6" t="s">
        <v>154</v>
      </c>
      <c r="E185" s="6" t="s">
        <v>1217</v>
      </c>
      <c r="F185" s="7" t="s">
        <v>1052</v>
      </c>
      <c r="G185" s="7" t="s">
        <v>1208</v>
      </c>
      <c r="H185" s="7"/>
    </row>
    <row r="186" spans="1:8" ht="17.100000000000001" customHeight="1" x14ac:dyDescent="0.25">
      <c r="A186" s="6"/>
      <c r="B186" s="6"/>
      <c r="C186" s="6"/>
      <c r="D186" s="6"/>
      <c r="E186" s="6"/>
      <c r="F186" s="7"/>
      <c r="G186" s="7"/>
      <c r="H186" s="7"/>
    </row>
    <row r="187" spans="1:8" ht="17.100000000000001" customHeight="1" x14ac:dyDescent="0.25">
      <c r="A187" s="6" t="s">
        <v>808</v>
      </c>
      <c r="B187" s="6" t="s">
        <v>1159</v>
      </c>
      <c r="C187" s="6" t="s">
        <v>95</v>
      </c>
      <c r="D187" s="6" t="s">
        <v>152</v>
      </c>
      <c r="E187" s="6" t="s">
        <v>1218</v>
      </c>
      <c r="F187" s="7" t="s">
        <v>738</v>
      </c>
      <c r="G187" s="7" t="s">
        <v>1208</v>
      </c>
      <c r="H187" s="7"/>
    </row>
    <row r="188" spans="1:8" ht="17.100000000000001" customHeight="1" x14ac:dyDescent="0.25">
      <c r="A188" s="6" t="s">
        <v>739</v>
      </c>
      <c r="B188" s="6" t="s">
        <v>1159</v>
      </c>
      <c r="C188" s="6" t="s">
        <v>95</v>
      </c>
      <c r="D188" s="6" t="s">
        <v>152</v>
      </c>
      <c r="E188" s="6" t="s">
        <v>1217</v>
      </c>
      <c r="F188" s="7" t="s">
        <v>753</v>
      </c>
      <c r="G188" s="7" t="s">
        <v>1208</v>
      </c>
      <c r="H188" s="7"/>
    </row>
    <row r="189" spans="1:8" ht="17.100000000000001" customHeight="1" x14ac:dyDescent="0.25">
      <c r="A189" s="6" t="s">
        <v>1057</v>
      </c>
      <c r="B189" s="6" t="s">
        <v>34</v>
      </c>
      <c r="C189" s="6" t="s">
        <v>95</v>
      </c>
      <c r="D189" s="6" t="s">
        <v>152</v>
      </c>
      <c r="E189" s="6" t="s">
        <v>1218</v>
      </c>
      <c r="F189" s="7" t="s">
        <v>736</v>
      </c>
      <c r="G189" s="7" t="s">
        <v>1208</v>
      </c>
      <c r="H189" s="7"/>
    </row>
    <row r="190" spans="1:8" ht="17.100000000000001" customHeight="1" x14ac:dyDescent="0.25">
      <c r="A190" s="6"/>
      <c r="B190" s="6"/>
      <c r="C190" s="6"/>
      <c r="D190" s="6"/>
      <c r="E190" s="6"/>
      <c r="F190" s="7"/>
      <c r="G190" s="7"/>
      <c r="H190" s="7"/>
    </row>
    <row r="191" spans="1:8" ht="17.100000000000001" customHeight="1" x14ac:dyDescent="0.25">
      <c r="A191" s="6" t="s">
        <v>737</v>
      </c>
      <c r="B191" s="6" t="s">
        <v>1159</v>
      </c>
      <c r="C191" s="6" t="s">
        <v>95</v>
      </c>
      <c r="D191" s="6" t="s">
        <v>255</v>
      </c>
      <c r="E191" s="6" t="s">
        <v>1218</v>
      </c>
      <c r="F191" s="7" t="s">
        <v>752</v>
      </c>
      <c r="G191" s="7" t="s">
        <v>1208</v>
      </c>
      <c r="H191" s="7"/>
    </row>
    <row r="192" spans="1:8" ht="17.100000000000001" customHeight="1" x14ac:dyDescent="0.25">
      <c r="A192" s="13"/>
      <c r="B192" s="13"/>
      <c r="C192" s="13"/>
      <c r="D192" s="13"/>
      <c r="E192" s="13"/>
      <c r="F192" s="14"/>
      <c r="G192" s="14"/>
      <c r="H192" s="14"/>
    </row>
    <row r="193" spans="1:8" ht="17.100000000000001" customHeight="1" x14ac:dyDescent="0.25">
      <c r="A193" s="6" t="s">
        <v>728</v>
      </c>
      <c r="B193" s="6" t="s">
        <v>1183</v>
      </c>
      <c r="C193" s="6" t="s">
        <v>95</v>
      </c>
      <c r="D193" s="6" t="s">
        <v>96</v>
      </c>
      <c r="E193" s="6" t="s">
        <v>1205</v>
      </c>
      <c r="F193" s="7" t="s">
        <v>676</v>
      </c>
      <c r="G193" s="7" t="s">
        <v>1209</v>
      </c>
      <c r="H193" s="7" t="s">
        <v>1231</v>
      </c>
    </row>
    <row r="194" spans="1:8" ht="17.100000000000001" customHeight="1" x14ac:dyDescent="0.25">
      <c r="A194" s="6" t="s">
        <v>730</v>
      </c>
      <c r="B194" s="6" t="s">
        <v>1188</v>
      </c>
      <c r="C194" s="6" t="s">
        <v>95</v>
      </c>
      <c r="D194" s="6" t="s">
        <v>96</v>
      </c>
      <c r="E194" s="6" t="s">
        <v>1205</v>
      </c>
      <c r="F194" s="7" t="s">
        <v>729</v>
      </c>
      <c r="G194" s="7" t="s">
        <v>1209</v>
      </c>
      <c r="H194" s="7"/>
    </row>
    <row r="195" spans="1:8" ht="17.100000000000001" customHeight="1" x14ac:dyDescent="0.25">
      <c r="A195" s="6" t="s">
        <v>727</v>
      </c>
      <c r="B195" s="6" t="s">
        <v>1187</v>
      </c>
      <c r="C195" s="6" t="s">
        <v>95</v>
      </c>
      <c r="D195" s="6" t="s">
        <v>96</v>
      </c>
      <c r="E195" s="6" t="s">
        <v>1205</v>
      </c>
      <c r="F195" s="7" t="s">
        <v>726</v>
      </c>
      <c r="G195" s="7" t="s">
        <v>1209</v>
      </c>
      <c r="H195" s="7"/>
    </row>
    <row r="196" spans="1:8" ht="17.100000000000001" customHeight="1" x14ac:dyDescent="0.25">
      <c r="A196" s="6" t="s">
        <v>707</v>
      </c>
      <c r="B196" s="6" t="s">
        <v>1186</v>
      </c>
      <c r="C196" s="6" t="s">
        <v>95</v>
      </c>
      <c r="D196" s="6" t="s">
        <v>96</v>
      </c>
      <c r="E196" s="6" t="s">
        <v>1205</v>
      </c>
      <c r="F196" s="7" t="s">
        <v>706</v>
      </c>
      <c r="G196" s="7" t="s">
        <v>1209</v>
      </c>
      <c r="H196" s="7"/>
    </row>
    <row r="197" spans="1:8" ht="17.100000000000001" customHeight="1" x14ac:dyDescent="0.25">
      <c r="A197" s="15"/>
      <c r="B197" s="15"/>
      <c r="C197" s="15"/>
      <c r="D197" s="15"/>
      <c r="E197" s="15"/>
      <c r="F197" s="16"/>
      <c r="G197" s="16"/>
      <c r="H197" s="16"/>
    </row>
    <row r="198" spans="1:8" ht="17.100000000000001" customHeight="1" x14ac:dyDescent="0.25">
      <c r="A198" s="6" t="s">
        <v>713</v>
      </c>
      <c r="B198" s="6" t="s">
        <v>424</v>
      </c>
      <c r="C198" s="6" t="s">
        <v>95</v>
      </c>
      <c r="D198" s="6" t="s">
        <v>96</v>
      </c>
      <c r="E198" s="6" t="s">
        <v>1205</v>
      </c>
      <c r="F198" s="7" t="s">
        <v>711</v>
      </c>
      <c r="G198" s="7" t="s">
        <v>1209</v>
      </c>
      <c r="H198" s="7" t="s">
        <v>1232</v>
      </c>
    </row>
    <row r="199" spans="1:8" ht="17.100000000000001" customHeight="1" x14ac:dyDescent="0.25">
      <c r="A199" s="6" t="s">
        <v>713</v>
      </c>
      <c r="B199" s="6" t="s">
        <v>424</v>
      </c>
      <c r="C199" s="6" t="s">
        <v>95</v>
      </c>
      <c r="D199" s="6" t="s">
        <v>96</v>
      </c>
      <c r="E199" s="6" t="s">
        <v>1205</v>
      </c>
      <c r="F199" s="7" t="s">
        <v>717</v>
      </c>
      <c r="G199" s="7" t="s">
        <v>1209</v>
      </c>
      <c r="H199" s="7"/>
    </row>
    <row r="200" spans="1:8" ht="17.100000000000001" customHeight="1" x14ac:dyDescent="0.25">
      <c r="A200" s="6" t="s">
        <v>718</v>
      </c>
      <c r="B200" s="6" t="s">
        <v>424</v>
      </c>
      <c r="C200" s="6" t="s">
        <v>95</v>
      </c>
      <c r="D200" s="6" t="s">
        <v>96</v>
      </c>
      <c r="E200" s="6" t="s">
        <v>1205</v>
      </c>
      <c r="F200" s="7" t="s">
        <v>717</v>
      </c>
      <c r="G200" s="7" t="s">
        <v>1209</v>
      </c>
      <c r="H200" s="7"/>
    </row>
    <row r="201" spans="1:8" ht="17.100000000000001" customHeight="1" x14ac:dyDescent="0.25">
      <c r="A201" s="6" t="s">
        <v>722</v>
      </c>
      <c r="B201" s="6" t="s">
        <v>424</v>
      </c>
      <c r="C201" s="6" t="s">
        <v>95</v>
      </c>
      <c r="D201" s="6" t="s">
        <v>96</v>
      </c>
      <c r="E201" s="6" t="s">
        <v>1205</v>
      </c>
      <c r="F201" s="7" t="s">
        <v>721</v>
      </c>
      <c r="G201" s="7" t="s">
        <v>1209</v>
      </c>
      <c r="H201" s="7"/>
    </row>
    <row r="202" spans="1:8" ht="17.100000000000001" customHeight="1" x14ac:dyDescent="0.25">
      <c r="A202" s="6" t="s">
        <v>708</v>
      </c>
      <c r="B202" s="6" t="s">
        <v>432</v>
      </c>
      <c r="C202" s="6" t="s">
        <v>95</v>
      </c>
      <c r="D202" s="6" t="s">
        <v>96</v>
      </c>
      <c r="E202" s="6" t="s">
        <v>1205</v>
      </c>
      <c r="F202" s="7" t="s">
        <v>671</v>
      </c>
      <c r="G202" s="7" t="s">
        <v>1209</v>
      </c>
      <c r="H202" s="7"/>
    </row>
    <row r="203" spans="1:8" ht="17.100000000000001" customHeight="1" x14ac:dyDescent="0.25">
      <c r="A203" s="6" t="s">
        <v>681</v>
      </c>
      <c r="B203" s="6" t="s">
        <v>680</v>
      </c>
      <c r="C203" s="6" t="s">
        <v>95</v>
      </c>
      <c r="D203" s="6" t="s">
        <v>96</v>
      </c>
      <c r="E203" s="6" t="s">
        <v>1205</v>
      </c>
      <c r="F203" s="7" t="s">
        <v>679</v>
      </c>
      <c r="G203" s="7" t="s">
        <v>1209</v>
      </c>
      <c r="H203" s="7"/>
    </row>
    <row r="204" spans="1:8" ht="17.100000000000001" customHeight="1" x14ac:dyDescent="0.25">
      <c r="A204" s="6"/>
      <c r="B204" s="6"/>
      <c r="C204" s="6"/>
      <c r="D204" s="6"/>
      <c r="E204" s="6"/>
      <c r="F204" s="7"/>
      <c r="G204" s="7"/>
      <c r="H204" s="7"/>
    </row>
    <row r="205" spans="1:8" ht="17.100000000000001" customHeight="1" x14ac:dyDescent="0.25">
      <c r="A205" s="6" t="s">
        <v>715</v>
      </c>
      <c r="B205" s="6" t="s">
        <v>1159</v>
      </c>
      <c r="C205" s="6" t="s">
        <v>95</v>
      </c>
      <c r="D205" s="6" t="s">
        <v>96</v>
      </c>
      <c r="E205" s="6" t="s">
        <v>1205</v>
      </c>
      <c r="F205" s="7" t="s">
        <v>719</v>
      </c>
      <c r="G205" s="7" t="s">
        <v>1209</v>
      </c>
      <c r="H205" s="7"/>
    </row>
    <row r="206" spans="1:8" ht="17.100000000000001" customHeight="1" x14ac:dyDescent="0.25">
      <c r="A206" s="6" t="s">
        <v>715</v>
      </c>
      <c r="B206" s="6" t="s">
        <v>1159</v>
      </c>
      <c r="C206" s="6" t="s">
        <v>95</v>
      </c>
      <c r="D206" s="6" t="s">
        <v>96</v>
      </c>
      <c r="E206" s="6" t="s">
        <v>1205</v>
      </c>
      <c r="F206" s="7" t="s">
        <v>714</v>
      </c>
      <c r="G206" s="7" t="s">
        <v>1209</v>
      </c>
      <c r="H206" s="7"/>
    </row>
    <row r="207" spans="1:8" ht="17.100000000000001" customHeight="1" x14ac:dyDescent="0.25">
      <c r="A207" s="6" t="s">
        <v>720</v>
      </c>
      <c r="B207" s="6" t="s">
        <v>1159</v>
      </c>
      <c r="C207" s="6" t="s">
        <v>95</v>
      </c>
      <c r="D207" s="6" t="s">
        <v>96</v>
      </c>
      <c r="E207" s="6" t="s">
        <v>1205</v>
      </c>
      <c r="F207" s="7" t="s">
        <v>719</v>
      </c>
      <c r="G207" s="7" t="s">
        <v>1209</v>
      </c>
      <c r="H207" s="7"/>
    </row>
    <row r="208" spans="1:8" ht="17.100000000000001" customHeight="1" x14ac:dyDescent="0.25">
      <c r="A208" s="6" t="s">
        <v>725</v>
      </c>
      <c r="B208" s="6" t="s">
        <v>1159</v>
      </c>
      <c r="C208" s="6" t="s">
        <v>95</v>
      </c>
      <c r="D208" s="6" t="s">
        <v>96</v>
      </c>
      <c r="E208" s="6" t="s">
        <v>1205</v>
      </c>
      <c r="F208" s="7" t="s">
        <v>724</v>
      </c>
      <c r="G208" s="7" t="s">
        <v>1209</v>
      </c>
      <c r="H208" s="7"/>
    </row>
    <row r="209" spans="1:8" ht="17.100000000000001" customHeight="1" x14ac:dyDescent="0.25">
      <c r="A209" s="6" t="s">
        <v>716</v>
      </c>
      <c r="B209" s="6" t="s">
        <v>1159</v>
      </c>
      <c r="C209" s="6" t="s">
        <v>95</v>
      </c>
      <c r="D209" s="6" t="s">
        <v>96</v>
      </c>
      <c r="E209" s="6" t="s">
        <v>1205</v>
      </c>
      <c r="F209" s="7" t="s">
        <v>714</v>
      </c>
      <c r="G209" s="7" t="s">
        <v>1209</v>
      </c>
      <c r="H209" s="7"/>
    </row>
    <row r="210" spans="1:8" ht="17.100000000000001" customHeight="1" x14ac:dyDescent="0.25">
      <c r="A210" s="6" t="s">
        <v>709</v>
      </c>
      <c r="B210" s="6" t="s">
        <v>674</v>
      </c>
      <c r="C210" s="6" t="s">
        <v>95</v>
      </c>
      <c r="D210" s="6" t="s">
        <v>96</v>
      </c>
      <c r="E210" s="6" t="s">
        <v>1205</v>
      </c>
      <c r="F210" s="7" t="s">
        <v>673</v>
      </c>
      <c r="G210" s="7" t="s">
        <v>1209</v>
      </c>
      <c r="H210" s="7"/>
    </row>
    <row r="211" spans="1:8" ht="17.100000000000001" customHeight="1" x14ac:dyDescent="0.25">
      <c r="A211" s="6"/>
      <c r="B211" s="6"/>
      <c r="C211" s="6"/>
      <c r="D211" s="6"/>
      <c r="E211" s="6"/>
      <c r="F211" s="7"/>
      <c r="G211" s="7"/>
      <c r="H211" s="7"/>
    </row>
    <row r="212" spans="1:8" ht="17.100000000000001" customHeight="1" x14ac:dyDescent="0.25">
      <c r="A212" s="6" t="s">
        <v>703</v>
      </c>
      <c r="B212" s="6" t="s">
        <v>52</v>
      </c>
      <c r="C212" s="6" t="s">
        <v>95</v>
      </c>
      <c r="D212" s="6" t="s">
        <v>154</v>
      </c>
      <c r="E212" s="6" t="s">
        <v>1205</v>
      </c>
      <c r="F212" s="7" t="s">
        <v>702</v>
      </c>
      <c r="G212" s="7" t="s">
        <v>1209</v>
      </c>
      <c r="H212" s="7"/>
    </row>
    <row r="213" spans="1:8" ht="17.100000000000001" customHeight="1" x14ac:dyDescent="0.25">
      <c r="A213" s="15"/>
      <c r="B213" s="15"/>
      <c r="C213" s="15"/>
      <c r="D213" s="15"/>
      <c r="E213" s="15"/>
      <c r="F213" s="16"/>
      <c r="G213" s="16"/>
      <c r="H213" s="16"/>
    </row>
    <row r="214" spans="1:8" ht="17.100000000000001" customHeight="1" x14ac:dyDescent="0.25">
      <c r="A214" s="6" t="s">
        <v>688</v>
      </c>
      <c r="B214" s="6" t="s">
        <v>687</v>
      </c>
      <c r="C214" s="6" t="s">
        <v>95</v>
      </c>
      <c r="D214" s="6" t="s">
        <v>96</v>
      </c>
      <c r="E214" s="6" t="s">
        <v>1205</v>
      </c>
      <c r="F214" s="7" t="s">
        <v>686</v>
      </c>
      <c r="G214" s="7" t="s">
        <v>1209</v>
      </c>
      <c r="H214" s="7" t="s">
        <v>1233</v>
      </c>
    </row>
    <row r="215" spans="1:8" ht="17.100000000000001" customHeight="1" x14ac:dyDescent="0.25">
      <c r="A215" s="6" t="s">
        <v>699</v>
      </c>
      <c r="B215" s="6" t="s">
        <v>698</v>
      </c>
      <c r="C215" s="6" t="s">
        <v>95</v>
      </c>
      <c r="D215" s="6" t="s">
        <v>96</v>
      </c>
      <c r="E215" s="6" t="s">
        <v>1205</v>
      </c>
      <c r="F215" s="7" t="s">
        <v>697</v>
      </c>
      <c r="G215" s="7" t="s">
        <v>1209</v>
      </c>
      <c r="H215" s="7"/>
    </row>
    <row r="216" spans="1:8" ht="17.100000000000001" customHeight="1" x14ac:dyDescent="0.25">
      <c r="A216" s="6" t="s">
        <v>696</v>
      </c>
      <c r="B216" s="6" t="s">
        <v>695</v>
      </c>
      <c r="C216" s="6" t="s">
        <v>95</v>
      </c>
      <c r="D216" s="6" t="s">
        <v>96</v>
      </c>
      <c r="E216" s="6" t="s">
        <v>1205</v>
      </c>
      <c r="F216" s="7" t="s">
        <v>694</v>
      </c>
      <c r="G216" s="7" t="s">
        <v>1209</v>
      </c>
      <c r="H216" s="7"/>
    </row>
    <row r="217" spans="1:8" ht="17.100000000000001" customHeight="1" x14ac:dyDescent="0.25">
      <c r="A217" s="15"/>
      <c r="B217" s="15"/>
      <c r="C217" s="15"/>
      <c r="D217" s="15"/>
      <c r="E217" s="15"/>
      <c r="F217" s="16"/>
      <c r="G217" s="16"/>
      <c r="H217" s="16"/>
    </row>
    <row r="218" spans="1:8" ht="17.100000000000001" customHeight="1" x14ac:dyDescent="0.25">
      <c r="A218" s="6" t="s">
        <v>691</v>
      </c>
      <c r="B218" s="6" t="s">
        <v>690</v>
      </c>
      <c r="C218" s="6" t="s">
        <v>95</v>
      </c>
      <c r="D218" s="6" t="s">
        <v>96</v>
      </c>
      <c r="E218" s="6" t="s">
        <v>1200</v>
      </c>
      <c r="F218" s="7" t="s">
        <v>689</v>
      </c>
      <c r="G218" s="7" t="s">
        <v>1209</v>
      </c>
      <c r="H218" s="7" t="s">
        <v>1234</v>
      </c>
    </row>
    <row r="219" spans="1:8" ht="17.100000000000001" customHeight="1" x14ac:dyDescent="0.25">
      <c r="A219" s="15"/>
      <c r="B219" s="15"/>
      <c r="C219" s="15"/>
      <c r="D219" s="15"/>
      <c r="E219" s="15"/>
      <c r="F219" s="16"/>
      <c r="G219" s="16"/>
      <c r="H219" s="16"/>
    </row>
    <row r="220" spans="1:8" ht="17.100000000000001" customHeight="1" x14ac:dyDescent="0.25">
      <c r="A220" s="6" t="s">
        <v>683</v>
      </c>
      <c r="B220" s="6" t="s">
        <v>1184</v>
      </c>
      <c r="C220" s="6" t="s">
        <v>95</v>
      </c>
      <c r="D220" s="6" t="s">
        <v>96</v>
      </c>
      <c r="E220" s="6" t="s">
        <v>1205</v>
      </c>
      <c r="F220" s="7" t="s">
        <v>682</v>
      </c>
      <c r="G220" s="7" t="s">
        <v>1209</v>
      </c>
      <c r="H220" s="7" t="s">
        <v>1206</v>
      </c>
    </row>
    <row r="221" spans="1:8" ht="17.100000000000001" customHeight="1" x14ac:dyDescent="0.25">
      <c r="A221" s="6" t="s">
        <v>693</v>
      </c>
      <c r="B221" s="6" t="s">
        <v>1185</v>
      </c>
      <c r="C221" s="6" t="s">
        <v>95</v>
      </c>
      <c r="D221" s="6" t="s">
        <v>96</v>
      </c>
      <c r="E221" s="6" t="s">
        <v>1205</v>
      </c>
      <c r="F221" s="7" t="s">
        <v>692</v>
      </c>
      <c r="G221" s="7" t="s">
        <v>1209</v>
      </c>
      <c r="H221" s="7"/>
    </row>
    <row r="222" spans="1:8" ht="17.100000000000001" customHeight="1" x14ac:dyDescent="0.25">
      <c r="A222" s="6" t="s">
        <v>685</v>
      </c>
      <c r="B222" s="6" t="s">
        <v>1159</v>
      </c>
      <c r="C222" s="6" t="s">
        <v>95</v>
      </c>
      <c r="D222" s="6" t="s">
        <v>96</v>
      </c>
      <c r="E222" s="6" t="s">
        <v>1205</v>
      </c>
      <c r="F222" s="7" t="s">
        <v>684</v>
      </c>
      <c r="G222" s="7" t="s">
        <v>1209</v>
      </c>
      <c r="H222" s="7"/>
    </row>
    <row r="223" spans="1:8" ht="17.100000000000001" customHeight="1" x14ac:dyDescent="0.25">
      <c r="A223" s="6" t="s">
        <v>712</v>
      </c>
      <c r="B223" s="6" t="s">
        <v>424</v>
      </c>
      <c r="C223" s="6" t="s">
        <v>95</v>
      </c>
      <c r="D223" s="6" t="s">
        <v>96</v>
      </c>
      <c r="E223" s="6" t="s">
        <v>1205</v>
      </c>
      <c r="F223" s="7" t="s">
        <v>711</v>
      </c>
      <c r="G223" s="7" t="s">
        <v>1209</v>
      </c>
      <c r="H223" s="7"/>
    </row>
    <row r="224" spans="1:8" ht="17.100000000000001" customHeight="1" x14ac:dyDescent="0.25">
      <c r="A224" s="6" t="s">
        <v>723</v>
      </c>
      <c r="B224" s="6" t="s">
        <v>424</v>
      </c>
      <c r="C224" s="6" t="s">
        <v>95</v>
      </c>
      <c r="D224" s="6" t="s">
        <v>96</v>
      </c>
      <c r="E224" s="6" t="s">
        <v>1205</v>
      </c>
      <c r="F224" s="7" t="s">
        <v>721</v>
      </c>
      <c r="G224" s="7" t="s">
        <v>1209</v>
      </c>
      <c r="H224" s="7"/>
    </row>
    <row r="225" spans="1:8" ht="17.100000000000001" customHeight="1" x14ac:dyDescent="0.25">
      <c r="A225" s="6" t="s">
        <v>710</v>
      </c>
      <c r="B225" s="6" t="s">
        <v>432</v>
      </c>
      <c r="C225" s="6" t="s">
        <v>95</v>
      </c>
      <c r="D225" s="6" t="s">
        <v>96</v>
      </c>
      <c r="E225" s="6" t="s">
        <v>1205</v>
      </c>
      <c r="F225" s="7" t="s">
        <v>672</v>
      </c>
      <c r="G225" s="7" t="s">
        <v>1209</v>
      </c>
      <c r="H225" s="7"/>
    </row>
    <row r="226" spans="1:8" ht="17.100000000000001" customHeight="1" x14ac:dyDescent="0.25">
      <c r="A226" s="6"/>
      <c r="B226" s="6"/>
      <c r="C226" s="6"/>
      <c r="D226" s="6"/>
      <c r="E226" s="6"/>
      <c r="F226" s="7"/>
      <c r="G226" s="7"/>
      <c r="H226" s="7"/>
    </row>
    <row r="227" spans="1:8" ht="17.100000000000001" customHeight="1" x14ac:dyDescent="0.25">
      <c r="A227" s="6" t="s">
        <v>734</v>
      </c>
      <c r="B227" s="6" t="s">
        <v>1159</v>
      </c>
      <c r="C227" s="6" t="s">
        <v>95</v>
      </c>
      <c r="D227" s="6" t="s">
        <v>152</v>
      </c>
      <c r="E227" s="6" t="s">
        <v>1205</v>
      </c>
      <c r="F227" s="7" t="s">
        <v>558</v>
      </c>
      <c r="G227" s="7" t="s">
        <v>1209</v>
      </c>
      <c r="H227" s="7"/>
    </row>
    <row r="228" spans="1:8" ht="17.100000000000001" customHeight="1" x14ac:dyDescent="0.25">
      <c r="A228" s="6" t="s">
        <v>732</v>
      </c>
      <c r="B228" s="6" t="s">
        <v>1159</v>
      </c>
      <c r="C228" s="6" t="s">
        <v>95</v>
      </c>
      <c r="D228" s="6" t="s">
        <v>152</v>
      </c>
      <c r="E228" s="6" t="s">
        <v>1205</v>
      </c>
      <c r="F228" s="7" t="s">
        <v>540</v>
      </c>
      <c r="G228" s="7" t="s">
        <v>1209</v>
      </c>
      <c r="H228" s="7"/>
    </row>
    <row r="229" spans="1:8" ht="17.100000000000001" customHeight="1" x14ac:dyDescent="0.25">
      <c r="A229" s="6" t="s">
        <v>701</v>
      </c>
      <c r="B229" s="6" t="s">
        <v>34</v>
      </c>
      <c r="C229" s="6" t="s">
        <v>95</v>
      </c>
      <c r="D229" s="6" t="s">
        <v>152</v>
      </c>
      <c r="E229" s="6" t="s">
        <v>1205</v>
      </c>
      <c r="F229" s="7" t="s">
        <v>700</v>
      </c>
      <c r="G229" s="7" t="s">
        <v>1209</v>
      </c>
      <c r="H229" s="7"/>
    </row>
    <row r="230" spans="1:8" ht="17.100000000000001" customHeight="1" x14ac:dyDescent="0.25">
      <c r="A230" s="6" t="s">
        <v>705</v>
      </c>
      <c r="B230" s="6" t="s">
        <v>34</v>
      </c>
      <c r="C230" s="6" t="s">
        <v>95</v>
      </c>
      <c r="D230" s="6" t="s">
        <v>152</v>
      </c>
      <c r="E230" s="6" t="s">
        <v>1205</v>
      </c>
      <c r="F230" s="7" t="s">
        <v>704</v>
      </c>
      <c r="G230" s="7" t="s">
        <v>1209</v>
      </c>
      <c r="H230" s="7"/>
    </row>
    <row r="231" spans="1:8" ht="17.100000000000001" customHeight="1" x14ac:dyDescent="0.25">
      <c r="A231" s="6" t="s">
        <v>731</v>
      </c>
      <c r="B231" s="6" t="s">
        <v>34</v>
      </c>
      <c r="C231" s="6" t="s">
        <v>95</v>
      </c>
      <c r="D231" s="6" t="s">
        <v>152</v>
      </c>
      <c r="E231" s="6" t="s">
        <v>1205</v>
      </c>
      <c r="F231" s="7" t="s">
        <v>544</v>
      </c>
      <c r="G231" s="7" t="s">
        <v>1209</v>
      </c>
      <c r="H231" s="7"/>
    </row>
    <row r="232" spans="1:8" ht="17.100000000000001" customHeight="1" x14ac:dyDescent="0.25">
      <c r="A232" s="6"/>
      <c r="B232" s="6"/>
      <c r="C232" s="6"/>
      <c r="D232" s="6"/>
      <c r="E232" s="6"/>
      <c r="F232" s="7"/>
      <c r="G232" s="7"/>
      <c r="H232" s="7"/>
    </row>
    <row r="233" spans="1:8" ht="17.100000000000001" customHeight="1" x14ac:dyDescent="0.25">
      <c r="A233" s="6" t="s">
        <v>733</v>
      </c>
      <c r="B233" s="6" t="s">
        <v>1159</v>
      </c>
      <c r="C233" s="6" t="s">
        <v>95</v>
      </c>
      <c r="D233" s="6" t="s">
        <v>255</v>
      </c>
      <c r="E233" s="6" t="s">
        <v>1205</v>
      </c>
      <c r="F233" s="7" t="s">
        <v>556</v>
      </c>
      <c r="G233" s="7" t="s">
        <v>1209</v>
      </c>
      <c r="H233" s="7"/>
    </row>
  </sheetData>
  <sortState xmlns:xlrd2="http://schemas.microsoft.com/office/spreadsheetml/2017/richdata2" ref="A49:G70">
    <sortCondition ref="B49:B70"/>
    <sortCondition descending="1" ref="D49:D70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198:D203 F198:H203 A204:H204 A205:D210 F205:H210 A211:H211 A212:D212 F212:H212">
    <cfRule type="containsText" dxfId="22" priority="1" operator="containsText" text=":A2">
      <formula>NOT(ISERROR(SEARCH(":A2",A198)))</formula>
    </cfRule>
    <cfRule type="containsText" dxfId="21" priority="2" operator="containsText" text=":A1">
      <formula>NOT(ISERROR(SEARCH(":A1",A198)))</formula>
    </cfRule>
  </conditionalFormatting>
  <conditionalFormatting sqref="A49:H130">
    <cfRule type="containsText" dxfId="20" priority="9" operator="containsText" text=":A2">
      <formula>NOT(ISERROR(SEARCH(":A2",A49)))</formula>
    </cfRule>
    <cfRule type="containsText" dxfId="19" priority="10" operator="containsText" text=":A1">
      <formula>NOT(ISERROR(SEARCH(":A1",A49)))</formula>
    </cfRule>
  </conditionalFormatting>
  <conditionalFormatting sqref="A132:H161">
    <cfRule type="containsText" dxfId="18" priority="3" operator="containsText" text=":B1">
      <formula>NOT(ISERROR(SEARCH(":B1",A132)))</formula>
    </cfRule>
    <cfRule type="containsText" dxfId="17" priority="4" operator="containsText" text=":15">
      <formula>NOT(ISERROR(SEARCH(":15",A132)))</formula>
    </cfRule>
    <cfRule type="containsText" dxfId="16" priority="5" operator="containsText" text=":A1">
      <formula>NOT(ISERROR(SEARCH(":A1",A132)))</formula>
    </cfRule>
    <cfRule type="containsText" dxfId="15" priority="6" operator="containsText" text=":18">
      <formula>NOT(ISERROR(SEARCH(":18",A132)))</formula>
    </cfRule>
    <cfRule type="containsText" dxfId="14" priority="7" operator="containsText" text=":16">
      <formula>NOT(ISERROR(SEARCH(":16",A132)))</formula>
    </cfRule>
    <cfRule type="containsText" dxfId="13" priority="8" operator="containsText" text=":A2">
      <formula>NOT(ISERROR(SEARCH(":A2",A132)))</formula>
    </cfRule>
  </conditionalFormatting>
  <conditionalFormatting sqref="F1:F68 A69:A70 F71:F168 F179:F1048576 A169:A170 F171:F172 A173:A178">
    <cfRule type="containsText" dxfId="12" priority="11" operator="containsText" text="UJ">
      <formula>NOT(ISERROR(SEARCH("UJ",A1)))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758B-82E6-4D18-9852-CE581D661573}">
  <sheetPr>
    <tabColor rgb="FFFFD1FF"/>
  </sheetPr>
  <dimension ref="A1:I83"/>
  <sheetViews>
    <sheetView showGridLines="0" tabSelected="1" zoomScale="145" zoomScaleNormal="145" workbookViewId="0">
      <selection activeCell="E71" sqref="E71"/>
    </sheetView>
  </sheetViews>
  <sheetFormatPr defaultRowHeight="17.100000000000001" customHeight="1" x14ac:dyDescent="0.25"/>
  <cols>
    <col min="1" max="1" width="12.7109375" style="2" bestFit="1" customWidth="1"/>
    <col min="2" max="2" width="9.85546875" style="2" bestFit="1" customWidth="1"/>
    <col min="3" max="3" width="6.5703125" style="2" bestFit="1" customWidth="1"/>
    <col min="4" max="4" width="9.85546875" style="2" bestFit="1" customWidth="1"/>
    <col min="5" max="5" width="6.42578125" style="2" bestFit="1" customWidth="1"/>
    <col min="6" max="6" width="14.7109375" style="2" bestFit="1" customWidth="1"/>
    <col min="7" max="7" width="7.5703125" bestFit="1" customWidth="1"/>
    <col min="8" max="8" width="10.42578125" bestFit="1" customWidth="1"/>
    <col min="9" max="9" width="10.28515625" customWidth="1"/>
  </cols>
  <sheetData>
    <row r="1" spans="1:9" ht="18" customHeight="1" x14ac:dyDescent="0.25">
      <c r="A1" s="22" t="s">
        <v>40</v>
      </c>
      <c r="B1" s="22"/>
      <c r="C1" s="22"/>
      <c r="D1" s="22"/>
    </row>
    <row r="2" spans="1:9" ht="12" customHeight="1" x14ac:dyDescent="0.25">
      <c r="A2" s="23"/>
      <c r="B2" s="23"/>
      <c r="C2" s="23"/>
      <c r="D2" s="23"/>
    </row>
    <row r="3" spans="1:9" ht="12.75" customHeight="1" x14ac:dyDescent="0.25">
      <c r="A3" s="1" t="s">
        <v>0</v>
      </c>
      <c r="B3" s="18" t="s">
        <v>1</v>
      </c>
      <c r="C3" s="18"/>
      <c r="D3" s="18"/>
    </row>
    <row r="4" spans="1:9" ht="12" customHeight="1" x14ac:dyDescent="0.25">
      <c r="A4" s="1" t="s">
        <v>2</v>
      </c>
      <c r="B4" s="18" t="s">
        <v>3</v>
      </c>
      <c r="C4" s="18"/>
      <c r="D4" s="18"/>
    </row>
    <row r="5" spans="1:9" ht="12.75" customHeight="1" x14ac:dyDescent="0.25">
      <c r="A5" s="1" t="s">
        <v>4</v>
      </c>
      <c r="B5" s="18" t="s">
        <v>5</v>
      </c>
      <c r="C5" s="18"/>
      <c r="D5" s="18"/>
    </row>
    <row r="6" spans="1:9" ht="5.25" customHeight="1" x14ac:dyDescent="0.25"/>
    <row r="7" spans="1:9" ht="12" customHeight="1" x14ac:dyDescent="0.25">
      <c r="A7" s="1" t="s">
        <v>6</v>
      </c>
      <c r="B7" s="18" t="s">
        <v>7</v>
      </c>
      <c r="C7" s="18"/>
      <c r="D7" s="18"/>
    </row>
    <row r="8" spans="1:9" ht="12.75" customHeight="1" x14ac:dyDescent="0.25">
      <c r="A8" s="1" t="s">
        <v>8</v>
      </c>
      <c r="B8" s="18"/>
      <c r="C8" s="18"/>
      <c r="D8" s="18"/>
    </row>
    <row r="9" spans="1:9" ht="12" customHeight="1" x14ac:dyDescent="0.25">
      <c r="A9" s="1" t="s">
        <v>9</v>
      </c>
      <c r="B9" s="18"/>
      <c r="C9" s="18"/>
      <c r="D9" s="18"/>
    </row>
    <row r="10" spans="1:9" ht="12.75" customHeight="1" x14ac:dyDescent="0.25">
      <c r="A10" s="1" t="s">
        <v>8</v>
      </c>
      <c r="B10" s="18"/>
      <c r="C10" s="18"/>
      <c r="D10" s="18"/>
    </row>
    <row r="11" spans="1:9" ht="10.5" customHeight="1" x14ac:dyDescent="0.25"/>
    <row r="12" spans="1:9" ht="16.5" customHeight="1" x14ac:dyDescent="0.25">
      <c r="A12" s="19" t="s">
        <v>79</v>
      </c>
      <c r="B12" s="19"/>
      <c r="C12" s="19"/>
      <c r="D12" s="19"/>
      <c r="E12" s="19"/>
      <c r="F12" s="19"/>
      <c r="G12" s="20" t="s">
        <v>80</v>
      </c>
      <c r="H12" s="21"/>
      <c r="I12" s="8"/>
    </row>
    <row r="13" spans="1:9" ht="43.5" customHeight="1" x14ac:dyDescent="0.25">
      <c r="A13" s="3" t="s">
        <v>10</v>
      </c>
      <c r="B13" s="4" t="s">
        <v>82</v>
      </c>
      <c r="C13" s="4" t="s">
        <v>81</v>
      </c>
      <c r="D13" s="4" t="s">
        <v>83</v>
      </c>
      <c r="E13" s="4" t="s">
        <v>1130</v>
      </c>
      <c r="F13" s="5" t="s">
        <v>10</v>
      </c>
      <c r="G13" s="5" t="s">
        <v>11</v>
      </c>
      <c r="H13" s="5" t="s">
        <v>1131</v>
      </c>
    </row>
    <row r="14" spans="1:9" ht="17.100000000000001" customHeight="1" x14ac:dyDescent="0.25">
      <c r="A14" s="6" t="s">
        <v>564</v>
      </c>
      <c r="B14" s="6" t="s">
        <v>1159</v>
      </c>
      <c r="C14" s="6" t="s">
        <v>95</v>
      </c>
      <c r="D14" s="6" t="s">
        <v>154</v>
      </c>
      <c r="E14" s="6" t="s">
        <v>1252</v>
      </c>
      <c r="F14" s="7" t="s">
        <v>553</v>
      </c>
      <c r="G14" s="7" t="s">
        <v>1209</v>
      </c>
      <c r="H14" s="7" t="s">
        <v>1235</v>
      </c>
    </row>
    <row r="15" spans="1:9" ht="17.100000000000001" customHeight="1" x14ac:dyDescent="0.25">
      <c r="A15" s="6" t="s">
        <v>569</v>
      </c>
      <c r="B15" s="6" t="s">
        <v>1159</v>
      </c>
      <c r="C15" s="6" t="s">
        <v>95</v>
      </c>
      <c r="D15" s="6" t="s">
        <v>154</v>
      </c>
      <c r="E15" s="6" t="s">
        <v>1252</v>
      </c>
      <c r="F15" s="7" t="s">
        <v>554</v>
      </c>
      <c r="G15" s="7" t="s">
        <v>1209</v>
      </c>
      <c r="H15" s="7"/>
    </row>
    <row r="16" spans="1:9" ht="17.100000000000001" customHeight="1" x14ac:dyDescent="0.25">
      <c r="A16" s="6" t="s">
        <v>584</v>
      </c>
      <c r="B16" s="6" t="s">
        <v>1159</v>
      </c>
      <c r="C16" s="6" t="s">
        <v>95</v>
      </c>
      <c r="D16" s="6" t="s">
        <v>154</v>
      </c>
      <c r="E16" s="6" t="s">
        <v>1217</v>
      </c>
      <c r="F16" s="7" t="s">
        <v>554</v>
      </c>
      <c r="G16" s="7" t="s">
        <v>1209</v>
      </c>
      <c r="H16" s="7"/>
    </row>
    <row r="17" spans="1:8" ht="17.100000000000001" customHeight="1" x14ac:dyDescent="0.25">
      <c r="A17" s="6" t="s">
        <v>574</v>
      </c>
      <c r="B17" s="6" t="s">
        <v>1159</v>
      </c>
      <c r="C17" s="6" t="s">
        <v>95</v>
      </c>
      <c r="D17" s="6" t="s">
        <v>154</v>
      </c>
      <c r="E17" s="6" t="s">
        <v>1252</v>
      </c>
      <c r="F17" s="7" t="s">
        <v>553</v>
      </c>
      <c r="G17" s="7" t="s">
        <v>1209</v>
      </c>
      <c r="H17" s="7"/>
    </row>
    <row r="18" spans="1:8" ht="17.100000000000001" customHeight="1" x14ac:dyDescent="0.25">
      <c r="A18" s="6" t="s">
        <v>578</v>
      </c>
      <c r="B18" s="6" t="s">
        <v>580</v>
      </c>
      <c r="C18" s="6" t="s">
        <v>95</v>
      </c>
      <c r="D18" s="6" t="s">
        <v>154</v>
      </c>
      <c r="E18" s="6" t="s">
        <v>1218</v>
      </c>
      <c r="F18" s="7" t="s">
        <v>581</v>
      </c>
      <c r="G18" s="7" t="s">
        <v>1209</v>
      </c>
      <c r="H18" s="7"/>
    </row>
    <row r="19" spans="1:8" ht="17.100000000000001" customHeight="1" x14ac:dyDescent="0.25">
      <c r="A19" s="6" t="s">
        <v>579</v>
      </c>
      <c r="B19" s="6" t="s">
        <v>582</v>
      </c>
      <c r="C19" s="6" t="s">
        <v>95</v>
      </c>
      <c r="D19" s="6" t="s">
        <v>154</v>
      </c>
      <c r="E19" s="6" t="s">
        <v>1218</v>
      </c>
      <c r="F19" s="7" t="s">
        <v>583</v>
      </c>
      <c r="G19" s="7" t="s">
        <v>1209</v>
      </c>
      <c r="H19" s="7"/>
    </row>
    <row r="20" spans="1:8" ht="17.100000000000001" customHeight="1" x14ac:dyDescent="0.25">
      <c r="A20" s="6" t="s">
        <v>572</v>
      </c>
      <c r="B20" s="6" t="s">
        <v>573</v>
      </c>
      <c r="C20" s="6" t="s">
        <v>95</v>
      </c>
      <c r="D20" s="6" t="s">
        <v>154</v>
      </c>
      <c r="E20" s="6" t="s">
        <v>1218</v>
      </c>
      <c r="F20" s="7" t="s">
        <v>574</v>
      </c>
      <c r="G20" s="7" t="s">
        <v>1209</v>
      </c>
      <c r="H20" s="7"/>
    </row>
    <row r="21" spans="1:8" ht="17.100000000000001" customHeight="1" x14ac:dyDescent="0.25">
      <c r="A21" s="6" t="s">
        <v>575</v>
      </c>
      <c r="B21" s="6" t="s">
        <v>576</v>
      </c>
      <c r="C21" s="6" t="s">
        <v>95</v>
      </c>
      <c r="D21" s="6" t="s">
        <v>154</v>
      </c>
      <c r="E21" s="6" t="s">
        <v>1218</v>
      </c>
      <c r="F21" s="7" t="s">
        <v>577</v>
      </c>
      <c r="G21" s="7" t="s">
        <v>1209</v>
      </c>
      <c r="H21" s="7"/>
    </row>
    <row r="22" spans="1:8" ht="17.100000000000001" customHeight="1" x14ac:dyDescent="0.25">
      <c r="A22" s="6" t="s">
        <v>577</v>
      </c>
      <c r="B22" s="6" t="s">
        <v>44</v>
      </c>
      <c r="C22" s="6" t="s">
        <v>95</v>
      </c>
      <c r="D22" s="6" t="s">
        <v>154</v>
      </c>
      <c r="E22" s="6" t="s">
        <v>1217</v>
      </c>
      <c r="F22" s="7" t="s">
        <v>627</v>
      </c>
      <c r="G22" s="7" t="s">
        <v>1209</v>
      </c>
      <c r="H22" s="7"/>
    </row>
    <row r="23" spans="1:8" ht="17.100000000000001" customHeight="1" x14ac:dyDescent="0.25">
      <c r="A23" s="6" t="s">
        <v>565</v>
      </c>
      <c r="B23" s="6" t="s">
        <v>45</v>
      </c>
      <c r="C23" s="6" t="s">
        <v>95</v>
      </c>
      <c r="D23" s="6" t="s">
        <v>154</v>
      </c>
      <c r="E23" s="6" t="s">
        <v>1217</v>
      </c>
      <c r="F23" s="7" t="s">
        <v>566</v>
      </c>
      <c r="G23" s="7" t="s">
        <v>1209</v>
      </c>
      <c r="H23" s="7"/>
    </row>
    <row r="24" spans="1:8" ht="17.100000000000001" customHeight="1" x14ac:dyDescent="0.25">
      <c r="A24" s="6" t="s">
        <v>570</v>
      </c>
      <c r="B24" s="6" t="s">
        <v>46</v>
      </c>
      <c r="C24" s="6" t="s">
        <v>95</v>
      </c>
      <c r="D24" s="6" t="s">
        <v>154</v>
      </c>
      <c r="E24" s="6" t="s">
        <v>1217</v>
      </c>
      <c r="F24" s="7" t="s">
        <v>571</v>
      </c>
      <c r="G24" s="7" t="s">
        <v>1209</v>
      </c>
      <c r="H24" s="7"/>
    </row>
    <row r="25" spans="1:8" ht="17.100000000000001" customHeight="1" x14ac:dyDescent="0.25">
      <c r="A25" s="6" t="s">
        <v>585</v>
      </c>
      <c r="B25" s="6" t="s">
        <v>47</v>
      </c>
      <c r="C25" s="6" t="s">
        <v>95</v>
      </c>
      <c r="D25" s="6" t="s">
        <v>154</v>
      </c>
      <c r="E25" s="6" t="s">
        <v>1218</v>
      </c>
      <c r="F25" s="7" t="s">
        <v>586</v>
      </c>
      <c r="G25" s="7" t="s">
        <v>1209</v>
      </c>
      <c r="H25" s="7"/>
    </row>
    <row r="26" spans="1:8" ht="17.100000000000001" customHeight="1" x14ac:dyDescent="0.25">
      <c r="A26" s="15"/>
      <c r="B26" s="15"/>
      <c r="C26" s="15"/>
      <c r="D26" s="15"/>
      <c r="E26" s="15"/>
      <c r="F26" s="16"/>
      <c r="G26" s="16"/>
      <c r="H26" s="16"/>
    </row>
    <row r="27" spans="1:8" ht="17.100000000000001" customHeight="1" x14ac:dyDescent="0.25">
      <c r="A27" s="6" t="s">
        <v>613</v>
      </c>
      <c r="B27" s="6" t="s">
        <v>1159</v>
      </c>
      <c r="C27" s="6" t="s">
        <v>95</v>
      </c>
      <c r="D27" s="6" t="s">
        <v>154</v>
      </c>
      <c r="E27" s="6" t="s">
        <v>1217</v>
      </c>
      <c r="F27" s="7" t="s">
        <v>555</v>
      </c>
      <c r="G27" s="7" t="s">
        <v>1209</v>
      </c>
      <c r="H27" s="7" t="s">
        <v>1236</v>
      </c>
    </row>
    <row r="28" spans="1:8" ht="17.100000000000001" customHeight="1" x14ac:dyDescent="0.25">
      <c r="A28" s="6" t="s">
        <v>587</v>
      </c>
      <c r="B28" s="6" t="s">
        <v>1159</v>
      </c>
      <c r="C28" s="6" t="s">
        <v>95</v>
      </c>
      <c r="D28" s="6" t="s">
        <v>154</v>
      </c>
      <c r="E28" s="6" t="s">
        <v>1218</v>
      </c>
      <c r="F28" s="7" t="s">
        <v>555</v>
      </c>
      <c r="G28" s="7" t="s">
        <v>1209</v>
      </c>
      <c r="H28" s="7"/>
    </row>
    <row r="29" spans="1:8" ht="17.100000000000001" customHeight="1" x14ac:dyDescent="0.25">
      <c r="A29" s="6" t="s">
        <v>588</v>
      </c>
      <c r="B29" s="6" t="s">
        <v>48</v>
      </c>
      <c r="C29" s="6" t="s">
        <v>95</v>
      </c>
      <c r="D29" s="6" t="s">
        <v>154</v>
      </c>
      <c r="E29" s="6" t="s">
        <v>1218</v>
      </c>
      <c r="F29" s="7" t="s">
        <v>628</v>
      </c>
      <c r="G29" s="7" t="s">
        <v>1209</v>
      </c>
      <c r="H29" s="7"/>
    </row>
    <row r="30" spans="1:8" ht="17.100000000000001" customHeight="1" x14ac:dyDescent="0.25">
      <c r="A30" s="6" t="s">
        <v>614</v>
      </c>
      <c r="B30" s="6" t="s">
        <v>49</v>
      </c>
      <c r="C30" s="6" t="s">
        <v>95</v>
      </c>
      <c r="D30" s="6" t="s">
        <v>154</v>
      </c>
      <c r="E30" s="6" t="s">
        <v>1217</v>
      </c>
      <c r="F30" s="7" t="s">
        <v>615</v>
      </c>
      <c r="G30" s="7" t="s">
        <v>1209</v>
      </c>
      <c r="H30" s="7"/>
    </row>
    <row r="31" spans="1:8" ht="17.100000000000001" customHeight="1" x14ac:dyDescent="0.25">
      <c r="A31" s="15"/>
      <c r="B31" s="15"/>
      <c r="C31" s="15"/>
      <c r="D31" s="15"/>
      <c r="E31" s="15"/>
      <c r="F31" s="16"/>
      <c r="G31" s="16"/>
      <c r="H31" s="16"/>
    </row>
    <row r="32" spans="1:8" ht="17.100000000000001" customHeight="1" x14ac:dyDescent="0.25">
      <c r="A32" s="6" t="s">
        <v>616</v>
      </c>
      <c r="B32" s="6" t="s">
        <v>1159</v>
      </c>
      <c r="C32" s="6" t="s">
        <v>95</v>
      </c>
      <c r="D32" s="6" t="s">
        <v>154</v>
      </c>
      <c r="E32" s="6" t="s">
        <v>1218</v>
      </c>
      <c r="F32" s="7" t="s">
        <v>559</v>
      </c>
      <c r="G32" s="7" t="s">
        <v>1209</v>
      </c>
      <c r="H32" s="7" t="s">
        <v>1237</v>
      </c>
    </row>
    <row r="33" spans="1:8" ht="17.100000000000001" customHeight="1" x14ac:dyDescent="0.25">
      <c r="A33" s="6" t="s">
        <v>617</v>
      </c>
      <c r="B33" s="6" t="s">
        <v>1159</v>
      </c>
      <c r="C33" s="6" t="s">
        <v>95</v>
      </c>
      <c r="D33" s="6" t="s">
        <v>154</v>
      </c>
      <c r="E33" s="6" t="s">
        <v>1218</v>
      </c>
      <c r="F33" s="7" t="s">
        <v>618</v>
      </c>
      <c r="G33" s="7" t="s">
        <v>1209</v>
      </c>
      <c r="H33" s="7"/>
    </row>
    <row r="34" spans="1:8" ht="17.100000000000001" customHeight="1" x14ac:dyDescent="0.25">
      <c r="A34" s="6" t="s">
        <v>623</v>
      </c>
      <c r="B34" s="6" t="s">
        <v>1159</v>
      </c>
      <c r="C34" s="6" t="s">
        <v>95</v>
      </c>
      <c r="D34" s="6" t="s">
        <v>154</v>
      </c>
      <c r="E34" s="6" t="s">
        <v>1218</v>
      </c>
      <c r="F34" s="7" t="s">
        <v>624</v>
      </c>
      <c r="G34" s="7" t="s">
        <v>1209</v>
      </c>
      <c r="H34" s="7"/>
    </row>
    <row r="35" spans="1:8" ht="17.100000000000001" customHeight="1" x14ac:dyDescent="0.25">
      <c r="A35" s="6" t="s">
        <v>619</v>
      </c>
      <c r="B35" s="6" t="s">
        <v>53</v>
      </c>
      <c r="C35" s="6" t="s">
        <v>95</v>
      </c>
      <c r="D35" s="6" t="s">
        <v>154</v>
      </c>
      <c r="E35" s="6" t="s">
        <v>1218</v>
      </c>
      <c r="F35" s="7" t="s">
        <v>620</v>
      </c>
      <c r="G35" s="7" t="s">
        <v>1209</v>
      </c>
      <c r="H35" s="7"/>
    </row>
    <row r="36" spans="1:8" ht="17.100000000000001" customHeight="1" x14ac:dyDescent="0.25">
      <c r="A36" s="6" t="s">
        <v>621</v>
      </c>
      <c r="B36" s="6" t="s">
        <v>53</v>
      </c>
      <c r="C36" s="6" t="s">
        <v>95</v>
      </c>
      <c r="D36" s="6" t="s">
        <v>154</v>
      </c>
      <c r="E36" s="6" t="s">
        <v>1218</v>
      </c>
      <c r="F36" s="7" t="s">
        <v>622</v>
      </c>
      <c r="G36" s="7" t="s">
        <v>1209</v>
      </c>
      <c r="H36" s="7"/>
    </row>
    <row r="37" spans="1:8" ht="17.100000000000001" customHeight="1" x14ac:dyDescent="0.25">
      <c r="A37" s="6" t="s">
        <v>625</v>
      </c>
      <c r="B37" s="6" t="s">
        <v>53</v>
      </c>
      <c r="C37" s="6" t="s">
        <v>95</v>
      </c>
      <c r="D37" s="6" t="s">
        <v>154</v>
      </c>
      <c r="E37" s="6" t="s">
        <v>1218</v>
      </c>
      <c r="F37" s="7" t="s">
        <v>626</v>
      </c>
      <c r="G37" s="7" t="s">
        <v>1209</v>
      </c>
      <c r="H37" s="7"/>
    </row>
    <row r="38" spans="1:8" ht="17.100000000000001" customHeight="1" x14ac:dyDescent="0.25">
      <c r="A38" s="15"/>
      <c r="B38" s="15"/>
      <c r="C38" s="15"/>
      <c r="D38" s="15"/>
      <c r="E38" s="15"/>
      <c r="F38" s="16"/>
      <c r="G38" s="16"/>
      <c r="H38" s="16"/>
    </row>
    <row r="39" spans="1:8" ht="17.100000000000001" customHeight="1" x14ac:dyDescent="0.25">
      <c r="A39" s="6" t="s">
        <v>629</v>
      </c>
      <c r="B39" s="6" t="s">
        <v>1159</v>
      </c>
      <c r="C39" s="6" t="s">
        <v>95</v>
      </c>
      <c r="D39" s="6" t="s">
        <v>154</v>
      </c>
      <c r="E39" s="6" t="s">
        <v>1218</v>
      </c>
      <c r="F39" s="7" t="s">
        <v>551</v>
      </c>
      <c r="G39" s="7" t="s">
        <v>1209</v>
      </c>
      <c r="H39" s="7" t="s">
        <v>1214</v>
      </c>
    </row>
    <row r="40" spans="1:8" ht="17.100000000000001" customHeight="1" x14ac:dyDescent="0.25">
      <c r="A40" s="6" t="s">
        <v>632</v>
      </c>
      <c r="B40" s="6" t="s">
        <v>1159</v>
      </c>
      <c r="C40" s="6" t="s">
        <v>95</v>
      </c>
      <c r="D40" s="6" t="s">
        <v>154</v>
      </c>
      <c r="E40" s="6" t="s">
        <v>1218</v>
      </c>
      <c r="F40" s="7" t="s">
        <v>551</v>
      </c>
      <c r="G40" s="7" t="s">
        <v>1209</v>
      </c>
      <c r="H40" s="7"/>
    </row>
    <row r="41" spans="1:8" ht="17.100000000000001" customHeight="1" x14ac:dyDescent="0.25">
      <c r="A41" s="6" t="s">
        <v>635</v>
      </c>
      <c r="B41" s="6" t="s">
        <v>636</v>
      </c>
      <c r="C41" s="6" t="s">
        <v>95</v>
      </c>
      <c r="D41" s="6" t="s">
        <v>154</v>
      </c>
      <c r="E41" s="6" t="s">
        <v>1218</v>
      </c>
      <c r="F41" s="7" t="s">
        <v>637</v>
      </c>
      <c r="G41" s="7" t="s">
        <v>1209</v>
      </c>
      <c r="H41" s="7"/>
    </row>
    <row r="42" spans="1:8" ht="17.100000000000001" customHeight="1" x14ac:dyDescent="0.25">
      <c r="A42" s="6" t="s">
        <v>630</v>
      </c>
      <c r="B42" s="6" t="s">
        <v>41</v>
      </c>
      <c r="C42" s="6" t="s">
        <v>95</v>
      </c>
      <c r="D42" s="6" t="s">
        <v>154</v>
      </c>
      <c r="E42" s="6" t="s">
        <v>1218</v>
      </c>
      <c r="F42" s="7" t="s">
        <v>631</v>
      </c>
      <c r="G42" s="7" t="s">
        <v>1209</v>
      </c>
      <c r="H42" s="7"/>
    </row>
    <row r="43" spans="1:8" ht="17.100000000000001" customHeight="1" x14ac:dyDescent="0.25">
      <c r="A43" s="6" t="s">
        <v>633</v>
      </c>
      <c r="B43" s="6" t="s">
        <v>42</v>
      </c>
      <c r="C43" s="6" t="s">
        <v>95</v>
      </c>
      <c r="D43" s="6" t="s">
        <v>154</v>
      </c>
      <c r="E43" s="6" t="s">
        <v>1218</v>
      </c>
      <c r="F43" s="7" t="s">
        <v>634</v>
      </c>
      <c r="G43" s="7" t="s">
        <v>1209</v>
      </c>
      <c r="H43" s="7"/>
    </row>
    <row r="44" spans="1:8" ht="17.100000000000001" customHeight="1" x14ac:dyDescent="0.25">
      <c r="A44" s="6" t="s">
        <v>638</v>
      </c>
      <c r="B44" s="6" t="s">
        <v>639</v>
      </c>
      <c r="C44" s="6" t="s">
        <v>95</v>
      </c>
      <c r="D44" s="6" t="s">
        <v>154</v>
      </c>
      <c r="E44" s="6" t="s">
        <v>1218</v>
      </c>
      <c r="F44" s="7" t="s">
        <v>640</v>
      </c>
      <c r="G44" s="7" t="s">
        <v>1209</v>
      </c>
      <c r="H44" s="7"/>
    </row>
    <row r="45" spans="1:8" ht="17.100000000000001" customHeight="1" x14ac:dyDescent="0.25">
      <c r="A45" s="15"/>
      <c r="B45" s="15"/>
      <c r="C45" s="15"/>
      <c r="D45" s="15"/>
      <c r="E45" s="15"/>
      <c r="F45" s="16"/>
      <c r="G45" s="16"/>
      <c r="H45" s="16"/>
    </row>
    <row r="46" spans="1:8" ht="17.100000000000001" customHeight="1" x14ac:dyDescent="0.25">
      <c r="A46" s="6" t="s">
        <v>642</v>
      </c>
      <c r="B46" s="6" t="s">
        <v>34</v>
      </c>
      <c r="C46" s="6" t="s">
        <v>95</v>
      </c>
      <c r="D46" s="6" t="s">
        <v>154</v>
      </c>
      <c r="E46" s="6" t="s">
        <v>1218</v>
      </c>
      <c r="F46" s="7" t="s">
        <v>550</v>
      </c>
      <c r="G46" s="7" t="s">
        <v>1209</v>
      </c>
      <c r="H46" s="7" t="s">
        <v>1216</v>
      </c>
    </row>
    <row r="47" spans="1:8" ht="17.100000000000001" customHeight="1" x14ac:dyDescent="0.25">
      <c r="A47" s="6" t="s">
        <v>655</v>
      </c>
      <c r="B47" s="6" t="s">
        <v>656</v>
      </c>
      <c r="C47" s="6" t="s">
        <v>95</v>
      </c>
      <c r="D47" s="6" t="s">
        <v>154</v>
      </c>
      <c r="E47" s="6" t="s">
        <v>1218</v>
      </c>
      <c r="F47" s="7" t="s">
        <v>657</v>
      </c>
      <c r="G47" s="7" t="s">
        <v>1209</v>
      </c>
      <c r="H47" s="7"/>
    </row>
    <row r="48" spans="1:8" ht="17.100000000000001" customHeight="1" x14ac:dyDescent="0.25">
      <c r="A48" s="6" t="s">
        <v>658</v>
      </c>
      <c r="B48" s="6" t="s">
        <v>659</v>
      </c>
      <c r="C48" s="6" t="s">
        <v>95</v>
      </c>
      <c r="D48" s="6" t="s">
        <v>154</v>
      </c>
      <c r="E48" s="6" t="s">
        <v>1218</v>
      </c>
      <c r="F48" s="7" t="s">
        <v>660</v>
      </c>
      <c r="G48" s="7" t="s">
        <v>1209</v>
      </c>
      <c r="H48" s="7"/>
    </row>
    <row r="49" spans="1:8" ht="17.100000000000001" customHeight="1" x14ac:dyDescent="0.25">
      <c r="A49" s="6"/>
      <c r="B49" s="6"/>
      <c r="C49" s="6"/>
      <c r="D49" s="6"/>
      <c r="E49" s="6"/>
      <c r="F49" s="7"/>
      <c r="G49" s="7"/>
      <c r="H49" s="7"/>
    </row>
    <row r="50" spans="1:8" ht="17.100000000000001" customHeight="1" x14ac:dyDescent="0.25">
      <c r="A50" s="6" t="s">
        <v>646</v>
      </c>
      <c r="B50" s="6" t="s">
        <v>43</v>
      </c>
      <c r="C50" s="6" t="s">
        <v>95</v>
      </c>
      <c r="D50" s="6" t="s">
        <v>152</v>
      </c>
      <c r="E50" s="6" t="s">
        <v>1218</v>
      </c>
      <c r="F50" s="7" t="s">
        <v>647</v>
      </c>
      <c r="G50" s="7" t="s">
        <v>1209</v>
      </c>
      <c r="H50" s="7"/>
    </row>
    <row r="51" spans="1:8" ht="17.100000000000001" customHeight="1" x14ac:dyDescent="0.25">
      <c r="A51" s="6" t="s">
        <v>648</v>
      </c>
      <c r="B51" s="6" t="s">
        <v>43</v>
      </c>
      <c r="C51" s="6" t="s">
        <v>95</v>
      </c>
      <c r="D51" s="6" t="s">
        <v>152</v>
      </c>
      <c r="E51" s="6" t="s">
        <v>1217</v>
      </c>
      <c r="F51" s="7" t="s">
        <v>649</v>
      </c>
      <c r="G51" s="7" t="s">
        <v>1209</v>
      </c>
      <c r="H51" s="7"/>
    </row>
    <row r="52" spans="1:8" ht="17.100000000000001" customHeight="1" x14ac:dyDescent="0.25">
      <c r="A52" s="6" t="s">
        <v>641</v>
      </c>
      <c r="B52" s="6" t="s">
        <v>34</v>
      </c>
      <c r="C52" s="6" t="s">
        <v>95</v>
      </c>
      <c r="D52" s="6" t="s">
        <v>152</v>
      </c>
      <c r="E52" s="6" t="s">
        <v>1218</v>
      </c>
      <c r="F52" s="7" t="s">
        <v>550</v>
      </c>
      <c r="G52" s="7" t="s">
        <v>1209</v>
      </c>
      <c r="H52" s="7"/>
    </row>
    <row r="53" spans="1:8" ht="17.100000000000001" customHeight="1" x14ac:dyDescent="0.25">
      <c r="A53" s="6"/>
      <c r="B53" s="6"/>
      <c r="C53" s="6"/>
      <c r="D53" s="6"/>
      <c r="E53" s="6"/>
      <c r="F53" s="7"/>
      <c r="G53" s="7"/>
      <c r="H53" s="7"/>
    </row>
    <row r="54" spans="1:8" ht="17.100000000000001" customHeight="1" x14ac:dyDescent="0.25">
      <c r="A54" s="6" t="s">
        <v>643</v>
      </c>
      <c r="B54" s="6" t="s">
        <v>51</v>
      </c>
      <c r="C54" s="6" t="s">
        <v>95</v>
      </c>
      <c r="D54" s="6" t="s">
        <v>255</v>
      </c>
      <c r="E54" s="6" t="s">
        <v>1217</v>
      </c>
      <c r="F54" s="7" t="s">
        <v>645</v>
      </c>
      <c r="G54" s="7" t="s">
        <v>1209</v>
      </c>
      <c r="H54" s="7"/>
    </row>
    <row r="55" spans="1:8" ht="17.100000000000001" customHeight="1" x14ac:dyDescent="0.25">
      <c r="A55" s="6" t="s">
        <v>643</v>
      </c>
      <c r="B55" s="6" t="s">
        <v>51</v>
      </c>
      <c r="C55" s="6" t="s">
        <v>95</v>
      </c>
      <c r="D55" s="6" t="s">
        <v>255</v>
      </c>
      <c r="E55" s="6" t="s">
        <v>1218</v>
      </c>
      <c r="F55" s="7" t="s">
        <v>644</v>
      </c>
      <c r="G55" s="7" t="s">
        <v>1209</v>
      </c>
      <c r="H55" s="7"/>
    </row>
    <row r="56" spans="1:8" ht="17.100000000000001" customHeight="1" x14ac:dyDescent="0.25">
      <c r="A56" s="6" t="s">
        <v>645</v>
      </c>
      <c r="B56" s="6" t="s">
        <v>51</v>
      </c>
      <c r="C56" s="6" t="s">
        <v>95</v>
      </c>
      <c r="D56" s="6" t="s">
        <v>255</v>
      </c>
      <c r="E56" s="6" t="s">
        <v>1217</v>
      </c>
      <c r="F56" s="7" t="s">
        <v>652</v>
      </c>
      <c r="G56" s="7" t="s">
        <v>1209</v>
      </c>
      <c r="H56" s="7"/>
    </row>
    <row r="57" spans="1:8" ht="17.100000000000001" customHeight="1" x14ac:dyDescent="0.25">
      <c r="A57" s="6" t="s">
        <v>653</v>
      </c>
      <c r="B57" s="6" t="s">
        <v>51</v>
      </c>
      <c r="C57" s="6" t="s">
        <v>95</v>
      </c>
      <c r="D57" s="6" t="s">
        <v>255</v>
      </c>
      <c r="E57" s="6" t="s">
        <v>1218</v>
      </c>
      <c r="F57" s="7" t="s">
        <v>654</v>
      </c>
      <c r="G57" s="7" t="s">
        <v>1209</v>
      </c>
      <c r="H57" s="7"/>
    </row>
    <row r="58" spans="1:8" ht="17.100000000000001" customHeight="1" x14ac:dyDescent="0.25">
      <c r="A58" s="15"/>
      <c r="B58" s="15"/>
      <c r="C58" s="15"/>
      <c r="D58" s="15"/>
      <c r="E58" s="15"/>
      <c r="F58" s="16"/>
      <c r="G58" s="16"/>
      <c r="H58" s="16"/>
    </row>
    <row r="59" spans="1:8" ht="17.100000000000001" customHeight="1" x14ac:dyDescent="0.25">
      <c r="A59" s="6" t="s">
        <v>596</v>
      </c>
      <c r="B59" s="6" t="s">
        <v>1173</v>
      </c>
      <c r="C59" s="6" t="s">
        <v>95</v>
      </c>
      <c r="D59" s="6" t="s">
        <v>96</v>
      </c>
      <c r="E59" s="6" t="s">
        <v>1217</v>
      </c>
      <c r="F59" s="7" t="s">
        <v>595</v>
      </c>
      <c r="G59" s="7" t="s">
        <v>1209</v>
      </c>
      <c r="H59" s="7" t="s">
        <v>1238</v>
      </c>
    </row>
    <row r="60" spans="1:8" ht="17.100000000000001" customHeight="1" x14ac:dyDescent="0.25">
      <c r="A60" s="6" t="s">
        <v>598</v>
      </c>
      <c r="B60" s="6" t="s">
        <v>1177</v>
      </c>
      <c r="C60" s="6" t="s">
        <v>95</v>
      </c>
      <c r="D60" s="6" t="s">
        <v>96</v>
      </c>
      <c r="E60" s="6" t="s">
        <v>1217</v>
      </c>
      <c r="F60" s="7" t="s">
        <v>597</v>
      </c>
      <c r="G60" s="7" t="s">
        <v>1209</v>
      </c>
      <c r="H60" s="7"/>
    </row>
    <row r="61" spans="1:8" ht="17.100000000000001" customHeight="1" x14ac:dyDescent="0.25">
      <c r="A61" s="6" t="s">
        <v>603</v>
      </c>
      <c r="B61" s="6" t="s">
        <v>1179</v>
      </c>
      <c r="C61" s="6" t="s">
        <v>95</v>
      </c>
      <c r="D61" s="6" t="s">
        <v>96</v>
      </c>
      <c r="E61" s="6" t="s">
        <v>1217</v>
      </c>
      <c r="F61" s="7" t="s">
        <v>602</v>
      </c>
      <c r="G61" s="7" t="s">
        <v>1209</v>
      </c>
      <c r="H61" s="7"/>
    </row>
    <row r="62" spans="1:8" ht="17.100000000000001" customHeight="1" x14ac:dyDescent="0.25">
      <c r="A62" s="6" t="s">
        <v>601</v>
      </c>
      <c r="B62" s="6" t="s">
        <v>600</v>
      </c>
      <c r="C62" s="6" t="s">
        <v>95</v>
      </c>
      <c r="D62" s="6" t="s">
        <v>96</v>
      </c>
      <c r="E62" s="6" t="s">
        <v>1217</v>
      </c>
      <c r="F62" s="7" t="s">
        <v>599</v>
      </c>
      <c r="G62" s="7" t="s">
        <v>1209</v>
      </c>
      <c r="H62" s="7"/>
    </row>
    <row r="63" spans="1:8" ht="17.100000000000001" customHeight="1" x14ac:dyDescent="0.25">
      <c r="A63" s="6"/>
      <c r="B63" s="6"/>
      <c r="C63" s="6"/>
      <c r="D63" s="6"/>
      <c r="E63" s="6"/>
      <c r="F63" s="7"/>
      <c r="G63" s="7"/>
      <c r="H63" s="7"/>
    </row>
    <row r="64" spans="1:8" ht="17.100000000000001" customHeight="1" x14ac:dyDescent="0.25">
      <c r="A64" s="6" t="s">
        <v>605</v>
      </c>
      <c r="B64" s="6" t="s">
        <v>1174</v>
      </c>
      <c r="C64" s="6" t="s">
        <v>95</v>
      </c>
      <c r="D64" s="6" t="s">
        <v>96</v>
      </c>
      <c r="E64" s="6" t="s">
        <v>1217</v>
      </c>
      <c r="F64" s="7" t="s">
        <v>604</v>
      </c>
      <c r="G64" s="7" t="s">
        <v>1209</v>
      </c>
      <c r="H64" s="7"/>
    </row>
    <row r="65" spans="1:8" ht="17.100000000000001" customHeight="1" x14ac:dyDescent="0.25">
      <c r="A65" s="6" t="s">
        <v>607</v>
      </c>
      <c r="B65" s="6" t="s">
        <v>1178</v>
      </c>
      <c r="C65" s="6" t="s">
        <v>95</v>
      </c>
      <c r="D65" s="6" t="s">
        <v>96</v>
      </c>
      <c r="E65" s="6" t="s">
        <v>1217</v>
      </c>
      <c r="F65" s="7" t="s">
        <v>606</v>
      </c>
      <c r="G65" s="7" t="s">
        <v>1209</v>
      </c>
      <c r="H65" s="7"/>
    </row>
    <row r="66" spans="1:8" ht="17.100000000000001" customHeight="1" x14ac:dyDescent="0.25">
      <c r="A66" s="6" t="s">
        <v>612</v>
      </c>
      <c r="B66" s="6" t="s">
        <v>1180</v>
      </c>
      <c r="C66" s="6" t="s">
        <v>95</v>
      </c>
      <c r="D66" s="6" t="s">
        <v>96</v>
      </c>
      <c r="E66" s="6" t="s">
        <v>1217</v>
      </c>
      <c r="F66" s="7" t="s">
        <v>611</v>
      </c>
      <c r="G66" s="7" t="s">
        <v>1209</v>
      </c>
      <c r="H66" s="7"/>
    </row>
    <row r="67" spans="1:8" ht="17.100000000000001" customHeight="1" x14ac:dyDescent="0.25">
      <c r="A67" s="6" t="s">
        <v>610</v>
      </c>
      <c r="B67" s="6" t="s">
        <v>609</v>
      </c>
      <c r="C67" s="6" t="s">
        <v>95</v>
      </c>
      <c r="D67" s="6" t="s">
        <v>96</v>
      </c>
      <c r="E67" s="6" t="s">
        <v>1217</v>
      </c>
      <c r="F67" s="7" t="s">
        <v>608</v>
      </c>
      <c r="G67" s="7" t="s">
        <v>1209</v>
      </c>
      <c r="H67" s="7"/>
    </row>
    <row r="68" spans="1:8" ht="17.100000000000001" customHeight="1" x14ac:dyDescent="0.25">
      <c r="A68" s="15"/>
      <c r="B68" s="15"/>
      <c r="C68" s="15"/>
      <c r="D68" s="15"/>
      <c r="E68" s="15"/>
      <c r="F68" s="16"/>
      <c r="G68" s="16"/>
      <c r="H68" s="16"/>
    </row>
    <row r="69" spans="1:8" ht="17.100000000000001" customHeight="1" x14ac:dyDescent="0.25">
      <c r="A69" s="6" t="s">
        <v>561</v>
      </c>
      <c r="B69" s="6" t="s">
        <v>1181</v>
      </c>
      <c r="C69" s="6" t="s">
        <v>95</v>
      </c>
      <c r="D69" s="6" t="s">
        <v>96</v>
      </c>
      <c r="E69" s="6" t="s">
        <v>1252</v>
      </c>
      <c r="F69" s="7" t="s">
        <v>560</v>
      </c>
      <c r="G69" s="7" t="s">
        <v>1209</v>
      </c>
      <c r="H69" s="7" t="s">
        <v>1227</v>
      </c>
    </row>
    <row r="70" spans="1:8" ht="17.100000000000001" customHeight="1" x14ac:dyDescent="0.25">
      <c r="A70" s="6" t="s">
        <v>563</v>
      </c>
      <c r="B70" s="6" t="s">
        <v>1182</v>
      </c>
      <c r="C70" s="6" t="s">
        <v>95</v>
      </c>
      <c r="D70" s="6" t="s">
        <v>96</v>
      </c>
      <c r="E70" s="6" t="s">
        <v>1252</v>
      </c>
      <c r="F70" s="7" t="s">
        <v>562</v>
      </c>
      <c r="G70" s="7" t="s">
        <v>1209</v>
      </c>
      <c r="H70" s="7"/>
    </row>
    <row r="71" spans="1:8" ht="17.100000000000001" customHeight="1" x14ac:dyDescent="0.25">
      <c r="A71" s="6" t="s">
        <v>568</v>
      </c>
      <c r="B71" s="6" t="s">
        <v>1176</v>
      </c>
      <c r="C71" s="6" t="s">
        <v>95</v>
      </c>
      <c r="D71" s="6" t="s">
        <v>96</v>
      </c>
      <c r="E71" s="6" t="s">
        <v>1252</v>
      </c>
      <c r="F71" s="7" t="s">
        <v>567</v>
      </c>
      <c r="G71" s="7" t="s">
        <v>1209</v>
      </c>
      <c r="H71" s="7"/>
    </row>
    <row r="72" spans="1:8" ht="17.100000000000001" customHeight="1" x14ac:dyDescent="0.25">
      <c r="A72" s="6" t="s">
        <v>661</v>
      </c>
      <c r="B72" s="6" t="s">
        <v>1172</v>
      </c>
      <c r="C72" s="6" t="s">
        <v>95</v>
      </c>
      <c r="D72" s="6" t="s">
        <v>96</v>
      </c>
      <c r="E72" s="6" t="s">
        <v>1218</v>
      </c>
      <c r="F72" s="7" t="s">
        <v>662</v>
      </c>
      <c r="G72" s="7" t="s">
        <v>1209</v>
      </c>
      <c r="H72" s="7"/>
    </row>
    <row r="73" spans="1:8" ht="17.100000000000001" customHeight="1" x14ac:dyDescent="0.25">
      <c r="A73" s="6" t="s">
        <v>663</v>
      </c>
      <c r="B73" s="6" t="s">
        <v>1175</v>
      </c>
      <c r="C73" s="6" t="s">
        <v>95</v>
      </c>
      <c r="D73" s="6" t="s">
        <v>96</v>
      </c>
      <c r="E73" s="6" t="s">
        <v>1218</v>
      </c>
      <c r="F73" s="7" t="s">
        <v>664</v>
      </c>
      <c r="G73" s="7" t="s">
        <v>1209</v>
      </c>
      <c r="H73" s="7"/>
    </row>
    <row r="74" spans="1:8" ht="17.100000000000001" customHeight="1" x14ac:dyDescent="0.25">
      <c r="A74" s="6" t="s">
        <v>665</v>
      </c>
      <c r="B74" s="6" t="s">
        <v>666</v>
      </c>
      <c r="C74" s="6" t="s">
        <v>95</v>
      </c>
      <c r="D74" s="6" t="s">
        <v>96</v>
      </c>
      <c r="E74" s="6" t="s">
        <v>1218</v>
      </c>
      <c r="F74" s="7" t="s">
        <v>667</v>
      </c>
      <c r="G74" s="7" t="s">
        <v>1209</v>
      </c>
      <c r="H74" s="7"/>
    </row>
    <row r="75" spans="1:8" ht="17.100000000000001" customHeight="1" x14ac:dyDescent="0.25">
      <c r="A75" s="6" t="s">
        <v>668</v>
      </c>
      <c r="B75" s="6" t="s">
        <v>669</v>
      </c>
      <c r="C75" s="6" t="s">
        <v>95</v>
      </c>
      <c r="D75" s="6" t="s">
        <v>96</v>
      </c>
      <c r="E75" s="6" t="s">
        <v>1218</v>
      </c>
      <c r="F75" s="7" t="s">
        <v>670</v>
      </c>
      <c r="G75" s="7" t="s">
        <v>1209</v>
      </c>
      <c r="H75" s="7"/>
    </row>
    <row r="76" spans="1:8" ht="17.100000000000001" customHeight="1" x14ac:dyDescent="0.25">
      <c r="A76" s="6" t="s">
        <v>591</v>
      </c>
      <c r="B76" s="6" t="s">
        <v>590</v>
      </c>
      <c r="C76" s="6" t="s">
        <v>95</v>
      </c>
      <c r="D76" s="6" t="s">
        <v>96</v>
      </c>
      <c r="E76" s="6" t="s">
        <v>1217</v>
      </c>
      <c r="F76" s="7" t="s">
        <v>589</v>
      </c>
      <c r="G76" s="7" t="s">
        <v>1209</v>
      </c>
      <c r="H76" s="7"/>
    </row>
    <row r="77" spans="1:8" ht="17.100000000000001" customHeight="1" x14ac:dyDescent="0.25">
      <c r="A77" s="6" t="s">
        <v>594</v>
      </c>
      <c r="B77" s="6" t="s">
        <v>593</v>
      </c>
      <c r="C77" s="6" t="s">
        <v>95</v>
      </c>
      <c r="D77" s="6" t="s">
        <v>96</v>
      </c>
      <c r="E77" s="6" t="s">
        <v>1217</v>
      </c>
      <c r="F77" s="7" t="s">
        <v>592</v>
      </c>
      <c r="G77" s="7" t="s">
        <v>1209</v>
      </c>
      <c r="H77" s="7"/>
    </row>
    <row r="78" spans="1:8" ht="17.100000000000001" customHeight="1" x14ac:dyDescent="0.25">
      <c r="A78" s="6"/>
      <c r="B78" s="6"/>
      <c r="C78" s="6"/>
      <c r="D78" s="6"/>
      <c r="E78" s="6"/>
      <c r="F78" s="7"/>
      <c r="G78" s="7"/>
      <c r="H78" s="7"/>
    </row>
    <row r="79" spans="1:8" ht="17.100000000000001" customHeight="1" x14ac:dyDescent="0.25">
      <c r="A79" s="6" t="s">
        <v>651</v>
      </c>
      <c r="B79" s="6" t="s">
        <v>50</v>
      </c>
      <c r="C79" s="6" t="s">
        <v>95</v>
      </c>
      <c r="D79" s="6" t="s">
        <v>154</v>
      </c>
      <c r="E79" s="6" t="s">
        <v>1218</v>
      </c>
      <c r="F79" s="7" t="s">
        <v>650</v>
      </c>
      <c r="G79" s="7" t="s">
        <v>1209</v>
      </c>
      <c r="H79" s="7"/>
    </row>
    <row r="80" spans="1:8" ht="17.100000000000001" customHeight="1" x14ac:dyDescent="0.25">
      <c r="A80" s="6"/>
      <c r="B80" s="6"/>
      <c r="C80" s="6"/>
      <c r="D80" s="6"/>
      <c r="E80" s="6"/>
      <c r="F80" s="7"/>
      <c r="G80" s="7"/>
      <c r="H80" s="7"/>
    </row>
    <row r="81" spans="1:8" ht="17.100000000000001" customHeight="1" x14ac:dyDescent="0.25">
      <c r="A81" s="6" t="s">
        <v>675</v>
      </c>
      <c r="B81" s="6" t="s">
        <v>1159</v>
      </c>
      <c r="C81" s="6" t="s">
        <v>95</v>
      </c>
      <c r="D81" s="6" t="s">
        <v>152</v>
      </c>
      <c r="E81" s="6" t="s">
        <v>1217</v>
      </c>
      <c r="F81" s="7" t="s">
        <v>557</v>
      </c>
      <c r="G81" s="7" t="s">
        <v>1209</v>
      </c>
      <c r="H81" s="7"/>
    </row>
    <row r="82" spans="1:8" ht="17.100000000000001" customHeight="1" x14ac:dyDescent="0.25">
      <c r="A82" s="15"/>
      <c r="B82" s="15"/>
      <c r="C82" s="15"/>
      <c r="D82" s="15"/>
      <c r="E82" s="15"/>
      <c r="F82" s="16"/>
      <c r="G82" s="16"/>
      <c r="H82" s="16"/>
    </row>
    <row r="83" spans="1:8" ht="17.100000000000001" customHeight="1" x14ac:dyDescent="0.25">
      <c r="A83" s="6" t="s">
        <v>557</v>
      </c>
      <c r="B83" s="6" t="s">
        <v>1159</v>
      </c>
      <c r="C83" s="6" t="s">
        <v>95</v>
      </c>
      <c r="D83" s="6" t="s">
        <v>152</v>
      </c>
      <c r="E83" s="6" t="s">
        <v>1218</v>
      </c>
      <c r="F83" s="7" t="s">
        <v>552</v>
      </c>
      <c r="G83" s="7" t="s">
        <v>1209</v>
      </c>
      <c r="H83" s="7" t="s">
        <v>1204</v>
      </c>
    </row>
  </sheetData>
  <sortState xmlns:xlrd2="http://schemas.microsoft.com/office/spreadsheetml/2017/richdata2" ref="A59:H81">
    <sortCondition sortBy="cellColor" ref="A59:A81" dxfId="36"/>
    <sortCondition sortBy="cellColor" ref="A59:A81" dxfId="35"/>
    <sortCondition descending="1" ref="D59:D81"/>
    <sortCondition ref="B59:B81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59:H81">
    <cfRule type="containsText" dxfId="11" priority="1" operator="containsText" text=":A2">
      <formula>NOT(ISERROR(SEARCH(":A2",A59)))</formula>
    </cfRule>
    <cfRule type="containsText" dxfId="10" priority="2" operator="containsText" text=":A1">
      <formula>NOT(ISERROR(SEARCH(":A1",A59)))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A7BD6-A24B-4968-B6DD-2E1C8741E860}">
  <sheetPr>
    <tabColor rgb="FF7030A0"/>
  </sheetPr>
  <dimension ref="A1:I48"/>
  <sheetViews>
    <sheetView showGridLines="0" topLeftCell="A4" zoomScale="85" zoomScaleNormal="85" workbookViewId="0">
      <selection activeCell="E37" sqref="E37:E39"/>
    </sheetView>
  </sheetViews>
  <sheetFormatPr defaultRowHeight="17.100000000000001" customHeight="1" x14ac:dyDescent="0.25"/>
  <cols>
    <col min="1" max="1" width="12" style="2" bestFit="1" customWidth="1"/>
    <col min="2" max="2" width="9.140625" style="2" bestFit="1" customWidth="1"/>
    <col min="3" max="3" width="6.5703125" style="2" bestFit="1" customWidth="1"/>
    <col min="4" max="4" width="9.85546875" style="2" bestFit="1" customWidth="1"/>
    <col min="5" max="5" width="6.42578125" style="2" bestFit="1" customWidth="1"/>
    <col min="6" max="6" width="12" style="2" bestFit="1" customWidth="1"/>
    <col min="7" max="7" width="10.28515625" bestFit="1" customWidth="1"/>
    <col min="8" max="8" width="10.42578125" bestFit="1" customWidth="1"/>
    <col min="9" max="9" width="10.28515625" customWidth="1"/>
  </cols>
  <sheetData>
    <row r="1" spans="1:9" ht="18" customHeight="1" x14ac:dyDescent="0.25">
      <c r="A1" s="22" t="s">
        <v>67</v>
      </c>
      <c r="B1" s="22"/>
      <c r="C1" s="22"/>
      <c r="D1" s="22"/>
    </row>
    <row r="2" spans="1:9" ht="12" customHeight="1" x14ac:dyDescent="0.25">
      <c r="A2" s="23"/>
      <c r="B2" s="23"/>
      <c r="C2" s="23"/>
      <c r="D2" s="23"/>
    </row>
    <row r="3" spans="1:9" ht="12.75" customHeight="1" x14ac:dyDescent="0.25">
      <c r="A3" s="1" t="s">
        <v>0</v>
      </c>
      <c r="B3" s="18" t="s">
        <v>1</v>
      </c>
      <c r="C3" s="18"/>
      <c r="D3" s="18"/>
    </row>
    <row r="4" spans="1:9" ht="12" customHeight="1" x14ac:dyDescent="0.25">
      <c r="A4" s="1" t="s">
        <v>2</v>
      </c>
      <c r="B4" s="18" t="s">
        <v>3</v>
      </c>
      <c r="C4" s="18"/>
      <c r="D4" s="18"/>
    </row>
    <row r="5" spans="1:9" ht="12.75" customHeight="1" x14ac:dyDescent="0.25">
      <c r="A5" s="1" t="s">
        <v>4</v>
      </c>
      <c r="B5" s="18" t="s">
        <v>5</v>
      </c>
      <c r="C5" s="18"/>
      <c r="D5" s="18"/>
    </row>
    <row r="6" spans="1:9" ht="5.25" customHeight="1" x14ac:dyDescent="0.25"/>
    <row r="7" spans="1:9" ht="12" customHeight="1" x14ac:dyDescent="0.25">
      <c r="A7" s="1" t="s">
        <v>6</v>
      </c>
      <c r="B7" s="18" t="s">
        <v>7</v>
      </c>
      <c r="C7" s="18"/>
      <c r="D7" s="18"/>
    </row>
    <row r="8" spans="1:9" ht="12.75" customHeight="1" x14ac:dyDescent="0.25">
      <c r="A8" s="1" t="s">
        <v>8</v>
      </c>
      <c r="B8" s="18"/>
      <c r="C8" s="18"/>
      <c r="D8" s="18"/>
    </row>
    <row r="9" spans="1:9" ht="12" customHeight="1" x14ac:dyDescent="0.25">
      <c r="A9" s="1" t="s">
        <v>9</v>
      </c>
      <c r="B9" s="18"/>
      <c r="C9" s="18"/>
      <c r="D9" s="18"/>
    </row>
    <row r="10" spans="1:9" ht="12.75" customHeight="1" x14ac:dyDescent="0.25">
      <c r="A10" s="1" t="s">
        <v>8</v>
      </c>
      <c r="B10" s="18"/>
      <c r="C10" s="18"/>
      <c r="D10" s="18"/>
    </row>
    <row r="11" spans="1:9" ht="10.5" customHeight="1" x14ac:dyDescent="0.25"/>
    <row r="12" spans="1:9" ht="16.5" customHeight="1" x14ac:dyDescent="0.25">
      <c r="A12" s="19" t="s">
        <v>79</v>
      </c>
      <c r="B12" s="19"/>
      <c r="C12" s="19"/>
      <c r="D12" s="19"/>
      <c r="E12" s="19"/>
      <c r="F12" s="19"/>
      <c r="G12" s="20" t="s">
        <v>80</v>
      </c>
      <c r="H12" s="21"/>
      <c r="I12" s="8"/>
    </row>
    <row r="13" spans="1:9" ht="43.5" customHeight="1" x14ac:dyDescent="0.25">
      <c r="A13" s="3" t="s">
        <v>10</v>
      </c>
      <c r="B13" s="4" t="s">
        <v>82</v>
      </c>
      <c r="C13" s="4" t="s">
        <v>81</v>
      </c>
      <c r="D13" s="4" t="s">
        <v>83</v>
      </c>
      <c r="E13" s="4" t="s">
        <v>1130</v>
      </c>
      <c r="F13" s="5" t="s">
        <v>10</v>
      </c>
      <c r="G13" s="5" t="s">
        <v>11</v>
      </c>
      <c r="H13" s="5" t="s">
        <v>1131</v>
      </c>
    </row>
    <row r="14" spans="1:9" ht="17.100000000000001" customHeight="1" x14ac:dyDescent="0.25">
      <c r="A14" s="6" t="s">
        <v>218</v>
      </c>
      <c r="B14" s="6" t="s">
        <v>1160</v>
      </c>
      <c r="C14" s="6" t="s">
        <v>95</v>
      </c>
      <c r="D14" s="6" t="s">
        <v>96</v>
      </c>
      <c r="E14" s="6" t="s">
        <v>1218</v>
      </c>
      <c r="F14" s="7" t="s">
        <v>219</v>
      </c>
      <c r="G14" s="7" t="s">
        <v>1210</v>
      </c>
      <c r="H14" s="7" t="s">
        <v>1241</v>
      </c>
    </row>
    <row r="15" spans="1:9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9" ht="17.100000000000001" customHeight="1" x14ac:dyDescent="0.25">
      <c r="A16" s="6" t="s">
        <v>220</v>
      </c>
      <c r="B16" s="6" t="s">
        <v>1159</v>
      </c>
      <c r="C16" s="6" t="s">
        <v>95</v>
      </c>
      <c r="D16" s="6" t="s">
        <v>154</v>
      </c>
      <c r="E16" s="6" t="s">
        <v>1218</v>
      </c>
      <c r="F16" s="7" t="s">
        <v>221</v>
      </c>
      <c r="G16" s="7" t="s">
        <v>1210</v>
      </c>
      <c r="H16" s="7"/>
    </row>
    <row r="17" spans="1:8" ht="17.100000000000001" customHeight="1" x14ac:dyDescent="0.25">
      <c r="A17" s="6" t="s">
        <v>226</v>
      </c>
      <c r="B17" s="6" t="s">
        <v>1159</v>
      </c>
      <c r="C17" s="6" t="s">
        <v>95</v>
      </c>
      <c r="D17" s="6" t="s">
        <v>154</v>
      </c>
      <c r="E17" s="6" t="s">
        <v>1218</v>
      </c>
      <c r="F17" s="7" t="s">
        <v>221</v>
      </c>
      <c r="G17" s="7" t="s">
        <v>1210</v>
      </c>
      <c r="H17" s="7"/>
    </row>
    <row r="18" spans="1:8" ht="17.100000000000001" customHeight="1" x14ac:dyDescent="0.25">
      <c r="A18" s="6" t="s">
        <v>224</v>
      </c>
      <c r="B18" s="6" t="s">
        <v>225</v>
      </c>
      <c r="C18" s="6" t="s">
        <v>95</v>
      </c>
      <c r="D18" s="6" t="s">
        <v>154</v>
      </c>
      <c r="E18" s="6" t="s">
        <v>1218</v>
      </c>
      <c r="F18" s="7" t="s">
        <v>226</v>
      </c>
      <c r="G18" s="7" t="s">
        <v>1210</v>
      </c>
      <c r="H18" s="7"/>
    </row>
    <row r="19" spans="1:8" ht="17.100000000000001" customHeight="1" x14ac:dyDescent="0.25">
      <c r="A19" s="6" t="s">
        <v>227</v>
      </c>
      <c r="B19" s="6" t="s">
        <v>228</v>
      </c>
      <c r="C19" s="6" t="s">
        <v>95</v>
      </c>
      <c r="D19" s="6" t="s">
        <v>154</v>
      </c>
      <c r="E19" s="6" t="s">
        <v>1218</v>
      </c>
      <c r="F19" s="7" t="s">
        <v>229</v>
      </c>
      <c r="G19" s="7" t="s">
        <v>1210</v>
      </c>
      <c r="H19" s="7"/>
    </row>
    <row r="20" spans="1:8" ht="17.100000000000001" customHeight="1" x14ac:dyDescent="0.25">
      <c r="A20" s="6" t="s">
        <v>229</v>
      </c>
      <c r="B20" s="6" t="s">
        <v>68</v>
      </c>
      <c r="C20" s="6" t="s">
        <v>95</v>
      </c>
      <c r="D20" s="6" t="s">
        <v>154</v>
      </c>
      <c r="E20" s="6" t="s">
        <v>1218</v>
      </c>
      <c r="F20" s="7" t="s">
        <v>230</v>
      </c>
      <c r="G20" s="7" t="s">
        <v>1210</v>
      </c>
      <c r="H20" s="7"/>
    </row>
    <row r="21" spans="1:8" ht="17.100000000000001" customHeight="1" x14ac:dyDescent="0.25">
      <c r="A21" s="6" t="s">
        <v>222</v>
      </c>
      <c r="B21" s="6" t="s">
        <v>69</v>
      </c>
      <c r="C21" s="6" t="s">
        <v>95</v>
      </c>
      <c r="D21" s="6" t="s">
        <v>154</v>
      </c>
      <c r="E21" s="6" t="s">
        <v>1218</v>
      </c>
      <c r="F21" s="7" t="s">
        <v>223</v>
      </c>
      <c r="G21" s="7" t="s">
        <v>1210</v>
      </c>
      <c r="H21" s="7"/>
    </row>
    <row r="22" spans="1:8" ht="17.100000000000001" customHeight="1" x14ac:dyDescent="0.25">
      <c r="A22" s="15"/>
      <c r="B22" s="15"/>
      <c r="C22" s="15"/>
      <c r="D22" s="15"/>
      <c r="E22" s="15"/>
      <c r="F22" s="16"/>
      <c r="G22" s="16"/>
      <c r="H22" s="16"/>
    </row>
    <row r="23" spans="1:8" ht="17.100000000000001" customHeight="1" x14ac:dyDescent="0.25">
      <c r="A23" s="6" t="s">
        <v>231</v>
      </c>
      <c r="B23" s="6" t="s">
        <v>1159</v>
      </c>
      <c r="C23" s="6" t="s">
        <v>95</v>
      </c>
      <c r="D23" s="6" t="s">
        <v>154</v>
      </c>
      <c r="E23" s="6" t="s">
        <v>1218</v>
      </c>
      <c r="F23" s="7" t="s">
        <v>232</v>
      </c>
      <c r="G23" s="7" t="s">
        <v>1210</v>
      </c>
      <c r="H23" s="7" t="s">
        <v>1214</v>
      </c>
    </row>
    <row r="24" spans="1:8" ht="17.100000000000001" customHeight="1" x14ac:dyDescent="0.25">
      <c r="A24" s="6" t="s">
        <v>236</v>
      </c>
      <c r="B24" s="6" t="s">
        <v>1159</v>
      </c>
      <c r="C24" s="6" t="s">
        <v>95</v>
      </c>
      <c r="D24" s="6" t="s">
        <v>154</v>
      </c>
      <c r="E24" s="6" t="s">
        <v>1218</v>
      </c>
      <c r="F24" s="7" t="s">
        <v>232</v>
      </c>
      <c r="G24" s="7" t="s">
        <v>1210</v>
      </c>
      <c r="H24" s="7"/>
    </row>
    <row r="25" spans="1:8" ht="17.100000000000001" customHeight="1" x14ac:dyDescent="0.25">
      <c r="A25" s="6" t="s">
        <v>233</v>
      </c>
      <c r="B25" s="6" t="s">
        <v>234</v>
      </c>
      <c r="C25" s="6" t="s">
        <v>95</v>
      </c>
      <c r="D25" s="6" t="s">
        <v>154</v>
      </c>
      <c r="E25" s="6" t="s">
        <v>1218</v>
      </c>
      <c r="F25" s="7" t="s">
        <v>235</v>
      </c>
      <c r="G25" s="7" t="s">
        <v>1210</v>
      </c>
      <c r="H25" s="7"/>
    </row>
    <row r="26" spans="1:8" ht="17.100000000000001" customHeight="1" x14ac:dyDescent="0.25">
      <c r="A26" s="6" t="s">
        <v>237</v>
      </c>
      <c r="B26" s="6" t="s">
        <v>238</v>
      </c>
      <c r="C26" s="6" t="s">
        <v>95</v>
      </c>
      <c r="D26" s="6" t="s">
        <v>154</v>
      </c>
      <c r="E26" s="6" t="s">
        <v>1218</v>
      </c>
      <c r="F26" s="7" t="s">
        <v>239</v>
      </c>
      <c r="G26" s="7" t="s">
        <v>1210</v>
      </c>
      <c r="H26" s="7"/>
    </row>
    <row r="27" spans="1:8" ht="17.100000000000001" customHeight="1" x14ac:dyDescent="0.25">
      <c r="A27" s="15"/>
      <c r="B27" s="15"/>
      <c r="C27" s="15"/>
      <c r="D27" s="15"/>
      <c r="E27" s="15"/>
      <c r="F27" s="16"/>
      <c r="G27" s="16"/>
      <c r="H27" s="16"/>
    </row>
    <row r="28" spans="1:8" ht="17.100000000000001" customHeight="1" x14ac:dyDescent="0.25">
      <c r="A28" s="6" t="s">
        <v>240</v>
      </c>
      <c r="B28" s="6" t="s">
        <v>64</v>
      </c>
      <c r="C28" s="6" t="s">
        <v>95</v>
      </c>
      <c r="D28" s="6" t="s">
        <v>154</v>
      </c>
      <c r="E28" s="6" t="s">
        <v>1247</v>
      </c>
      <c r="F28" s="7" t="s">
        <v>241</v>
      </c>
      <c r="G28" s="7" t="s">
        <v>1210</v>
      </c>
      <c r="H28" s="7" t="s">
        <v>1216</v>
      </c>
    </row>
    <row r="29" spans="1:8" ht="17.100000000000001" customHeight="1" x14ac:dyDescent="0.25">
      <c r="A29" s="6" t="s">
        <v>242</v>
      </c>
      <c r="B29" s="6" t="s">
        <v>64</v>
      </c>
      <c r="C29" s="6" t="s">
        <v>95</v>
      </c>
      <c r="D29" s="6" t="s">
        <v>154</v>
      </c>
      <c r="E29" s="6" t="s">
        <v>1247</v>
      </c>
      <c r="F29" s="7" t="s">
        <v>241</v>
      </c>
      <c r="G29" s="7" t="s">
        <v>1210</v>
      </c>
      <c r="H29" s="7"/>
    </row>
    <row r="30" spans="1:8" ht="17.100000000000001" customHeight="1" x14ac:dyDescent="0.25">
      <c r="A30" s="6"/>
      <c r="B30" s="6"/>
      <c r="C30" s="6"/>
      <c r="D30" s="6"/>
      <c r="E30" s="6"/>
      <c r="F30" s="7"/>
      <c r="G30" s="7"/>
      <c r="H30" s="7"/>
    </row>
    <row r="31" spans="1:8" ht="17.100000000000001" customHeight="1" x14ac:dyDescent="0.25">
      <c r="A31" s="6" t="s">
        <v>243</v>
      </c>
      <c r="B31" s="6" t="s">
        <v>70</v>
      </c>
      <c r="C31" s="6" t="s">
        <v>95</v>
      </c>
      <c r="D31" s="6" t="s">
        <v>152</v>
      </c>
      <c r="E31" s="6" t="s">
        <v>1247</v>
      </c>
      <c r="F31" s="7" t="s">
        <v>244</v>
      </c>
      <c r="G31" s="7" t="s">
        <v>1210</v>
      </c>
      <c r="H31" s="7"/>
    </row>
    <row r="32" spans="1:8" ht="17.100000000000001" customHeight="1" x14ac:dyDescent="0.25">
      <c r="A32" s="15"/>
      <c r="B32" s="15"/>
      <c r="C32" s="15"/>
      <c r="D32" s="15"/>
      <c r="E32" s="15"/>
      <c r="F32" s="16"/>
      <c r="G32" s="16"/>
      <c r="H32" s="16"/>
    </row>
    <row r="33" spans="1:8" ht="17.100000000000001" customHeight="1" x14ac:dyDescent="0.25">
      <c r="A33" s="6" t="s">
        <v>207</v>
      </c>
      <c r="B33" s="6" t="s">
        <v>1161</v>
      </c>
      <c r="C33" s="6" t="s">
        <v>95</v>
      </c>
      <c r="D33" s="6" t="s">
        <v>96</v>
      </c>
      <c r="E33" s="6" t="s">
        <v>1247</v>
      </c>
      <c r="F33" s="7" t="s">
        <v>206</v>
      </c>
      <c r="G33" s="7" t="s">
        <v>1210</v>
      </c>
      <c r="H33" s="7" t="s">
        <v>1238</v>
      </c>
    </row>
    <row r="34" spans="1:8" ht="17.100000000000001" customHeight="1" x14ac:dyDescent="0.25">
      <c r="A34" s="6" t="s">
        <v>212</v>
      </c>
      <c r="B34" s="6" t="s">
        <v>1163</v>
      </c>
      <c r="C34" s="6" t="s">
        <v>95</v>
      </c>
      <c r="D34" s="6" t="s">
        <v>96</v>
      </c>
      <c r="E34" s="6" t="s">
        <v>1247</v>
      </c>
      <c r="F34" s="7" t="s">
        <v>211</v>
      </c>
      <c r="G34" s="7" t="s">
        <v>1210</v>
      </c>
      <c r="H34" s="7"/>
    </row>
    <row r="35" spans="1:8" ht="17.100000000000001" customHeight="1" x14ac:dyDescent="0.25">
      <c r="A35" s="6" t="s">
        <v>210</v>
      </c>
      <c r="B35" s="6" t="s">
        <v>209</v>
      </c>
      <c r="C35" s="6" t="s">
        <v>95</v>
      </c>
      <c r="D35" s="6" t="s">
        <v>96</v>
      </c>
      <c r="E35" s="6" t="s">
        <v>1247</v>
      </c>
      <c r="F35" s="7" t="s">
        <v>208</v>
      </c>
      <c r="G35" s="7" t="s">
        <v>1210</v>
      </c>
      <c r="H35" s="7"/>
    </row>
    <row r="36" spans="1:8" ht="17.100000000000001" customHeight="1" x14ac:dyDescent="0.25">
      <c r="A36" s="6"/>
      <c r="B36" s="6"/>
      <c r="C36" s="6"/>
      <c r="D36" s="6"/>
      <c r="E36" s="6"/>
      <c r="F36" s="7"/>
      <c r="G36" s="7"/>
      <c r="H36" s="7"/>
    </row>
    <row r="37" spans="1:8" ht="17.100000000000001" customHeight="1" x14ac:dyDescent="0.25">
      <c r="A37" s="6" t="s">
        <v>214</v>
      </c>
      <c r="B37" s="6" t="s">
        <v>1162</v>
      </c>
      <c r="C37" s="6" t="s">
        <v>95</v>
      </c>
      <c r="D37" s="6" t="s">
        <v>96</v>
      </c>
      <c r="E37" s="6" t="s">
        <v>1247</v>
      </c>
      <c r="F37" s="7" t="s">
        <v>213</v>
      </c>
      <c r="G37" s="7" t="s">
        <v>1210</v>
      </c>
      <c r="H37" s="7"/>
    </row>
    <row r="38" spans="1:8" ht="17.100000000000001" customHeight="1" x14ac:dyDescent="0.25">
      <c r="A38" s="6" t="s">
        <v>217</v>
      </c>
      <c r="B38" s="6" t="s">
        <v>216</v>
      </c>
      <c r="C38" s="6" t="s">
        <v>95</v>
      </c>
      <c r="D38" s="6" t="s">
        <v>96</v>
      </c>
      <c r="E38" s="6" t="s">
        <v>1247</v>
      </c>
      <c r="F38" s="7" t="s">
        <v>215</v>
      </c>
      <c r="G38" s="7" t="s">
        <v>1210</v>
      </c>
      <c r="H38" s="7"/>
    </row>
    <row r="39" spans="1:8" ht="17.100000000000001" customHeight="1" x14ac:dyDescent="0.25">
      <c r="A39" s="6" t="s">
        <v>245</v>
      </c>
      <c r="B39" s="6" t="s">
        <v>246</v>
      </c>
      <c r="C39" s="6" t="s">
        <v>95</v>
      </c>
      <c r="D39" s="6" t="s">
        <v>96</v>
      </c>
      <c r="E39" s="6" t="s">
        <v>1247</v>
      </c>
      <c r="F39" s="7" t="s">
        <v>247</v>
      </c>
      <c r="G39" s="7" t="s">
        <v>1210</v>
      </c>
      <c r="H39" s="7"/>
    </row>
    <row r="40" spans="1:8" ht="17.100000000000001" customHeight="1" x14ac:dyDescent="0.25">
      <c r="A40" s="13"/>
      <c r="B40" s="13"/>
      <c r="C40" s="13"/>
      <c r="D40" s="13"/>
      <c r="E40" s="13"/>
      <c r="F40" s="14"/>
      <c r="G40" s="14"/>
      <c r="H40" s="14"/>
    </row>
    <row r="41" spans="1:8" ht="17.100000000000001" customHeight="1" x14ac:dyDescent="0.25">
      <c r="A41" s="6" t="s">
        <v>249</v>
      </c>
      <c r="B41" s="6" t="s">
        <v>250</v>
      </c>
      <c r="C41" s="6" t="s">
        <v>95</v>
      </c>
      <c r="D41" s="6" t="s">
        <v>96</v>
      </c>
      <c r="E41" s="6" t="s">
        <v>1202</v>
      </c>
      <c r="F41" s="7" t="s">
        <v>251</v>
      </c>
      <c r="G41" s="7" t="s">
        <v>1212</v>
      </c>
      <c r="H41" s="7" t="s">
        <v>1239</v>
      </c>
    </row>
    <row r="42" spans="1:8" ht="17.100000000000001" customHeight="1" x14ac:dyDescent="0.25">
      <c r="A42" s="6" t="s">
        <v>252</v>
      </c>
      <c r="B42" s="6" t="s">
        <v>253</v>
      </c>
      <c r="C42" s="6" t="s">
        <v>95</v>
      </c>
      <c r="D42" s="6" t="s">
        <v>96</v>
      </c>
      <c r="E42" s="6" t="s">
        <v>1202</v>
      </c>
      <c r="F42" s="7" t="s">
        <v>254</v>
      </c>
      <c r="G42" s="7" t="s">
        <v>1212</v>
      </c>
      <c r="H42" s="7"/>
    </row>
    <row r="43" spans="1:8" ht="17.100000000000001" customHeight="1" x14ac:dyDescent="0.25">
      <c r="A43" s="15"/>
      <c r="B43" s="15"/>
      <c r="C43" s="15"/>
      <c r="D43" s="15"/>
      <c r="E43" s="15"/>
      <c r="F43" s="16"/>
      <c r="G43" s="16"/>
      <c r="H43" s="16"/>
    </row>
    <row r="44" spans="1:8" ht="17.100000000000001" customHeight="1" x14ac:dyDescent="0.25">
      <c r="A44" s="6" t="s">
        <v>221</v>
      </c>
      <c r="B44" s="6" t="s">
        <v>1159</v>
      </c>
      <c r="C44" s="6" t="s">
        <v>95</v>
      </c>
      <c r="D44" s="6" t="s">
        <v>152</v>
      </c>
      <c r="E44" s="6" t="s">
        <v>1202</v>
      </c>
      <c r="F44" s="7" t="s">
        <v>204</v>
      </c>
      <c r="G44" s="7" t="s">
        <v>1212</v>
      </c>
      <c r="H44" s="7" t="s">
        <v>1240</v>
      </c>
    </row>
    <row r="45" spans="1:8" ht="17.100000000000001" customHeight="1" x14ac:dyDescent="0.25">
      <c r="A45" s="6" t="s">
        <v>232</v>
      </c>
      <c r="B45" s="6" t="s">
        <v>1159</v>
      </c>
      <c r="C45" s="6" t="s">
        <v>95</v>
      </c>
      <c r="D45" s="6" t="s">
        <v>152</v>
      </c>
      <c r="E45" s="6" t="s">
        <v>1202</v>
      </c>
      <c r="F45" s="7" t="s">
        <v>257</v>
      </c>
      <c r="G45" s="7" t="s">
        <v>1212</v>
      </c>
      <c r="H45" s="7"/>
    </row>
    <row r="46" spans="1:8" ht="17.100000000000001" customHeight="1" x14ac:dyDescent="0.25">
      <c r="A46" s="6" t="s">
        <v>248</v>
      </c>
      <c r="B46" s="6" t="s">
        <v>64</v>
      </c>
      <c r="C46" s="6" t="s">
        <v>95</v>
      </c>
      <c r="D46" s="6" t="s">
        <v>152</v>
      </c>
      <c r="E46" s="6" t="s">
        <v>1202</v>
      </c>
      <c r="F46" s="7" t="s">
        <v>203</v>
      </c>
      <c r="G46" s="7" t="s">
        <v>1212</v>
      </c>
      <c r="H46" s="7"/>
    </row>
    <row r="47" spans="1:8" ht="17.100000000000001" customHeight="1" x14ac:dyDescent="0.25">
      <c r="A47" s="6"/>
      <c r="B47" s="6"/>
      <c r="C47" s="6"/>
      <c r="D47" s="6"/>
      <c r="E47" s="6"/>
      <c r="F47" s="7"/>
      <c r="G47" s="7"/>
      <c r="H47" s="7"/>
    </row>
    <row r="48" spans="1:8" ht="17.100000000000001" customHeight="1" x14ac:dyDescent="0.25">
      <c r="A48" s="6" t="s">
        <v>241</v>
      </c>
      <c r="B48" s="6" t="s">
        <v>64</v>
      </c>
      <c r="C48" s="6" t="s">
        <v>95</v>
      </c>
      <c r="D48" s="6" t="s">
        <v>255</v>
      </c>
      <c r="E48" s="6" t="s">
        <v>1202</v>
      </c>
      <c r="F48" s="7" t="s">
        <v>256</v>
      </c>
      <c r="G48" s="7" t="s">
        <v>1212</v>
      </c>
      <c r="H48" s="7"/>
    </row>
  </sheetData>
  <sortState xmlns:xlrd2="http://schemas.microsoft.com/office/spreadsheetml/2017/richdata2" ref="A33:H39">
    <sortCondition sortBy="cellColor" ref="A33:A39" dxfId="34"/>
    <sortCondition sortBy="cellColor" ref="A33:A39" dxfId="33"/>
    <sortCondition descending="1" ref="D33:D39"/>
    <sortCondition ref="B33:B39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33:H39">
    <cfRule type="containsText" dxfId="9" priority="1" operator="containsText" text=":A2">
      <formula>NOT(ISERROR(SEARCH(":A2",A33)))</formula>
    </cfRule>
    <cfRule type="containsText" dxfId="8" priority="2" operator="containsText" text=":A1">
      <formula>NOT(ISERROR(SEARCH(":A1",A33)))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0D78-C393-4BF6-A43D-FF9D8FC9667E}">
  <sheetPr>
    <tabColor rgb="FF7030A0"/>
  </sheetPr>
  <dimension ref="A1:I18"/>
  <sheetViews>
    <sheetView showGridLines="0" topLeftCell="A9" workbookViewId="0">
      <selection activeCell="E18" sqref="E18"/>
    </sheetView>
  </sheetViews>
  <sheetFormatPr defaultRowHeight="17.100000000000001" customHeight="1" x14ac:dyDescent="0.25"/>
  <cols>
    <col min="1" max="1" width="11.5703125" style="2" bestFit="1" customWidth="1"/>
    <col min="2" max="2" width="7.5703125" style="2" bestFit="1" customWidth="1"/>
    <col min="3" max="3" width="6.5703125" style="2" bestFit="1" customWidth="1"/>
    <col min="4" max="4" width="9.85546875" style="2" bestFit="1" customWidth="1"/>
    <col min="5" max="5" width="6.42578125" style="2" bestFit="1" customWidth="1"/>
    <col min="6" max="6" width="9.5703125" style="2" bestFit="1" customWidth="1"/>
    <col min="7" max="7" width="7.7109375" bestFit="1" customWidth="1"/>
    <col min="8" max="8" width="10" bestFit="1" customWidth="1"/>
    <col min="9" max="9" width="10.28515625" customWidth="1"/>
  </cols>
  <sheetData>
    <row r="1" spans="1:9" ht="18" customHeight="1" x14ac:dyDescent="0.25">
      <c r="A1" s="22" t="s">
        <v>71</v>
      </c>
      <c r="B1" s="22"/>
      <c r="C1" s="22"/>
      <c r="D1" s="22"/>
    </row>
    <row r="2" spans="1:9" ht="12" customHeight="1" x14ac:dyDescent="0.25">
      <c r="A2" s="23"/>
      <c r="B2" s="23"/>
      <c r="C2" s="23"/>
      <c r="D2" s="23"/>
    </row>
    <row r="3" spans="1:9" ht="12.75" customHeight="1" x14ac:dyDescent="0.25">
      <c r="A3" s="1" t="s">
        <v>0</v>
      </c>
      <c r="B3" s="18" t="s">
        <v>1</v>
      </c>
      <c r="C3" s="18"/>
      <c r="D3" s="18"/>
    </row>
    <row r="4" spans="1:9" ht="12" customHeight="1" x14ac:dyDescent="0.25">
      <c r="A4" s="1" t="s">
        <v>2</v>
      </c>
      <c r="B4" s="18" t="s">
        <v>3</v>
      </c>
      <c r="C4" s="18"/>
      <c r="D4" s="18"/>
    </row>
    <row r="5" spans="1:9" ht="12.75" customHeight="1" x14ac:dyDescent="0.25">
      <c r="A5" s="1" t="s">
        <v>4</v>
      </c>
      <c r="B5" s="18" t="s">
        <v>5</v>
      </c>
      <c r="C5" s="18"/>
      <c r="D5" s="18"/>
    </row>
    <row r="6" spans="1:9" ht="5.25" customHeight="1" x14ac:dyDescent="0.25"/>
    <row r="7" spans="1:9" ht="12" customHeight="1" x14ac:dyDescent="0.25">
      <c r="A7" s="1" t="s">
        <v>6</v>
      </c>
      <c r="B7" s="18" t="s">
        <v>7</v>
      </c>
      <c r="C7" s="18"/>
      <c r="D7" s="18"/>
    </row>
    <row r="8" spans="1:9" ht="12.75" customHeight="1" x14ac:dyDescent="0.25">
      <c r="A8" s="1" t="s">
        <v>8</v>
      </c>
      <c r="B8" s="18"/>
      <c r="C8" s="18"/>
      <c r="D8" s="18"/>
    </row>
    <row r="9" spans="1:9" ht="12" customHeight="1" x14ac:dyDescent="0.25">
      <c r="A9" s="1" t="s">
        <v>9</v>
      </c>
      <c r="B9" s="18"/>
      <c r="C9" s="18"/>
      <c r="D9" s="18"/>
    </row>
    <row r="10" spans="1:9" ht="12.75" customHeight="1" x14ac:dyDescent="0.25">
      <c r="A10" s="1" t="s">
        <v>8</v>
      </c>
      <c r="B10" s="18"/>
      <c r="C10" s="18"/>
      <c r="D10" s="18"/>
    </row>
    <row r="11" spans="1:9" ht="10.5" customHeight="1" x14ac:dyDescent="0.25"/>
    <row r="12" spans="1:9" ht="16.5" customHeight="1" x14ac:dyDescent="0.25">
      <c r="A12" s="19" t="s">
        <v>79</v>
      </c>
      <c r="B12" s="19"/>
      <c r="C12" s="19"/>
      <c r="D12" s="19"/>
      <c r="E12" s="19"/>
      <c r="F12" s="19"/>
      <c r="G12" s="20" t="s">
        <v>80</v>
      </c>
      <c r="H12" s="21"/>
      <c r="I12" s="8"/>
    </row>
    <row r="13" spans="1:9" ht="43.5" customHeight="1" x14ac:dyDescent="0.25">
      <c r="A13" s="3" t="s">
        <v>10</v>
      </c>
      <c r="B13" s="4" t="s">
        <v>82</v>
      </c>
      <c r="C13" s="4" t="s">
        <v>81</v>
      </c>
      <c r="D13" s="4" t="s">
        <v>83</v>
      </c>
      <c r="E13" s="4" t="s">
        <v>1130</v>
      </c>
      <c r="F13" s="5" t="s">
        <v>10</v>
      </c>
      <c r="G13" s="5" t="s">
        <v>11</v>
      </c>
      <c r="H13" s="5" t="s">
        <v>1131</v>
      </c>
    </row>
    <row r="14" spans="1:9" ht="17.100000000000001" customHeight="1" x14ac:dyDescent="0.25">
      <c r="A14" s="6" t="s">
        <v>199</v>
      </c>
      <c r="B14" s="6" t="s">
        <v>1159</v>
      </c>
      <c r="C14" s="6" t="s">
        <v>95</v>
      </c>
      <c r="D14" s="6" t="s">
        <v>154</v>
      </c>
      <c r="E14" s="6" t="s">
        <v>1218</v>
      </c>
      <c r="F14" s="7" t="s">
        <v>198</v>
      </c>
      <c r="G14" s="7" t="s">
        <v>1211</v>
      </c>
      <c r="H14" s="7" t="s">
        <v>1237</v>
      </c>
    </row>
    <row r="15" spans="1:9" ht="17.100000000000001" customHeight="1" x14ac:dyDescent="0.25">
      <c r="A15" s="6" t="s">
        <v>200</v>
      </c>
      <c r="B15" s="6" t="s">
        <v>72</v>
      </c>
      <c r="C15" s="6" t="s">
        <v>95</v>
      </c>
      <c r="D15" s="6" t="s">
        <v>154</v>
      </c>
      <c r="E15" s="6" t="s">
        <v>1218</v>
      </c>
      <c r="F15" s="7" t="s">
        <v>201</v>
      </c>
      <c r="G15" s="7" t="s">
        <v>1211</v>
      </c>
      <c r="H15" s="7"/>
    </row>
    <row r="16" spans="1:9" ht="17.100000000000001" customHeight="1" x14ac:dyDescent="0.25">
      <c r="A16" s="13"/>
      <c r="B16" s="13"/>
      <c r="C16" s="13"/>
      <c r="D16" s="13"/>
      <c r="E16" s="13"/>
      <c r="F16" s="14"/>
      <c r="G16" s="14"/>
      <c r="H16" s="14"/>
    </row>
    <row r="17" spans="1:8" ht="17.100000000000001" customHeight="1" x14ac:dyDescent="0.25">
      <c r="A17" s="6" t="s">
        <v>197</v>
      </c>
      <c r="B17" s="6" t="s">
        <v>1159</v>
      </c>
      <c r="C17" s="6" t="s">
        <v>95</v>
      </c>
      <c r="D17" s="6" t="s">
        <v>152</v>
      </c>
      <c r="E17" s="6" t="s">
        <v>1247</v>
      </c>
      <c r="F17" s="7" t="s">
        <v>204</v>
      </c>
      <c r="G17" s="7" t="s">
        <v>1212</v>
      </c>
      <c r="H17" s="7" t="s">
        <v>1240</v>
      </c>
    </row>
    <row r="18" spans="1:8" ht="17.100000000000001" customHeight="1" x14ac:dyDescent="0.25">
      <c r="A18" s="6" t="s">
        <v>202</v>
      </c>
      <c r="B18" s="6" t="s">
        <v>64</v>
      </c>
      <c r="C18" s="6" t="s">
        <v>95</v>
      </c>
      <c r="D18" s="6" t="s">
        <v>152</v>
      </c>
      <c r="E18" s="6" t="s">
        <v>1247</v>
      </c>
      <c r="F18" s="7" t="s">
        <v>203</v>
      </c>
      <c r="G18" s="7" t="s">
        <v>1212</v>
      </c>
      <c r="H18" s="7"/>
    </row>
  </sheetData>
  <sortState xmlns:xlrd2="http://schemas.microsoft.com/office/spreadsheetml/2017/richdata2" ref="A17:G18">
    <sortCondition ref="B17:B18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1105-656B-4E5C-939F-A95D54A9D4DF}">
  <sheetPr>
    <tabColor rgb="FFB889DB"/>
  </sheetPr>
  <dimension ref="A1:I107"/>
  <sheetViews>
    <sheetView showGridLines="0" topLeftCell="A74" zoomScale="85" zoomScaleNormal="85" workbookViewId="0">
      <selection activeCell="J105" sqref="J105"/>
    </sheetView>
  </sheetViews>
  <sheetFormatPr defaultRowHeight="17.100000000000001" customHeight="1" x14ac:dyDescent="0.25"/>
  <cols>
    <col min="1" max="1" width="16.5703125" style="2" bestFit="1" customWidth="1"/>
    <col min="2" max="2" width="9.140625" style="2" bestFit="1" customWidth="1"/>
    <col min="3" max="3" width="6.5703125" style="2" bestFit="1" customWidth="1"/>
    <col min="4" max="4" width="9.85546875" style="2" bestFit="1" customWidth="1"/>
    <col min="5" max="5" width="6.42578125" style="2" bestFit="1" customWidth="1"/>
    <col min="6" max="6" width="15.28515625" style="2" bestFit="1" customWidth="1"/>
    <col min="7" max="7" width="7.5703125" bestFit="1" customWidth="1"/>
    <col min="8" max="8" width="10.42578125" bestFit="1" customWidth="1"/>
    <col min="9" max="9" width="10.28515625" customWidth="1"/>
  </cols>
  <sheetData>
    <row r="1" spans="1:9" ht="18" customHeight="1" x14ac:dyDescent="0.25">
      <c r="A1" s="22" t="s">
        <v>60</v>
      </c>
      <c r="B1" s="22"/>
      <c r="C1" s="22"/>
      <c r="D1" s="22"/>
    </row>
    <row r="2" spans="1:9" ht="12" customHeight="1" x14ac:dyDescent="0.25">
      <c r="A2" s="23"/>
      <c r="B2" s="23"/>
      <c r="C2" s="23"/>
      <c r="D2" s="23"/>
    </row>
    <row r="3" spans="1:9" ht="12.75" customHeight="1" x14ac:dyDescent="0.25">
      <c r="A3" s="1" t="s">
        <v>0</v>
      </c>
      <c r="B3" s="18" t="s">
        <v>1</v>
      </c>
      <c r="C3" s="18"/>
      <c r="D3" s="18"/>
    </row>
    <row r="4" spans="1:9" ht="12" customHeight="1" x14ac:dyDescent="0.25">
      <c r="A4" s="1" t="s">
        <v>2</v>
      </c>
      <c r="B4" s="18" t="s">
        <v>3</v>
      </c>
      <c r="C4" s="18"/>
      <c r="D4" s="18"/>
    </row>
    <row r="5" spans="1:9" ht="12.75" customHeight="1" x14ac:dyDescent="0.25">
      <c r="A5" s="1" t="s">
        <v>4</v>
      </c>
      <c r="B5" s="18" t="s">
        <v>5</v>
      </c>
      <c r="C5" s="18"/>
      <c r="D5" s="18"/>
    </row>
    <row r="6" spans="1:9" ht="5.25" customHeight="1" x14ac:dyDescent="0.25"/>
    <row r="7" spans="1:9" ht="12" customHeight="1" x14ac:dyDescent="0.25">
      <c r="A7" s="1" t="s">
        <v>6</v>
      </c>
      <c r="B7" s="18" t="s">
        <v>7</v>
      </c>
      <c r="C7" s="18"/>
      <c r="D7" s="18"/>
    </row>
    <row r="8" spans="1:9" ht="12.75" customHeight="1" x14ac:dyDescent="0.25">
      <c r="A8" s="1" t="s">
        <v>8</v>
      </c>
      <c r="B8" s="18"/>
      <c r="C8" s="18"/>
      <c r="D8" s="18"/>
    </row>
    <row r="9" spans="1:9" ht="12" customHeight="1" x14ac:dyDescent="0.25">
      <c r="A9" s="1" t="s">
        <v>9</v>
      </c>
      <c r="B9" s="18"/>
      <c r="C9" s="18"/>
      <c r="D9" s="18"/>
    </row>
    <row r="10" spans="1:9" ht="12.75" customHeight="1" x14ac:dyDescent="0.25">
      <c r="A10" s="1" t="s">
        <v>8</v>
      </c>
      <c r="B10" s="18"/>
      <c r="C10" s="18"/>
      <c r="D10" s="18"/>
    </row>
    <row r="11" spans="1:9" ht="10.5" customHeight="1" x14ac:dyDescent="0.25"/>
    <row r="12" spans="1:9" ht="16.5" customHeight="1" x14ac:dyDescent="0.25">
      <c r="A12" s="19" t="s">
        <v>79</v>
      </c>
      <c r="B12" s="19"/>
      <c r="C12" s="19"/>
      <c r="D12" s="19"/>
      <c r="E12" s="19"/>
      <c r="F12" s="19"/>
      <c r="G12" s="20" t="s">
        <v>80</v>
      </c>
      <c r="H12" s="21"/>
      <c r="I12" s="8"/>
    </row>
    <row r="13" spans="1:9" ht="43.5" customHeight="1" x14ac:dyDescent="0.25">
      <c r="A13" s="3" t="s">
        <v>10</v>
      </c>
      <c r="B13" s="4" t="s">
        <v>82</v>
      </c>
      <c r="C13" s="4" t="s">
        <v>81</v>
      </c>
      <c r="D13" s="4" t="s">
        <v>83</v>
      </c>
      <c r="E13" s="4" t="s">
        <v>1130</v>
      </c>
      <c r="F13" s="5" t="s">
        <v>10</v>
      </c>
      <c r="G13" s="5" t="s">
        <v>11</v>
      </c>
      <c r="H13" s="5" t="s">
        <v>1131</v>
      </c>
    </row>
    <row r="14" spans="1:9" ht="17.100000000000001" customHeight="1" x14ac:dyDescent="0.25">
      <c r="A14" s="6" t="s">
        <v>304</v>
      </c>
      <c r="B14" s="6" t="s">
        <v>1159</v>
      </c>
      <c r="C14" s="6" t="s">
        <v>95</v>
      </c>
      <c r="D14" s="6" t="s">
        <v>154</v>
      </c>
      <c r="E14" s="6" t="s">
        <v>1218</v>
      </c>
      <c r="F14" s="7" t="s">
        <v>305</v>
      </c>
      <c r="G14" s="7" t="s">
        <v>1212</v>
      </c>
      <c r="H14" s="7" t="s">
        <v>1246</v>
      </c>
    </row>
    <row r="15" spans="1:9" ht="17.100000000000001" customHeight="1" x14ac:dyDescent="0.25">
      <c r="A15" s="6" t="s">
        <v>324</v>
      </c>
      <c r="B15" s="6" t="s">
        <v>1159</v>
      </c>
      <c r="C15" s="6" t="s">
        <v>95</v>
      </c>
      <c r="D15" s="6" t="s">
        <v>154</v>
      </c>
      <c r="E15" s="6" t="s">
        <v>1218</v>
      </c>
      <c r="F15" s="7" t="s">
        <v>305</v>
      </c>
      <c r="G15" s="7" t="s">
        <v>1212</v>
      </c>
      <c r="H15" s="7"/>
    </row>
    <row r="16" spans="1:9" ht="17.100000000000001" customHeight="1" x14ac:dyDescent="0.25">
      <c r="A16" s="6" t="s">
        <v>322</v>
      </c>
      <c r="B16" s="6" t="s">
        <v>323</v>
      </c>
      <c r="C16" s="6" t="s">
        <v>95</v>
      </c>
      <c r="D16" s="6" t="s">
        <v>154</v>
      </c>
      <c r="E16" s="6" t="s">
        <v>1218</v>
      </c>
      <c r="F16" s="7" t="s">
        <v>324</v>
      </c>
      <c r="G16" s="7" t="s">
        <v>1212</v>
      </c>
      <c r="H16" s="7"/>
    </row>
    <row r="17" spans="1:8" ht="17.100000000000001" customHeight="1" x14ac:dyDescent="0.25">
      <c r="A17" s="6" t="s">
        <v>325</v>
      </c>
      <c r="B17" s="6" t="s">
        <v>326</v>
      </c>
      <c r="C17" s="6" t="s">
        <v>95</v>
      </c>
      <c r="D17" s="6" t="s">
        <v>154</v>
      </c>
      <c r="E17" s="6" t="s">
        <v>1218</v>
      </c>
      <c r="F17" s="7" t="s">
        <v>327</v>
      </c>
      <c r="G17" s="7" t="s">
        <v>1212</v>
      </c>
      <c r="H17" s="7"/>
    </row>
    <row r="18" spans="1:8" ht="17.100000000000001" customHeight="1" x14ac:dyDescent="0.25">
      <c r="A18" s="6" t="s">
        <v>327</v>
      </c>
      <c r="B18" s="6" t="s">
        <v>61</v>
      </c>
      <c r="C18" s="6" t="s">
        <v>95</v>
      </c>
      <c r="D18" s="6" t="s">
        <v>154</v>
      </c>
      <c r="E18" s="6" t="s">
        <v>1217</v>
      </c>
      <c r="F18" s="7" t="s">
        <v>367</v>
      </c>
      <c r="G18" s="7" t="s">
        <v>1212</v>
      </c>
      <c r="H18" s="7"/>
    </row>
    <row r="19" spans="1:8" ht="17.100000000000001" customHeight="1" x14ac:dyDescent="0.25">
      <c r="A19" s="6" t="s">
        <v>306</v>
      </c>
      <c r="B19" s="6" t="s">
        <v>62</v>
      </c>
      <c r="C19" s="6" t="s">
        <v>95</v>
      </c>
      <c r="D19" s="6" t="s">
        <v>154</v>
      </c>
      <c r="E19" s="6" t="s">
        <v>1217</v>
      </c>
      <c r="F19" s="7" t="s">
        <v>307</v>
      </c>
      <c r="G19" s="7" t="s">
        <v>1212</v>
      </c>
      <c r="H19" s="7"/>
    </row>
    <row r="20" spans="1:8" ht="17.100000000000001" customHeight="1" x14ac:dyDescent="0.25">
      <c r="A20" s="15"/>
      <c r="B20" s="15"/>
      <c r="C20" s="15"/>
      <c r="D20" s="15"/>
      <c r="E20" s="15"/>
      <c r="F20" s="16"/>
      <c r="G20" s="16"/>
      <c r="H20" s="16"/>
    </row>
    <row r="21" spans="1:8" ht="17.100000000000001" customHeight="1" x14ac:dyDescent="0.25">
      <c r="A21" s="7" t="s">
        <v>363</v>
      </c>
      <c r="B21" s="6" t="s">
        <v>364</v>
      </c>
      <c r="C21" s="6" t="s">
        <v>95</v>
      </c>
      <c r="D21" s="6" t="s">
        <v>96</v>
      </c>
      <c r="E21" s="6" t="s">
        <v>1218</v>
      </c>
      <c r="F21" s="6" t="s">
        <v>365</v>
      </c>
      <c r="G21" s="7" t="s">
        <v>1212</v>
      </c>
      <c r="H21" s="7" t="s">
        <v>1215</v>
      </c>
    </row>
    <row r="22" spans="1:8" ht="17.100000000000001" customHeight="1" x14ac:dyDescent="0.25">
      <c r="A22" s="7"/>
      <c r="B22" s="6"/>
      <c r="C22" s="6"/>
      <c r="D22" s="6"/>
      <c r="E22" s="6"/>
      <c r="F22" s="6"/>
      <c r="G22" s="7"/>
      <c r="H22" s="7"/>
    </row>
    <row r="23" spans="1:8" ht="17.100000000000001" customHeight="1" x14ac:dyDescent="0.25">
      <c r="A23" s="6" t="s">
        <v>337</v>
      </c>
      <c r="B23" s="6" t="s">
        <v>1159</v>
      </c>
      <c r="C23" s="6" t="s">
        <v>95</v>
      </c>
      <c r="D23" s="6" t="s">
        <v>154</v>
      </c>
      <c r="E23" s="6" t="s">
        <v>1218</v>
      </c>
      <c r="F23" s="7" t="s">
        <v>265</v>
      </c>
      <c r="G23" s="7" t="s">
        <v>1212</v>
      </c>
      <c r="H23" s="7"/>
    </row>
    <row r="24" spans="1:8" ht="17.100000000000001" customHeight="1" x14ac:dyDescent="0.25">
      <c r="A24" s="6" t="s">
        <v>360</v>
      </c>
      <c r="B24" s="6" t="s">
        <v>1159</v>
      </c>
      <c r="C24" s="6" t="s">
        <v>95</v>
      </c>
      <c r="D24" s="6" t="s">
        <v>154</v>
      </c>
      <c r="E24" s="6" t="s">
        <v>1218</v>
      </c>
      <c r="F24" s="7" t="s">
        <v>265</v>
      </c>
      <c r="G24" s="7" t="s">
        <v>1212</v>
      </c>
      <c r="H24" s="7"/>
    </row>
    <row r="25" spans="1:8" ht="17.100000000000001" customHeight="1" x14ac:dyDescent="0.25">
      <c r="A25" s="6" t="s">
        <v>366</v>
      </c>
      <c r="B25" s="6" t="s">
        <v>1159</v>
      </c>
      <c r="C25" s="6" t="s">
        <v>95</v>
      </c>
      <c r="D25" s="6" t="s">
        <v>154</v>
      </c>
      <c r="E25" s="6" t="s">
        <v>1218</v>
      </c>
      <c r="F25" s="7" t="s">
        <v>265</v>
      </c>
      <c r="G25" s="7" t="s">
        <v>1212</v>
      </c>
      <c r="H25" s="7"/>
    </row>
    <row r="26" spans="1:8" ht="17.100000000000001" customHeight="1" x14ac:dyDescent="0.25">
      <c r="A26" s="6" t="s">
        <v>361</v>
      </c>
      <c r="B26" s="6" t="s">
        <v>66</v>
      </c>
      <c r="C26" s="6" t="s">
        <v>95</v>
      </c>
      <c r="D26" s="6" t="s">
        <v>154</v>
      </c>
      <c r="E26" s="6" t="s">
        <v>1218</v>
      </c>
      <c r="F26" s="7" t="s">
        <v>362</v>
      </c>
      <c r="G26" s="7" t="s">
        <v>1212</v>
      </c>
      <c r="H26" s="7"/>
    </row>
    <row r="27" spans="1:8" ht="17.100000000000001" customHeight="1" x14ac:dyDescent="0.25">
      <c r="A27" s="7" t="s">
        <v>351</v>
      </c>
      <c r="B27" s="6" t="s">
        <v>352</v>
      </c>
      <c r="C27" s="6" t="s">
        <v>95</v>
      </c>
      <c r="D27" s="6" t="s">
        <v>154</v>
      </c>
      <c r="E27" s="6" t="s">
        <v>1218</v>
      </c>
      <c r="F27" s="6" t="s">
        <v>353</v>
      </c>
      <c r="G27" s="7" t="s">
        <v>1212</v>
      </c>
      <c r="H27" s="7"/>
    </row>
    <row r="28" spans="1:8" ht="17.100000000000001" customHeight="1" x14ac:dyDescent="0.25">
      <c r="A28" s="15"/>
      <c r="B28" s="15"/>
      <c r="C28" s="15"/>
      <c r="D28" s="15"/>
      <c r="E28" s="15"/>
      <c r="F28" s="16"/>
      <c r="G28" s="16"/>
      <c r="H28" s="16"/>
    </row>
    <row r="29" spans="1:8" ht="17.100000000000001" customHeight="1" x14ac:dyDescent="0.25">
      <c r="A29" s="6" t="s">
        <v>334</v>
      </c>
      <c r="B29" s="6" t="s">
        <v>266</v>
      </c>
      <c r="C29" s="6" t="s">
        <v>205</v>
      </c>
      <c r="D29" s="6" t="s">
        <v>1243</v>
      </c>
      <c r="E29" s="6" t="s">
        <v>1247</v>
      </c>
      <c r="F29" s="7" t="s">
        <v>267</v>
      </c>
      <c r="G29" s="7" t="s">
        <v>1212</v>
      </c>
      <c r="H29" s="7" t="s">
        <v>1245</v>
      </c>
    </row>
    <row r="30" spans="1:8" ht="17.100000000000001" customHeight="1" x14ac:dyDescent="0.25">
      <c r="A30" s="6" t="s">
        <v>335</v>
      </c>
      <c r="B30" s="6" t="s">
        <v>273</v>
      </c>
      <c r="C30" s="6" t="s">
        <v>205</v>
      </c>
      <c r="D30" s="6" t="s">
        <v>1243</v>
      </c>
      <c r="E30" s="6" t="s">
        <v>1247</v>
      </c>
      <c r="F30" s="7" t="s">
        <v>272</v>
      </c>
      <c r="G30" s="7" t="s">
        <v>1212</v>
      </c>
      <c r="H30" s="7"/>
    </row>
    <row r="31" spans="1:8" ht="17.100000000000001" customHeight="1" x14ac:dyDescent="0.25">
      <c r="A31" s="6" t="s">
        <v>336</v>
      </c>
      <c r="B31" s="6" t="s">
        <v>275</v>
      </c>
      <c r="C31" s="6" t="s">
        <v>205</v>
      </c>
      <c r="D31" s="6" t="s">
        <v>1243</v>
      </c>
      <c r="E31" s="6" t="s">
        <v>1247</v>
      </c>
      <c r="F31" s="7" t="s">
        <v>274</v>
      </c>
      <c r="G31" s="7" t="s">
        <v>1212</v>
      </c>
      <c r="H31" s="7"/>
    </row>
    <row r="32" spans="1:8" ht="17.100000000000001" customHeight="1" x14ac:dyDescent="0.25">
      <c r="A32" s="6" t="s">
        <v>331</v>
      </c>
      <c r="B32" s="6" t="s">
        <v>277</v>
      </c>
      <c r="C32" s="6" t="s">
        <v>205</v>
      </c>
      <c r="D32" s="6" t="s">
        <v>1243</v>
      </c>
      <c r="E32" s="6" t="s">
        <v>1247</v>
      </c>
      <c r="F32" s="7" t="s">
        <v>276</v>
      </c>
      <c r="G32" s="7" t="s">
        <v>1212</v>
      </c>
      <c r="H32" s="7"/>
    </row>
    <row r="33" spans="1:8" ht="17.100000000000001" customHeight="1" x14ac:dyDescent="0.25">
      <c r="A33" s="6" t="s">
        <v>332</v>
      </c>
      <c r="B33" s="6" t="s">
        <v>269</v>
      </c>
      <c r="C33" s="6" t="s">
        <v>205</v>
      </c>
      <c r="D33" s="6" t="s">
        <v>1243</v>
      </c>
      <c r="E33" s="6" t="s">
        <v>1247</v>
      </c>
      <c r="F33" s="7" t="s">
        <v>268</v>
      </c>
      <c r="G33" s="7" t="s">
        <v>1212</v>
      </c>
      <c r="H33" s="7"/>
    </row>
    <row r="34" spans="1:8" ht="17.100000000000001" customHeight="1" x14ac:dyDescent="0.25">
      <c r="A34" s="6" t="s">
        <v>333</v>
      </c>
      <c r="B34" s="6" t="s">
        <v>271</v>
      </c>
      <c r="C34" s="6" t="s">
        <v>205</v>
      </c>
      <c r="D34" s="6" t="s">
        <v>1243</v>
      </c>
      <c r="E34" s="6" t="s">
        <v>1247</v>
      </c>
      <c r="F34" s="7" t="s">
        <v>270</v>
      </c>
      <c r="G34" s="7" t="s">
        <v>1212</v>
      </c>
      <c r="H34" s="7"/>
    </row>
    <row r="35" spans="1:8" ht="17.100000000000001" customHeight="1" x14ac:dyDescent="0.25">
      <c r="A35" s="15"/>
      <c r="B35" s="15"/>
      <c r="C35" s="15"/>
      <c r="D35" s="15"/>
      <c r="E35" s="15"/>
      <c r="F35" s="16"/>
      <c r="G35" s="16"/>
      <c r="H35" s="16"/>
    </row>
    <row r="36" spans="1:8" ht="17.100000000000001" customHeight="1" x14ac:dyDescent="0.25">
      <c r="A36" s="6" t="s">
        <v>338</v>
      </c>
      <c r="B36" s="6" t="s">
        <v>339</v>
      </c>
      <c r="C36" s="6" t="s">
        <v>340</v>
      </c>
      <c r="D36" s="6" t="s">
        <v>1242</v>
      </c>
      <c r="E36" s="6" t="s">
        <v>1247</v>
      </c>
      <c r="F36" s="7" t="s">
        <v>341</v>
      </c>
      <c r="G36" s="7" t="s">
        <v>1212</v>
      </c>
      <c r="H36" s="7" t="s">
        <v>1244</v>
      </c>
    </row>
    <row r="37" spans="1:8" ht="17.100000000000001" customHeight="1" x14ac:dyDescent="0.25">
      <c r="A37" s="6" t="s">
        <v>342</v>
      </c>
      <c r="B37" s="6" t="s">
        <v>343</v>
      </c>
      <c r="C37" s="6" t="s">
        <v>340</v>
      </c>
      <c r="D37" s="6" t="s">
        <v>1242</v>
      </c>
      <c r="E37" s="6" t="s">
        <v>1247</v>
      </c>
      <c r="F37" s="7" t="s">
        <v>344</v>
      </c>
      <c r="G37" s="7" t="s">
        <v>1212</v>
      </c>
      <c r="H37" s="7"/>
    </row>
    <row r="38" spans="1:8" ht="17.100000000000001" customHeight="1" x14ac:dyDescent="0.25">
      <c r="A38" s="6" t="s">
        <v>345</v>
      </c>
      <c r="B38" s="6" t="s">
        <v>346</v>
      </c>
      <c r="C38" s="6" t="s">
        <v>340</v>
      </c>
      <c r="D38" s="6" t="s">
        <v>1242</v>
      </c>
      <c r="E38" s="6" t="s">
        <v>1247</v>
      </c>
      <c r="F38" s="7" t="s">
        <v>347</v>
      </c>
      <c r="G38" s="7" t="s">
        <v>1212</v>
      </c>
      <c r="H38" s="7"/>
    </row>
    <row r="39" spans="1:8" ht="17.100000000000001" customHeight="1" x14ac:dyDescent="0.25">
      <c r="A39" s="6" t="s">
        <v>348</v>
      </c>
      <c r="B39" s="6" t="s">
        <v>349</v>
      </c>
      <c r="C39" s="6" t="s">
        <v>340</v>
      </c>
      <c r="D39" s="6" t="s">
        <v>1242</v>
      </c>
      <c r="E39" s="6" t="s">
        <v>1247</v>
      </c>
      <c r="F39" s="7" t="s">
        <v>350</v>
      </c>
      <c r="G39" s="7" t="s">
        <v>1212</v>
      </c>
      <c r="H39" s="7"/>
    </row>
    <row r="40" spans="1:8" ht="17.100000000000001" customHeight="1" x14ac:dyDescent="0.25">
      <c r="A40" s="6" t="s">
        <v>354</v>
      </c>
      <c r="B40" s="6" t="s">
        <v>355</v>
      </c>
      <c r="C40" s="6" t="s">
        <v>340</v>
      </c>
      <c r="D40" s="6" t="s">
        <v>1242</v>
      </c>
      <c r="E40" s="6" t="s">
        <v>1247</v>
      </c>
      <c r="F40" s="7" t="s">
        <v>356</v>
      </c>
      <c r="G40" s="7" t="s">
        <v>1212</v>
      </c>
      <c r="H40" s="7"/>
    </row>
    <row r="41" spans="1:8" ht="17.100000000000001" customHeight="1" x14ac:dyDescent="0.25">
      <c r="A41" s="6" t="s">
        <v>357</v>
      </c>
      <c r="B41" s="6" t="s">
        <v>358</v>
      </c>
      <c r="C41" s="6" t="s">
        <v>340</v>
      </c>
      <c r="D41" s="6" t="s">
        <v>1242</v>
      </c>
      <c r="E41" s="6" t="s">
        <v>1247</v>
      </c>
      <c r="F41" s="7" t="s">
        <v>359</v>
      </c>
      <c r="G41" s="7" t="s">
        <v>1212</v>
      </c>
      <c r="H41" s="7"/>
    </row>
    <row r="42" spans="1:8" ht="17.100000000000001" customHeight="1" x14ac:dyDescent="0.25">
      <c r="A42" s="15"/>
      <c r="B42" s="15"/>
      <c r="C42" s="15"/>
      <c r="D42" s="15"/>
      <c r="E42" s="15"/>
      <c r="F42" s="16"/>
      <c r="G42" s="16"/>
      <c r="H42" s="16"/>
    </row>
    <row r="43" spans="1:8" ht="17.100000000000001" customHeight="1" x14ac:dyDescent="0.25">
      <c r="A43" s="6" t="s">
        <v>279</v>
      </c>
      <c r="B43" s="6" t="s">
        <v>1164</v>
      </c>
      <c r="C43" s="6" t="s">
        <v>95</v>
      </c>
      <c r="D43" s="6" t="s">
        <v>96</v>
      </c>
      <c r="E43" s="6" t="s">
        <v>1218</v>
      </c>
      <c r="F43" s="7" t="s">
        <v>278</v>
      </c>
      <c r="G43" s="7" t="s">
        <v>1212</v>
      </c>
      <c r="H43" s="7" t="s">
        <v>1229</v>
      </c>
    </row>
    <row r="44" spans="1:8" ht="17.100000000000001" customHeight="1" x14ac:dyDescent="0.25">
      <c r="A44" s="6" t="s">
        <v>284</v>
      </c>
      <c r="B44" s="6" t="s">
        <v>1166</v>
      </c>
      <c r="C44" s="6" t="s">
        <v>95</v>
      </c>
      <c r="D44" s="6" t="s">
        <v>96</v>
      </c>
      <c r="E44" s="6" t="s">
        <v>1218</v>
      </c>
      <c r="F44" s="7" t="s">
        <v>283</v>
      </c>
      <c r="G44" s="7" t="s">
        <v>1212</v>
      </c>
      <c r="H44" s="7"/>
    </row>
    <row r="45" spans="1:8" ht="17.100000000000001" customHeight="1" x14ac:dyDescent="0.25">
      <c r="A45" s="6" t="s">
        <v>394</v>
      </c>
      <c r="B45" s="6" t="s">
        <v>66</v>
      </c>
      <c r="C45" s="6" t="s">
        <v>95</v>
      </c>
      <c r="D45" s="6" t="s">
        <v>96</v>
      </c>
      <c r="E45" s="6" t="s">
        <v>1218</v>
      </c>
      <c r="F45" s="7" t="s">
        <v>362</v>
      </c>
      <c r="G45" s="7" t="s">
        <v>1212</v>
      </c>
      <c r="H45" s="7"/>
    </row>
    <row r="46" spans="1:8" ht="17.100000000000001" customHeight="1" x14ac:dyDescent="0.25">
      <c r="A46" s="6" t="s">
        <v>282</v>
      </c>
      <c r="B46" s="6" t="s">
        <v>281</v>
      </c>
      <c r="C46" s="6" t="s">
        <v>95</v>
      </c>
      <c r="D46" s="6" t="s">
        <v>96</v>
      </c>
      <c r="E46" s="6" t="s">
        <v>1217</v>
      </c>
      <c r="F46" s="7" t="s">
        <v>280</v>
      </c>
      <c r="G46" s="7" t="s">
        <v>1212</v>
      </c>
      <c r="H46" s="7"/>
    </row>
    <row r="47" spans="1:8" ht="17.100000000000001" customHeight="1" x14ac:dyDescent="0.25">
      <c r="A47" s="6" t="s">
        <v>282</v>
      </c>
      <c r="B47" s="6" t="s">
        <v>281</v>
      </c>
      <c r="C47" s="6" t="s">
        <v>95</v>
      </c>
      <c r="D47" s="6" t="s">
        <v>96</v>
      </c>
      <c r="E47" s="6" t="s">
        <v>1217</v>
      </c>
      <c r="F47" s="7" t="s">
        <v>380</v>
      </c>
      <c r="G47" s="7" t="s">
        <v>1212</v>
      </c>
      <c r="H47" s="7"/>
    </row>
    <row r="48" spans="1:8" ht="17.100000000000001" customHeight="1" x14ac:dyDescent="0.25">
      <c r="A48" s="6" t="s">
        <v>397</v>
      </c>
      <c r="B48" s="6" t="s">
        <v>398</v>
      </c>
      <c r="C48" s="6" t="s">
        <v>95</v>
      </c>
      <c r="D48" s="6" t="s">
        <v>96</v>
      </c>
      <c r="E48" s="6" t="s">
        <v>1218</v>
      </c>
      <c r="F48" s="7" t="s">
        <v>399</v>
      </c>
      <c r="G48" s="7" t="s">
        <v>1212</v>
      </c>
      <c r="H48" s="7"/>
    </row>
    <row r="49" spans="1:8" ht="17.100000000000001" customHeight="1" x14ac:dyDescent="0.25">
      <c r="A49" s="6" t="s">
        <v>401</v>
      </c>
      <c r="B49" s="6" t="s">
        <v>402</v>
      </c>
      <c r="C49" s="6" t="s">
        <v>95</v>
      </c>
      <c r="D49" s="6" t="s">
        <v>96</v>
      </c>
      <c r="E49" s="6" t="s">
        <v>1218</v>
      </c>
      <c r="F49" s="7" t="s">
        <v>403</v>
      </c>
      <c r="G49" s="7" t="s">
        <v>1212</v>
      </c>
      <c r="H49" s="7"/>
    </row>
    <row r="50" spans="1:8" ht="17.100000000000001" customHeight="1" x14ac:dyDescent="0.25">
      <c r="A50" s="6" t="s">
        <v>410</v>
      </c>
      <c r="B50" s="6" t="s">
        <v>253</v>
      </c>
      <c r="C50" s="6" t="s">
        <v>95</v>
      </c>
      <c r="D50" s="6" t="s">
        <v>96</v>
      </c>
      <c r="E50" s="6" t="s">
        <v>1218</v>
      </c>
      <c r="F50" s="7" t="s">
        <v>254</v>
      </c>
      <c r="G50" s="7" t="s">
        <v>1212</v>
      </c>
      <c r="H50" s="7"/>
    </row>
    <row r="51" spans="1:8" ht="17.100000000000001" customHeight="1" x14ac:dyDescent="0.25">
      <c r="A51" s="6" t="s">
        <v>420</v>
      </c>
      <c r="B51" s="6" t="s">
        <v>391</v>
      </c>
      <c r="C51" s="6" t="s">
        <v>95</v>
      </c>
      <c r="D51" s="6" t="s">
        <v>96</v>
      </c>
      <c r="E51" s="6" t="s">
        <v>1218</v>
      </c>
      <c r="F51" s="7" t="s">
        <v>392</v>
      </c>
      <c r="G51" s="7" t="s">
        <v>1212</v>
      </c>
      <c r="H51" s="7"/>
    </row>
    <row r="52" spans="1:8" ht="17.100000000000001" customHeight="1" x14ac:dyDescent="0.25">
      <c r="A52" s="7" t="s">
        <v>430</v>
      </c>
      <c r="B52" s="6" t="s">
        <v>429</v>
      </c>
      <c r="C52" s="6" t="s">
        <v>95</v>
      </c>
      <c r="D52" s="6" t="s">
        <v>96</v>
      </c>
      <c r="E52" s="6" t="s">
        <v>1218</v>
      </c>
      <c r="F52" s="6" t="s">
        <v>428</v>
      </c>
      <c r="G52" s="7" t="s">
        <v>1212</v>
      </c>
      <c r="H52" s="7"/>
    </row>
    <row r="53" spans="1:8" ht="17.100000000000001" customHeight="1" x14ac:dyDescent="0.25">
      <c r="A53" s="6" t="s">
        <v>287</v>
      </c>
      <c r="B53" s="6" t="s">
        <v>286</v>
      </c>
      <c r="C53" s="6" t="s">
        <v>95</v>
      </c>
      <c r="D53" s="6" t="s">
        <v>96</v>
      </c>
      <c r="E53" s="6" t="s">
        <v>1218</v>
      </c>
      <c r="F53" s="7" t="s">
        <v>285</v>
      </c>
      <c r="G53" s="7" t="s">
        <v>1212</v>
      </c>
      <c r="H53" s="7"/>
    </row>
    <row r="54" spans="1:8" ht="17.100000000000001" customHeight="1" x14ac:dyDescent="0.25">
      <c r="A54" s="6"/>
      <c r="B54" s="6"/>
      <c r="C54" s="6"/>
      <c r="D54" s="6"/>
      <c r="E54" s="6"/>
      <c r="F54" s="7"/>
      <c r="G54" s="7"/>
      <c r="H54" s="7"/>
    </row>
    <row r="55" spans="1:8" ht="17.100000000000001" customHeight="1" x14ac:dyDescent="0.25">
      <c r="A55" s="6" t="s">
        <v>423</v>
      </c>
      <c r="B55" s="6" t="s">
        <v>424</v>
      </c>
      <c r="C55" s="6" t="s">
        <v>95</v>
      </c>
      <c r="D55" s="6" t="s">
        <v>154</v>
      </c>
      <c r="E55" s="6" t="s">
        <v>1218</v>
      </c>
      <c r="F55" s="7" t="s">
        <v>425</v>
      </c>
      <c r="G55" s="7" t="s">
        <v>1212</v>
      </c>
      <c r="H55" s="7"/>
    </row>
    <row r="56" spans="1:8" ht="17.100000000000001" customHeight="1" x14ac:dyDescent="0.25">
      <c r="A56" s="6" t="s">
        <v>431</v>
      </c>
      <c r="B56" s="6" t="s">
        <v>432</v>
      </c>
      <c r="C56" s="6" t="s">
        <v>95</v>
      </c>
      <c r="D56" s="6" t="s">
        <v>154</v>
      </c>
      <c r="E56" s="6" t="s">
        <v>1218</v>
      </c>
      <c r="F56" s="7" t="s">
        <v>433</v>
      </c>
      <c r="G56" s="7" t="s">
        <v>1212</v>
      </c>
      <c r="H56" s="7"/>
    </row>
    <row r="57" spans="1:8" ht="17.100000000000001" customHeight="1" x14ac:dyDescent="0.25">
      <c r="A57" s="15"/>
      <c r="B57" s="15"/>
      <c r="C57" s="15"/>
      <c r="D57" s="15"/>
      <c r="E57" s="15"/>
      <c r="F57" s="16"/>
      <c r="G57" s="16"/>
      <c r="H57" s="16"/>
    </row>
    <row r="58" spans="1:8" ht="17.100000000000001" customHeight="1" x14ac:dyDescent="0.25">
      <c r="A58" s="6" t="s">
        <v>292</v>
      </c>
      <c r="B58" s="6" t="s">
        <v>1165</v>
      </c>
      <c r="C58" s="6" t="s">
        <v>95</v>
      </c>
      <c r="D58" s="6" t="s">
        <v>96</v>
      </c>
      <c r="E58" s="6" t="s">
        <v>1218</v>
      </c>
      <c r="F58" s="7" t="s">
        <v>291</v>
      </c>
      <c r="G58" s="7" t="s">
        <v>1212</v>
      </c>
      <c r="H58" s="7" t="s">
        <v>1228</v>
      </c>
    </row>
    <row r="59" spans="1:8" ht="17.100000000000001" customHeight="1" x14ac:dyDescent="0.25">
      <c r="A59" s="6" t="s">
        <v>297</v>
      </c>
      <c r="B59" s="6" t="s">
        <v>1167</v>
      </c>
      <c r="C59" s="6" t="s">
        <v>95</v>
      </c>
      <c r="D59" s="6" t="s">
        <v>96</v>
      </c>
      <c r="E59" s="6" t="s">
        <v>1218</v>
      </c>
      <c r="F59" s="7" t="s">
        <v>296</v>
      </c>
      <c r="G59" s="7" t="s">
        <v>1212</v>
      </c>
      <c r="H59" s="7"/>
    </row>
    <row r="60" spans="1:8" ht="17.100000000000001" customHeight="1" x14ac:dyDescent="0.25">
      <c r="A60" s="6" t="s">
        <v>400</v>
      </c>
      <c r="B60" s="6" t="s">
        <v>1159</v>
      </c>
      <c r="C60" s="6" t="s">
        <v>95</v>
      </c>
      <c r="D60" s="6" t="s">
        <v>96</v>
      </c>
      <c r="E60" s="6" t="s">
        <v>1217</v>
      </c>
      <c r="F60" s="7" t="s">
        <v>264</v>
      </c>
      <c r="G60" s="7" t="s">
        <v>1212</v>
      </c>
      <c r="H60" s="7"/>
    </row>
    <row r="61" spans="1:8" ht="17.100000000000001" customHeight="1" x14ac:dyDescent="0.25">
      <c r="A61" s="6" t="s">
        <v>411</v>
      </c>
      <c r="B61" s="6" t="s">
        <v>1159</v>
      </c>
      <c r="C61" s="6" t="s">
        <v>95</v>
      </c>
      <c r="D61" s="6" t="s">
        <v>96</v>
      </c>
      <c r="E61" s="6" t="s">
        <v>1217</v>
      </c>
      <c r="F61" s="7" t="s">
        <v>263</v>
      </c>
      <c r="G61" s="7" t="s">
        <v>1212</v>
      </c>
      <c r="H61" s="7"/>
    </row>
    <row r="62" spans="1:8" ht="17.100000000000001" customHeight="1" x14ac:dyDescent="0.25">
      <c r="A62" s="6" t="s">
        <v>426</v>
      </c>
      <c r="B62" s="6" t="s">
        <v>1159</v>
      </c>
      <c r="C62" s="6" t="s">
        <v>95</v>
      </c>
      <c r="D62" s="6" t="s">
        <v>96</v>
      </c>
      <c r="E62" s="6" t="s">
        <v>1218</v>
      </c>
      <c r="F62" s="7" t="s">
        <v>427</v>
      </c>
      <c r="G62" s="7" t="s">
        <v>1212</v>
      </c>
      <c r="H62" s="7"/>
    </row>
    <row r="63" spans="1:8" ht="17.100000000000001" customHeight="1" x14ac:dyDescent="0.25">
      <c r="A63" s="6" t="s">
        <v>295</v>
      </c>
      <c r="B63" s="6" t="s">
        <v>294</v>
      </c>
      <c r="C63" s="6" t="s">
        <v>95</v>
      </c>
      <c r="D63" s="6" t="s">
        <v>96</v>
      </c>
      <c r="E63" s="6" t="s">
        <v>1217</v>
      </c>
      <c r="F63" s="7" t="s">
        <v>293</v>
      </c>
      <c r="G63" s="7" t="s">
        <v>1212</v>
      </c>
      <c r="H63" s="7"/>
    </row>
    <row r="64" spans="1:8" ht="17.100000000000001" customHeight="1" x14ac:dyDescent="0.25">
      <c r="A64" s="6" t="s">
        <v>295</v>
      </c>
      <c r="B64" s="6" t="s">
        <v>294</v>
      </c>
      <c r="C64" s="6" t="s">
        <v>95</v>
      </c>
      <c r="D64" s="6" t="s">
        <v>96</v>
      </c>
      <c r="E64" s="6" t="s">
        <v>1217</v>
      </c>
      <c r="F64" s="7" t="s">
        <v>381</v>
      </c>
      <c r="G64" s="7" t="s">
        <v>1212</v>
      </c>
      <c r="H64" s="7"/>
    </row>
    <row r="65" spans="1:8" ht="17.100000000000001" customHeight="1" x14ac:dyDescent="0.25">
      <c r="A65" s="6" t="s">
        <v>303</v>
      </c>
      <c r="B65" s="6" t="s">
        <v>302</v>
      </c>
      <c r="C65" s="6" t="s">
        <v>95</v>
      </c>
      <c r="D65" s="6" t="s">
        <v>96</v>
      </c>
      <c r="E65" s="6" t="s">
        <v>1217</v>
      </c>
      <c r="F65" s="7" t="s">
        <v>301</v>
      </c>
      <c r="G65" s="7" t="s">
        <v>1212</v>
      </c>
      <c r="H65" s="7"/>
    </row>
    <row r="66" spans="1:8" ht="17.100000000000001" customHeight="1" x14ac:dyDescent="0.25">
      <c r="A66" s="6" t="s">
        <v>300</v>
      </c>
      <c r="B66" s="6" t="s">
        <v>299</v>
      </c>
      <c r="C66" s="6" t="s">
        <v>95</v>
      </c>
      <c r="D66" s="6" t="s">
        <v>96</v>
      </c>
      <c r="E66" s="6" t="s">
        <v>1218</v>
      </c>
      <c r="F66" s="7" t="s">
        <v>298</v>
      </c>
      <c r="G66" s="7" t="s">
        <v>1212</v>
      </c>
      <c r="H66" s="7"/>
    </row>
    <row r="67" spans="1:8" ht="17.100000000000001" customHeight="1" x14ac:dyDescent="0.25">
      <c r="A67" s="15"/>
      <c r="B67" s="15"/>
      <c r="C67" s="15"/>
      <c r="D67" s="15"/>
      <c r="E67" s="15"/>
      <c r="F67" s="16"/>
      <c r="G67" s="16"/>
      <c r="H67" s="16"/>
    </row>
    <row r="68" spans="1:8" ht="17.100000000000001" customHeight="1" x14ac:dyDescent="0.25">
      <c r="A68" s="6" t="s">
        <v>309</v>
      </c>
      <c r="B68" s="6" t="s">
        <v>1168</v>
      </c>
      <c r="C68" s="6" t="s">
        <v>95</v>
      </c>
      <c r="D68" s="6" t="s">
        <v>96</v>
      </c>
      <c r="E68" s="6" t="s">
        <v>1218</v>
      </c>
      <c r="F68" s="7" t="s">
        <v>308</v>
      </c>
      <c r="G68" s="7" t="s">
        <v>1212</v>
      </c>
      <c r="H68" s="7" t="s">
        <v>1227</v>
      </c>
    </row>
    <row r="69" spans="1:8" ht="17.100000000000001" customHeight="1" x14ac:dyDescent="0.25">
      <c r="A69" s="6" t="s">
        <v>311</v>
      </c>
      <c r="B69" s="6" t="s">
        <v>1170</v>
      </c>
      <c r="C69" s="6" t="s">
        <v>95</v>
      </c>
      <c r="D69" s="6" t="s">
        <v>96</v>
      </c>
      <c r="E69" s="6" t="s">
        <v>1218</v>
      </c>
      <c r="F69" s="7" t="s">
        <v>310</v>
      </c>
      <c r="G69" s="7" t="s">
        <v>1212</v>
      </c>
      <c r="H69" s="7"/>
    </row>
    <row r="70" spans="1:8" ht="17.100000000000001" customHeight="1" x14ac:dyDescent="0.25">
      <c r="A70" s="6" t="s">
        <v>316</v>
      </c>
      <c r="B70" s="6" t="s">
        <v>1169</v>
      </c>
      <c r="C70" s="6" t="s">
        <v>95</v>
      </c>
      <c r="D70" s="6" t="s">
        <v>96</v>
      </c>
      <c r="E70" s="6" t="s">
        <v>1218</v>
      </c>
      <c r="F70" s="7" t="s">
        <v>315</v>
      </c>
      <c r="G70" s="7" t="s">
        <v>1212</v>
      </c>
      <c r="H70" s="7"/>
    </row>
    <row r="71" spans="1:8" ht="17.100000000000001" customHeight="1" x14ac:dyDescent="0.25">
      <c r="A71" s="6" t="s">
        <v>318</v>
      </c>
      <c r="B71" s="6" t="s">
        <v>1171</v>
      </c>
      <c r="C71" s="6" t="s">
        <v>95</v>
      </c>
      <c r="D71" s="6" t="s">
        <v>96</v>
      </c>
      <c r="E71" s="6" t="s">
        <v>1218</v>
      </c>
      <c r="F71" s="7" t="s">
        <v>317</v>
      </c>
      <c r="G71" s="7" t="s">
        <v>1212</v>
      </c>
      <c r="H71" s="7"/>
    </row>
    <row r="72" spans="1:8" ht="17.100000000000001" customHeight="1" x14ac:dyDescent="0.25">
      <c r="A72" s="6" t="s">
        <v>377</v>
      </c>
      <c r="B72" s="6" t="s">
        <v>65</v>
      </c>
      <c r="C72" s="6" t="s">
        <v>95</v>
      </c>
      <c r="D72" s="6" t="s">
        <v>96</v>
      </c>
      <c r="E72" s="6" t="s">
        <v>1218</v>
      </c>
      <c r="F72" s="7" t="s">
        <v>373</v>
      </c>
      <c r="G72" s="7" t="s">
        <v>1212</v>
      </c>
      <c r="H72" s="7"/>
    </row>
    <row r="73" spans="1:8" ht="17.100000000000001" customHeight="1" x14ac:dyDescent="0.25">
      <c r="A73" s="6" t="s">
        <v>382</v>
      </c>
      <c r="B73" s="6" t="s">
        <v>65</v>
      </c>
      <c r="C73" s="6" t="s">
        <v>95</v>
      </c>
      <c r="D73" s="6" t="s">
        <v>96</v>
      </c>
      <c r="E73" s="6" t="s">
        <v>1218</v>
      </c>
      <c r="F73" s="7" t="s">
        <v>383</v>
      </c>
      <c r="G73" s="7" t="s">
        <v>1212</v>
      </c>
      <c r="H73" s="7"/>
    </row>
    <row r="74" spans="1:8" ht="17.100000000000001" customHeight="1" x14ac:dyDescent="0.25">
      <c r="A74" s="6" t="s">
        <v>382</v>
      </c>
      <c r="B74" s="6" t="s">
        <v>65</v>
      </c>
      <c r="C74" s="6" t="s">
        <v>95</v>
      </c>
      <c r="D74" s="6" t="s">
        <v>96</v>
      </c>
      <c r="E74" s="6" t="s">
        <v>1218</v>
      </c>
      <c r="F74" s="7" t="s">
        <v>373</v>
      </c>
      <c r="G74" s="7" t="s">
        <v>1212</v>
      </c>
      <c r="H74" s="7"/>
    </row>
    <row r="75" spans="1:8" ht="17.100000000000001" customHeight="1" x14ac:dyDescent="0.25">
      <c r="A75" s="6" t="s">
        <v>383</v>
      </c>
      <c r="B75" s="6" t="s">
        <v>65</v>
      </c>
      <c r="C75" s="6" t="s">
        <v>95</v>
      </c>
      <c r="D75" s="6" t="s">
        <v>96</v>
      </c>
      <c r="E75" s="6" t="s">
        <v>1218</v>
      </c>
      <c r="F75" s="7" t="s">
        <v>421</v>
      </c>
      <c r="G75" s="7" t="s">
        <v>1212</v>
      </c>
      <c r="H75" s="7"/>
    </row>
    <row r="76" spans="1:8" ht="17.100000000000001" customHeight="1" x14ac:dyDescent="0.25">
      <c r="A76" s="6" t="s">
        <v>380</v>
      </c>
      <c r="B76" s="6" t="s">
        <v>281</v>
      </c>
      <c r="C76" s="6" t="s">
        <v>95</v>
      </c>
      <c r="D76" s="6" t="s">
        <v>96</v>
      </c>
      <c r="E76" s="6" t="s">
        <v>1218</v>
      </c>
      <c r="F76" s="7" t="s">
        <v>395</v>
      </c>
      <c r="G76" s="7" t="s">
        <v>1212</v>
      </c>
      <c r="H76" s="7"/>
    </row>
    <row r="77" spans="1:8" ht="17.100000000000001" customHeight="1" x14ac:dyDescent="0.25">
      <c r="A77" s="6" t="s">
        <v>381</v>
      </c>
      <c r="B77" s="6" t="s">
        <v>294</v>
      </c>
      <c r="C77" s="6" t="s">
        <v>95</v>
      </c>
      <c r="D77" s="6" t="s">
        <v>96</v>
      </c>
      <c r="E77" s="6" t="s">
        <v>1218</v>
      </c>
      <c r="F77" s="7" t="s">
        <v>396</v>
      </c>
      <c r="G77" s="7" t="s">
        <v>1212</v>
      </c>
      <c r="H77" s="7"/>
    </row>
    <row r="78" spans="1:8" ht="17.100000000000001" customHeight="1" x14ac:dyDescent="0.25">
      <c r="A78" s="6" t="s">
        <v>384</v>
      </c>
      <c r="B78" s="6" t="s">
        <v>385</v>
      </c>
      <c r="C78" s="6" t="s">
        <v>95</v>
      </c>
      <c r="D78" s="6" t="s">
        <v>96</v>
      </c>
      <c r="E78" s="6" t="s">
        <v>1218</v>
      </c>
      <c r="F78" s="7" t="s">
        <v>386</v>
      </c>
      <c r="G78" s="7" t="s">
        <v>1212</v>
      </c>
      <c r="H78" s="7"/>
    </row>
    <row r="79" spans="1:8" ht="17.100000000000001" customHeight="1" x14ac:dyDescent="0.25">
      <c r="A79" s="6" t="s">
        <v>387</v>
      </c>
      <c r="B79" s="6" t="s">
        <v>388</v>
      </c>
      <c r="C79" s="6" t="s">
        <v>95</v>
      </c>
      <c r="D79" s="6" t="s">
        <v>96</v>
      </c>
      <c r="E79" s="6" t="s">
        <v>1218</v>
      </c>
      <c r="F79" s="7" t="s">
        <v>389</v>
      </c>
      <c r="G79" s="7" t="s">
        <v>1212</v>
      </c>
      <c r="H79" s="7"/>
    </row>
    <row r="80" spans="1:8" ht="17.100000000000001" customHeight="1" x14ac:dyDescent="0.25">
      <c r="A80" s="6" t="s">
        <v>378</v>
      </c>
      <c r="B80" s="6" t="s">
        <v>250</v>
      </c>
      <c r="C80" s="6" t="s">
        <v>95</v>
      </c>
      <c r="D80" s="6" t="s">
        <v>96</v>
      </c>
      <c r="E80" s="6" t="s">
        <v>1218</v>
      </c>
      <c r="F80" s="7" t="s">
        <v>251</v>
      </c>
      <c r="G80" s="7" t="s">
        <v>1212</v>
      </c>
      <c r="H80" s="7"/>
    </row>
    <row r="81" spans="1:8" ht="17.100000000000001" customHeight="1" x14ac:dyDescent="0.25">
      <c r="A81" s="6" t="s">
        <v>314</v>
      </c>
      <c r="B81" s="6" t="s">
        <v>313</v>
      </c>
      <c r="C81" s="6" t="s">
        <v>95</v>
      </c>
      <c r="D81" s="6" t="s">
        <v>96</v>
      </c>
      <c r="E81" s="6" t="s">
        <v>1217</v>
      </c>
      <c r="F81" s="7" t="s">
        <v>312</v>
      </c>
      <c r="G81" s="7" t="s">
        <v>1212</v>
      </c>
      <c r="H81" s="7"/>
    </row>
    <row r="82" spans="1:8" ht="17.100000000000001" customHeight="1" x14ac:dyDescent="0.25">
      <c r="A82" s="6" t="s">
        <v>321</v>
      </c>
      <c r="B82" s="6" t="s">
        <v>320</v>
      </c>
      <c r="C82" s="6" t="s">
        <v>95</v>
      </c>
      <c r="D82" s="6" t="s">
        <v>96</v>
      </c>
      <c r="E82" s="6" t="s">
        <v>1217</v>
      </c>
      <c r="F82" s="7" t="s">
        <v>319</v>
      </c>
      <c r="G82" s="7" t="s">
        <v>1212</v>
      </c>
      <c r="H82" s="7"/>
    </row>
    <row r="83" spans="1:8" ht="17.100000000000001" customHeight="1" x14ac:dyDescent="0.25">
      <c r="A83" s="6" t="s">
        <v>404</v>
      </c>
      <c r="B83" s="6" t="s">
        <v>405</v>
      </c>
      <c r="C83" s="6" t="s">
        <v>95</v>
      </c>
      <c r="D83" s="6" t="s">
        <v>96</v>
      </c>
      <c r="E83" s="6" t="s">
        <v>1218</v>
      </c>
      <c r="F83" s="7" t="s">
        <v>406</v>
      </c>
      <c r="G83" s="7" t="s">
        <v>1212</v>
      </c>
      <c r="H83" s="7"/>
    </row>
    <row r="84" spans="1:8" ht="17.100000000000001" customHeight="1" x14ac:dyDescent="0.25">
      <c r="A84" s="6" t="s">
        <v>407</v>
      </c>
      <c r="B84" s="6" t="s">
        <v>408</v>
      </c>
      <c r="C84" s="6" t="s">
        <v>95</v>
      </c>
      <c r="D84" s="6" t="s">
        <v>96</v>
      </c>
      <c r="E84" s="6" t="s">
        <v>1218</v>
      </c>
      <c r="F84" s="7" t="s">
        <v>409</v>
      </c>
      <c r="G84" s="7" t="s">
        <v>1212</v>
      </c>
      <c r="H84" s="7"/>
    </row>
    <row r="85" spans="1:8" ht="17.100000000000001" customHeight="1" x14ac:dyDescent="0.25">
      <c r="A85" s="6" t="s">
        <v>412</v>
      </c>
      <c r="B85" s="6" t="s">
        <v>413</v>
      </c>
      <c r="C85" s="6" t="s">
        <v>95</v>
      </c>
      <c r="D85" s="6" t="s">
        <v>96</v>
      </c>
      <c r="E85" s="6" t="s">
        <v>1218</v>
      </c>
      <c r="F85" s="7" t="s">
        <v>414</v>
      </c>
      <c r="G85" s="7" t="s">
        <v>1212</v>
      </c>
      <c r="H85" s="7"/>
    </row>
    <row r="86" spans="1:8" ht="17.100000000000001" customHeight="1" x14ac:dyDescent="0.25">
      <c r="A86" s="6" t="s">
        <v>412</v>
      </c>
      <c r="B86" s="6" t="s">
        <v>413</v>
      </c>
      <c r="C86" s="6" t="s">
        <v>95</v>
      </c>
      <c r="D86" s="6" t="s">
        <v>96</v>
      </c>
      <c r="E86" s="6" t="s">
        <v>1218</v>
      </c>
      <c r="F86" s="7" t="s">
        <v>415</v>
      </c>
      <c r="G86" s="7" t="s">
        <v>1212</v>
      </c>
      <c r="H86" s="7"/>
    </row>
    <row r="87" spans="1:8" ht="17.100000000000001" customHeight="1" x14ac:dyDescent="0.25">
      <c r="A87" s="6" t="s">
        <v>416</v>
      </c>
      <c r="B87" s="6" t="s">
        <v>417</v>
      </c>
      <c r="C87" s="6" t="s">
        <v>95</v>
      </c>
      <c r="D87" s="6" t="s">
        <v>96</v>
      </c>
      <c r="E87" s="6" t="s">
        <v>1218</v>
      </c>
      <c r="F87" s="7" t="s">
        <v>418</v>
      </c>
      <c r="G87" s="7" t="s">
        <v>1212</v>
      </c>
      <c r="H87" s="7"/>
    </row>
    <row r="88" spans="1:8" ht="17.100000000000001" customHeight="1" x14ac:dyDescent="0.25">
      <c r="A88" s="6" t="s">
        <v>416</v>
      </c>
      <c r="B88" s="6" t="s">
        <v>417</v>
      </c>
      <c r="C88" s="6" t="s">
        <v>95</v>
      </c>
      <c r="D88" s="6" t="s">
        <v>96</v>
      </c>
      <c r="E88" s="6" t="s">
        <v>1218</v>
      </c>
      <c r="F88" s="7" t="s">
        <v>419</v>
      </c>
      <c r="G88" s="7" t="s">
        <v>1212</v>
      </c>
      <c r="H88" s="7"/>
    </row>
    <row r="89" spans="1:8" ht="17.100000000000001" customHeight="1" x14ac:dyDescent="0.25">
      <c r="A89" s="6" t="s">
        <v>390</v>
      </c>
      <c r="B89" s="6" t="s">
        <v>391</v>
      </c>
      <c r="C89" s="6" t="s">
        <v>95</v>
      </c>
      <c r="D89" s="6" t="s">
        <v>96</v>
      </c>
      <c r="E89" s="6" t="s">
        <v>1218</v>
      </c>
      <c r="F89" s="7" t="s">
        <v>393</v>
      </c>
      <c r="G89" s="7" t="s">
        <v>1212</v>
      </c>
      <c r="H89" s="7"/>
    </row>
    <row r="90" spans="1:8" ht="17.100000000000001" customHeight="1" x14ac:dyDescent="0.25">
      <c r="A90" s="6" t="s">
        <v>390</v>
      </c>
      <c r="B90" s="6" t="s">
        <v>391</v>
      </c>
      <c r="C90" s="6" t="s">
        <v>95</v>
      </c>
      <c r="D90" s="6" t="s">
        <v>96</v>
      </c>
      <c r="E90" s="6" t="s">
        <v>1217</v>
      </c>
      <c r="F90" s="7" t="s">
        <v>392</v>
      </c>
      <c r="G90" s="7" t="s">
        <v>1212</v>
      </c>
      <c r="H90" s="7"/>
    </row>
    <row r="91" spans="1:8" ht="17.100000000000001" customHeight="1" x14ac:dyDescent="0.25">
      <c r="A91" s="6" t="s">
        <v>393</v>
      </c>
      <c r="B91" s="6" t="s">
        <v>391</v>
      </c>
      <c r="C91" s="6" t="s">
        <v>95</v>
      </c>
      <c r="D91" s="6" t="s">
        <v>96</v>
      </c>
      <c r="E91" s="6" t="s">
        <v>1218</v>
      </c>
      <c r="F91" s="7" t="s">
        <v>422</v>
      </c>
      <c r="G91" s="7" t="s">
        <v>1212</v>
      </c>
      <c r="H91" s="7"/>
    </row>
    <row r="92" spans="1:8" ht="17.100000000000001" customHeight="1" x14ac:dyDescent="0.25">
      <c r="A92" s="6" t="s">
        <v>290</v>
      </c>
      <c r="B92" s="6" t="s">
        <v>289</v>
      </c>
      <c r="C92" s="6" t="s">
        <v>95</v>
      </c>
      <c r="D92" s="6" t="s">
        <v>96</v>
      </c>
      <c r="E92" s="6" t="s">
        <v>1218</v>
      </c>
      <c r="F92" s="7" t="s">
        <v>288</v>
      </c>
      <c r="G92" s="7" t="s">
        <v>1212</v>
      </c>
      <c r="H92" s="7"/>
    </row>
    <row r="93" spans="1:8" ht="17.100000000000001" customHeight="1" x14ac:dyDescent="0.25">
      <c r="A93" s="6"/>
      <c r="B93" s="6"/>
      <c r="C93" s="6"/>
      <c r="D93" s="6"/>
      <c r="E93" s="6"/>
      <c r="F93" s="7"/>
      <c r="G93" s="7"/>
      <c r="H93" s="7"/>
    </row>
    <row r="94" spans="1:8" ht="17.100000000000001" customHeight="1" x14ac:dyDescent="0.25">
      <c r="A94" s="6" t="s">
        <v>379</v>
      </c>
      <c r="B94" s="6" t="s">
        <v>66</v>
      </c>
      <c r="C94" s="6" t="s">
        <v>95</v>
      </c>
      <c r="D94" s="6" t="s">
        <v>154</v>
      </c>
      <c r="E94" s="6" t="s">
        <v>1217</v>
      </c>
      <c r="F94" s="7" t="s">
        <v>362</v>
      </c>
      <c r="G94" s="7" t="s">
        <v>1212</v>
      </c>
      <c r="H94" s="7"/>
    </row>
    <row r="95" spans="1:8" ht="17.100000000000001" customHeight="1" x14ac:dyDescent="0.25">
      <c r="A95" s="15"/>
      <c r="B95" s="15"/>
      <c r="C95" s="15"/>
      <c r="D95" s="15"/>
      <c r="E95" s="15"/>
      <c r="F95" s="16"/>
      <c r="G95" s="16"/>
      <c r="H95" s="16"/>
    </row>
    <row r="96" spans="1:8" ht="17.100000000000001" customHeight="1" x14ac:dyDescent="0.25">
      <c r="A96" s="6" t="s">
        <v>374</v>
      </c>
      <c r="B96" s="6" t="s">
        <v>64</v>
      </c>
      <c r="C96" s="6" t="s">
        <v>95</v>
      </c>
      <c r="D96" s="6" t="s">
        <v>154</v>
      </c>
      <c r="E96" s="6" t="s">
        <v>1218</v>
      </c>
      <c r="F96" s="7" t="s">
        <v>260</v>
      </c>
      <c r="G96" s="7" t="s">
        <v>1212</v>
      </c>
      <c r="H96" s="7" t="s">
        <v>1250</v>
      </c>
    </row>
    <row r="97" spans="1:8" ht="17.100000000000001" customHeight="1" x14ac:dyDescent="0.25">
      <c r="A97" s="6" t="s">
        <v>376</v>
      </c>
      <c r="B97" s="6" t="s">
        <v>64</v>
      </c>
      <c r="C97" s="6" t="s">
        <v>95</v>
      </c>
      <c r="D97" s="6" t="s">
        <v>154</v>
      </c>
      <c r="E97" s="6" t="s">
        <v>1218</v>
      </c>
      <c r="F97" s="7" t="s">
        <v>261</v>
      </c>
      <c r="G97" s="7" t="s">
        <v>1212</v>
      </c>
      <c r="H97" s="7"/>
    </row>
    <row r="98" spans="1:8" ht="17.100000000000001" customHeight="1" x14ac:dyDescent="0.25">
      <c r="A98" s="6" t="s">
        <v>372</v>
      </c>
      <c r="B98" s="6" t="s">
        <v>65</v>
      </c>
      <c r="C98" s="6" t="s">
        <v>95</v>
      </c>
      <c r="D98" s="6" t="s">
        <v>154</v>
      </c>
      <c r="E98" s="6" t="s">
        <v>1218</v>
      </c>
      <c r="F98" s="7" t="s">
        <v>373</v>
      </c>
      <c r="G98" s="7" t="s">
        <v>1212</v>
      </c>
      <c r="H98" s="7"/>
    </row>
    <row r="99" spans="1:8" ht="17.100000000000001" customHeight="1" x14ac:dyDescent="0.25">
      <c r="A99" s="6" t="s">
        <v>375</v>
      </c>
      <c r="B99" s="6" t="s">
        <v>66</v>
      </c>
      <c r="C99" s="6" t="s">
        <v>95</v>
      </c>
      <c r="D99" s="6" t="s">
        <v>154</v>
      </c>
      <c r="E99" s="6" t="s">
        <v>1218</v>
      </c>
      <c r="F99" s="7" t="s">
        <v>362</v>
      </c>
      <c r="G99" s="7" t="s">
        <v>1212</v>
      </c>
      <c r="H99" s="7"/>
    </row>
    <row r="100" spans="1:8" ht="17.100000000000001" customHeight="1" x14ac:dyDescent="0.25">
      <c r="A100" s="6"/>
      <c r="B100" s="6"/>
      <c r="C100" s="6"/>
      <c r="D100" s="6"/>
      <c r="E100" s="6"/>
      <c r="F100" s="7"/>
      <c r="G100" s="7"/>
      <c r="H100" s="7"/>
    </row>
    <row r="101" spans="1:8" ht="17.100000000000001" customHeight="1" x14ac:dyDescent="0.25">
      <c r="A101" s="6" t="s">
        <v>262</v>
      </c>
      <c r="B101" s="6" t="s">
        <v>1159</v>
      </c>
      <c r="C101" s="6" t="s">
        <v>95</v>
      </c>
      <c r="D101" s="6" t="s">
        <v>152</v>
      </c>
      <c r="E101" s="6" t="s">
        <v>1218</v>
      </c>
      <c r="F101" s="7" t="s">
        <v>434</v>
      </c>
      <c r="G101" s="7" t="s">
        <v>1212</v>
      </c>
      <c r="H101" s="7"/>
    </row>
    <row r="102" spans="1:8" ht="17.100000000000001" customHeight="1" x14ac:dyDescent="0.25">
      <c r="A102" s="6" t="s">
        <v>368</v>
      </c>
      <c r="B102" s="6" t="s">
        <v>63</v>
      </c>
      <c r="C102" s="6" t="s">
        <v>95</v>
      </c>
      <c r="D102" s="6" t="s">
        <v>152</v>
      </c>
      <c r="E102" s="6" t="s">
        <v>1218</v>
      </c>
      <c r="F102" s="7" t="s">
        <v>369</v>
      </c>
      <c r="G102" s="7" t="s">
        <v>1212</v>
      </c>
      <c r="H102" s="7"/>
    </row>
    <row r="103" spans="1:8" ht="17.100000000000001" customHeight="1" x14ac:dyDescent="0.25">
      <c r="A103" s="6" t="s">
        <v>370</v>
      </c>
      <c r="B103" s="6" t="s">
        <v>64</v>
      </c>
      <c r="C103" s="6" t="s">
        <v>95</v>
      </c>
      <c r="D103" s="6" t="s">
        <v>152</v>
      </c>
      <c r="E103" s="6" t="s">
        <v>1218</v>
      </c>
      <c r="F103" s="7" t="s">
        <v>259</v>
      </c>
      <c r="G103" s="7" t="s">
        <v>1212</v>
      </c>
      <c r="H103" s="7"/>
    </row>
    <row r="104" spans="1:8" ht="17.100000000000001" customHeight="1" x14ac:dyDescent="0.25">
      <c r="A104" s="6"/>
      <c r="B104" s="6"/>
      <c r="C104" s="6"/>
      <c r="D104" s="6"/>
      <c r="E104" s="6"/>
      <c r="F104" s="7"/>
      <c r="G104" s="7"/>
      <c r="H104" s="7"/>
    </row>
    <row r="105" spans="1:8" ht="17.100000000000001" customHeight="1" x14ac:dyDescent="0.25">
      <c r="A105" s="6" t="s">
        <v>371</v>
      </c>
      <c r="B105" s="6" t="s">
        <v>64</v>
      </c>
      <c r="C105" s="6" t="s">
        <v>95</v>
      </c>
      <c r="D105" s="6" t="s">
        <v>255</v>
      </c>
      <c r="E105" s="6" t="s">
        <v>1218</v>
      </c>
      <c r="F105" s="7" t="s">
        <v>258</v>
      </c>
      <c r="G105" s="7" t="s">
        <v>1212</v>
      </c>
      <c r="H105" s="7"/>
    </row>
    <row r="106" spans="1:8" ht="17.100000000000001" customHeight="1" x14ac:dyDescent="0.25">
      <c r="A106" s="13"/>
      <c r="B106" s="13"/>
      <c r="C106" s="13"/>
      <c r="D106" s="13"/>
      <c r="E106" s="13"/>
      <c r="F106" s="14"/>
      <c r="G106" s="14"/>
      <c r="H106" s="14"/>
    </row>
    <row r="107" spans="1:8" ht="17.100000000000001" customHeight="1" x14ac:dyDescent="0.25">
      <c r="A107" s="6" t="s">
        <v>328</v>
      </c>
      <c r="B107" s="6" t="s">
        <v>329</v>
      </c>
      <c r="C107" s="17" t="s">
        <v>1248</v>
      </c>
      <c r="D107" s="6" t="s">
        <v>152</v>
      </c>
      <c r="E107" s="6"/>
      <c r="F107" s="7" t="s">
        <v>330</v>
      </c>
      <c r="G107" s="7" t="s">
        <v>1212</v>
      </c>
      <c r="H107" s="7"/>
    </row>
  </sheetData>
  <sortState xmlns:xlrd2="http://schemas.microsoft.com/office/spreadsheetml/2017/richdata2" ref="A43:H56">
    <sortCondition sortBy="cellColor" ref="A43:A56" dxfId="32"/>
    <sortCondition sortBy="cellColor" ref="A43:A56" dxfId="31"/>
    <sortCondition descending="1" ref="D43:D56"/>
    <sortCondition ref="B43:B56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43:H94">
    <cfRule type="containsText" dxfId="7" priority="1" operator="containsText" text=":A2">
      <formula>NOT(ISERROR(SEARCH(":A2",A43)))</formula>
    </cfRule>
    <cfRule type="containsText" dxfId="6" priority="2" operator="containsText" text=":A1">
      <formula>NOT(ISERROR(SEARCH(":A1",A43)))</formula>
    </cfRule>
  </conditionalFormatting>
  <conditionalFormatting sqref="C1:C1048576">
    <cfRule type="containsText" dxfId="5" priority="3" operator="containsText" text="BLU">
      <formula>NOT(ISERROR(SEARCH("BLU",C1)))</formula>
    </cfRule>
    <cfRule type="containsText" dxfId="4" priority="4" operator="containsText" text="RED">
      <formula>NOT(ISERROR(SEARCH("RED",C1)))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3D253-13DD-46FA-A772-1007E1C1B23F}">
  <sheetPr>
    <tabColor rgb="FF7030A0"/>
  </sheetPr>
  <dimension ref="A1:I20"/>
  <sheetViews>
    <sheetView showGridLines="0" topLeftCell="A12" workbookViewId="0">
      <selection activeCell="E20" sqref="E20"/>
    </sheetView>
  </sheetViews>
  <sheetFormatPr defaultRowHeight="17.100000000000001" customHeight="1" x14ac:dyDescent="0.25"/>
  <cols>
    <col min="1" max="1" width="12" style="2" bestFit="1" customWidth="1"/>
    <col min="2" max="2" width="7.5703125" style="2" bestFit="1" customWidth="1"/>
    <col min="3" max="3" width="6.5703125" style="2" bestFit="1" customWidth="1"/>
    <col min="4" max="4" width="9.85546875" style="2" bestFit="1" customWidth="1"/>
    <col min="5" max="5" width="6.42578125" style="2" bestFit="1" customWidth="1"/>
    <col min="6" max="6" width="9.5703125" style="2" bestFit="1" customWidth="1"/>
    <col min="7" max="7" width="15.140625" bestFit="1" customWidth="1"/>
    <col min="8" max="8" width="9.140625" bestFit="1" customWidth="1"/>
    <col min="9" max="9" width="10.28515625" customWidth="1"/>
  </cols>
  <sheetData>
    <row r="1" spans="1:9" ht="18" customHeight="1" x14ac:dyDescent="0.25">
      <c r="A1" s="22" t="s">
        <v>24</v>
      </c>
      <c r="B1" s="22"/>
      <c r="C1" s="22"/>
      <c r="D1" s="22"/>
    </row>
    <row r="2" spans="1:9" ht="12" customHeight="1" x14ac:dyDescent="0.25">
      <c r="A2" s="23"/>
      <c r="B2" s="23"/>
      <c r="C2" s="23"/>
      <c r="D2" s="23"/>
    </row>
    <row r="3" spans="1:9" ht="12.75" customHeight="1" x14ac:dyDescent="0.25">
      <c r="A3" s="1" t="s">
        <v>0</v>
      </c>
      <c r="B3" s="18" t="s">
        <v>1</v>
      </c>
      <c r="C3" s="18"/>
      <c r="D3" s="18"/>
    </row>
    <row r="4" spans="1:9" ht="14.45" customHeight="1" x14ac:dyDescent="0.25">
      <c r="A4" s="1" t="s">
        <v>2</v>
      </c>
      <c r="B4" s="18" t="s">
        <v>3</v>
      </c>
      <c r="C4" s="18"/>
      <c r="D4" s="18"/>
    </row>
    <row r="5" spans="1:9" ht="12.75" customHeight="1" x14ac:dyDescent="0.25">
      <c r="A5" s="1" t="s">
        <v>4</v>
      </c>
      <c r="B5" s="18" t="s">
        <v>5</v>
      </c>
      <c r="C5" s="18"/>
      <c r="D5" s="18"/>
    </row>
    <row r="6" spans="1:9" ht="5.25" customHeight="1" x14ac:dyDescent="0.25"/>
    <row r="7" spans="1:9" ht="14.45" customHeight="1" x14ac:dyDescent="0.25">
      <c r="A7" s="1" t="s">
        <v>6</v>
      </c>
      <c r="B7" s="18" t="s">
        <v>7</v>
      </c>
      <c r="C7" s="18"/>
      <c r="D7" s="18"/>
    </row>
    <row r="8" spans="1:9" ht="12.75" customHeight="1" x14ac:dyDescent="0.25">
      <c r="A8" s="1" t="s">
        <v>8</v>
      </c>
      <c r="B8" s="18"/>
      <c r="C8" s="18"/>
      <c r="D8" s="18"/>
    </row>
    <row r="9" spans="1:9" ht="14.45" customHeight="1" x14ac:dyDescent="0.25">
      <c r="A9" s="1" t="s">
        <v>9</v>
      </c>
      <c r="B9" s="18"/>
      <c r="C9" s="18"/>
      <c r="D9" s="18"/>
    </row>
    <row r="10" spans="1:9" ht="12.75" customHeight="1" x14ac:dyDescent="0.25">
      <c r="A10" s="1" t="s">
        <v>8</v>
      </c>
      <c r="B10" s="18"/>
      <c r="C10" s="18"/>
      <c r="D10" s="18"/>
    </row>
    <row r="11" spans="1:9" ht="10.5" customHeight="1" x14ac:dyDescent="0.25"/>
    <row r="12" spans="1:9" ht="16.5" customHeight="1" x14ac:dyDescent="0.25">
      <c r="A12" s="19" t="s">
        <v>79</v>
      </c>
      <c r="B12" s="19"/>
      <c r="C12" s="19"/>
      <c r="D12" s="19"/>
      <c r="E12" s="19"/>
      <c r="F12" s="19"/>
      <c r="G12" s="20" t="s">
        <v>80</v>
      </c>
      <c r="H12" s="21"/>
      <c r="I12" s="8"/>
    </row>
    <row r="13" spans="1:9" ht="34.5" customHeight="1" x14ac:dyDescent="0.25">
      <c r="A13" s="3" t="s">
        <v>10</v>
      </c>
      <c r="B13" s="4" t="s">
        <v>82</v>
      </c>
      <c r="C13" s="4" t="s">
        <v>81</v>
      </c>
      <c r="D13" s="4" t="s">
        <v>83</v>
      </c>
      <c r="E13" s="4" t="s">
        <v>1130</v>
      </c>
      <c r="F13" s="5" t="s">
        <v>10</v>
      </c>
      <c r="G13" s="5" t="s">
        <v>11</v>
      </c>
      <c r="H13" s="5" t="s">
        <v>1131</v>
      </c>
    </row>
    <row r="14" spans="1:9" ht="17.100000000000001" customHeight="1" x14ac:dyDescent="0.25">
      <c r="A14" s="6" t="s">
        <v>1120</v>
      </c>
      <c r="B14" s="6" t="s">
        <v>1159</v>
      </c>
      <c r="C14" s="6" t="s">
        <v>95</v>
      </c>
      <c r="D14" s="6" t="s">
        <v>154</v>
      </c>
      <c r="E14" s="6" t="s">
        <v>1218</v>
      </c>
      <c r="F14" s="7" t="s">
        <v>1121</v>
      </c>
      <c r="G14" s="7" t="s">
        <v>1213</v>
      </c>
      <c r="H14" s="7" t="s">
        <v>1249</v>
      </c>
    </row>
    <row r="15" spans="1:9" ht="17.100000000000001" customHeight="1" x14ac:dyDescent="0.25">
      <c r="A15" s="6" t="s">
        <v>1124</v>
      </c>
      <c r="B15" s="6" t="s">
        <v>1159</v>
      </c>
      <c r="C15" s="6" t="s">
        <v>95</v>
      </c>
      <c r="D15" s="6" t="s">
        <v>154</v>
      </c>
      <c r="E15" s="6" t="s">
        <v>1218</v>
      </c>
      <c r="F15" s="7" t="s">
        <v>1121</v>
      </c>
      <c r="G15" s="7" t="s">
        <v>1213</v>
      </c>
      <c r="H15" s="7"/>
    </row>
    <row r="16" spans="1:9" ht="17.100000000000001" customHeight="1" x14ac:dyDescent="0.25">
      <c r="A16" s="6" t="s">
        <v>1122</v>
      </c>
      <c r="B16" s="6" t="s">
        <v>25</v>
      </c>
      <c r="C16" s="6" t="s">
        <v>95</v>
      </c>
      <c r="D16" s="6" t="s">
        <v>154</v>
      </c>
      <c r="E16" s="6" t="s">
        <v>1218</v>
      </c>
      <c r="F16" s="7" t="s">
        <v>1123</v>
      </c>
      <c r="G16" s="7" t="s">
        <v>1213</v>
      </c>
      <c r="H16" s="7"/>
    </row>
    <row r="17" spans="1:8" ht="17.100000000000001" customHeight="1" x14ac:dyDescent="0.25">
      <c r="A17" s="6" t="s">
        <v>1125</v>
      </c>
      <c r="B17" s="6" t="s">
        <v>26</v>
      </c>
      <c r="C17" s="6" t="s">
        <v>95</v>
      </c>
      <c r="D17" s="6" t="s">
        <v>154</v>
      </c>
      <c r="E17" s="6" t="s">
        <v>1218</v>
      </c>
      <c r="F17" s="7" t="s">
        <v>1126</v>
      </c>
      <c r="G17" s="7" t="s">
        <v>1213</v>
      </c>
      <c r="H17" s="7"/>
    </row>
    <row r="18" spans="1:8" ht="17.100000000000001" customHeight="1" x14ac:dyDescent="0.25">
      <c r="A18" s="6"/>
      <c r="B18" s="6"/>
      <c r="C18" s="6"/>
      <c r="D18" s="6"/>
      <c r="E18" s="6"/>
      <c r="F18" s="7"/>
      <c r="G18" s="7"/>
      <c r="H18" s="7"/>
    </row>
    <row r="19" spans="1:8" ht="17.100000000000001" customHeight="1" x14ac:dyDescent="0.25">
      <c r="A19" s="6" t="s">
        <v>1127</v>
      </c>
      <c r="B19" s="6" t="s">
        <v>34</v>
      </c>
      <c r="C19" s="6" t="s">
        <v>95</v>
      </c>
      <c r="D19" s="6" t="s">
        <v>154</v>
      </c>
      <c r="E19" s="6" t="s">
        <v>1218</v>
      </c>
      <c r="F19" s="7" t="s">
        <v>1128</v>
      </c>
      <c r="G19" s="7" t="s">
        <v>1213</v>
      </c>
      <c r="H19" s="7"/>
    </row>
    <row r="20" spans="1:8" ht="17.100000000000001" customHeight="1" x14ac:dyDescent="0.25">
      <c r="A20" s="6" t="s">
        <v>1129</v>
      </c>
      <c r="B20" s="6" t="s">
        <v>34</v>
      </c>
      <c r="C20" s="6" t="s">
        <v>95</v>
      </c>
      <c r="D20" s="6" t="s">
        <v>154</v>
      </c>
      <c r="E20" s="6" t="s">
        <v>1218</v>
      </c>
      <c r="F20" s="7" t="s">
        <v>1128</v>
      </c>
      <c r="G20" s="7" t="s">
        <v>1213</v>
      </c>
      <c r="H20" s="7"/>
    </row>
  </sheetData>
  <sortState xmlns:xlrd2="http://schemas.microsoft.com/office/spreadsheetml/2017/richdata2" ref="A14:G17"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FFA65-09E3-43FA-882C-3A8FD1522B44}">
  <sheetPr>
    <tabColor rgb="FF7030A0"/>
  </sheetPr>
  <dimension ref="A1:I69"/>
  <sheetViews>
    <sheetView showGridLines="0" topLeftCell="A18" zoomScale="85" zoomScaleNormal="85" workbookViewId="0">
      <selection activeCell="E17" sqref="E17"/>
    </sheetView>
  </sheetViews>
  <sheetFormatPr defaultRowHeight="17.100000000000001" customHeight="1" x14ac:dyDescent="0.25"/>
  <cols>
    <col min="1" max="1" width="12" style="2" bestFit="1" customWidth="1"/>
    <col min="2" max="2" width="9" style="2" bestFit="1" customWidth="1"/>
    <col min="3" max="3" width="6.5703125" style="2" bestFit="1" customWidth="1"/>
    <col min="4" max="4" width="9.85546875" style="2" bestFit="1" customWidth="1"/>
    <col min="5" max="5" width="6.42578125" style="2" bestFit="1" customWidth="1"/>
    <col min="6" max="6" width="12" style="2" bestFit="1" customWidth="1"/>
    <col min="7" max="7" width="8.85546875" bestFit="1" customWidth="1"/>
    <col min="8" max="8" width="10.42578125" bestFit="1" customWidth="1"/>
    <col min="9" max="9" width="10.28515625" customWidth="1"/>
  </cols>
  <sheetData>
    <row r="1" spans="1:9" ht="18" customHeight="1" x14ac:dyDescent="0.25">
      <c r="A1" s="22" t="s">
        <v>73</v>
      </c>
      <c r="B1" s="22"/>
      <c r="C1" s="22"/>
      <c r="D1" s="22"/>
    </row>
    <row r="2" spans="1:9" ht="12" customHeight="1" x14ac:dyDescent="0.25">
      <c r="A2" s="23"/>
      <c r="B2" s="23"/>
      <c r="C2" s="23"/>
      <c r="D2" s="23"/>
    </row>
    <row r="3" spans="1:9" ht="12.75" customHeight="1" x14ac:dyDescent="0.25">
      <c r="A3" s="1" t="s">
        <v>0</v>
      </c>
      <c r="B3" s="18" t="s">
        <v>1</v>
      </c>
      <c r="C3" s="18"/>
      <c r="D3" s="18"/>
    </row>
    <row r="4" spans="1:9" ht="12" customHeight="1" x14ac:dyDescent="0.25">
      <c r="A4" s="1" t="s">
        <v>2</v>
      </c>
      <c r="B4" s="18" t="s">
        <v>3</v>
      </c>
      <c r="C4" s="18"/>
      <c r="D4" s="18"/>
    </row>
    <row r="5" spans="1:9" ht="12.75" customHeight="1" x14ac:dyDescent="0.25">
      <c r="A5" s="1" t="s">
        <v>4</v>
      </c>
      <c r="B5" s="18" t="s">
        <v>5</v>
      </c>
      <c r="C5" s="18"/>
      <c r="D5" s="18"/>
    </row>
    <row r="6" spans="1:9" ht="5.25" customHeight="1" x14ac:dyDescent="0.25"/>
    <row r="7" spans="1:9" ht="12" customHeight="1" x14ac:dyDescent="0.25">
      <c r="A7" s="1" t="s">
        <v>6</v>
      </c>
      <c r="B7" s="18" t="s">
        <v>7</v>
      </c>
      <c r="C7" s="18"/>
      <c r="D7" s="18"/>
    </row>
    <row r="8" spans="1:9" ht="12.75" customHeight="1" x14ac:dyDescent="0.25">
      <c r="A8" s="1" t="s">
        <v>8</v>
      </c>
      <c r="B8" s="18"/>
      <c r="C8" s="18"/>
      <c r="D8" s="18"/>
    </row>
    <row r="9" spans="1:9" ht="12" customHeight="1" x14ac:dyDescent="0.25">
      <c r="A9" s="1" t="s">
        <v>9</v>
      </c>
      <c r="B9" s="18"/>
      <c r="C9" s="18"/>
      <c r="D9" s="18"/>
    </row>
    <row r="10" spans="1:9" ht="12.75" customHeight="1" x14ac:dyDescent="0.25">
      <c r="A10" s="1" t="s">
        <v>8</v>
      </c>
      <c r="B10" s="18"/>
      <c r="C10" s="18"/>
      <c r="D10" s="18"/>
    </row>
    <row r="11" spans="1:9" ht="10.5" customHeight="1" x14ac:dyDescent="0.25"/>
    <row r="12" spans="1:9" ht="16.5" customHeight="1" x14ac:dyDescent="0.25">
      <c r="A12" s="19" t="s">
        <v>79</v>
      </c>
      <c r="B12" s="19"/>
      <c r="C12" s="19"/>
      <c r="D12" s="19"/>
      <c r="E12" s="19"/>
      <c r="F12" s="19"/>
      <c r="G12" s="20" t="s">
        <v>80</v>
      </c>
      <c r="H12" s="21"/>
      <c r="I12" s="8"/>
    </row>
    <row r="13" spans="1:9" ht="43.5" customHeight="1" x14ac:dyDescent="0.25">
      <c r="A13" s="3" t="s">
        <v>10</v>
      </c>
      <c r="B13" s="4" t="s">
        <v>82</v>
      </c>
      <c r="C13" s="4" t="s">
        <v>81</v>
      </c>
      <c r="D13" s="4" t="s">
        <v>83</v>
      </c>
      <c r="E13" s="4" t="s">
        <v>1130</v>
      </c>
      <c r="F13" s="5" t="s">
        <v>10</v>
      </c>
      <c r="G13" s="5" t="s">
        <v>11</v>
      </c>
      <c r="H13" s="5" t="s">
        <v>1131</v>
      </c>
    </row>
    <row r="14" spans="1:9" ht="17.100000000000001" customHeight="1" x14ac:dyDescent="0.25">
      <c r="A14" s="6" t="s">
        <v>153</v>
      </c>
      <c r="B14" s="6" t="s">
        <v>75</v>
      </c>
      <c r="C14" s="6" t="s">
        <v>95</v>
      </c>
      <c r="D14" s="6" t="s">
        <v>154</v>
      </c>
      <c r="E14" s="6" t="s">
        <v>1252</v>
      </c>
      <c r="F14" s="7" t="s">
        <v>155</v>
      </c>
      <c r="G14" s="7" t="s">
        <v>73</v>
      </c>
      <c r="H14" s="7" t="s">
        <v>1251</v>
      </c>
    </row>
    <row r="15" spans="1:9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9" ht="17.100000000000001" customHeight="1" x14ac:dyDescent="0.25">
      <c r="A16" s="6" t="s">
        <v>151</v>
      </c>
      <c r="B16" s="6" t="s">
        <v>1159</v>
      </c>
      <c r="C16" s="6" t="s">
        <v>95</v>
      </c>
      <c r="D16" s="6" t="s">
        <v>152</v>
      </c>
      <c r="E16" s="6" t="s">
        <v>1252</v>
      </c>
      <c r="F16" s="7" t="s">
        <v>85</v>
      </c>
      <c r="G16" s="7" t="s">
        <v>73</v>
      </c>
      <c r="H16" s="7"/>
    </row>
    <row r="17" spans="1:8" ht="17.100000000000001" customHeight="1" x14ac:dyDescent="0.25">
      <c r="A17" s="6" t="s">
        <v>150</v>
      </c>
      <c r="B17" s="6" t="s">
        <v>74</v>
      </c>
      <c r="C17" s="6" t="s">
        <v>95</v>
      </c>
      <c r="D17" s="6" t="s">
        <v>152</v>
      </c>
      <c r="E17" s="6" t="s">
        <v>1252</v>
      </c>
      <c r="F17" s="7" t="s">
        <v>156</v>
      </c>
      <c r="G17" s="7" t="s">
        <v>73</v>
      </c>
      <c r="H17" s="7"/>
    </row>
    <row r="18" spans="1:8" ht="17.100000000000001" customHeight="1" x14ac:dyDescent="0.25">
      <c r="A18" s="15"/>
      <c r="B18" s="15"/>
      <c r="C18" s="15"/>
      <c r="D18" s="15"/>
      <c r="E18" s="15"/>
      <c r="F18" s="16"/>
      <c r="G18" s="16"/>
      <c r="H18" s="16"/>
    </row>
    <row r="19" spans="1:8" ht="17.100000000000001" customHeight="1" x14ac:dyDescent="0.25">
      <c r="A19" s="6" t="s">
        <v>157</v>
      </c>
      <c r="B19" s="6" t="s">
        <v>1159</v>
      </c>
      <c r="C19" s="6" t="s">
        <v>95</v>
      </c>
      <c r="D19" s="6" t="s">
        <v>154</v>
      </c>
      <c r="E19" s="6" t="s">
        <v>1218</v>
      </c>
      <c r="F19" s="7" t="s">
        <v>90</v>
      </c>
      <c r="G19" s="7" t="s">
        <v>73</v>
      </c>
      <c r="H19" s="7" t="s">
        <v>1214</v>
      </c>
    </row>
    <row r="20" spans="1:8" ht="17.100000000000001" customHeight="1" x14ac:dyDescent="0.25">
      <c r="A20" s="6" t="s">
        <v>160</v>
      </c>
      <c r="B20" s="6" t="s">
        <v>1159</v>
      </c>
      <c r="C20" s="6" t="s">
        <v>95</v>
      </c>
      <c r="D20" s="6" t="s">
        <v>154</v>
      </c>
      <c r="E20" s="6" t="s">
        <v>1218</v>
      </c>
      <c r="F20" s="7" t="s">
        <v>91</v>
      </c>
      <c r="G20" s="7" t="s">
        <v>73</v>
      </c>
      <c r="H20" s="7"/>
    </row>
    <row r="21" spans="1:8" ht="17.100000000000001" customHeight="1" x14ac:dyDescent="0.25">
      <c r="A21" s="6" t="s">
        <v>163</v>
      </c>
      <c r="B21" s="6" t="s">
        <v>1159</v>
      </c>
      <c r="C21" s="6" t="s">
        <v>95</v>
      </c>
      <c r="D21" s="6" t="s">
        <v>154</v>
      </c>
      <c r="E21" s="6" t="s">
        <v>1218</v>
      </c>
      <c r="F21" s="7" t="s">
        <v>93</v>
      </c>
      <c r="G21" s="7" t="s">
        <v>73</v>
      </c>
      <c r="H21" s="7"/>
    </row>
    <row r="22" spans="1:8" ht="17.100000000000001" customHeight="1" x14ac:dyDescent="0.25">
      <c r="A22" s="6" t="s">
        <v>158</v>
      </c>
      <c r="B22" s="6" t="s">
        <v>76</v>
      </c>
      <c r="C22" s="6" t="s">
        <v>95</v>
      </c>
      <c r="D22" s="6" t="s">
        <v>154</v>
      </c>
      <c r="E22" s="6" t="s">
        <v>1218</v>
      </c>
      <c r="F22" s="7" t="s">
        <v>159</v>
      </c>
      <c r="G22" s="7" t="s">
        <v>73</v>
      </c>
      <c r="H22" s="7"/>
    </row>
    <row r="23" spans="1:8" ht="17.100000000000001" customHeight="1" x14ac:dyDescent="0.25">
      <c r="A23" s="6" t="s">
        <v>161</v>
      </c>
      <c r="B23" s="6" t="s">
        <v>77</v>
      </c>
      <c r="C23" s="6" t="s">
        <v>95</v>
      </c>
      <c r="D23" s="6" t="s">
        <v>154</v>
      </c>
      <c r="E23" s="6" t="s">
        <v>1218</v>
      </c>
      <c r="F23" s="7" t="s">
        <v>162</v>
      </c>
      <c r="G23" s="7" t="s">
        <v>73</v>
      </c>
      <c r="H23" s="7"/>
    </row>
    <row r="24" spans="1:8" ht="17.100000000000001" customHeight="1" x14ac:dyDescent="0.25">
      <c r="A24" s="6" t="s">
        <v>164</v>
      </c>
      <c r="B24" s="6" t="s">
        <v>78</v>
      </c>
      <c r="C24" s="6" t="s">
        <v>95</v>
      </c>
      <c r="D24" s="6" t="s">
        <v>154</v>
      </c>
      <c r="E24" s="6" t="s">
        <v>1218</v>
      </c>
      <c r="F24" s="7" t="s">
        <v>165</v>
      </c>
      <c r="G24" s="7" t="s">
        <v>73</v>
      </c>
      <c r="H24" s="7"/>
    </row>
    <row r="25" spans="1:8" ht="17.100000000000001" customHeight="1" x14ac:dyDescent="0.25">
      <c r="A25" s="15"/>
      <c r="B25" s="15"/>
      <c r="C25" s="15"/>
      <c r="D25" s="15"/>
      <c r="E25" s="15"/>
      <c r="F25" s="16"/>
      <c r="G25" s="16"/>
      <c r="H25" s="16"/>
    </row>
    <row r="26" spans="1:8" ht="17.100000000000001" customHeight="1" x14ac:dyDescent="0.25">
      <c r="A26" s="6" t="s">
        <v>97</v>
      </c>
      <c r="B26" s="6" t="s">
        <v>1132</v>
      </c>
      <c r="C26" s="6" t="s">
        <v>95</v>
      </c>
      <c r="D26" s="6" t="s">
        <v>96</v>
      </c>
      <c r="E26" s="6" t="s">
        <v>1218</v>
      </c>
      <c r="F26" s="7" t="s">
        <v>94</v>
      </c>
      <c r="G26" s="7" t="s">
        <v>73</v>
      </c>
      <c r="H26" s="7" t="s">
        <v>1229</v>
      </c>
    </row>
    <row r="27" spans="1:8" ht="17.100000000000001" customHeight="1" x14ac:dyDescent="0.25">
      <c r="A27" s="6" t="s">
        <v>99</v>
      </c>
      <c r="B27" s="6" t="s">
        <v>1134</v>
      </c>
      <c r="C27" s="6" t="s">
        <v>95</v>
      </c>
      <c r="D27" s="6" t="s">
        <v>96</v>
      </c>
      <c r="E27" s="6" t="s">
        <v>1218</v>
      </c>
      <c r="F27" s="7" t="s">
        <v>98</v>
      </c>
      <c r="G27" s="7" t="s">
        <v>73</v>
      </c>
      <c r="H27" s="7"/>
    </row>
    <row r="28" spans="1:8" ht="17.100000000000001" customHeight="1" x14ac:dyDescent="0.25">
      <c r="A28" s="6" t="s">
        <v>101</v>
      </c>
      <c r="B28" s="6" t="s">
        <v>1136</v>
      </c>
      <c r="C28" s="6" t="s">
        <v>95</v>
      </c>
      <c r="D28" s="6" t="s">
        <v>96</v>
      </c>
      <c r="E28" s="6" t="s">
        <v>1218</v>
      </c>
      <c r="F28" s="7" t="s">
        <v>100</v>
      </c>
      <c r="G28" s="7" t="s">
        <v>73</v>
      </c>
      <c r="H28" s="7"/>
    </row>
    <row r="29" spans="1:8" ht="17.100000000000001" customHeight="1" x14ac:dyDescent="0.25">
      <c r="A29" s="6" t="s">
        <v>103</v>
      </c>
      <c r="B29" s="6" t="s">
        <v>1138</v>
      </c>
      <c r="C29" s="6" t="s">
        <v>95</v>
      </c>
      <c r="D29" s="6" t="s">
        <v>96</v>
      </c>
      <c r="E29" s="6" t="s">
        <v>1218</v>
      </c>
      <c r="F29" s="7" t="s">
        <v>102</v>
      </c>
      <c r="G29" s="7" t="s">
        <v>73</v>
      </c>
      <c r="H29" s="7"/>
    </row>
    <row r="30" spans="1:8" ht="17.100000000000001" customHeight="1" x14ac:dyDescent="0.25">
      <c r="A30" s="6" t="s">
        <v>105</v>
      </c>
      <c r="B30" s="6" t="s">
        <v>1140</v>
      </c>
      <c r="C30" s="6" t="s">
        <v>95</v>
      </c>
      <c r="D30" s="6" t="s">
        <v>96</v>
      </c>
      <c r="E30" s="6" t="s">
        <v>1218</v>
      </c>
      <c r="F30" s="7" t="s">
        <v>104</v>
      </c>
      <c r="G30" s="7" t="s">
        <v>73</v>
      </c>
      <c r="H30" s="7"/>
    </row>
    <row r="31" spans="1:8" ht="17.100000000000001" customHeight="1" x14ac:dyDescent="0.25">
      <c r="A31" s="6" t="s">
        <v>107</v>
      </c>
      <c r="B31" s="6" t="s">
        <v>1142</v>
      </c>
      <c r="C31" s="6" t="s">
        <v>95</v>
      </c>
      <c r="D31" s="6" t="s">
        <v>96</v>
      </c>
      <c r="E31" s="6" t="s">
        <v>1218</v>
      </c>
      <c r="F31" s="7" t="s">
        <v>106</v>
      </c>
      <c r="G31" s="7" t="s">
        <v>73</v>
      </c>
      <c r="H31" s="7"/>
    </row>
    <row r="32" spans="1:8" ht="17.100000000000001" customHeight="1" x14ac:dyDescent="0.25">
      <c r="A32" s="6" t="s">
        <v>109</v>
      </c>
      <c r="B32" s="6" t="s">
        <v>1144</v>
      </c>
      <c r="C32" s="6" t="s">
        <v>95</v>
      </c>
      <c r="D32" s="6" t="s">
        <v>96</v>
      </c>
      <c r="E32" s="6" t="s">
        <v>1218</v>
      </c>
      <c r="F32" s="7" t="s">
        <v>108</v>
      </c>
      <c r="G32" s="7" t="s">
        <v>73</v>
      </c>
      <c r="H32" s="7"/>
    </row>
    <row r="33" spans="1:8" ht="17.100000000000001" customHeight="1" x14ac:dyDescent="0.25">
      <c r="A33" s="6" t="s">
        <v>111</v>
      </c>
      <c r="B33" s="6" t="s">
        <v>1146</v>
      </c>
      <c r="C33" s="6" t="s">
        <v>95</v>
      </c>
      <c r="D33" s="6" t="s">
        <v>96</v>
      </c>
      <c r="E33" s="6" t="s">
        <v>1218</v>
      </c>
      <c r="F33" s="7" t="s">
        <v>110</v>
      </c>
      <c r="G33" s="7" t="s">
        <v>73</v>
      </c>
      <c r="H33" s="7"/>
    </row>
    <row r="34" spans="1:8" ht="17.100000000000001" customHeight="1" x14ac:dyDescent="0.25">
      <c r="A34" s="6" t="s">
        <v>113</v>
      </c>
      <c r="B34" s="6" t="s">
        <v>1149</v>
      </c>
      <c r="C34" s="6" t="s">
        <v>95</v>
      </c>
      <c r="D34" s="6" t="s">
        <v>96</v>
      </c>
      <c r="E34" s="6" t="s">
        <v>1218</v>
      </c>
      <c r="F34" s="7" t="s">
        <v>112</v>
      </c>
      <c r="G34" s="7" t="s">
        <v>73</v>
      </c>
      <c r="H34" s="7"/>
    </row>
    <row r="35" spans="1:8" ht="17.100000000000001" customHeight="1" x14ac:dyDescent="0.25">
      <c r="A35" s="6" t="s">
        <v>115</v>
      </c>
      <c r="B35" s="6" t="s">
        <v>1151</v>
      </c>
      <c r="C35" s="6" t="s">
        <v>95</v>
      </c>
      <c r="D35" s="6" t="s">
        <v>96</v>
      </c>
      <c r="E35" s="6" t="s">
        <v>1218</v>
      </c>
      <c r="F35" s="7" t="s">
        <v>114</v>
      </c>
      <c r="G35" s="7" t="s">
        <v>73</v>
      </c>
      <c r="H35" s="7"/>
    </row>
    <row r="36" spans="1:8" ht="17.100000000000001" customHeight="1" x14ac:dyDescent="0.25">
      <c r="A36" s="6" t="s">
        <v>117</v>
      </c>
      <c r="B36" s="6" t="s">
        <v>1153</v>
      </c>
      <c r="C36" s="6" t="s">
        <v>95</v>
      </c>
      <c r="D36" s="6" t="s">
        <v>96</v>
      </c>
      <c r="E36" s="6" t="s">
        <v>1218</v>
      </c>
      <c r="F36" s="7" t="s">
        <v>116</v>
      </c>
      <c r="G36" s="7" t="s">
        <v>73</v>
      </c>
      <c r="H36" s="7"/>
    </row>
    <row r="37" spans="1:8" ht="17.100000000000001" customHeight="1" x14ac:dyDescent="0.25">
      <c r="A37" s="6" t="s">
        <v>119</v>
      </c>
      <c r="B37" s="6" t="s">
        <v>1155</v>
      </c>
      <c r="C37" s="6" t="s">
        <v>95</v>
      </c>
      <c r="D37" s="6" t="s">
        <v>96</v>
      </c>
      <c r="E37" s="6" t="s">
        <v>1218</v>
      </c>
      <c r="F37" s="7" t="s">
        <v>118</v>
      </c>
      <c r="G37" s="7" t="s">
        <v>73</v>
      </c>
      <c r="H37" s="7"/>
    </row>
    <row r="38" spans="1:8" ht="17.100000000000001" customHeight="1" x14ac:dyDescent="0.25">
      <c r="A38" s="6" t="s">
        <v>121</v>
      </c>
      <c r="B38" s="6" t="s">
        <v>1157</v>
      </c>
      <c r="C38" s="6" t="s">
        <v>95</v>
      </c>
      <c r="D38" s="6" t="s">
        <v>96</v>
      </c>
      <c r="E38" s="6" t="s">
        <v>1218</v>
      </c>
      <c r="F38" s="7" t="s">
        <v>120</v>
      </c>
      <c r="G38" s="7" t="s">
        <v>73</v>
      </c>
      <c r="H38" s="7"/>
    </row>
    <row r="39" spans="1:8" ht="17.100000000000001" customHeight="1" x14ac:dyDescent="0.25">
      <c r="A39" s="15"/>
      <c r="B39" s="15"/>
      <c r="C39" s="15"/>
      <c r="D39" s="15"/>
      <c r="E39" s="15"/>
      <c r="F39" s="16"/>
      <c r="G39" s="16"/>
      <c r="H39" s="16"/>
    </row>
    <row r="40" spans="1:8" ht="17.100000000000001" customHeight="1" x14ac:dyDescent="0.25">
      <c r="A40" s="6" t="s">
        <v>123</v>
      </c>
      <c r="B40" s="6" t="s">
        <v>1133</v>
      </c>
      <c r="C40" s="6" t="s">
        <v>95</v>
      </c>
      <c r="D40" s="6" t="s">
        <v>96</v>
      </c>
      <c r="E40" s="6" t="s">
        <v>1218</v>
      </c>
      <c r="F40" s="7" t="s">
        <v>122</v>
      </c>
      <c r="G40" s="7" t="s">
        <v>73</v>
      </c>
      <c r="H40" s="7" t="s">
        <v>1228</v>
      </c>
    </row>
    <row r="41" spans="1:8" ht="17.100000000000001" customHeight="1" x14ac:dyDescent="0.25">
      <c r="A41" s="6" t="s">
        <v>125</v>
      </c>
      <c r="B41" s="6" t="s">
        <v>1135</v>
      </c>
      <c r="C41" s="6" t="s">
        <v>95</v>
      </c>
      <c r="D41" s="6" t="s">
        <v>96</v>
      </c>
      <c r="E41" s="6" t="s">
        <v>1218</v>
      </c>
      <c r="F41" s="7" t="s">
        <v>124</v>
      </c>
      <c r="G41" s="7" t="s">
        <v>73</v>
      </c>
      <c r="H41" s="7"/>
    </row>
    <row r="42" spans="1:8" ht="17.100000000000001" customHeight="1" x14ac:dyDescent="0.25">
      <c r="A42" s="6" t="s">
        <v>127</v>
      </c>
      <c r="B42" s="6" t="s">
        <v>1137</v>
      </c>
      <c r="C42" s="6" t="s">
        <v>95</v>
      </c>
      <c r="D42" s="6" t="s">
        <v>96</v>
      </c>
      <c r="E42" s="6" t="s">
        <v>1218</v>
      </c>
      <c r="F42" s="7" t="s">
        <v>126</v>
      </c>
      <c r="G42" s="7" t="s">
        <v>73</v>
      </c>
      <c r="H42" s="7"/>
    </row>
    <row r="43" spans="1:8" ht="17.100000000000001" customHeight="1" x14ac:dyDescent="0.25">
      <c r="A43" s="6" t="s">
        <v>129</v>
      </c>
      <c r="B43" s="6" t="s">
        <v>1139</v>
      </c>
      <c r="C43" s="6" t="s">
        <v>95</v>
      </c>
      <c r="D43" s="6" t="s">
        <v>96</v>
      </c>
      <c r="E43" s="6" t="s">
        <v>1218</v>
      </c>
      <c r="F43" s="7" t="s">
        <v>128</v>
      </c>
      <c r="G43" s="7" t="s">
        <v>73</v>
      </c>
      <c r="H43" s="7"/>
    </row>
    <row r="44" spans="1:8" ht="17.100000000000001" customHeight="1" x14ac:dyDescent="0.25">
      <c r="A44" s="6" t="s">
        <v>131</v>
      </c>
      <c r="B44" s="6" t="s">
        <v>1141</v>
      </c>
      <c r="C44" s="6" t="s">
        <v>95</v>
      </c>
      <c r="D44" s="6" t="s">
        <v>96</v>
      </c>
      <c r="E44" s="6" t="s">
        <v>1218</v>
      </c>
      <c r="F44" s="7" t="s">
        <v>130</v>
      </c>
      <c r="G44" s="7" t="s">
        <v>73</v>
      </c>
      <c r="H44" s="7"/>
    </row>
    <row r="45" spans="1:8" ht="17.100000000000001" customHeight="1" x14ac:dyDescent="0.25">
      <c r="A45" s="6" t="s">
        <v>133</v>
      </c>
      <c r="B45" s="6" t="s">
        <v>1143</v>
      </c>
      <c r="C45" s="6" t="s">
        <v>95</v>
      </c>
      <c r="D45" s="6" t="s">
        <v>96</v>
      </c>
      <c r="E45" s="6" t="s">
        <v>1218</v>
      </c>
      <c r="F45" s="7" t="s">
        <v>132</v>
      </c>
      <c r="G45" s="7" t="s">
        <v>73</v>
      </c>
      <c r="H45" s="7"/>
    </row>
    <row r="46" spans="1:8" ht="17.100000000000001" customHeight="1" x14ac:dyDescent="0.25">
      <c r="A46" s="6" t="s">
        <v>135</v>
      </c>
      <c r="B46" s="6" t="s">
        <v>1145</v>
      </c>
      <c r="C46" s="6" t="s">
        <v>95</v>
      </c>
      <c r="D46" s="6" t="s">
        <v>96</v>
      </c>
      <c r="E46" s="6" t="s">
        <v>1218</v>
      </c>
      <c r="F46" s="7" t="s">
        <v>134</v>
      </c>
      <c r="G46" s="7" t="s">
        <v>73</v>
      </c>
      <c r="H46" s="7"/>
    </row>
    <row r="47" spans="1:8" ht="17.100000000000001" customHeight="1" x14ac:dyDescent="0.25">
      <c r="A47" s="6" t="s">
        <v>137</v>
      </c>
      <c r="B47" s="6" t="s">
        <v>1147</v>
      </c>
      <c r="C47" s="6" t="s">
        <v>95</v>
      </c>
      <c r="D47" s="6" t="s">
        <v>96</v>
      </c>
      <c r="E47" s="6" t="s">
        <v>1218</v>
      </c>
      <c r="F47" s="7" t="s">
        <v>136</v>
      </c>
      <c r="G47" s="7" t="s">
        <v>73</v>
      </c>
      <c r="H47" s="7"/>
    </row>
    <row r="48" spans="1:8" ht="17.100000000000001" customHeight="1" x14ac:dyDescent="0.25">
      <c r="A48" s="6" t="s">
        <v>139</v>
      </c>
      <c r="B48" s="6" t="s">
        <v>1148</v>
      </c>
      <c r="C48" s="6" t="s">
        <v>95</v>
      </c>
      <c r="D48" s="6" t="s">
        <v>96</v>
      </c>
      <c r="E48" s="6" t="s">
        <v>1218</v>
      </c>
      <c r="F48" s="7" t="s">
        <v>138</v>
      </c>
      <c r="G48" s="7" t="s">
        <v>73</v>
      </c>
      <c r="H48" s="7"/>
    </row>
    <row r="49" spans="1:8" ht="17.100000000000001" customHeight="1" x14ac:dyDescent="0.25">
      <c r="A49" s="6" t="s">
        <v>141</v>
      </c>
      <c r="B49" s="6" t="s">
        <v>1150</v>
      </c>
      <c r="C49" s="6" t="s">
        <v>95</v>
      </c>
      <c r="D49" s="6" t="s">
        <v>96</v>
      </c>
      <c r="E49" s="6" t="s">
        <v>1218</v>
      </c>
      <c r="F49" s="7" t="s">
        <v>140</v>
      </c>
      <c r="G49" s="7" t="s">
        <v>73</v>
      </c>
      <c r="H49" s="7"/>
    </row>
    <row r="50" spans="1:8" ht="17.100000000000001" customHeight="1" x14ac:dyDescent="0.25">
      <c r="A50" s="6" t="s">
        <v>143</v>
      </c>
      <c r="B50" s="6" t="s">
        <v>1152</v>
      </c>
      <c r="C50" s="6" t="s">
        <v>95</v>
      </c>
      <c r="D50" s="6" t="s">
        <v>96</v>
      </c>
      <c r="E50" s="6" t="s">
        <v>1218</v>
      </c>
      <c r="F50" s="7" t="s">
        <v>142</v>
      </c>
      <c r="G50" s="7" t="s">
        <v>73</v>
      </c>
      <c r="H50" s="7"/>
    </row>
    <row r="51" spans="1:8" ht="17.100000000000001" customHeight="1" x14ac:dyDescent="0.25">
      <c r="A51" s="6" t="s">
        <v>145</v>
      </c>
      <c r="B51" s="6" t="s">
        <v>1154</v>
      </c>
      <c r="C51" s="6" t="s">
        <v>95</v>
      </c>
      <c r="D51" s="6" t="s">
        <v>96</v>
      </c>
      <c r="E51" s="6" t="s">
        <v>1218</v>
      </c>
      <c r="F51" s="7" t="s">
        <v>144</v>
      </c>
      <c r="G51" s="7" t="s">
        <v>73</v>
      </c>
      <c r="H51" s="7"/>
    </row>
    <row r="52" spans="1:8" ht="17.100000000000001" customHeight="1" x14ac:dyDescent="0.25">
      <c r="A52" s="6" t="s">
        <v>147</v>
      </c>
      <c r="B52" s="6" t="s">
        <v>1156</v>
      </c>
      <c r="C52" s="6" t="s">
        <v>95</v>
      </c>
      <c r="D52" s="6" t="s">
        <v>96</v>
      </c>
      <c r="E52" s="6" t="s">
        <v>1218</v>
      </c>
      <c r="F52" s="7" t="s">
        <v>146</v>
      </c>
      <c r="G52" s="7" t="s">
        <v>73</v>
      </c>
      <c r="H52" s="7"/>
    </row>
    <row r="53" spans="1:8" ht="17.100000000000001" customHeight="1" x14ac:dyDescent="0.25">
      <c r="A53" s="6" t="s">
        <v>149</v>
      </c>
      <c r="B53" s="6" t="s">
        <v>1158</v>
      </c>
      <c r="C53" s="6" t="s">
        <v>95</v>
      </c>
      <c r="D53" s="6" t="s">
        <v>96</v>
      </c>
      <c r="E53" s="6" t="s">
        <v>1218</v>
      </c>
      <c r="F53" s="7" t="s">
        <v>148</v>
      </c>
      <c r="G53" s="7" t="s">
        <v>73</v>
      </c>
      <c r="H53" s="7"/>
    </row>
    <row r="54" spans="1:8" ht="17.100000000000001" customHeight="1" x14ac:dyDescent="0.25">
      <c r="A54" s="15"/>
      <c r="B54" s="15"/>
      <c r="C54" s="15"/>
      <c r="D54" s="15"/>
      <c r="E54" s="15"/>
      <c r="F54" s="16"/>
      <c r="G54" s="16"/>
      <c r="H54" s="16"/>
    </row>
    <row r="55" spans="1:8" ht="17.100000000000001" customHeight="1" x14ac:dyDescent="0.25">
      <c r="A55" s="6" t="s">
        <v>170</v>
      </c>
      <c r="B55" s="6" t="s">
        <v>171</v>
      </c>
      <c r="C55" s="6" t="s">
        <v>95</v>
      </c>
      <c r="D55" s="6" t="s">
        <v>96</v>
      </c>
      <c r="E55" s="6" t="s">
        <v>1218</v>
      </c>
      <c r="F55" s="7" t="s">
        <v>172</v>
      </c>
      <c r="G55" s="7" t="s">
        <v>73</v>
      </c>
      <c r="H55" s="7" t="s">
        <v>1227</v>
      </c>
    </row>
    <row r="56" spans="1:8" ht="17.100000000000001" customHeight="1" x14ac:dyDescent="0.25">
      <c r="A56" s="6" t="s">
        <v>173</v>
      </c>
      <c r="B56" s="6" t="s">
        <v>174</v>
      </c>
      <c r="C56" s="6" t="s">
        <v>95</v>
      </c>
      <c r="D56" s="6" t="s">
        <v>96</v>
      </c>
      <c r="E56" s="6" t="s">
        <v>1218</v>
      </c>
      <c r="F56" s="7" t="s">
        <v>175</v>
      </c>
      <c r="G56" s="7" t="s">
        <v>73</v>
      </c>
      <c r="H56" s="7"/>
    </row>
    <row r="57" spans="1:8" ht="17.100000000000001" customHeight="1" x14ac:dyDescent="0.25">
      <c r="A57" s="6" t="s">
        <v>176</v>
      </c>
      <c r="B57" s="6" t="s">
        <v>177</v>
      </c>
      <c r="C57" s="6" t="s">
        <v>95</v>
      </c>
      <c r="D57" s="6" t="s">
        <v>96</v>
      </c>
      <c r="E57" s="6" t="s">
        <v>1218</v>
      </c>
      <c r="F57" s="7" t="s">
        <v>178</v>
      </c>
      <c r="G57" s="7" t="s">
        <v>73</v>
      </c>
      <c r="H57" s="7"/>
    </row>
    <row r="58" spans="1:8" ht="17.100000000000001" customHeight="1" x14ac:dyDescent="0.25">
      <c r="A58" s="6" t="s">
        <v>179</v>
      </c>
      <c r="B58" s="6" t="s">
        <v>180</v>
      </c>
      <c r="C58" s="6" t="s">
        <v>95</v>
      </c>
      <c r="D58" s="6" t="s">
        <v>96</v>
      </c>
      <c r="E58" s="6" t="s">
        <v>1218</v>
      </c>
      <c r="F58" s="7" t="s">
        <v>181</v>
      </c>
      <c r="G58" s="7" t="s">
        <v>73</v>
      </c>
      <c r="H58" s="7"/>
    </row>
    <row r="59" spans="1:8" ht="17.100000000000001" customHeight="1" x14ac:dyDescent="0.25">
      <c r="A59" s="6" t="s">
        <v>182</v>
      </c>
      <c r="B59" s="6" t="s">
        <v>183</v>
      </c>
      <c r="C59" s="6" t="s">
        <v>95</v>
      </c>
      <c r="D59" s="6" t="s">
        <v>96</v>
      </c>
      <c r="E59" s="6" t="s">
        <v>1218</v>
      </c>
      <c r="F59" s="7" t="s">
        <v>184</v>
      </c>
      <c r="G59" s="7" t="s">
        <v>73</v>
      </c>
      <c r="H59" s="7"/>
    </row>
    <row r="60" spans="1:8" ht="17.100000000000001" customHeight="1" x14ac:dyDescent="0.25">
      <c r="A60" s="6" t="s">
        <v>185</v>
      </c>
      <c r="B60" s="6" t="s">
        <v>186</v>
      </c>
      <c r="C60" s="6" t="s">
        <v>95</v>
      </c>
      <c r="D60" s="6" t="s">
        <v>96</v>
      </c>
      <c r="E60" s="6" t="s">
        <v>1218</v>
      </c>
      <c r="F60" s="7" t="s">
        <v>187</v>
      </c>
      <c r="G60" s="7" t="s">
        <v>73</v>
      </c>
      <c r="H60" s="7"/>
    </row>
    <row r="61" spans="1:8" ht="17.100000000000001" customHeight="1" x14ac:dyDescent="0.25">
      <c r="A61" s="6" t="s">
        <v>188</v>
      </c>
      <c r="B61" s="6" t="s">
        <v>189</v>
      </c>
      <c r="C61" s="6" t="s">
        <v>95</v>
      </c>
      <c r="D61" s="6" t="s">
        <v>96</v>
      </c>
      <c r="E61" s="6" t="s">
        <v>1218</v>
      </c>
      <c r="F61" s="7" t="s">
        <v>190</v>
      </c>
      <c r="G61" s="7" t="s">
        <v>73</v>
      </c>
      <c r="H61" s="7"/>
    </row>
    <row r="62" spans="1:8" ht="17.100000000000001" customHeight="1" x14ac:dyDescent="0.25">
      <c r="A62" s="6" t="s">
        <v>191</v>
      </c>
      <c r="B62" s="6" t="s">
        <v>192</v>
      </c>
      <c r="C62" s="6" t="s">
        <v>95</v>
      </c>
      <c r="D62" s="6" t="s">
        <v>96</v>
      </c>
      <c r="E62" s="6" t="s">
        <v>1218</v>
      </c>
      <c r="F62" s="7" t="s">
        <v>193</v>
      </c>
      <c r="G62" s="7" t="s">
        <v>73</v>
      </c>
      <c r="H62" s="7"/>
    </row>
    <row r="63" spans="1:8" ht="17.100000000000001" customHeight="1" x14ac:dyDescent="0.25">
      <c r="A63" s="6" t="s">
        <v>194</v>
      </c>
      <c r="B63" s="6" t="s">
        <v>195</v>
      </c>
      <c r="C63" s="6" t="s">
        <v>95</v>
      </c>
      <c r="D63" s="6" t="s">
        <v>96</v>
      </c>
      <c r="E63" s="6" t="s">
        <v>1218</v>
      </c>
      <c r="F63" s="7" t="s">
        <v>196</v>
      </c>
      <c r="G63" s="7" t="s">
        <v>73</v>
      </c>
      <c r="H63" s="7"/>
    </row>
    <row r="64" spans="1:8" ht="17.100000000000001" customHeight="1" x14ac:dyDescent="0.25">
      <c r="A64" s="15"/>
      <c r="B64" s="15"/>
      <c r="C64" s="15"/>
      <c r="D64" s="15"/>
      <c r="E64" s="15"/>
      <c r="F64" s="16"/>
      <c r="G64" s="16"/>
      <c r="H64" s="16"/>
    </row>
    <row r="65" spans="1:8" ht="17.100000000000001" customHeight="1" x14ac:dyDescent="0.25">
      <c r="A65" s="6" t="s">
        <v>92</v>
      </c>
      <c r="B65" s="6" t="s">
        <v>1159</v>
      </c>
      <c r="C65" s="6" t="s">
        <v>95</v>
      </c>
      <c r="D65" s="6" t="s">
        <v>152</v>
      </c>
      <c r="E65" s="6" t="s">
        <v>1218</v>
      </c>
      <c r="F65" s="7" t="s">
        <v>84</v>
      </c>
      <c r="G65" s="7" t="s">
        <v>73</v>
      </c>
      <c r="H65" s="7" t="s">
        <v>1250</v>
      </c>
    </row>
    <row r="66" spans="1:8" ht="17.100000000000001" customHeight="1" x14ac:dyDescent="0.25">
      <c r="A66" s="6" t="s">
        <v>166</v>
      </c>
      <c r="B66" s="6" t="s">
        <v>64</v>
      </c>
      <c r="C66" s="6" t="s">
        <v>95</v>
      </c>
      <c r="D66" s="6" t="s">
        <v>152</v>
      </c>
      <c r="E66" s="6" t="s">
        <v>1218</v>
      </c>
      <c r="F66" s="7" t="s">
        <v>88</v>
      </c>
      <c r="G66" s="7" t="s">
        <v>73</v>
      </c>
      <c r="H66" s="7"/>
    </row>
    <row r="67" spans="1:8" ht="17.100000000000001" customHeight="1" x14ac:dyDescent="0.25">
      <c r="A67" s="6" t="s">
        <v>167</v>
      </c>
      <c r="B67" s="6" t="s">
        <v>64</v>
      </c>
      <c r="C67" s="6" t="s">
        <v>95</v>
      </c>
      <c r="D67" s="6" t="s">
        <v>152</v>
      </c>
      <c r="E67" s="6" t="s">
        <v>1218</v>
      </c>
      <c r="F67" s="7" t="s">
        <v>86</v>
      </c>
      <c r="G67" s="7" t="s">
        <v>73</v>
      </c>
      <c r="H67" s="7"/>
    </row>
    <row r="68" spans="1:8" ht="17.100000000000001" customHeight="1" x14ac:dyDescent="0.25">
      <c r="A68" s="6" t="s">
        <v>168</v>
      </c>
      <c r="B68" s="6" t="s">
        <v>64</v>
      </c>
      <c r="C68" s="6" t="s">
        <v>95</v>
      </c>
      <c r="D68" s="6" t="s">
        <v>152</v>
      </c>
      <c r="E68" s="6" t="s">
        <v>1218</v>
      </c>
      <c r="F68" s="7" t="s">
        <v>87</v>
      </c>
      <c r="G68" s="7" t="s">
        <v>73</v>
      </c>
      <c r="H68" s="7"/>
    </row>
    <row r="69" spans="1:8" ht="17.100000000000001" customHeight="1" x14ac:dyDescent="0.25">
      <c r="A69" s="6" t="s">
        <v>169</v>
      </c>
      <c r="B69" s="6" t="s">
        <v>64</v>
      </c>
      <c r="C69" s="6" t="s">
        <v>95</v>
      </c>
      <c r="D69" s="6" t="s">
        <v>152</v>
      </c>
      <c r="E69" s="6" t="s">
        <v>1218</v>
      </c>
      <c r="F69" s="7" t="s">
        <v>89</v>
      </c>
      <c r="G69" s="7" t="s">
        <v>73</v>
      </c>
      <c r="H69" s="7"/>
    </row>
  </sheetData>
  <sortState xmlns:xlrd2="http://schemas.microsoft.com/office/spreadsheetml/2017/richdata2" ref="A14:G17">
    <sortCondition descending="1" ref="D14:D17"/>
    <sortCondition ref="B14:B17"/>
  </sortState>
  <mergeCells count="11">
    <mergeCell ref="B7:D7"/>
    <mergeCell ref="A1:D1"/>
    <mergeCell ref="A2:D2"/>
    <mergeCell ref="B3:D3"/>
    <mergeCell ref="B4:D4"/>
    <mergeCell ref="B5:D5"/>
    <mergeCell ref="B8:D8"/>
    <mergeCell ref="B9:D9"/>
    <mergeCell ref="B10:D10"/>
    <mergeCell ref="A12:F12"/>
    <mergeCell ref="G12:H12"/>
  </mergeCells>
  <conditionalFormatting sqref="A26:H63">
    <cfRule type="containsText" dxfId="3" priority="1" operator="containsText" text=":A2">
      <formula>NOT(ISERROR(SEARCH(":A2",A26)))</formula>
    </cfRule>
    <cfRule type="containsText" dxfId="2" priority="2" operator="containsText" text=":A1">
      <formula>NOT(ISERROR(SEARCH(":A1",A26)))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A54C2-9627-4C35-944E-F744DAD70CCA}">
  <dimension ref="A1:AD50"/>
  <sheetViews>
    <sheetView workbookViewId="0">
      <selection sqref="A1:AD50"/>
    </sheetView>
  </sheetViews>
  <sheetFormatPr defaultRowHeight="15" x14ac:dyDescent="0.25"/>
  <cols>
    <col min="1" max="30" width="13.140625" customWidth="1"/>
  </cols>
  <sheetData>
    <row r="1" spans="1:30" x14ac:dyDescent="0.25">
      <c r="A1" s="24" t="s">
        <v>1194</v>
      </c>
      <c r="B1" s="24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x14ac:dyDescent="0.25">
      <c r="A2" s="9" t="s">
        <v>1195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x14ac:dyDescent="0.25">
      <c r="A3" s="9" t="s">
        <v>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25">
      <c r="A6" s="10" t="s">
        <v>1196</v>
      </c>
      <c r="B6" s="10" t="s">
        <v>1196</v>
      </c>
      <c r="C6" s="10" t="s">
        <v>1196</v>
      </c>
      <c r="D6" s="10" t="s">
        <v>1196</v>
      </c>
      <c r="E6" s="10" t="s">
        <v>1196</v>
      </c>
      <c r="F6" s="10" t="s">
        <v>1196</v>
      </c>
      <c r="G6" s="10" t="s">
        <v>1196</v>
      </c>
      <c r="H6" s="10" t="s">
        <v>1196</v>
      </c>
      <c r="I6" s="10" t="s">
        <v>1196</v>
      </c>
      <c r="J6" s="10" t="s">
        <v>1196</v>
      </c>
      <c r="K6" s="10" t="s">
        <v>1196</v>
      </c>
      <c r="L6" s="10" t="s">
        <v>1196</v>
      </c>
      <c r="M6" s="10" t="s">
        <v>1196</v>
      </c>
      <c r="N6" s="10" t="s">
        <v>1196</v>
      </c>
      <c r="O6" s="10" t="s">
        <v>1196</v>
      </c>
      <c r="P6" s="10" t="s">
        <v>1196</v>
      </c>
      <c r="Q6" s="10" t="s">
        <v>1196</v>
      </c>
      <c r="R6" s="10" t="s">
        <v>1196</v>
      </c>
      <c r="S6" s="10" t="s">
        <v>1196</v>
      </c>
      <c r="T6" s="10" t="s">
        <v>1196</v>
      </c>
      <c r="U6" s="10" t="s">
        <v>1196</v>
      </c>
      <c r="V6" s="10" t="s">
        <v>1196</v>
      </c>
      <c r="W6" s="10" t="s">
        <v>1196</v>
      </c>
      <c r="X6" s="10" t="s">
        <v>1196</v>
      </c>
      <c r="Y6" s="10" t="s">
        <v>1196</v>
      </c>
      <c r="Z6" s="10" t="s">
        <v>1196</v>
      </c>
      <c r="AA6" s="10" t="s">
        <v>1196</v>
      </c>
      <c r="AB6" s="10" t="s">
        <v>1196</v>
      </c>
      <c r="AC6" s="10" t="s">
        <v>1196</v>
      </c>
      <c r="AD6" s="10" t="s">
        <v>1196</v>
      </c>
    </row>
    <row r="7" spans="1:30" x14ac:dyDescent="0.25">
      <c r="A7" s="10" t="s">
        <v>1197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10" t="s">
        <v>1198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10" t="s">
        <v>1199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5CBCA-59AD-4CA9-912B-D074A6BFF4D2}">
  <dimension ref="A1:AD31"/>
  <sheetViews>
    <sheetView workbookViewId="0">
      <selection sqref="A1:AD31"/>
    </sheetView>
  </sheetViews>
  <sheetFormatPr defaultRowHeight="15" x14ac:dyDescent="0.25"/>
  <cols>
    <col min="1" max="30" width="20.5703125" customWidth="1"/>
  </cols>
  <sheetData>
    <row r="1" spans="1:30" ht="63.95" customHeight="1" x14ac:dyDescent="0.25">
      <c r="A1" s="11" t="str">
        <f>IF('Bundle Tag Info'!A6&lt;&gt;"Panel Name",'Bundle Tag Info'!A6,"")</f>
        <v/>
      </c>
      <c r="B1" s="11" t="str">
        <f>IF('Bundle Tag Info'!B6&lt;&gt;"Panel Name",'Bundle Tag Info'!B6,"")</f>
        <v/>
      </c>
      <c r="C1" s="11" t="str">
        <f>IF('Bundle Tag Info'!C6&lt;&gt;"Panel Name",'Bundle Tag Info'!C6,"")</f>
        <v/>
      </c>
      <c r="D1" s="11" t="str">
        <f>IF('Bundle Tag Info'!D6&lt;&gt;"Panel Name",'Bundle Tag Info'!D6,"")</f>
        <v/>
      </c>
      <c r="E1" s="11" t="str">
        <f>IF('Bundle Tag Info'!E6&lt;&gt;"Panel Name",'Bundle Tag Info'!E6,"")</f>
        <v/>
      </c>
      <c r="F1" s="11" t="str">
        <f>IF('Bundle Tag Info'!F6&lt;&gt;"Panel Name",'Bundle Tag Info'!F6,"")</f>
        <v/>
      </c>
      <c r="G1" s="11" t="str">
        <f>IF('Bundle Tag Info'!G6&lt;&gt;"Panel Name",'Bundle Tag Info'!G6,"")</f>
        <v/>
      </c>
      <c r="H1" s="11" t="str">
        <f>IF('Bundle Tag Info'!H6&lt;&gt;"Panel Name",'Bundle Tag Info'!H6,"")</f>
        <v/>
      </c>
      <c r="I1" s="11" t="str">
        <f>IF('Bundle Tag Info'!I6&lt;&gt;"Panel Name",'Bundle Tag Info'!I6,"")</f>
        <v/>
      </c>
      <c r="J1" s="11" t="str">
        <f>IF('Bundle Tag Info'!J6&lt;&gt;"Panel Name",'Bundle Tag Info'!J6,"")</f>
        <v/>
      </c>
      <c r="K1" s="11" t="str">
        <f>IF('Bundle Tag Info'!K6&lt;&gt;"Panel Name",'Bundle Tag Info'!K6,"")</f>
        <v/>
      </c>
      <c r="L1" s="11" t="str">
        <f>IF('Bundle Tag Info'!L6&lt;&gt;"Panel Name",'Bundle Tag Info'!L6,"")</f>
        <v/>
      </c>
      <c r="M1" s="11" t="str">
        <f>IF('Bundle Tag Info'!M6&lt;&gt;"Panel Name",'Bundle Tag Info'!M6,"")</f>
        <v/>
      </c>
      <c r="N1" s="11" t="str">
        <f>IF('Bundle Tag Info'!N6&lt;&gt;"Panel Name",'Bundle Tag Info'!N6,"")</f>
        <v/>
      </c>
      <c r="O1" s="11" t="str">
        <f>IF('Bundle Tag Info'!O6&lt;&gt;"Panel Name",'Bundle Tag Info'!O6,"")</f>
        <v/>
      </c>
      <c r="P1" s="11" t="str">
        <f>IF('Bundle Tag Info'!P6&lt;&gt;"Panel Name",'Bundle Tag Info'!P6,"")</f>
        <v/>
      </c>
      <c r="Q1" s="11" t="str">
        <f>IF('Bundle Tag Info'!Q6&lt;&gt;"Panel Name",'Bundle Tag Info'!Q6,"")</f>
        <v/>
      </c>
      <c r="R1" s="11" t="str">
        <f>IF('Bundle Tag Info'!R6&lt;&gt;"Panel Name",'Bundle Tag Info'!R6,"")</f>
        <v/>
      </c>
      <c r="S1" s="11" t="str">
        <f>IF('Bundle Tag Info'!S6&lt;&gt;"Panel Name",'Bundle Tag Info'!S6,"")</f>
        <v/>
      </c>
      <c r="T1" s="11" t="str">
        <f>IF('Bundle Tag Info'!T6&lt;&gt;"Panel Name",'Bundle Tag Info'!T6,"")</f>
        <v/>
      </c>
      <c r="U1" s="11" t="str">
        <f>IF('Bundle Tag Info'!U6&lt;&gt;"Panel Name",'Bundle Tag Info'!U6,"")</f>
        <v/>
      </c>
      <c r="V1" s="11" t="str">
        <f>IF('Bundle Tag Info'!V6&lt;&gt;"Panel Name",'Bundle Tag Info'!V6,"")</f>
        <v/>
      </c>
      <c r="W1" s="11" t="str">
        <f>IF('Bundle Tag Info'!W6&lt;&gt;"Panel Name",'Bundle Tag Info'!W6,"")</f>
        <v/>
      </c>
      <c r="X1" s="11" t="str">
        <f>IF('Bundle Tag Info'!X6&lt;&gt;"Panel Name",'Bundle Tag Info'!X6,"")</f>
        <v/>
      </c>
      <c r="Y1" s="11" t="str">
        <f>IF('Bundle Tag Info'!Y6&lt;&gt;"Panel Name",'Bundle Tag Info'!Y6,"")</f>
        <v/>
      </c>
      <c r="Z1" s="11" t="str">
        <f>IF('Bundle Tag Info'!Z6&lt;&gt;"Panel Name",'Bundle Tag Info'!Z6,"")</f>
        <v/>
      </c>
      <c r="AA1" s="11" t="str">
        <f>IF('Bundle Tag Info'!AA6&lt;&gt;"Panel Name",'Bundle Tag Info'!AA6,"")</f>
        <v/>
      </c>
      <c r="AB1" s="11" t="str">
        <f>IF('Bundle Tag Info'!AB6&lt;&gt;"Panel Name",'Bundle Tag Info'!AB6,"")</f>
        <v/>
      </c>
      <c r="AC1" s="11" t="str">
        <f>IF('Bundle Tag Info'!AC6&lt;&gt;"Panel Name",'Bundle Tag Info'!AC6,"")</f>
        <v/>
      </c>
      <c r="AD1" s="11" t="str">
        <f>IF('Bundle Tag Info'!AD6&lt;&gt;"Panel Name",'Bundle Tag Info'!AD6,"")</f>
        <v/>
      </c>
    </row>
    <row r="2" spans="1:30" ht="63.95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Project Name and Unit # 
PD # Revision
Panel Name
Insert</v>
      </c>
      <c r="B2" s="12" t="str">
        <f>IF('Bundle Tag Info'!B$7&lt;&gt;"",CONCATENATE('Bundle Tag Info'!$A$1," ",CHAR(10),'Bundle Tag Info'!$A$2," ",'Bundle Tag Info'!$A$3,CHAR(10),'Bundle Tag Info'!B$6,CHAR(10),'Bundle Tag Info'!B$7),"")</f>
        <v/>
      </c>
      <c r="C2" s="12" t="str">
        <f>IF('Bundle Tag Info'!C$7&lt;&gt;"",CONCATENATE('Bundle Tag Info'!$A$1," ",CHAR(10),'Bundle Tag Info'!$A$2," ",'Bundle Tag Info'!$A$3,CHAR(10),'Bundle Tag Info'!C$6,CHAR(10),'Bundle Tag Info'!C$7),"")</f>
        <v/>
      </c>
      <c r="D2" s="12" t="str">
        <f>IF('Bundle Tag Info'!D$7&lt;&gt;"",CONCATENATE('Bundle Tag Info'!$A$1," ",CHAR(10),'Bundle Tag Info'!$A$2," ",'Bundle Tag Info'!$A$3,CHAR(10),'Bundle Tag Info'!D$6,CHAR(10),'Bundle Tag Info'!D$7),"")</f>
        <v/>
      </c>
      <c r="E2" s="12" t="str">
        <f>IF('Bundle Tag Info'!E$7&lt;&gt;"",CONCATENATE('Bundle Tag Info'!$A$1," ",CHAR(10),'Bundle Tag Info'!$A$2," ",'Bundle Tag Info'!$A$3,CHAR(10),'Bundle Tag Info'!E$6,CHAR(10),'Bundle Tag Info'!E$7),"")</f>
        <v/>
      </c>
      <c r="F2" s="12" t="str">
        <f>IF('Bundle Tag Info'!F$7&lt;&gt;"",CONCATENATE('Bundle Tag Info'!$A$1," ",CHAR(10),'Bundle Tag Info'!$A$2," ",'Bundle Tag Info'!$A$3,CHAR(10),'Bundle Tag Info'!F$6,CHAR(10),'Bundle Tag Info'!F$7),"")</f>
        <v/>
      </c>
      <c r="G2" s="12" t="str">
        <f>IF('Bundle Tag Info'!G$7&lt;&gt;"",CONCATENATE('Bundle Tag Info'!$A$1," ",CHAR(10),'Bundle Tag Info'!$A$2," ",'Bundle Tag Info'!$A$3,CHAR(10),'Bundle Tag Info'!G$6,CHAR(10),'Bundle Tag Info'!G$7),"")</f>
        <v/>
      </c>
      <c r="H2" s="12" t="str">
        <f>IF('Bundle Tag Info'!H$7&lt;&gt;"",CONCATENATE('Bundle Tag Info'!$A$1," ",CHAR(10),'Bundle Tag Info'!$A$2," ",'Bundle Tag Info'!$A$3,CHAR(10),'Bundle Tag Info'!H$6,CHAR(10),'Bundle Tag Info'!H$7),"")</f>
        <v/>
      </c>
      <c r="I2" s="12" t="str">
        <f>IF('Bundle Tag Info'!I$7&lt;&gt;"",CONCATENATE('Bundle Tag Info'!$A$1," ",CHAR(10),'Bundle Tag Info'!$A$2," ",'Bundle Tag Info'!$A$3,CHAR(10),'Bundle Tag Info'!I$6,CHAR(10),'Bundle Tag Info'!I$7),"")</f>
        <v/>
      </c>
      <c r="J2" s="12" t="str">
        <f>IF('Bundle Tag Info'!J$7&lt;&gt;"",CONCATENATE('Bundle Tag Info'!$A$1," ",CHAR(10),'Bundle Tag Info'!$A$2," ",'Bundle Tag Info'!$A$3,CHAR(10),'Bundle Tag Info'!J$6,CHAR(10),'Bundle Tag Info'!J$7),"")</f>
        <v/>
      </c>
      <c r="K2" s="12" t="str">
        <f>IF('Bundle Tag Info'!K$7&lt;&gt;"",CONCATENATE('Bundle Tag Info'!$A$1," ",CHAR(10),'Bundle Tag Info'!$A$2," ",'Bundle Tag Info'!$A$3,CHAR(10),'Bundle Tag Info'!K$6,CHAR(10),'Bundle Tag Info'!K$7),"")</f>
        <v/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Project Name and Unit # 
PD # Revision
Panel Name
Tag Names</v>
      </c>
      <c r="B3" s="12" t="str">
        <f>IF('Bundle Tag Info'!B$8&lt;&gt;"",CONCATENATE('Bundle Tag Info'!$A$1," ",CHAR(10),'Bundle Tag Info'!$A$2," ",'Bundle Tag Info'!$A$3,CHAR(10),'Bundle Tag Info'!B$6,CHAR(10),'Bundle Tag Info'!B$8),"")</f>
        <v/>
      </c>
      <c r="C3" s="12" t="str">
        <f>IF('Bundle Tag Info'!C$8&lt;&gt;"",CONCATENATE('Bundle Tag Info'!$A$1," ",CHAR(10),'Bundle Tag Info'!$A$2," ",'Bundle Tag Info'!$A$3,CHAR(10),'Bundle Tag Info'!C$6,CHAR(10),'Bundle Tag Info'!C$8),"")</f>
        <v/>
      </c>
      <c r="D3" s="12" t="str">
        <f>IF('Bundle Tag Info'!D$8&lt;&gt;"",CONCATENATE('Bundle Tag Info'!$A$1," ",CHAR(10),'Bundle Tag Info'!$A$2," ",'Bundle Tag Info'!$A$3,CHAR(10),'Bundle Tag Info'!D$6,CHAR(10),'Bundle Tag Info'!D$8),"")</f>
        <v/>
      </c>
      <c r="E3" s="12" t="str">
        <f>IF('Bundle Tag Info'!E$8&lt;&gt;"",CONCATENATE('Bundle Tag Info'!$A$1," ",CHAR(10),'Bundle Tag Info'!$A$2," ",'Bundle Tag Info'!$A$3,CHAR(10),'Bundle Tag Info'!E$6,CHAR(10),'Bundle Tag Info'!E$8),"")</f>
        <v/>
      </c>
      <c r="F3" s="12" t="str">
        <f>IF('Bundle Tag Info'!F$8&lt;&gt;"",CONCATENATE('Bundle Tag Info'!$A$1," ",CHAR(10),'Bundle Tag Info'!$A$2," ",'Bundle Tag Info'!$A$3,CHAR(10),'Bundle Tag Info'!F$6,CHAR(10),'Bundle Tag Info'!F$8),"")</f>
        <v/>
      </c>
      <c r="G3" s="12" t="str">
        <f>IF('Bundle Tag Info'!G$8&lt;&gt;"",CONCATENATE('Bundle Tag Info'!$A$1," ",CHAR(10),'Bundle Tag Info'!$A$2," ",'Bundle Tag Info'!$A$3,CHAR(10),'Bundle Tag Info'!G$6,CHAR(10),'Bundle Tag Info'!G$8),"")</f>
        <v/>
      </c>
      <c r="H3" s="12" t="str">
        <f>IF('Bundle Tag Info'!H$8&lt;&gt;"",CONCATENATE('Bundle Tag Info'!$A$1," ",CHAR(10),'Bundle Tag Info'!$A$2," ",'Bundle Tag Info'!$A$3,CHAR(10),'Bundle Tag Info'!H$6,CHAR(10),'Bundle Tag Info'!H$8),"")</f>
        <v/>
      </c>
      <c r="I3" s="12" t="str">
        <f>IF('Bundle Tag Info'!I$8&lt;&gt;"",CONCATENATE('Bundle Tag Info'!$A$1," ",CHAR(10),'Bundle Tag Info'!$A$2," ",'Bundle Tag Info'!$A$3,CHAR(10),'Bundle Tag Info'!I$6,CHAR(10),'Bundle Tag Info'!I$8),"")</f>
        <v/>
      </c>
      <c r="J3" s="12" t="str">
        <f>IF('Bundle Tag Info'!J$8&lt;&gt;"",CONCATENATE('Bundle Tag Info'!$A$1," ",CHAR(10),'Bundle Tag Info'!$A$2," ",'Bundle Tag Info'!$A$3,CHAR(10),'Bundle Tag Info'!J$6,CHAR(10),'Bundle Tag Info'!J$8),"")</f>
        <v/>
      </c>
      <c r="K3" s="12" t="str">
        <f>IF('Bundle Tag Info'!K$8&lt;&gt;"",CONCATENATE('Bundle Tag Info'!$A$1," ",CHAR(10),'Bundle Tag Info'!$A$2," ",'Bundle Tag Info'!$A$3,CHAR(10),'Bundle Tag Info'!K$6,CHAR(10),'Bundle Tag Info'!K$8),"")</f>
        <v/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Project Name and Unit # 
PD # Revision
Panel Name
Here</v>
      </c>
      <c r="B4" s="12" t="str">
        <f>IF('Bundle Tag Info'!B$9&lt;&gt;"",CONCATENATE('Bundle Tag Info'!$A$1," ",CHAR(10),'Bundle Tag Info'!$A$2," ",'Bundle Tag Info'!$A$3,CHAR(10),'Bundle Tag Info'!B$6,CHAR(10),'Bundle Tag Info'!B$9),"")</f>
        <v/>
      </c>
      <c r="C4" s="12" t="str">
        <f>IF('Bundle Tag Info'!C$9&lt;&gt;"",CONCATENATE('Bundle Tag Info'!$A$1," ",CHAR(10),'Bundle Tag Info'!$A$2," ",'Bundle Tag Info'!$A$3,CHAR(10),'Bundle Tag Info'!C$6,CHAR(10),'Bundle Tag Info'!C$9),"")</f>
        <v/>
      </c>
      <c r="D4" s="12" t="str">
        <f>IF('Bundle Tag Info'!D$9&lt;&gt;"",CONCATENATE('Bundle Tag Info'!$A$1," ",CHAR(10),'Bundle Tag Info'!$A$2," ",'Bundle Tag Info'!$A$3,CHAR(10),'Bundle Tag Info'!D$6,CHAR(10),'Bundle Tag Info'!D$9),"")</f>
        <v/>
      </c>
      <c r="E4" s="12" t="str">
        <f>IF('Bundle Tag Info'!E$9&lt;&gt;"",CONCATENATE('Bundle Tag Info'!$A$1," ",CHAR(10),'Bundle Tag Info'!$A$2," ",'Bundle Tag Info'!$A$3,CHAR(10),'Bundle Tag Info'!E$6,CHAR(10),'Bundle Tag Info'!E$9),"")</f>
        <v/>
      </c>
      <c r="F4" s="12" t="str">
        <f>IF('Bundle Tag Info'!F$9&lt;&gt;"",CONCATENATE('Bundle Tag Info'!$A$1," ",CHAR(10),'Bundle Tag Info'!$A$2," ",'Bundle Tag Info'!$A$3,CHAR(10),'Bundle Tag Info'!F$6,CHAR(10),'Bundle Tag Info'!F$9),"")</f>
        <v/>
      </c>
      <c r="G4" s="12" t="str">
        <f>IF('Bundle Tag Info'!G$9&lt;&gt;"",CONCATENATE('Bundle Tag Info'!$A$1," ",CHAR(10),'Bundle Tag Info'!$A$2," ",'Bundle Tag Info'!$A$3,CHAR(10),'Bundle Tag Info'!G$6,CHAR(10),'Bundle Tag Info'!G$9),"")</f>
        <v/>
      </c>
      <c r="H4" s="12" t="str">
        <f>IF('Bundle Tag Info'!H$9&lt;&gt;"",CONCATENATE('Bundle Tag Info'!$A$1," ",CHAR(10),'Bundle Tag Info'!$A$2," ",'Bundle Tag Info'!$A$3,CHAR(10),'Bundle Tag Info'!H$6,CHAR(10),'Bundle Tag Info'!H$9),"")</f>
        <v/>
      </c>
      <c r="I4" s="12" t="str">
        <f>IF('Bundle Tag Info'!I$9&lt;&gt;"",CONCATENATE('Bundle Tag Info'!$A$1," ",CHAR(10),'Bundle Tag Info'!$A$2," ",'Bundle Tag Info'!$A$3,CHAR(10),'Bundle Tag Info'!I$6,CHAR(10),'Bundle Tag Info'!I$9),"")</f>
        <v/>
      </c>
      <c r="J4" s="12" t="str">
        <f>IF('Bundle Tag Info'!J$9&lt;&gt;"",CONCATENATE('Bundle Tag Info'!$A$1," ",CHAR(10),'Bundle Tag Info'!$A$2," ",'Bundle Tag Info'!$A$3,CHAR(10),'Bundle Tag Info'!J$6,CHAR(10),'Bundle Tag Info'!J$9),"")</f>
        <v/>
      </c>
      <c r="K4" s="12" t="str">
        <f>IF('Bundle Tag Info'!K$9&lt;&gt;"",CONCATENATE('Bundle Tag Info'!$A$1," ",CHAR(10),'Bundle Tag Info'!$A$2," ",'Bundle Tag Info'!$A$3,CHAR(10),'Bundle Tag Info'!K$6,CHAR(10),'Bundle Tag Info'!K$9),"")</f>
        <v/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/>
      </c>
      <c r="B5" s="12" t="str">
        <f>IF('Bundle Tag Info'!B$10&lt;&gt;"",CONCATENATE('Bundle Tag Info'!$A$1," ",CHAR(10),'Bundle Tag Info'!$A$2," ",'Bundle Tag Info'!$A$3,CHAR(10),'Bundle Tag Info'!B$6,CHAR(10),'Bundle Tag Info'!B$10),"")</f>
        <v/>
      </c>
      <c r="C5" s="12" t="str">
        <f>IF('Bundle Tag Info'!C$10&lt;&gt;"",CONCATENATE('Bundle Tag Info'!$A$1," ",CHAR(10),'Bundle Tag Info'!$A$2," ",'Bundle Tag Info'!$A$3,CHAR(10),'Bundle Tag Info'!C$6,CHAR(10),'Bundle Tag Info'!C$10),"")</f>
        <v/>
      </c>
      <c r="D5" s="12" t="str">
        <f>IF('Bundle Tag Info'!D$10&lt;&gt;"",CONCATENATE('Bundle Tag Info'!$A$1," ",CHAR(10),'Bundle Tag Info'!$A$2," ",'Bundle Tag Info'!$A$3,CHAR(10),'Bundle Tag Info'!D$6,CHAR(10),'Bundle Tag Info'!D$10),"")</f>
        <v/>
      </c>
      <c r="E5" s="12" t="str">
        <f>IF('Bundle Tag Info'!E$10&lt;&gt;"",CONCATENATE('Bundle Tag Info'!$A$1," ",CHAR(10),'Bundle Tag Info'!$A$2," ",'Bundle Tag Info'!$A$3,CHAR(10),'Bundle Tag Info'!E$6,CHAR(10),'Bundle Tag Info'!E$10),"")</f>
        <v/>
      </c>
      <c r="F5" s="12" t="str">
        <f>IF('Bundle Tag Info'!F$10&lt;&gt;"",CONCATENATE('Bundle Tag Info'!$A$1," ",CHAR(10),'Bundle Tag Info'!$A$2," ",'Bundle Tag Info'!$A$3,CHAR(10),'Bundle Tag Info'!F$6,CHAR(10),'Bundle Tag Info'!F$10),"")</f>
        <v/>
      </c>
      <c r="G5" s="12" t="str">
        <f>IF('Bundle Tag Info'!G$10&lt;&gt;"",CONCATENATE('Bundle Tag Info'!$A$1," ",CHAR(10),'Bundle Tag Info'!$A$2," ",'Bundle Tag Info'!$A$3,CHAR(10),'Bundle Tag Info'!G$6,CHAR(10),'Bundle Tag Info'!G$10),"")</f>
        <v/>
      </c>
      <c r="H5" s="12" t="str">
        <f>IF('Bundle Tag Info'!H$10&lt;&gt;"",CONCATENATE('Bundle Tag Info'!$A$1," ",CHAR(10),'Bundle Tag Info'!$A$2," ",'Bundle Tag Info'!$A$3,CHAR(10),'Bundle Tag Info'!H$6,CHAR(10),'Bundle Tag Info'!H$10),"")</f>
        <v/>
      </c>
      <c r="I5" s="12" t="str">
        <f>IF('Bundle Tag Info'!I$10&lt;&gt;"",CONCATENATE('Bundle Tag Info'!$A$1," ",CHAR(10),'Bundle Tag Info'!$A$2," ",'Bundle Tag Info'!$A$3,CHAR(10),'Bundle Tag Info'!I$6,CHAR(10),'Bundle Tag Info'!I$10),"")</f>
        <v/>
      </c>
      <c r="J5" s="12" t="str">
        <f>IF('Bundle Tag Info'!J$10&lt;&gt;"",CONCATENATE('Bundle Tag Info'!$A$1," ",CHAR(10),'Bundle Tag Info'!$A$2," ",'Bundle Tag Info'!$A$3,CHAR(10),'Bundle Tag Info'!J$6,CHAR(10),'Bundle Tag Info'!J$10),"")</f>
        <v/>
      </c>
      <c r="K5" s="12" t="str">
        <f>IF('Bundle Tag Info'!K$10&lt;&gt;"",CONCATENATE('Bundle Tag Info'!$A$1," ",CHAR(10),'Bundle Tag Info'!$A$2," ",'Bundle Tag Info'!$A$3,CHAR(10),'Bundle Tag Info'!K$6,CHAR(10),'Bundle Tag Info'!K$10),"")</f>
        <v/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/>
      </c>
      <c r="B6" s="12" t="str">
        <f>IF('Bundle Tag Info'!B$11&lt;&gt;"",CONCATENATE('Bundle Tag Info'!$A$1," ",CHAR(10),'Bundle Tag Info'!$A$2," ",'Bundle Tag Info'!$A$3,CHAR(10),'Bundle Tag Info'!B$6,CHAR(10),'Bundle Tag Info'!B$11),"")</f>
        <v/>
      </c>
      <c r="C6" s="12" t="str">
        <f>IF('Bundle Tag Info'!C$11&lt;&gt;"",CONCATENATE('Bundle Tag Info'!$A$1," ",CHAR(10),'Bundle Tag Info'!$A$2," ",'Bundle Tag Info'!$A$3,CHAR(10),'Bundle Tag Info'!C$6,CHAR(10),'Bundle Tag Info'!C$11),"")</f>
        <v/>
      </c>
      <c r="D6" s="12" t="str">
        <f>IF('Bundle Tag Info'!D$11&lt;&gt;"",CONCATENATE('Bundle Tag Info'!$A$1," ",CHAR(10),'Bundle Tag Info'!$A$2," ",'Bundle Tag Info'!$A$3,CHAR(10),'Bundle Tag Info'!D$6,CHAR(10),'Bundle Tag Info'!D$11),"")</f>
        <v/>
      </c>
      <c r="E6" s="12" t="str">
        <f>IF('Bundle Tag Info'!E$11&lt;&gt;"",CONCATENATE('Bundle Tag Info'!$A$1," ",CHAR(10),'Bundle Tag Info'!$A$2," ",'Bundle Tag Info'!$A$3,CHAR(10),'Bundle Tag Info'!E$6,CHAR(10),'Bundle Tag Info'!E$11),"")</f>
        <v/>
      </c>
      <c r="F6" s="12" t="str">
        <f>IF('Bundle Tag Info'!F$11&lt;&gt;"",CONCATENATE('Bundle Tag Info'!$A$1," ",CHAR(10),'Bundle Tag Info'!$A$2," ",'Bundle Tag Info'!$A$3,CHAR(10),'Bundle Tag Info'!F$6,CHAR(10),'Bundle Tag Info'!F$11),"")</f>
        <v/>
      </c>
      <c r="G6" s="12" t="str">
        <f>IF('Bundle Tag Info'!G$11&lt;&gt;"",CONCATENATE('Bundle Tag Info'!$A$1," ",CHAR(10),'Bundle Tag Info'!$A$2," ",'Bundle Tag Info'!$A$3,CHAR(10),'Bundle Tag Info'!G$6,CHAR(10),'Bundle Tag Info'!G$11),"")</f>
        <v/>
      </c>
      <c r="H6" s="12" t="str">
        <f>IF('Bundle Tag Info'!H$11&lt;&gt;"",CONCATENATE('Bundle Tag Info'!$A$1," ",CHAR(10),'Bundle Tag Info'!$A$2," ",'Bundle Tag Info'!$A$3,CHAR(10),'Bundle Tag Info'!H$6,CHAR(10),'Bundle Tag Info'!H$11),"")</f>
        <v/>
      </c>
      <c r="I6" s="12" t="str">
        <f>IF('Bundle Tag Info'!I$11&lt;&gt;"",CONCATENATE('Bundle Tag Info'!$A$1," ",CHAR(10),'Bundle Tag Info'!$A$2," ",'Bundle Tag Info'!$A$3,CHAR(10),'Bundle Tag Info'!I$6,CHAR(10),'Bundle Tag Info'!I$11),"")</f>
        <v/>
      </c>
      <c r="J6" s="12" t="str">
        <f>IF('Bundle Tag Info'!J$11&lt;&gt;"",CONCATENATE('Bundle Tag Info'!$A$1," ",CHAR(10),'Bundle Tag Info'!$A$2," ",'Bundle Tag Info'!$A$3,CHAR(10),'Bundle Tag Info'!J$6,CHAR(10),'Bundle Tag Info'!J$11),"")</f>
        <v/>
      </c>
      <c r="K6" s="12" t="str">
        <f>IF('Bundle Tag Info'!K$11&lt;&gt;"",CONCATENATE('Bundle Tag Info'!$A$1," ",CHAR(10),'Bundle Tag Info'!$A$2," ",'Bundle Tag Info'!$A$3,CHAR(10),'Bundle Tag Info'!K$6,CHAR(10),'Bundle Tag Info'!K$11),"")</f>
        <v/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/>
      </c>
      <c r="B7" s="12" t="str">
        <f>IF('Bundle Tag Info'!B$12&lt;&gt;"",CONCATENATE('Bundle Tag Info'!$A$1," ",CHAR(10),'Bundle Tag Info'!$A$2," ",'Bundle Tag Info'!$A$3,CHAR(10),'Bundle Tag Info'!B$6,CHAR(10),'Bundle Tag Info'!B$12),"")</f>
        <v/>
      </c>
      <c r="C7" s="12" t="str">
        <f>IF('Bundle Tag Info'!C$12&lt;&gt;"",CONCATENATE('Bundle Tag Info'!$A$1," ",CHAR(10),'Bundle Tag Info'!$A$2," ",'Bundle Tag Info'!$A$3,CHAR(10),'Bundle Tag Info'!C$6,CHAR(10),'Bundle Tag Info'!C$12),"")</f>
        <v/>
      </c>
      <c r="D7" s="12" t="str">
        <f>IF('Bundle Tag Info'!D$12&lt;&gt;"",CONCATENATE('Bundle Tag Info'!$A$1," ",CHAR(10),'Bundle Tag Info'!$A$2," ",'Bundle Tag Info'!$A$3,CHAR(10),'Bundle Tag Info'!D$6,CHAR(10),'Bundle Tag Info'!D$12),"")</f>
        <v/>
      </c>
      <c r="E7" s="12" t="str">
        <f>IF('Bundle Tag Info'!E$12&lt;&gt;"",CONCATENATE('Bundle Tag Info'!$A$1," ",CHAR(10),'Bundle Tag Info'!$A$2," ",'Bundle Tag Info'!$A$3,CHAR(10),'Bundle Tag Info'!E$6,CHAR(10),'Bundle Tag Info'!E$12),"")</f>
        <v/>
      </c>
      <c r="F7" s="12" t="str">
        <f>IF('Bundle Tag Info'!F$12&lt;&gt;"",CONCATENATE('Bundle Tag Info'!$A$1," ",CHAR(10),'Bundle Tag Info'!$A$2," ",'Bundle Tag Info'!$A$3,CHAR(10),'Bundle Tag Info'!F$6,CHAR(10),'Bundle Tag Info'!F$12),"")</f>
        <v/>
      </c>
      <c r="G7" s="12" t="str">
        <f>IF('Bundle Tag Info'!G$12&lt;&gt;"",CONCATENATE('Bundle Tag Info'!$A$1," ",CHAR(10),'Bundle Tag Info'!$A$2," ",'Bundle Tag Info'!$A$3,CHAR(10),'Bundle Tag Info'!G$6,CHAR(10),'Bundle Tag Info'!G$12),"")</f>
        <v/>
      </c>
      <c r="H7" s="12" t="str">
        <f>IF('Bundle Tag Info'!H$12&lt;&gt;"",CONCATENATE('Bundle Tag Info'!$A$1," ",CHAR(10),'Bundle Tag Info'!$A$2," ",'Bundle Tag Info'!$A$3,CHAR(10),'Bundle Tag Info'!H$6,CHAR(10),'Bundle Tag Info'!H$12),"")</f>
        <v/>
      </c>
      <c r="I7" s="12" t="str">
        <f>IF('Bundle Tag Info'!I$12&lt;&gt;"",CONCATENATE('Bundle Tag Info'!$A$1," ",CHAR(10),'Bundle Tag Info'!$A$2," ",'Bundle Tag Info'!$A$3,CHAR(10),'Bundle Tag Info'!I$6,CHAR(10),'Bundle Tag Info'!I$12),"")</f>
        <v/>
      </c>
      <c r="J7" s="12" t="str">
        <f>IF('Bundle Tag Info'!J$12&lt;&gt;"",CONCATENATE('Bundle Tag Info'!$A$1," ",CHAR(10),'Bundle Tag Info'!$A$2," ",'Bundle Tag Info'!$A$3,CHAR(10),'Bundle Tag Info'!J$6,CHAR(10),'Bundle Tag Info'!J$12),"")</f>
        <v/>
      </c>
      <c r="K7" s="12" t="str">
        <f>IF('Bundle Tag Info'!K$12&lt;&gt;"",CONCATENATE('Bundle Tag Info'!$A$1," ",CHAR(10),'Bundle Tag Info'!$A$2," ",'Bundle Tag Info'!$A$3,CHAR(10),'Bundle Tag Info'!K$6,CHAR(10),'Bundle Tag Info'!K$12),"")</f>
        <v/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/>
      </c>
      <c r="B8" s="12" t="str">
        <f>IF('Bundle Tag Info'!B$13&lt;&gt;"",CONCATENATE('Bundle Tag Info'!$A$1," ",CHAR(10),'Bundle Tag Info'!$A$2," ",'Bundle Tag Info'!$A$3,CHAR(10),'Bundle Tag Info'!B$6,CHAR(10),'Bundle Tag Info'!B$13),"")</f>
        <v/>
      </c>
      <c r="C8" s="12" t="str">
        <f>IF('Bundle Tag Info'!C$13&lt;&gt;"",CONCATENATE('Bundle Tag Info'!$A$1," ",CHAR(10),'Bundle Tag Info'!$A$2," ",'Bundle Tag Info'!$A$3,CHAR(10),'Bundle Tag Info'!C$6,CHAR(10),'Bundle Tag Info'!C$13),"")</f>
        <v/>
      </c>
      <c r="D8" s="12" t="str">
        <f>IF('Bundle Tag Info'!D$13&lt;&gt;"",CONCATENATE('Bundle Tag Info'!$A$1," ",CHAR(10),'Bundle Tag Info'!$A$2," ",'Bundle Tag Info'!$A$3,CHAR(10),'Bundle Tag Info'!D$6,CHAR(10),'Bundle Tag Info'!D$13),"")</f>
        <v/>
      </c>
      <c r="E8" s="12" t="str">
        <f>IF('Bundle Tag Info'!E$13&lt;&gt;"",CONCATENATE('Bundle Tag Info'!$A$1," ",CHAR(10),'Bundle Tag Info'!$A$2," ",'Bundle Tag Info'!$A$3,CHAR(10),'Bundle Tag Info'!E$6,CHAR(10),'Bundle Tag Info'!E$13),"")</f>
        <v/>
      </c>
      <c r="F8" s="12" t="str">
        <f>IF('Bundle Tag Info'!F$13&lt;&gt;"",CONCATENATE('Bundle Tag Info'!$A$1," ",CHAR(10),'Bundle Tag Info'!$A$2," ",'Bundle Tag Info'!$A$3,CHAR(10),'Bundle Tag Info'!F$6,CHAR(10),'Bundle Tag Info'!F$13),"")</f>
        <v/>
      </c>
      <c r="G8" s="12" t="str">
        <f>IF('Bundle Tag Info'!G$13&lt;&gt;"",CONCATENATE('Bundle Tag Info'!$A$1," ",CHAR(10),'Bundle Tag Info'!$A$2," ",'Bundle Tag Info'!$A$3,CHAR(10),'Bundle Tag Info'!G$6,CHAR(10),'Bundle Tag Info'!G$13),"")</f>
        <v/>
      </c>
      <c r="H8" s="12" t="str">
        <f>IF('Bundle Tag Info'!H$13&lt;&gt;"",CONCATENATE('Bundle Tag Info'!$A$1," ",CHAR(10),'Bundle Tag Info'!$A$2," ",'Bundle Tag Info'!$A$3,CHAR(10),'Bundle Tag Info'!H$6,CHAR(10),'Bundle Tag Info'!H$13),"")</f>
        <v/>
      </c>
      <c r="I8" s="12" t="str">
        <f>IF('Bundle Tag Info'!I$13&lt;&gt;"",CONCATENATE('Bundle Tag Info'!$A$1," ",CHAR(10),'Bundle Tag Info'!$A$2," ",'Bundle Tag Info'!$A$3,CHAR(10),'Bundle Tag Info'!I$6,CHAR(10),'Bundle Tag Info'!I$13),"")</f>
        <v/>
      </c>
      <c r="J8" s="12" t="str">
        <f>IF('Bundle Tag Info'!J$13&lt;&gt;"",CONCATENATE('Bundle Tag Info'!$A$1," ",CHAR(10),'Bundle Tag Info'!$A$2," ",'Bundle Tag Info'!$A$3,CHAR(10),'Bundle Tag Info'!J$6,CHAR(10),'Bundle Tag Info'!J$13),"")</f>
        <v/>
      </c>
      <c r="K8" s="12" t="str">
        <f>IF('Bundle Tag Info'!K$13&lt;&gt;"",CONCATENATE('Bundle Tag Info'!$A$1," ",CHAR(10),'Bundle Tag Info'!$A$2," ",'Bundle Tag Info'!$A$3,CHAR(10),'Bundle Tag Info'!K$6,CHAR(10),'Bundle Tag Info'!K$13),"")</f>
        <v/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/>
      </c>
      <c r="B9" s="12" t="str">
        <f>IF('Bundle Tag Info'!B$14&lt;&gt;"",CONCATENATE('Bundle Tag Info'!$A$1," ",CHAR(10),'Bundle Tag Info'!$A$2," ",'Bundle Tag Info'!$A$3,CHAR(10),'Bundle Tag Info'!B$6,CHAR(10),'Bundle Tag Info'!B$14),"")</f>
        <v/>
      </c>
      <c r="C9" s="12" t="str">
        <f>IF('Bundle Tag Info'!C$14&lt;&gt;"",CONCATENATE('Bundle Tag Info'!$A$1," ",CHAR(10),'Bundle Tag Info'!$A$2," ",'Bundle Tag Info'!$A$3,CHAR(10),'Bundle Tag Info'!C$6,CHAR(10),'Bundle Tag Info'!C$14),"")</f>
        <v/>
      </c>
      <c r="D9" s="12" t="str">
        <f>IF('Bundle Tag Info'!D$14&lt;&gt;"",CONCATENATE('Bundle Tag Info'!$A$1," ",CHAR(10),'Bundle Tag Info'!$A$2," ",'Bundle Tag Info'!$A$3,CHAR(10),'Bundle Tag Info'!D$6,CHAR(10),'Bundle Tag Info'!D$14),"")</f>
        <v/>
      </c>
      <c r="E9" s="12" t="str">
        <f>IF('Bundle Tag Info'!E$14&lt;&gt;"",CONCATENATE('Bundle Tag Info'!$A$1," ",CHAR(10),'Bundle Tag Info'!$A$2," ",'Bundle Tag Info'!$A$3,CHAR(10),'Bundle Tag Info'!E$6,CHAR(10),'Bundle Tag Info'!E$14),"")</f>
        <v/>
      </c>
      <c r="F9" s="12" t="str">
        <f>IF('Bundle Tag Info'!F$14&lt;&gt;"",CONCATENATE('Bundle Tag Info'!$A$1," ",CHAR(10),'Bundle Tag Info'!$A$2," ",'Bundle Tag Info'!$A$3,CHAR(10),'Bundle Tag Info'!F$6,CHAR(10),'Bundle Tag Info'!F$14),"")</f>
        <v/>
      </c>
      <c r="G9" s="12" t="str">
        <f>IF('Bundle Tag Info'!G$14&lt;&gt;"",CONCATENATE('Bundle Tag Info'!$A$1," ",CHAR(10),'Bundle Tag Info'!$A$2," ",'Bundle Tag Info'!$A$3,CHAR(10),'Bundle Tag Info'!G$6,CHAR(10),'Bundle Tag Info'!G$14),"")</f>
        <v/>
      </c>
      <c r="H9" s="12" t="str">
        <f>IF('Bundle Tag Info'!H$14&lt;&gt;"",CONCATENATE('Bundle Tag Info'!$A$1," ",CHAR(10),'Bundle Tag Info'!$A$2," ",'Bundle Tag Info'!$A$3,CHAR(10),'Bundle Tag Info'!H$6,CHAR(10),'Bundle Tag Info'!H$14),"")</f>
        <v/>
      </c>
      <c r="I9" s="12" t="str">
        <f>IF('Bundle Tag Info'!I$14&lt;&gt;"",CONCATENATE('Bundle Tag Info'!$A$1," ",CHAR(10),'Bundle Tag Info'!$A$2," ",'Bundle Tag Info'!$A$3,CHAR(10),'Bundle Tag Info'!I$6,CHAR(10),'Bundle Tag Info'!I$14),"")</f>
        <v/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/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/>
      </c>
      <c r="B10" s="12" t="str">
        <f>IF('Bundle Tag Info'!B$15&lt;&gt;"",CONCATENATE('Bundle Tag Info'!$A$1," ",CHAR(10),'Bundle Tag Info'!$A$2," ",'Bundle Tag Info'!$A$3,CHAR(10),'Bundle Tag Info'!B$6,CHAR(10),'Bundle Tag Info'!B$15),"")</f>
        <v/>
      </c>
      <c r="C10" s="12" t="str">
        <f>IF('Bundle Tag Info'!C$15&lt;&gt;"",CONCATENATE('Bundle Tag Info'!$A$1," ",CHAR(10),'Bundle Tag Info'!$A$2," ",'Bundle Tag Info'!$A$3,CHAR(10),'Bundle Tag Info'!C$6,CHAR(10),'Bundle Tag Info'!C$15),"")</f>
        <v/>
      </c>
      <c r="D10" s="12" t="str">
        <f>IF('Bundle Tag Info'!D$15&lt;&gt;"",CONCATENATE('Bundle Tag Info'!$A$1," ",CHAR(10),'Bundle Tag Info'!$A$2," ",'Bundle Tag Info'!$A$3,CHAR(10),'Bundle Tag Info'!D$6,CHAR(10),'Bundle Tag Info'!D$15),"")</f>
        <v/>
      </c>
      <c r="E10" s="12" t="str">
        <f>IF('Bundle Tag Info'!E$15&lt;&gt;"",CONCATENATE('Bundle Tag Info'!$A$1," ",CHAR(10),'Bundle Tag Info'!$A$2," ",'Bundle Tag Info'!$A$3,CHAR(10),'Bundle Tag Info'!E$6,CHAR(10),'Bundle Tag Info'!E$15),"")</f>
        <v/>
      </c>
      <c r="F10" s="12" t="str">
        <f>IF('Bundle Tag Info'!F$15&lt;&gt;"",CONCATENATE('Bundle Tag Info'!$A$1," ",CHAR(10),'Bundle Tag Info'!$A$2," ",'Bundle Tag Info'!$A$3,CHAR(10),'Bundle Tag Info'!F$6,CHAR(10),'Bundle Tag Info'!F$15),"")</f>
        <v/>
      </c>
      <c r="G10" s="12" t="str">
        <f>IF('Bundle Tag Info'!G$15&lt;&gt;"",CONCATENATE('Bundle Tag Info'!$A$1," ",CHAR(10),'Bundle Tag Info'!$A$2," ",'Bundle Tag Info'!$A$3,CHAR(10),'Bundle Tag Info'!G$6,CHAR(10),'Bundle Tag Info'!G$15),"")</f>
        <v/>
      </c>
      <c r="H10" s="12" t="str">
        <f>IF('Bundle Tag Info'!H$15&lt;&gt;"",CONCATENATE('Bundle Tag Info'!$A$1," ",CHAR(10),'Bundle Tag Info'!$A$2," ",'Bundle Tag Info'!$A$3,CHAR(10),'Bundle Tag Info'!H$6,CHAR(10),'Bundle Tag Info'!H$15),"")</f>
        <v/>
      </c>
      <c r="I10" s="12" t="str">
        <f>IF('Bundle Tag Info'!I$15&lt;&gt;"",CONCATENATE('Bundle Tag Info'!$A$1," ",CHAR(10),'Bundle Tag Info'!$A$2," ",'Bundle Tag Info'!$A$3,CHAR(10),'Bundle Tag Info'!I$6,CHAR(10),'Bundle Tag Info'!I$15),"")</f>
        <v/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/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/>
      </c>
      <c r="B11" s="12" t="str">
        <f>IF('Bundle Tag Info'!B$16&lt;&gt;"",CONCATENATE('Bundle Tag Info'!$A$1," ",CHAR(10),'Bundle Tag Info'!$A$2," ",'Bundle Tag Info'!$A$3,CHAR(10),'Bundle Tag Info'!B$6,CHAR(10),'Bundle Tag Info'!B$16),"")</f>
        <v/>
      </c>
      <c r="C11" s="12" t="str">
        <f>IF('Bundle Tag Info'!C$16&lt;&gt;"",CONCATENATE('Bundle Tag Info'!$A$1," ",CHAR(10),'Bundle Tag Info'!$A$2," ",'Bundle Tag Info'!$A$3,CHAR(10),'Bundle Tag Info'!C$6,CHAR(10),'Bundle Tag Info'!C$16),"")</f>
        <v/>
      </c>
      <c r="D11" s="12" t="str">
        <f>IF('Bundle Tag Info'!D$16&lt;&gt;"",CONCATENATE('Bundle Tag Info'!$A$1," ",CHAR(10),'Bundle Tag Info'!$A$2," ",'Bundle Tag Info'!$A$3,CHAR(10),'Bundle Tag Info'!D$6,CHAR(10),'Bundle Tag Info'!D$16),"")</f>
        <v/>
      </c>
      <c r="E11" s="12" t="str">
        <f>IF('Bundle Tag Info'!E$16&lt;&gt;"",CONCATENATE('Bundle Tag Info'!$A$1," ",CHAR(10),'Bundle Tag Info'!$A$2," ",'Bundle Tag Info'!$A$3,CHAR(10),'Bundle Tag Info'!E$6,CHAR(10),'Bundle Tag Info'!E$16),"")</f>
        <v/>
      </c>
      <c r="F11" s="12" t="str">
        <f>IF('Bundle Tag Info'!F$16&lt;&gt;"",CONCATENATE('Bundle Tag Info'!$A$1," ",CHAR(10),'Bundle Tag Info'!$A$2," ",'Bundle Tag Info'!$A$3,CHAR(10),'Bundle Tag Info'!F$6,CHAR(10),'Bundle Tag Info'!F$16),"")</f>
        <v/>
      </c>
      <c r="G11" s="12" t="str">
        <f>IF('Bundle Tag Info'!G$16&lt;&gt;"",CONCATENATE('Bundle Tag Info'!$A$1," ",CHAR(10),'Bundle Tag Info'!$A$2," ",'Bundle Tag Info'!$A$3,CHAR(10),'Bundle Tag Info'!G$6,CHAR(10),'Bundle Tag Info'!G$16),"")</f>
        <v/>
      </c>
      <c r="H11" s="12" t="str">
        <f>IF('Bundle Tag Info'!H$16&lt;&gt;"",CONCATENATE('Bundle Tag Info'!$A$1," ",CHAR(10),'Bundle Tag Info'!$A$2," ",'Bundle Tag Info'!$A$3,CHAR(10),'Bundle Tag Info'!H$6,CHAR(10),'Bundle Tag Info'!H$16),"")</f>
        <v/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/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/>
      </c>
      <c r="B12" s="12" t="str">
        <f>IF('Bundle Tag Info'!B$17&lt;&gt;"",CONCATENATE('Bundle Tag Info'!$A$1," ",CHAR(10),'Bundle Tag Info'!$A$2," ",'Bundle Tag Info'!$A$3,CHAR(10),'Bundle Tag Info'!B$6,CHAR(10),'Bundle Tag Info'!B$17),"")</f>
        <v/>
      </c>
      <c r="C12" s="12" t="str">
        <f>IF('Bundle Tag Info'!C$17&lt;&gt;"",CONCATENATE('Bundle Tag Info'!$A$1," ",CHAR(10),'Bundle Tag Info'!$A$2," ",'Bundle Tag Info'!$A$3,CHAR(10),'Bundle Tag Info'!C$6,CHAR(10),'Bundle Tag Info'!C$17),"")</f>
        <v/>
      </c>
      <c r="D12" s="12" t="str">
        <f>IF('Bundle Tag Info'!D$17&lt;&gt;"",CONCATENATE('Bundle Tag Info'!$A$1," ",CHAR(10),'Bundle Tag Info'!$A$2," ",'Bundle Tag Info'!$A$3,CHAR(10),'Bundle Tag Info'!D$6,CHAR(10),'Bundle Tag Info'!D$17),"")</f>
        <v/>
      </c>
      <c r="E12" s="12" t="str">
        <f>IF('Bundle Tag Info'!E$17&lt;&gt;"",CONCATENATE('Bundle Tag Info'!$A$1," ",CHAR(10),'Bundle Tag Info'!$A$2," ",'Bundle Tag Info'!$A$3,CHAR(10),'Bundle Tag Info'!E$6,CHAR(10),'Bundle Tag Info'!E$17),"")</f>
        <v/>
      </c>
      <c r="F12" s="12" t="str">
        <f>IF('Bundle Tag Info'!F$17&lt;&gt;"",CONCATENATE('Bundle Tag Info'!$A$1," ",CHAR(10),'Bundle Tag Info'!$A$2," ",'Bundle Tag Info'!$A$3,CHAR(10),'Bundle Tag Info'!F$6,CHAR(10),'Bundle Tag Info'!F$17),"")</f>
        <v/>
      </c>
      <c r="G12" s="12" t="str">
        <f>IF('Bundle Tag Info'!G$17&lt;&gt;"",CONCATENATE('Bundle Tag Info'!$A$1," ",CHAR(10),'Bundle Tag Info'!$A$2," ",'Bundle Tag Info'!$A$3,CHAR(10),'Bundle Tag Info'!G$6,CHAR(10),'Bundle Tag Info'!G$17),"")</f>
        <v/>
      </c>
      <c r="H12" s="12" t="str">
        <f>IF('Bundle Tag Info'!H$17&lt;&gt;"",CONCATENATE('Bundle Tag Info'!$A$1," ",CHAR(10),'Bundle Tag Info'!$A$2," ",'Bundle Tag Info'!$A$3,CHAR(10),'Bundle Tag Info'!H$6,CHAR(10),'Bundle Tag Info'!H$17),"")</f>
        <v/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/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/>
      </c>
      <c r="B13" s="12" t="str">
        <f>IF('Bundle Tag Info'!B$18&lt;&gt;"",CONCATENATE('Bundle Tag Info'!$A$1," ",CHAR(10),'Bundle Tag Info'!$A$2," ",'Bundle Tag Info'!$A$3,CHAR(10),'Bundle Tag Info'!B$6,CHAR(10),'Bundle Tag Info'!B$18),"")</f>
        <v/>
      </c>
      <c r="C13" s="12" t="str">
        <f>IF('Bundle Tag Info'!C$18&lt;&gt;"",CONCATENATE('Bundle Tag Info'!$A$1," ",CHAR(10),'Bundle Tag Info'!$A$2," ",'Bundle Tag Info'!$A$3,CHAR(10),'Bundle Tag Info'!C$6,CHAR(10),'Bundle Tag Info'!C$18),"")</f>
        <v/>
      </c>
      <c r="D13" s="12" t="str">
        <f>IF('Bundle Tag Info'!D$18&lt;&gt;"",CONCATENATE('Bundle Tag Info'!$A$1," ",CHAR(10),'Bundle Tag Info'!$A$2," ",'Bundle Tag Info'!$A$3,CHAR(10),'Bundle Tag Info'!D$6,CHAR(10),'Bundle Tag Info'!D$18),"")</f>
        <v/>
      </c>
      <c r="E13" s="12" t="str">
        <f>IF('Bundle Tag Info'!E$18&lt;&gt;"",CONCATENATE('Bundle Tag Info'!$A$1," ",CHAR(10),'Bundle Tag Info'!$A$2," ",'Bundle Tag Info'!$A$3,CHAR(10),'Bundle Tag Info'!E$6,CHAR(10),'Bundle Tag Info'!E$18),"")</f>
        <v/>
      </c>
      <c r="F13" s="12" t="str">
        <f>IF('Bundle Tag Info'!F$18&lt;&gt;"",CONCATENATE('Bundle Tag Info'!$A$1," ",CHAR(10),'Bundle Tag Info'!$A$2," ",'Bundle Tag Info'!$A$3,CHAR(10),'Bundle Tag Info'!F$6,CHAR(10),'Bundle Tag Info'!F$18),"")</f>
        <v/>
      </c>
      <c r="G13" s="12" t="str">
        <f>IF('Bundle Tag Info'!G$18&lt;&gt;"",CONCATENATE('Bundle Tag Info'!$A$1," ",CHAR(10),'Bundle Tag Info'!$A$2," ",'Bundle Tag Info'!$A$3,CHAR(10),'Bundle Tag Info'!G$6,CHAR(10),'Bundle Tag Info'!G$18),"")</f>
        <v/>
      </c>
      <c r="H13" s="12" t="str">
        <f>IF('Bundle Tag Info'!H$18&lt;&gt;"",CONCATENATE('Bundle Tag Info'!$A$1," ",CHAR(10),'Bundle Tag Info'!$A$2," ",'Bundle Tag Info'!$A$3,CHAR(10),'Bundle Tag Info'!H$6,CHAR(10),'Bundle Tag Info'!H$18),"")</f>
        <v/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/>
      </c>
      <c r="B14" s="12" t="str">
        <f>IF('Bundle Tag Info'!B$19&lt;&gt;"",CONCATENATE('Bundle Tag Info'!$A$1," ",CHAR(10),'Bundle Tag Info'!$A$2," ",'Bundle Tag Info'!$A$3,CHAR(10),'Bundle Tag Info'!B$6,CHAR(10),'Bundle Tag Info'!B$19),"")</f>
        <v/>
      </c>
      <c r="C14" s="12" t="str">
        <f>IF('Bundle Tag Info'!C$19&lt;&gt;"",CONCATENATE('Bundle Tag Info'!$A$1," ",CHAR(10),'Bundle Tag Info'!$A$2," ",'Bundle Tag Info'!$A$3,CHAR(10),'Bundle Tag Info'!C$6,CHAR(10),'Bundle Tag Info'!C$19),"")</f>
        <v/>
      </c>
      <c r="D14" s="12" t="str">
        <f>IF('Bundle Tag Info'!D$19&lt;&gt;"",CONCATENATE('Bundle Tag Info'!$A$1," ",CHAR(10),'Bundle Tag Info'!$A$2," ",'Bundle Tag Info'!$A$3,CHAR(10),'Bundle Tag Info'!D$6,CHAR(10),'Bundle Tag Info'!D$19),"")</f>
        <v/>
      </c>
      <c r="E14" s="12" t="str">
        <f>IF('Bundle Tag Info'!E$19&lt;&gt;"",CONCATENATE('Bundle Tag Info'!$A$1," ",CHAR(10),'Bundle Tag Info'!$A$2," ",'Bundle Tag Info'!$A$3,CHAR(10),'Bundle Tag Info'!E$6,CHAR(10),'Bundle Tag Info'!E$19),"")</f>
        <v/>
      </c>
      <c r="F14" s="12" t="str">
        <f>IF('Bundle Tag Info'!F$19&lt;&gt;"",CONCATENATE('Bundle Tag Info'!$A$1," ",CHAR(10),'Bundle Tag Info'!$A$2," ",'Bundle Tag Info'!$A$3,CHAR(10),'Bundle Tag Info'!F$6,CHAR(10),'Bundle Tag Info'!F$19),"")</f>
        <v/>
      </c>
      <c r="G14" s="12" t="str">
        <f>IF('Bundle Tag Info'!G$19&lt;&gt;"",CONCATENATE('Bundle Tag Info'!$A$1," ",CHAR(10),'Bundle Tag Info'!$A$2," ",'Bundle Tag Info'!$A$3,CHAR(10),'Bundle Tag Info'!G$6,CHAR(10),'Bundle Tag Info'!G$19),"")</f>
        <v/>
      </c>
      <c r="H14" s="12" t="str">
        <f>IF('Bundle Tag Info'!H$19&lt;&gt;"",CONCATENATE('Bundle Tag Info'!$A$1," ",CHAR(10),'Bundle Tag Info'!$A$2," ",'Bundle Tag Info'!$A$3,CHAR(10),'Bundle Tag Info'!H$6,CHAR(10),'Bundle Tag Info'!H$19),"")</f>
        <v/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/>
      </c>
      <c r="B15" s="12" t="str">
        <f>IF('Bundle Tag Info'!B$20&lt;&gt;"",CONCATENATE('Bundle Tag Info'!$A$1," ",CHAR(10),'Bundle Tag Info'!$A$2," ",'Bundle Tag Info'!$A$3,CHAR(10),'Bundle Tag Info'!B$6,CHAR(10),'Bundle Tag Info'!B$20),"")</f>
        <v/>
      </c>
      <c r="C15" s="12" t="str">
        <f>IF('Bundle Tag Info'!C$20&lt;&gt;"",CONCATENATE('Bundle Tag Info'!$A$1," ",CHAR(10),'Bundle Tag Info'!$A$2," ",'Bundle Tag Info'!$A$3,CHAR(10),'Bundle Tag Info'!C$6,CHAR(10),'Bundle Tag Info'!C$20),"")</f>
        <v/>
      </c>
      <c r="D15" s="12" t="str">
        <f>IF('Bundle Tag Info'!D$20&lt;&gt;"",CONCATENATE('Bundle Tag Info'!$A$1," ",CHAR(10),'Bundle Tag Info'!$A$2," ",'Bundle Tag Info'!$A$3,CHAR(10),'Bundle Tag Info'!D$6,CHAR(10),'Bundle Tag Info'!D$20),"")</f>
        <v/>
      </c>
      <c r="E15" s="12" t="str">
        <f>IF('Bundle Tag Info'!E$20&lt;&gt;"",CONCATENATE('Bundle Tag Info'!$A$1," ",CHAR(10),'Bundle Tag Info'!$A$2," ",'Bundle Tag Info'!$A$3,CHAR(10),'Bundle Tag Info'!E$6,CHAR(10),'Bundle Tag Info'!E$20),"")</f>
        <v/>
      </c>
      <c r="F15" s="12" t="str">
        <f>IF('Bundle Tag Info'!F$20&lt;&gt;"",CONCATENATE('Bundle Tag Info'!$A$1," ",CHAR(10),'Bundle Tag Info'!$A$2," ",'Bundle Tag Info'!$A$3,CHAR(10),'Bundle Tag Info'!F$6,CHAR(10),'Bundle Tag Info'!F$20),"")</f>
        <v/>
      </c>
      <c r="G15" s="12" t="str">
        <f>IF('Bundle Tag Info'!G$20&lt;&gt;"",CONCATENATE('Bundle Tag Info'!$A$1," ",CHAR(10),'Bundle Tag Info'!$A$2," ",'Bundle Tag Info'!$A$3,CHAR(10),'Bundle Tag Info'!G$6,CHAR(10),'Bundle Tag Info'!G$20),"")</f>
        <v/>
      </c>
      <c r="H15" s="12" t="str">
        <f>IF('Bundle Tag Info'!H$20&lt;&gt;"",CONCATENATE('Bundle Tag Info'!$A$1," ",CHAR(10),'Bundle Tag Info'!$A$2," ",'Bundle Tag Info'!$A$3,CHAR(10),'Bundle Tag Info'!H$6,CHAR(10),'Bundle Tag Info'!H$20),"")</f>
        <v/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/>
      </c>
      <c r="B16" s="12" t="str">
        <f>IF('Bundle Tag Info'!B$21&lt;&gt;"",CONCATENATE('Bundle Tag Info'!$A$1," ",CHAR(10),'Bundle Tag Info'!$A$2," ",'Bundle Tag Info'!$A$3,CHAR(10),'Bundle Tag Info'!B$6,CHAR(10),'Bundle Tag Info'!B$21),"")</f>
        <v/>
      </c>
      <c r="C16" s="12" t="str">
        <f>IF('Bundle Tag Info'!C$21&lt;&gt;"",CONCATENATE('Bundle Tag Info'!$A$1," ",CHAR(10),'Bundle Tag Info'!$A$2," ",'Bundle Tag Info'!$A$3,CHAR(10),'Bundle Tag Info'!C$6,CHAR(10),'Bundle Tag Info'!C$21),"")</f>
        <v/>
      </c>
      <c r="D16" s="12" t="str">
        <f>IF('Bundle Tag Info'!D$21&lt;&gt;"",CONCATENATE('Bundle Tag Info'!$A$1," ",CHAR(10),'Bundle Tag Info'!$A$2," ",'Bundle Tag Info'!$A$3,CHAR(10),'Bundle Tag Info'!D$6,CHAR(10),'Bundle Tag Info'!D$21),"")</f>
        <v/>
      </c>
      <c r="E16" s="12" t="str">
        <f>IF('Bundle Tag Info'!E$21&lt;&gt;"",CONCATENATE('Bundle Tag Info'!$A$1," ",CHAR(10),'Bundle Tag Info'!$A$2," ",'Bundle Tag Info'!$A$3,CHAR(10),'Bundle Tag Info'!E$6,CHAR(10),'Bundle Tag Info'!E$21),"")</f>
        <v/>
      </c>
      <c r="F16" s="12" t="str">
        <f>IF('Bundle Tag Info'!F$21&lt;&gt;"",CONCATENATE('Bundle Tag Info'!$A$1," ",CHAR(10),'Bundle Tag Info'!$A$2," ",'Bundle Tag Info'!$A$3,CHAR(10),'Bundle Tag Info'!F$6,CHAR(10),'Bundle Tag Info'!F$21),"")</f>
        <v/>
      </c>
      <c r="G16" s="12" t="str">
        <f>IF('Bundle Tag Info'!G$21&lt;&gt;"",CONCATENATE('Bundle Tag Info'!$A$1," ",CHAR(10),'Bundle Tag Info'!$A$2," ",'Bundle Tag Info'!$A$3,CHAR(10),'Bundle Tag Info'!G$6,CHAR(10),'Bundle Tag Info'!G$21),"")</f>
        <v/>
      </c>
      <c r="H16" s="12" t="str">
        <f>IF('Bundle Tag Info'!H$21&lt;&gt;"",CONCATENATE('Bundle Tag Info'!$A$1," ",CHAR(10),'Bundle Tag Info'!$A$2," ",'Bundle Tag Info'!$A$3,CHAR(10),'Bundle Tag Info'!H$6,CHAR(10),'Bundle Tag Info'!H$21),"")</f>
        <v/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/>
      </c>
      <c r="B17" s="12" t="str">
        <f>IF('Bundle Tag Info'!B$22&lt;&gt;"",CONCATENATE('Bundle Tag Info'!$A$1," ",CHAR(10),'Bundle Tag Info'!$A$2," ",'Bundle Tag Info'!$A$3,CHAR(10),'Bundle Tag Info'!B$6,CHAR(10),'Bundle Tag Info'!B$22),"")</f>
        <v/>
      </c>
      <c r="C17" s="12" t="str">
        <f>IF('Bundle Tag Info'!C$22&lt;&gt;"",CONCATENATE('Bundle Tag Info'!$A$1," ",CHAR(10),'Bundle Tag Info'!$A$2," ",'Bundle Tag Info'!$A$3,CHAR(10),'Bundle Tag Info'!C$6,CHAR(10),'Bundle Tag Info'!C$22),"")</f>
        <v/>
      </c>
      <c r="D17" s="12" t="str">
        <f>IF('Bundle Tag Info'!D$22&lt;&gt;"",CONCATENATE('Bundle Tag Info'!$A$1," ",CHAR(10),'Bundle Tag Info'!$A$2," ",'Bundle Tag Info'!$A$3,CHAR(10),'Bundle Tag Info'!D$6,CHAR(10),'Bundle Tag Info'!D$22),"")</f>
        <v/>
      </c>
      <c r="E17" s="12" t="str">
        <f>IF('Bundle Tag Info'!E$22&lt;&gt;"",CONCATENATE('Bundle Tag Info'!$A$1," ",CHAR(10),'Bundle Tag Info'!$A$2," ",'Bundle Tag Info'!$A$3,CHAR(10),'Bundle Tag Info'!E$6,CHAR(10),'Bundle Tag Info'!E$22),"")</f>
        <v/>
      </c>
      <c r="F17" s="12" t="str">
        <f>IF('Bundle Tag Info'!F$22&lt;&gt;"",CONCATENATE('Bundle Tag Info'!$A$1," ",CHAR(10),'Bundle Tag Info'!$A$2," ",'Bundle Tag Info'!$A$3,CHAR(10),'Bundle Tag Info'!F$6,CHAR(10),'Bundle Tag Info'!F$22),"")</f>
        <v/>
      </c>
      <c r="G17" s="12" t="str">
        <f>IF('Bundle Tag Info'!G$22&lt;&gt;"",CONCATENATE('Bundle Tag Info'!$A$1," ",CHAR(10),'Bundle Tag Info'!$A$2," ",'Bundle Tag Info'!$A$3,CHAR(10),'Bundle Tag Info'!G$6,CHAR(10),'Bundle Tag Info'!G$22),"")</f>
        <v/>
      </c>
      <c r="H17" s="12" t="str">
        <f>IF('Bundle Tag Info'!H$22&lt;&gt;"",CONCATENATE('Bundle Tag Info'!$A$1," ",CHAR(10),'Bundle Tag Info'!$A$2," ",'Bundle Tag Info'!$A$3,CHAR(10),'Bundle Tag Info'!H$6,CHAR(10),'Bundle Tag Info'!H$22),"")</f>
        <v/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/>
      </c>
      <c r="B18" s="12" t="str">
        <f>IF('Bundle Tag Info'!B$23&lt;&gt;"",CONCATENATE('Bundle Tag Info'!$A$1," ",CHAR(10),'Bundle Tag Info'!$A$2," ",'Bundle Tag Info'!$A$3,CHAR(10),'Bundle Tag Info'!B$6,CHAR(10),'Bundle Tag Info'!B$23),"")</f>
        <v/>
      </c>
      <c r="C18" s="12" t="str">
        <f>IF('Bundle Tag Info'!C$23&lt;&gt;"",CONCATENATE('Bundle Tag Info'!$A$1," ",CHAR(10),'Bundle Tag Info'!$A$2," ",'Bundle Tag Info'!$A$3,CHAR(10),'Bundle Tag Info'!C$6,CHAR(10),'Bundle Tag Info'!C$23),"")</f>
        <v/>
      </c>
      <c r="D18" s="12" t="str">
        <f>IF('Bundle Tag Info'!D$23&lt;&gt;"",CONCATENATE('Bundle Tag Info'!$A$1," ",CHAR(10),'Bundle Tag Info'!$A$2," ",'Bundle Tag Info'!$A$3,CHAR(10),'Bundle Tag Info'!D$6,CHAR(10),'Bundle Tag Info'!D$23),"")</f>
        <v/>
      </c>
      <c r="E18" s="12" t="str">
        <f>IF('Bundle Tag Info'!E$23&lt;&gt;"",CONCATENATE('Bundle Tag Info'!$A$1," ",CHAR(10),'Bundle Tag Info'!$A$2," ",'Bundle Tag Info'!$A$3,CHAR(10),'Bundle Tag Info'!E$6,CHAR(10),'Bundle Tag Info'!E$23),"")</f>
        <v/>
      </c>
      <c r="F18" s="12" t="str">
        <f>IF('Bundle Tag Info'!F$23&lt;&gt;"",CONCATENATE('Bundle Tag Info'!$A$1," ",CHAR(10),'Bundle Tag Info'!$A$2," ",'Bundle Tag Info'!$A$3,CHAR(10),'Bundle Tag Info'!F$6,CHAR(10),'Bundle Tag Info'!F$23),"")</f>
        <v/>
      </c>
      <c r="G18" s="12" t="str">
        <f>IF('Bundle Tag Info'!G$23&lt;&gt;"",CONCATENATE('Bundle Tag Info'!$A$1," ",CHAR(10),'Bundle Tag Info'!$A$2," ",'Bundle Tag Info'!$A$3,CHAR(10),'Bundle Tag Info'!G$6,CHAR(10),'Bundle Tag Info'!G$23),"")</f>
        <v/>
      </c>
      <c r="H18" s="12" t="str">
        <f>IF('Bundle Tag Info'!H$23&lt;&gt;"",CONCATENATE('Bundle Tag Info'!$A$1," ",CHAR(10),'Bundle Tag Info'!$A$2," ",'Bundle Tag Info'!$A$3,CHAR(10),'Bundle Tag Info'!H$6,CHAR(10),'Bundle Tag Info'!H$23),"")</f>
        <v/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2" t="str">
        <f>IF('Bundle Tag Info'!A$24&lt;&gt;"",CONCATENATE('Bundle Tag Info'!$A$1," ",CHAR(10),'Bundle Tag Info'!$A$2," ",'Bundle Tag Info'!$A$3,CHAR(10),'Bundle Tag Info'!A$6,CHAR(10),'Bundle Tag Info'!A$24),"")</f>
        <v/>
      </c>
      <c r="B19" s="12" t="str">
        <f>IF('Bundle Tag Info'!B$24&lt;&gt;"",CONCATENATE('Bundle Tag Info'!$A$1," ",CHAR(10),'Bundle Tag Info'!$A$2," ",'Bundle Tag Info'!$A$3,CHAR(10),'Bundle Tag Info'!B$6,CHAR(10),'Bundle Tag Info'!B$24),"")</f>
        <v/>
      </c>
      <c r="C19" s="12" t="str">
        <f>IF('Bundle Tag Info'!C$24&lt;&gt;"",CONCATENATE('Bundle Tag Info'!$A$1," ",CHAR(10),'Bundle Tag Info'!$A$2," ",'Bundle Tag Info'!$A$3,CHAR(10),'Bundle Tag Info'!C$6,CHAR(10),'Bundle Tag Info'!C$24),"")</f>
        <v/>
      </c>
      <c r="D19" s="12" t="str">
        <f>IF('Bundle Tag Info'!D$24&lt;&gt;"",CONCATENATE('Bundle Tag Info'!$A$1," ",CHAR(10),'Bundle Tag Info'!$A$2," ",'Bundle Tag Info'!$A$3,CHAR(10),'Bundle Tag Info'!D$6,CHAR(10),'Bundle Tag Info'!D$24),"")</f>
        <v/>
      </c>
      <c r="E19" s="12" t="str">
        <f>IF('Bundle Tag Info'!E$24&lt;&gt;"",CONCATENATE('Bundle Tag Info'!$A$1," ",CHAR(10),'Bundle Tag Info'!$A$2," ",'Bundle Tag Info'!$A$3,CHAR(10),'Bundle Tag Info'!E$6,CHAR(10),'Bundle Tag Info'!E$24),"")</f>
        <v/>
      </c>
      <c r="F19" s="12" t="str">
        <f>IF('Bundle Tag Info'!F$24&lt;&gt;"",CONCATENATE('Bundle Tag Info'!$A$1," ",CHAR(10),'Bundle Tag Info'!$A$2," ",'Bundle Tag Info'!$A$3,CHAR(10),'Bundle Tag Info'!F$6,CHAR(10),'Bundle Tag Info'!F$24),"")</f>
        <v/>
      </c>
      <c r="G19" s="12" t="str">
        <f>IF('Bundle Tag Info'!G$24&lt;&gt;"",CONCATENATE('Bundle Tag Info'!$A$1," ",CHAR(10),'Bundle Tag Info'!$A$2," ",'Bundle Tag Info'!$A$3,CHAR(10),'Bundle Tag Info'!G$6,CHAR(10),'Bundle Tag Info'!G$24),"")</f>
        <v/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2" t="str">
        <f>IF('Bundle Tag Info'!A$25&lt;&gt;"",CONCATENATE('Bundle Tag Info'!$A$1," ",CHAR(10),'Bundle Tag Info'!$A$2," ",'Bundle Tag Info'!$A$3,CHAR(10),'Bundle Tag Info'!A$6,CHAR(10),'Bundle Tag Info'!A$25),"")</f>
        <v/>
      </c>
      <c r="B20" s="12" t="str">
        <f>IF('Bundle Tag Info'!B$25&lt;&gt;"",CONCATENATE('Bundle Tag Info'!$A$1," ",CHAR(10),'Bundle Tag Info'!$A$2," ",'Bundle Tag Info'!$A$3,CHAR(10),'Bundle Tag Info'!B$6,CHAR(10),'Bundle Tag Info'!B$25),"")</f>
        <v/>
      </c>
      <c r="C20" s="12" t="str">
        <f>IF('Bundle Tag Info'!C$25&lt;&gt;"",CONCATENATE('Bundle Tag Info'!$A$1," ",CHAR(10),'Bundle Tag Info'!$A$2," ",'Bundle Tag Info'!$A$3,CHAR(10),'Bundle Tag Info'!C$6,CHAR(10),'Bundle Tag Info'!C$25),"")</f>
        <v/>
      </c>
      <c r="D20" s="12" t="str">
        <f>IF('Bundle Tag Info'!D$25&lt;&gt;"",CONCATENATE('Bundle Tag Info'!$A$1," ",CHAR(10),'Bundle Tag Info'!$A$2," ",'Bundle Tag Info'!$A$3,CHAR(10),'Bundle Tag Info'!D$6,CHAR(10),'Bundle Tag Info'!D$25),"")</f>
        <v/>
      </c>
      <c r="E20" s="12" t="str">
        <f>IF('Bundle Tag Info'!E$25&lt;&gt;"",CONCATENATE('Bundle Tag Info'!$A$1," ",CHAR(10),'Bundle Tag Info'!$A$2," ",'Bundle Tag Info'!$A$3,CHAR(10),'Bundle Tag Info'!E$6,CHAR(10),'Bundle Tag Info'!E$25),"")</f>
        <v/>
      </c>
      <c r="F20" s="12" t="str">
        <f>IF('Bundle Tag Info'!F$25&lt;&gt;"",CONCATENATE('Bundle Tag Info'!$A$1," ",CHAR(10),'Bundle Tag Info'!$A$2," ",'Bundle Tag Info'!$A$3,CHAR(10),'Bundle Tag Info'!F$6,CHAR(10),'Bundle Tag Info'!F$25),"")</f>
        <v/>
      </c>
      <c r="G20" s="12" t="str">
        <f>IF('Bundle Tag Info'!G$25&lt;&gt;"",CONCATENATE('Bundle Tag Info'!$A$1," ",CHAR(10),'Bundle Tag Info'!$A$2," ",'Bundle Tag Info'!$A$3,CHAR(10),'Bundle Tag Info'!G$6,CHAR(10),'Bundle Tag Info'!G$25),"")</f>
        <v/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2" t="str">
        <f>IF('Bundle Tag Info'!A$26&lt;&gt;"",CONCATENATE('Bundle Tag Info'!$A$1," ",CHAR(10),'Bundle Tag Info'!$A$2," ",'Bundle Tag Info'!$A$3,CHAR(10),'Bundle Tag Info'!A$6,CHAR(10),'Bundle Tag Info'!A$26),"")</f>
        <v/>
      </c>
      <c r="B21" s="12" t="str">
        <f>IF('Bundle Tag Info'!B$26&lt;&gt;"",CONCATENATE('Bundle Tag Info'!$A$1," ",CHAR(10),'Bundle Tag Info'!$A$2," ",'Bundle Tag Info'!$A$3,CHAR(10),'Bundle Tag Info'!B$6,CHAR(10),'Bundle Tag Info'!B$26),"")</f>
        <v/>
      </c>
      <c r="C21" s="12" t="str">
        <f>IF('Bundle Tag Info'!C$26&lt;&gt;"",CONCATENATE('Bundle Tag Info'!$A$1," ",CHAR(10),'Bundle Tag Info'!$A$2," ",'Bundle Tag Info'!$A$3,CHAR(10),'Bundle Tag Info'!C$6,CHAR(10),'Bundle Tag Info'!C$26),"")</f>
        <v/>
      </c>
      <c r="D21" s="12" t="str">
        <f>IF('Bundle Tag Info'!D$26&lt;&gt;"",CONCATENATE('Bundle Tag Info'!$A$1," ",CHAR(10),'Bundle Tag Info'!$A$2," ",'Bundle Tag Info'!$A$3,CHAR(10),'Bundle Tag Info'!D$6,CHAR(10),'Bundle Tag Info'!D$26),"")</f>
        <v/>
      </c>
      <c r="E21" s="12" t="str">
        <f>IF('Bundle Tag Info'!E$26&lt;&gt;"",CONCATENATE('Bundle Tag Info'!$A$1," ",CHAR(10),'Bundle Tag Info'!$A$2," ",'Bundle Tag Info'!$A$3,CHAR(10),'Bundle Tag Info'!E$6,CHAR(10),'Bundle Tag Info'!E$26),"")</f>
        <v/>
      </c>
      <c r="F21" s="12" t="str">
        <f>IF('Bundle Tag Info'!F$26&lt;&gt;"",CONCATENATE('Bundle Tag Info'!$A$1," ",CHAR(10),'Bundle Tag Info'!$A$2," ",'Bundle Tag Info'!$A$3,CHAR(10),'Bundle Tag Info'!F$6,CHAR(10),'Bundle Tag Info'!F$26),"")</f>
        <v/>
      </c>
      <c r="G21" s="12" t="str">
        <f>IF('Bundle Tag Info'!G$26&lt;&gt;"",CONCATENATE('Bundle Tag Info'!$A$1," ",CHAR(10),'Bundle Tag Info'!$A$2," ",'Bundle Tag Info'!$A$3,CHAR(10),'Bundle Tag Info'!G$6,CHAR(10),'Bundle Tag Info'!G$26),"")</f>
        <v/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2" t="str">
        <f>IF('Bundle Tag Info'!A$27&lt;&gt;"",CONCATENATE('Bundle Tag Info'!$A$1," ",CHAR(10),'Bundle Tag Info'!$A$2," ",'Bundle Tag Info'!$A$3,CHAR(10),'Bundle Tag Info'!A$6,CHAR(10),'Bundle Tag Info'!A$27),"")</f>
        <v/>
      </c>
      <c r="B22" s="12" t="str">
        <f>IF('Bundle Tag Info'!B$27&lt;&gt;"",CONCATENATE('Bundle Tag Info'!$A$1," ",CHAR(10),'Bundle Tag Info'!$A$2," ",'Bundle Tag Info'!$A$3,CHAR(10),'Bundle Tag Info'!B$6,CHAR(10),'Bundle Tag Info'!B$27),"")</f>
        <v/>
      </c>
      <c r="C22" s="12" t="str">
        <f>IF('Bundle Tag Info'!C$27&lt;&gt;"",CONCATENATE('Bundle Tag Info'!$A$1," ",CHAR(10),'Bundle Tag Info'!$A$2," ",'Bundle Tag Info'!$A$3,CHAR(10),'Bundle Tag Info'!C$6,CHAR(10),'Bundle Tag Info'!C$27),"")</f>
        <v/>
      </c>
      <c r="D22" s="12" t="str">
        <f>IF('Bundle Tag Info'!D$27&lt;&gt;"",CONCATENATE('Bundle Tag Info'!$A$1," ",CHAR(10),'Bundle Tag Info'!$A$2," ",'Bundle Tag Info'!$A$3,CHAR(10),'Bundle Tag Info'!D$6,CHAR(10),'Bundle Tag Info'!D$27),"")</f>
        <v/>
      </c>
      <c r="E22" s="12" t="str">
        <f>IF('Bundle Tag Info'!E$27&lt;&gt;"",CONCATENATE('Bundle Tag Info'!$A$1," ",CHAR(10),'Bundle Tag Info'!$A$2," ",'Bundle Tag Info'!$A$3,CHAR(10),'Bundle Tag Info'!E$6,CHAR(10),'Bundle Tag Info'!E$27),"")</f>
        <v/>
      </c>
      <c r="F22" s="12" t="str">
        <f>IF('Bundle Tag Info'!F$27&lt;&gt;"",CONCATENATE('Bundle Tag Info'!$A$1," ",CHAR(10),'Bundle Tag Info'!$A$2," ",'Bundle Tag Info'!$A$3,CHAR(10),'Bundle Tag Info'!F$6,CHAR(10),'Bundle Tag Info'!F$27),"")</f>
        <v/>
      </c>
      <c r="G22" s="12" t="str">
        <f>IF('Bundle Tag Info'!G$27&lt;&gt;"",CONCATENATE('Bundle Tag Info'!$A$1," ",CHAR(10),'Bundle Tag Info'!$A$2," ",'Bundle Tag Info'!$A$3,CHAR(10),'Bundle Tag Info'!G$6,CHAR(10),'Bundle Tag Info'!G$27),"")</f>
        <v/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2" t="str">
        <f>IF('Bundle Tag Info'!A$28&lt;&gt;"",CONCATENATE('Bundle Tag Info'!$A$1," ",CHAR(10),'Bundle Tag Info'!$A$2," ",'Bundle Tag Info'!$A$3,CHAR(10),'Bundle Tag Info'!A$6,CHAR(10),'Bundle Tag Info'!A$28),"")</f>
        <v/>
      </c>
      <c r="B23" s="12" t="str">
        <f>IF('Bundle Tag Info'!B$28&lt;&gt;"",CONCATENATE('Bundle Tag Info'!$A$1," ",CHAR(10),'Bundle Tag Info'!$A$2," ",'Bundle Tag Info'!$A$3,CHAR(10),'Bundle Tag Info'!B$6,CHAR(10),'Bundle Tag Info'!B$28),"")</f>
        <v/>
      </c>
      <c r="C23" s="12" t="str">
        <f>IF('Bundle Tag Info'!C$28&lt;&gt;"",CONCATENATE('Bundle Tag Info'!$A$1," ",CHAR(10),'Bundle Tag Info'!$A$2," ",'Bundle Tag Info'!$A$3,CHAR(10),'Bundle Tag Info'!C$6,CHAR(10),'Bundle Tag Info'!C$28),"")</f>
        <v/>
      </c>
      <c r="D23" s="12" t="str">
        <f>IF('Bundle Tag Info'!D$28&lt;&gt;"",CONCATENATE('Bundle Tag Info'!$A$1," ",CHAR(10),'Bundle Tag Info'!$A$2," ",'Bundle Tag Info'!$A$3,CHAR(10),'Bundle Tag Info'!D$6,CHAR(10),'Bundle Tag Info'!D$28),"")</f>
        <v/>
      </c>
      <c r="E23" s="12" t="str">
        <f>IF('Bundle Tag Info'!E$28&lt;&gt;"",CONCATENATE('Bundle Tag Info'!$A$1," ",CHAR(10),'Bundle Tag Info'!$A$2," ",'Bundle Tag Info'!$A$3,CHAR(10),'Bundle Tag Info'!E$6,CHAR(10),'Bundle Tag Info'!E$28),"")</f>
        <v/>
      </c>
      <c r="F23" s="12" t="str">
        <f>IF('Bundle Tag Info'!F$28&lt;&gt;"",CONCATENATE('Bundle Tag Info'!$A$1," ",CHAR(10),'Bundle Tag Info'!$A$2," ",'Bundle Tag Info'!$A$3,CHAR(10),'Bundle Tag Info'!F$6,CHAR(10),'Bundle Tag Info'!F$28),"")</f>
        <v/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2" t="str">
        <f>IF('Bundle Tag Info'!A$29&lt;&gt;"",CONCATENATE('Bundle Tag Info'!$A$1," ",CHAR(10),'Bundle Tag Info'!$A$2," ",'Bundle Tag Info'!$A$3,CHAR(10),'Bundle Tag Info'!A$6,CHAR(10),'Bundle Tag Info'!A$29),"")</f>
        <v/>
      </c>
      <c r="B24" s="12" t="str">
        <f>IF('Bundle Tag Info'!B$29&lt;&gt;"",CONCATENATE('Bundle Tag Info'!$A$1," ",CHAR(10),'Bundle Tag Info'!$A$2," ",'Bundle Tag Info'!$A$3,CHAR(10),'Bundle Tag Info'!B$6,CHAR(10),'Bundle Tag Info'!B$29),"")</f>
        <v/>
      </c>
      <c r="C24" s="12" t="str">
        <f>IF('Bundle Tag Info'!C$29&lt;&gt;"",CONCATENATE('Bundle Tag Info'!$A$1," ",CHAR(10),'Bundle Tag Info'!$A$2," ",'Bundle Tag Info'!$A$3,CHAR(10),'Bundle Tag Info'!C$6,CHAR(10),'Bundle Tag Info'!C$29),"")</f>
        <v/>
      </c>
      <c r="D24" s="12" t="str">
        <f>IF('Bundle Tag Info'!D$29&lt;&gt;"",CONCATENATE('Bundle Tag Info'!$A$1," ",CHAR(10),'Bundle Tag Info'!$A$2," ",'Bundle Tag Info'!$A$3,CHAR(10),'Bundle Tag Info'!D$6,CHAR(10),'Bundle Tag Info'!D$29),"")</f>
        <v/>
      </c>
      <c r="E24" s="12" t="str">
        <f>IF('Bundle Tag Info'!E$29&lt;&gt;"",CONCATENATE('Bundle Tag Info'!$A$1," ",CHAR(10),'Bundle Tag Info'!$A$2," ",'Bundle Tag Info'!$A$3,CHAR(10),'Bundle Tag Info'!E$6,CHAR(10),'Bundle Tag Info'!E$29),"")</f>
        <v/>
      </c>
      <c r="F24" s="12" t="str">
        <f>IF('Bundle Tag Info'!F$29&lt;&gt;"",CONCATENATE('Bundle Tag Info'!$A$1," ",CHAR(10),'Bundle Tag Info'!$A$2," ",'Bundle Tag Info'!$A$3,CHAR(10),'Bundle Tag Info'!F$6,CHAR(10),'Bundle Tag Info'!F$29),"")</f>
        <v/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2" t="str">
        <f>IF('Bundle Tag Info'!A$30&lt;&gt;"",CONCATENATE('Bundle Tag Info'!$A$1," ",CHAR(10),'Bundle Tag Info'!$A$2," ",'Bundle Tag Info'!$A$3,CHAR(10),'Bundle Tag Info'!A$6,CHAR(10),'Bundle Tag Info'!A$30),"")</f>
        <v/>
      </c>
      <c r="B25" s="12" t="str">
        <f>IF('Bundle Tag Info'!B$30&lt;&gt;"",CONCATENATE('Bundle Tag Info'!$A$1," ",CHAR(10),'Bundle Tag Info'!$A$2," ",'Bundle Tag Info'!$A$3,CHAR(10),'Bundle Tag Info'!B$6,CHAR(10),'Bundle Tag Info'!B$30),"")</f>
        <v/>
      </c>
      <c r="C25" s="12" t="str">
        <f>IF('Bundle Tag Info'!C$30&lt;&gt;"",CONCATENATE('Bundle Tag Info'!$A$1," ",CHAR(10),'Bundle Tag Info'!$A$2," ",'Bundle Tag Info'!$A$3,CHAR(10),'Bundle Tag Info'!C$6,CHAR(10),'Bundle Tag Info'!C$30),"")</f>
        <v/>
      </c>
      <c r="D25" s="12" t="str">
        <f>IF('Bundle Tag Info'!D$30&lt;&gt;"",CONCATENATE('Bundle Tag Info'!$A$1," ",CHAR(10),'Bundle Tag Info'!$A$2," ",'Bundle Tag Info'!$A$3,CHAR(10),'Bundle Tag Info'!D$6,CHAR(10),'Bundle Tag Info'!D$30),"")</f>
        <v/>
      </c>
      <c r="E25" s="12" t="str">
        <f>IF('Bundle Tag Info'!E$30&lt;&gt;"",CONCATENATE('Bundle Tag Info'!$A$1," ",CHAR(10),'Bundle Tag Info'!$A$2," ",'Bundle Tag Info'!$A$3,CHAR(10),'Bundle Tag Info'!E$6,CHAR(10),'Bundle Tag Info'!E$30),"")</f>
        <v/>
      </c>
      <c r="F25" s="12" t="str">
        <f>IF('Bundle Tag Info'!F$30&lt;&gt;"",CONCATENATE('Bundle Tag Info'!$A$1," ",CHAR(10),'Bundle Tag Info'!$A$2," ",'Bundle Tag Info'!$A$3,CHAR(10),'Bundle Tag Info'!F$6,CHAR(10),'Bundle Tag Info'!F$30),"")</f>
        <v/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2" t="str">
        <f>IF('Bundle Tag Info'!A$31&lt;&gt;"",CONCATENATE('Bundle Tag Info'!$A$1," ",CHAR(10),'Bundle Tag Info'!$A$2," ",'Bundle Tag Info'!$A$3,CHAR(10),'Bundle Tag Info'!A$6,CHAR(10),'Bundle Tag Info'!A$31),"")</f>
        <v/>
      </c>
      <c r="B26" s="12" t="str">
        <f>IF('Bundle Tag Info'!B$31&lt;&gt;"",CONCATENATE('Bundle Tag Info'!$A$1," ",CHAR(10),'Bundle Tag Info'!$A$2," ",'Bundle Tag Info'!$A$3,CHAR(10),'Bundle Tag Info'!B$6,CHAR(10),'Bundle Tag Info'!B$31),"")</f>
        <v/>
      </c>
      <c r="C26" s="12" t="str">
        <f>IF('Bundle Tag Info'!C$31&lt;&gt;"",CONCATENATE('Bundle Tag Info'!$A$1," ",CHAR(10),'Bundle Tag Info'!$A$2," ",'Bundle Tag Info'!$A$3,CHAR(10),'Bundle Tag Info'!C$6,CHAR(10),'Bundle Tag Info'!C$31),"")</f>
        <v/>
      </c>
      <c r="D26" s="12" t="str">
        <f>IF('Bundle Tag Info'!D$31&lt;&gt;"",CONCATENATE('Bundle Tag Info'!$A$1," ",CHAR(10),'Bundle Tag Info'!$A$2," ",'Bundle Tag Info'!$A$3,CHAR(10),'Bundle Tag Info'!D$6,CHAR(10),'Bundle Tag Info'!D$31),"")</f>
        <v/>
      </c>
      <c r="E26" s="12" t="str">
        <f>IF('Bundle Tag Info'!E$31&lt;&gt;"",CONCATENATE('Bundle Tag Info'!$A$1," ",CHAR(10),'Bundle Tag Info'!$A$2," ",'Bundle Tag Info'!$A$3,CHAR(10),'Bundle Tag Info'!E$6,CHAR(10),'Bundle Tag Info'!E$31),"")</f>
        <v/>
      </c>
      <c r="F26" s="12" t="str">
        <f>IF('Bundle Tag Info'!F$31&lt;&gt;"",CONCATENATE('Bundle Tag Info'!$A$1," ",CHAR(10),'Bundle Tag Info'!$A$2," ",'Bundle Tag Info'!$A$3,CHAR(10),'Bundle Tag Info'!F$6,CHAR(10),'Bundle Tag Info'!F$31),"")</f>
        <v/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2" t="str">
        <f>IF('Bundle Tag Info'!A$32&lt;&gt;"",CONCATENATE('Bundle Tag Info'!$A$1," ",CHAR(10),'Bundle Tag Info'!$A$2," ",'Bundle Tag Info'!$A$3,CHAR(10),'Bundle Tag Info'!A$6,CHAR(10),'Bundle Tag Info'!A$32),"")</f>
        <v/>
      </c>
      <c r="B27" s="12" t="str">
        <f>IF('Bundle Tag Info'!B$32&lt;&gt;"",CONCATENATE('Bundle Tag Info'!$A$1," ",CHAR(10),'Bundle Tag Info'!$A$2," ",'Bundle Tag Info'!$A$3,CHAR(10),'Bundle Tag Info'!B$6,CHAR(10),'Bundle Tag Info'!B$32),"")</f>
        <v/>
      </c>
      <c r="C27" s="12" t="str">
        <f>IF('Bundle Tag Info'!C$32&lt;&gt;"",CONCATENATE('Bundle Tag Info'!$A$1," ",CHAR(10),'Bundle Tag Info'!$A$2," ",'Bundle Tag Info'!$A$3,CHAR(10),'Bundle Tag Info'!C$6,CHAR(10),'Bundle Tag Info'!C$32),"")</f>
        <v/>
      </c>
      <c r="D27" s="12" t="str">
        <f>IF('Bundle Tag Info'!D$32&lt;&gt;"",CONCATENATE('Bundle Tag Info'!$A$1," ",CHAR(10),'Bundle Tag Info'!$A$2," ",'Bundle Tag Info'!$A$3,CHAR(10),'Bundle Tag Info'!D$6,CHAR(10),'Bundle Tag Info'!D$32),"")</f>
        <v/>
      </c>
      <c r="E27" s="12" t="str">
        <f>IF('Bundle Tag Info'!E$32&lt;&gt;"",CONCATENATE('Bundle Tag Info'!$A$1," ",CHAR(10),'Bundle Tag Info'!$A$2," ",'Bundle Tag Info'!$A$3,CHAR(10),'Bundle Tag Info'!E$6,CHAR(10),'Bundle Tag Info'!E$32),"")</f>
        <v/>
      </c>
      <c r="F27" s="12" t="str">
        <f>IF('Bundle Tag Info'!F$32&lt;&gt;"",CONCATENATE('Bundle Tag Info'!$A$1," ",CHAR(10),'Bundle Tag Info'!$A$2," ",'Bundle Tag Info'!$A$3,CHAR(10),'Bundle Tag Info'!F$6,CHAR(10),'Bundle Tag Info'!F$32),"")</f>
        <v/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2" t="str">
        <f>IF('Bundle Tag Info'!A$33&lt;&gt;"",CONCATENATE('Bundle Tag Info'!$A$1," ",CHAR(10),'Bundle Tag Info'!$A$2," ",'Bundle Tag Info'!$A$3,CHAR(10),'Bundle Tag Info'!A$6,CHAR(10),'Bundle Tag Info'!A$33),"")</f>
        <v/>
      </c>
      <c r="B28" s="12" t="str">
        <f>IF('Bundle Tag Info'!B$33&lt;&gt;"",CONCATENATE('Bundle Tag Info'!$A$1," ",CHAR(10),'Bundle Tag Info'!$A$2," ",'Bundle Tag Info'!$A$3,CHAR(10),'Bundle Tag Info'!B$6,CHAR(10),'Bundle Tag Info'!B$33),"")</f>
        <v/>
      </c>
      <c r="C28" s="12" t="str">
        <f>IF('Bundle Tag Info'!C$33&lt;&gt;"",CONCATENATE('Bundle Tag Info'!$A$1," ",CHAR(10),'Bundle Tag Info'!$A$2," ",'Bundle Tag Info'!$A$3,CHAR(10),'Bundle Tag Info'!C$6,CHAR(10),'Bundle Tag Info'!C$33),"")</f>
        <v/>
      </c>
      <c r="D28" s="12" t="str">
        <f>IF('Bundle Tag Info'!D$33&lt;&gt;"",CONCATENATE('Bundle Tag Info'!$A$1," ",CHAR(10),'Bundle Tag Info'!$A$2," ",'Bundle Tag Info'!$A$3,CHAR(10),'Bundle Tag Info'!D$6,CHAR(10),'Bundle Tag Info'!D$33),"")</f>
        <v/>
      </c>
      <c r="E28" s="12" t="str">
        <f>IF('Bundle Tag Info'!E$33&lt;&gt;"",CONCATENATE('Bundle Tag Info'!$A$1," ",CHAR(10),'Bundle Tag Info'!$A$2," ",'Bundle Tag Info'!$A$3,CHAR(10),'Bundle Tag Info'!E$6,CHAR(10),'Bundle Tag Info'!E$33),"")</f>
        <v/>
      </c>
      <c r="F28" s="12" t="str">
        <f>IF('Bundle Tag Info'!F$33&lt;&gt;"",CONCATENATE('Bundle Tag Info'!$A$1," ",CHAR(10),'Bundle Tag Info'!$A$2," ",'Bundle Tag Info'!$A$3,CHAR(10),'Bundle Tag Info'!F$6,CHAR(10),'Bundle Tag Info'!F$33),"")</f>
        <v/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2" t="str">
        <f>IF('Bundle Tag Info'!A$34&lt;&gt;"",CONCATENATE('Bundle Tag Info'!$A$1," ",CHAR(10),'Bundle Tag Info'!$A$2," ",'Bundle Tag Info'!$A$3,CHAR(10),'Bundle Tag Info'!A$6,CHAR(10),'Bundle Tag Info'!A$34),"")</f>
        <v/>
      </c>
      <c r="B29" s="12" t="str">
        <f>IF('Bundle Tag Info'!B$34&lt;&gt;"",CONCATENATE('Bundle Tag Info'!$A$1," ",CHAR(10),'Bundle Tag Info'!$A$2," ",'Bundle Tag Info'!$A$3,CHAR(10),'Bundle Tag Info'!B$6,CHAR(10),'Bundle Tag Info'!B$34),"")</f>
        <v/>
      </c>
      <c r="C29" s="12" t="str">
        <f>IF('Bundle Tag Info'!C$34&lt;&gt;"",CONCATENATE('Bundle Tag Info'!$A$1," ",CHAR(10),'Bundle Tag Info'!$A$2," ",'Bundle Tag Info'!$A$3,CHAR(10),'Bundle Tag Info'!C$6,CHAR(10),'Bundle Tag Info'!C$34),"")</f>
        <v/>
      </c>
      <c r="D29" s="12" t="str">
        <f>IF('Bundle Tag Info'!D$34&lt;&gt;"",CONCATENATE('Bundle Tag Info'!$A$1," ",CHAR(10),'Bundle Tag Info'!$A$2," ",'Bundle Tag Info'!$A$3,CHAR(10),'Bundle Tag Info'!D$6,CHAR(10),'Bundle Tag Info'!D$34),"")</f>
        <v/>
      </c>
      <c r="E29" s="12" t="str">
        <f>IF('Bundle Tag Info'!E$34&lt;&gt;"",CONCATENATE('Bundle Tag Info'!$A$1," ",CHAR(10),'Bundle Tag Info'!$A$2," ",'Bundle Tag Info'!$A$3,CHAR(10),'Bundle Tag Info'!E$6,CHAR(10),'Bundle Tag Info'!E$34),"")</f>
        <v/>
      </c>
      <c r="F29" s="12" t="str">
        <f>IF('Bundle Tag Info'!F$34&lt;&gt;"",CONCATENATE('Bundle Tag Info'!$A$1," ",CHAR(10),'Bundle Tag Info'!$A$2," ",'Bundle Tag Info'!$A$3,CHAR(10),'Bundle Tag Info'!F$6,CHAR(10),'Bundle Tag Info'!F$34),"")</f>
        <v/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2" t="str">
        <f>IF('Bundle Tag Info'!A$35&lt;&gt;"",CONCATENATE('Bundle Tag Info'!$A$1," ",CHAR(10),'Bundle Tag Info'!$A$2," ",'Bundle Tag Info'!$A$3,CHAR(10),'Bundle Tag Info'!A$6,CHAR(10),'Bundle Tag Info'!A$35),"")</f>
        <v/>
      </c>
      <c r="B30" s="12" t="str">
        <f>IF('Bundle Tag Info'!B$35&lt;&gt;"",CONCATENATE('Bundle Tag Info'!$A$1," ",CHAR(10),'Bundle Tag Info'!$A$2," ",'Bundle Tag Info'!$A$3,CHAR(10),'Bundle Tag Info'!B$6,CHAR(10),'Bundle Tag Info'!B$35),"")</f>
        <v/>
      </c>
      <c r="C30" s="12" t="str">
        <f>IF('Bundle Tag Info'!C$35&lt;&gt;"",CONCATENATE('Bundle Tag Info'!$A$1," ",CHAR(10),'Bundle Tag Info'!$A$2," ",'Bundle Tag Info'!$A$3,CHAR(10),'Bundle Tag Info'!C$6,CHAR(10),'Bundle Tag Info'!C$35),"")</f>
        <v/>
      </c>
      <c r="D30" s="12" t="str">
        <f>IF('Bundle Tag Info'!D$35&lt;&gt;"",CONCATENATE('Bundle Tag Info'!$A$1," ",CHAR(10),'Bundle Tag Info'!$A$2," ",'Bundle Tag Info'!$A$3,CHAR(10),'Bundle Tag Info'!D$6,CHAR(10),'Bundle Tag Info'!D$35),"")</f>
        <v/>
      </c>
      <c r="E30" s="12" t="str">
        <f>IF('Bundle Tag Info'!E$35&lt;&gt;"",CONCATENATE('Bundle Tag Info'!$A$1," ",CHAR(10),'Bundle Tag Info'!$A$2," ",'Bundle Tag Info'!$A$3,CHAR(10),'Bundle Tag Info'!E$6,CHAR(10),'Bundle Tag Info'!E$35),"")</f>
        <v/>
      </c>
      <c r="F30" s="12" t="str">
        <f>IF('Bundle Tag Info'!F$35&lt;&gt;"",CONCATENATE('Bundle Tag Info'!$A$1," ",CHAR(10),'Bundle Tag Info'!$A$2," ",'Bundle Tag Info'!$A$3,CHAR(10),'Bundle Tag Info'!F$6,CHAR(10),'Bundle Tag Info'!F$35),"")</f>
        <v/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2" t="str">
        <f>IF('Bundle Tag Info'!A$36&lt;&gt;"",CONCATENATE('Bundle Tag Info'!$A$1," ",CHAR(10),'Bundle Tag Info'!$A$2," ",'Bundle Tag Info'!$A$3,CHAR(10),'Bundle Tag Info'!A$6,CHAR(10),'Bundle Tag Info'!A$36),"")</f>
        <v/>
      </c>
      <c r="B31" s="12" t="str">
        <f>IF('Bundle Tag Info'!B$36&lt;&gt;"",CONCATENATE('Bundle Tag Info'!$A$1," ",CHAR(10),'Bundle Tag Info'!$A$2," ",'Bundle Tag Info'!$A$3,CHAR(10),'Bundle Tag Info'!B$6,CHAR(10),'Bundle Tag Info'!B$36),"")</f>
        <v/>
      </c>
      <c r="C31" s="12" t="str">
        <f>IF('Bundle Tag Info'!C$36&lt;&gt;"",CONCATENATE('Bundle Tag Info'!$A$1," ",CHAR(10),'Bundle Tag Info'!$A$2," ",'Bundle Tag Info'!$A$3,CHAR(10),'Bundle Tag Info'!C$6,CHAR(10),'Bundle Tag Info'!C$36),"")</f>
        <v/>
      </c>
      <c r="D31" s="12" t="str">
        <f>IF('Bundle Tag Info'!D$36&lt;&gt;"",CONCATENATE('Bundle Tag Info'!$A$1," ",CHAR(10),'Bundle Tag Info'!$A$2," ",'Bundle Tag Info'!$A$3,CHAR(10),'Bundle Tag Info'!D$6,CHAR(10),'Bundle Tag Info'!D$36),"")</f>
        <v/>
      </c>
      <c r="E31" s="12" t="str">
        <f>IF('Bundle Tag Info'!E$36&lt;&gt;"",CONCATENATE('Bundle Tag Info'!$A$1," ",CHAR(10),'Bundle Tag Info'!$A$2," ",'Bundle Tag Info'!$A$3,CHAR(10),'Bundle Tag Info'!E$6,CHAR(10),'Bundle Tag Info'!E$36),"")</f>
        <v/>
      </c>
      <c r="F31" s="12" t="str">
        <f>IF('Bundle Tag Info'!F$36&lt;&gt;"",CONCATENATE('Bundle Tag Info'!$A$1," ",CHAR(10),'Bundle Tag Info'!$A$2," ",'Bundle Tag Info'!$A$3,CHAR(10),'Bundle Tag Info'!F$6,CHAR(10),'Bundle Tag Info'!F$36),"")</f>
        <v/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7FD8-F946-4040-BC79-AD3D99BE3090}">
  <dimension ref="A1:AD31"/>
  <sheetViews>
    <sheetView workbookViewId="0">
      <selection sqref="A1:AD31"/>
    </sheetView>
  </sheetViews>
  <sheetFormatPr defaultRowHeight="15" x14ac:dyDescent="0.25"/>
  <cols>
    <col min="1" max="30" width="20.5703125" customWidth="1"/>
  </cols>
  <sheetData>
    <row r="1" spans="1:30" ht="63.95" customHeight="1" x14ac:dyDescent="0.25">
      <c r="A1" s="11" t="str">
        <f>IF('Bundle Tag Info'!A6&lt;&gt;"Panel Name",'Bundle Tag Info'!A6,"")</f>
        <v/>
      </c>
      <c r="B1" s="11" t="str">
        <f>IF('Bundle Tag Info'!B6&lt;&gt;"Panel Name",'Bundle Tag Info'!B6,"")</f>
        <v/>
      </c>
      <c r="C1" s="11" t="str">
        <f>IF('Bundle Tag Info'!C6&lt;&gt;"Panel Name",'Bundle Tag Info'!C6,"")</f>
        <v/>
      </c>
      <c r="D1" s="11" t="str">
        <f>IF('Bundle Tag Info'!D6&lt;&gt;"Panel Name",'Bundle Tag Info'!D6,"")</f>
        <v/>
      </c>
      <c r="E1" s="11" t="str">
        <f>IF('Bundle Tag Info'!E6&lt;&gt;"Panel Name",'Bundle Tag Info'!E6,"")</f>
        <v/>
      </c>
      <c r="F1" s="11" t="str">
        <f>IF('Bundle Tag Info'!F6&lt;&gt;"Panel Name",'Bundle Tag Info'!F6,"")</f>
        <v/>
      </c>
      <c r="G1" s="11" t="str">
        <f>IF('Bundle Tag Info'!G6&lt;&gt;"Panel Name",'Bundle Tag Info'!G6,"")</f>
        <v/>
      </c>
      <c r="H1" s="11" t="str">
        <f>IF('Bundle Tag Info'!H6&lt;&gt;"Panel Name",'Bundle Tag Info'!H6,"")</f>
        <v/>
      </c>
      <c r="I1" s="11" t="str">
        <f>IF('Bundle Tag Info'!I6&lt;&gt;"Panel Name",'Bundle Tag Info'!I6,"")</f>
        <v/>
      </c>
      <c r="J1" s="11" t="str">
        <f>IF('Bundle Tag Info'!J6&lt;&gt;"Panel Name",'Bundle Tag Info'!J6,"")</f>
        <v/>
      </c>
      <c r="K1" s="11" t="str">
        <f>IF('Bundle Tag Info'!K6&lt;&gt;"Panel Name",'Bundle Tag Info'!K6,"")</f>
        <v/>
      </c>
      <c r="L1" s="11" t="str">
        <f>IF('Bundle Tag Info'!L6&lt;&gt;"Panel Name",'Bundle Tag Info'!L6,"")</f>
        <v/>
      </c>
      <c r="M1" s="11" t="str">
        <f>IF('Bundle Tag Info'!M6&lt;&gt;"Panel Name",'Bundle Tag Info'!M6,"")</f>
        <v/>
      </c>
      <c r="N1" s="11" t="str">
        <f>IF('Bundle Tag Info'!N6&lt;&gt;"Panel Name",'Bundle Tag Info'!N6,"")</f>
        <v/>
      </c>
      <c r="O1" s="11" t="str">
        <f>IF('Bundle Tag Info'!O6&lt;&gt;"Panel Name",'Bundle Tag Info'!O6,"")</f>
        <v/>
      </c>
      <c r="P1" s="11" t="str">
        <f>IF('Bundle Tag Info'!P6&lt;&gt;"Panel Name",'Bundle Tag Info'!P6,"")</f>
        <v/>
      </c>
      <c r="Q1" s="11" t="str">
        <f>IF('Bundle Tag Info'!Q6&lt;&gt;"Panel Name",'Bundle Tag Info'!Q6,"")</f>
        <v/>
      </c>
      <c r="R1" s="11" t="str">
        <f>IF('Bundle Tag Info'!R6&lt;&gt;"Panel Name",'Bundle Tag Info'!R6,"")</f>
        <v/>
      </c>
      <c r="S1" s="11" t="str">
        <f>IF('Bundle Tag Info'!S6&lt;&gt;"Panel Name",'Bundle Tag Info'!S6,"")</f>
        <v/>
      </c>
      <c r="T1" s="11" t="str">
        <f>IF('Bundle Tag Info'!T6&lt;&gt;"Panel Name",'Bundle Tag Info'!T6,"")</f>
        <v/>
      </c>
      <c r="U1" s="11" t="str">
        <f>IF('Bundle Tag Info'!U6&lt;&gt;"Panel Name",'Bundle Tag Info'!U6,"")</f>
        <v/>
      </c>
      <c r="V1" s="11" t="str">
        <f>IF('Bundle Tag Info'!V6&lt;&gt;"Panel Name",'Bundle Tag Info'!V6,"")</f>
        <v/>
      </c>
      <c r="W1" s="11" t="str">
        <f>IF('Bundle Tag Info'!W6&lt;&gt;"Panel Name",'Bundle Tag Info'!W6,"")</f>
        <v/>
      </c>
      <c r="X1" s="11" t="str">
        <f>IF('Bundle Tag Info'!X6&lt;&gt;"Panel Name",'Bundle Tag Info'!X6,"")</f>
        <v/>
      </c>
      <c r="Y1" s="11" t="str">
        <f>IF('Bundle Tag Info'!Y6&lt;&gt;"Panel Name",'Bundle Tag Info'!Y6,"")</f>
        <v/>
      </c>
      <c r="Z1" s="11" t="str">
        <f>IF('Bundle Tag Info'!Z6&lt;&gt;"Panel Name",'Bundle Tag Info'!Z6,"")</f>
        <v/>
      </c>
      <c r="AA1" s="11" t="str">
        <f>IF('Bundle Tag Info'!AA6&lt;&gt;"Panel Name",'Bundle Tag Info'!AA6,"")</f>
        <v/>
      </c>
      <c r="AB1" s="11" t="str">
        <f>IF('Bundle Tag Info'!AB6&lt;&gt;"Panel Name",'Bundle Tag Info'!AB6,"")</f>
        <v/>
      </c>
      <c r="AC1" s="11" t="str">
        <f>IF('Bundle Tag Info'!AC6&lt;&gt;"Panel Name",'Bundle Tag Info'!AC6,"")</f>
        <v/>
      </c>
      <c r="AD1" s="11" t="str">
        <f>IF('Bundle Tag Info'!AD6&lt;&gt;"Panel Name",'Bundle Tag Info'!AD6,"")</f>
        <v/>
      </c>
    </row>
    <row r="2" spans="1:30" ht="63.95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Project Name and Unit # 
PD # Revision
Panel Name
Insert</v>
      </c>
      <c r="B2" s="12" t="str">
        <f>IF('Bundle Tag Info'!B$7&lt;&gt;"",CONCATENATE('Bundle Tag Info'!$A$1," ",CHAR(10),'Bundle Tag Info'!$A$2," ",'Bundle Tag Info'!$A$3,CHAR(10),'Bundle Tag Info'!B$6,CHAR(10),'Bundle Tag Info'!B$7),"")</f>
        <v/>
      </c>
      <c r="C2" s="12" t="str">
        <f>IF('Bundle Tag Info'!C$7&lt;&gt;"",CONCATENATE('Bundle Tag Info'!$A$1," ",CHAR(10),'Bundle Tag Info'!$A$2," ",'Bundle Tag Info'!$A$3,CHAR(10),'Bundle Tag Info'!C$6,CHAR(10),'Bundle Tag Info'!C$7),"")</f>
        <v/>
      </c>
      <c r="D2" s="12" t="str">
        <f>IF('Bundle Tag Info'!D$7&lt;&gt;"",CONCATENATE('Bundle Tag Info'!$A$1," ",CHAR(10),'Bundle Tag Info'!$A$2," ",'Bundle Tag Info'!$A$3,CHAR(10),'Bundle Tag Info'!D$6,CHAR(10),'Bundle Tag Info'!D$7),"")</f>
        <v/>
      </c>
      <c r="E2" s="12" t="str">
        <f>IF('Bundle Tag Info'!E$7&lt;&gt;"",CONCATENATE('Bundle Tag Info'!$A$1," ",CHAR(10),'Bundle Tag Info'!$A$2," ",'Bundle Tag Info'!$A$3,CHAR(10),'Bundle Tag Info'!E$6,CHAR(10),'Bundle Tag Info'!E$7),"")</f>
        <v/>
      </c>
      <c r="F2" s="12" t="str">
        <f>IF('Bundle Tag Info'!F$7&lt;&gt;"",CONCATENATE('Bundle Tag Info'!$A$1," ",CHAR(10),'Bundle Tag Info'!$A$2," ",'Bundle Tag Info'!$A$3,CHAR(10),'Bundle Tag Info'!F$6,CHAR(10),'Bundle Tag Info'!F$7),"")</f>
        <v/>
      </c>
      <c r="G2" s="12" t="str">
        <f>IF('Bundle Tag Info'!G$7&lt;&gt;"",CONCATENATE('Bundle Tag Info'!$A$1," ",CHAR(10),'Bundle Tag Info'!$A$2," ",'Bundle Tag Info'!$A$3,CHAR(10),'Bundle Tag Info'!G$6,CHAR(10),'Bundle Tag Info'!G$7),"")</f>
        <v/>
      </c>
      <c r="H2" s="12" t="str">
        <f>IF('Bundle Tag Info'!H$7&lt;&gt;"",CONCATENATE('Bundle Tag Info'!$A$1," ",CHAR(10),'Bundle Tag Info'!$A$2," ",'Bundle Tag Info'!$A$3,CHAR(10),'Bundle Tag Info'!H$6,CHAR(10),'Bundle Tag Info'!H$7),"")</f>
        <v/>
      </c>
      <c r="I2" s="12" t="str">
        <f>IF('Bundle Tag Info'!I$7&lt;&gt;"",CONCATENATE('Bundle Tag Info'!$A$1," ",CHAR(10),'Bundle Tag Info'!$A$2," ",'Bundle Tag Info'!$A$3,CHAR(10),'Bundle Tag Info'!I$6,CHAR(10),'Bundle Tag Info'!I$7),"")</f>
        <v/>
      </c>
      <c r="J2" s="12" t="str">
        <f>IF('Bundle Tag Info'!J$7&lt;&gt;"",CONCATENATE('Bundle Tag Info'!$A$1," ",CHAR(10),'Bundle Tag Info'!$A$2," ",'Bundle Tag Info'!$A$3,CHAR(10),'Bundle Tag Info'!J$6,CHAR(10),'Bundle Tag Info'!J$7),"")</f>
        <v/>
      </c>
      <c r="K2" s="12" t="str">
        <f>IF('Bundle Tag Info'!K$7&lt;&gt;"",CONCATENATE('Bundle Tag Info'!$A$1," ",CHAR(10),'Bundle Tag Info'!$A$2," ",'Bundle Tag Info'!$A$3,CHAR(10),'Bundle Tag Info'!K$6,CHAR(10),'Bundle Tag Info'!K$7),"")</f>
        <v/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Project Name and Unit # 
PD # Revision
Panel Name
Tag Names</v>
      </c>
      <c r="B3" s="12" t="str">
        <f>IF('Bundle Tag Info'!B$8&lt;&gt;"",CONCATENATE('Bundle Tag Info'!$A$1," ",CHAR(10),'Bundle Tag Info'!$A$2," ",'Bundle Tag Info'!$A$3,CHAR(10),'Bundle Tag Info'!B$6,CHAR(10),'Bundle Tag Info'!B$8),"")</f>
        <v/>
      </c>
      <c r="C3" s="12" t="str">
        <f>IF('Bundle Tag Info'!C$8&lt;&gt;"",CONCATENATE('Bundle Tag Info'!$A$1," ",CHAR(10),'Bundle Tag Info'!$A$2," ",'Bundle Tag Info'!$A$3,CHAR(10),'Bundle Tag Info'!C$6,CHAR(10),'Bundle Tag Info'!C$8),"")</f>
        <v/>
      </c>
      <c r="D3" s="12" t="str">
        <f>IF('Bundle Tag Info'!D$8&lt;&gt;"",CONCATENATE('Bundle Tag Info'!$A$1," ",CHAR(10),'Bundle Tag Info'!$A$2," ",'Bundle Tag Info'!$A$3,CHAR(10),'Bundle Tag Info'!D$6,CHAR(10),'Bundle Tag Info'!D$8),"")</f>
        <v/>
      </c>
      <c r="E3" s="12" t="str">
        <f>IF('Bundle Tag Info'!E$8&lt;&gt;"",CONCATENATE('Bundle Tag Info'!$A$1," ",CHAR(10),'Bundle Tag Info'!$A$2," ",'Bundle Tag Info'!$A$3,CHAR(10),'Bundle Tag Info'!E$6,CHAR(10),'Bundle Tag Info'!E$8),"")</f>
        <v/>
      </c>
      <c r="F3" s="12" t="str">
        <f>IF('Bundle Tag Info'!F$8&lt;&gt;"",CONCATENATE('Bundle Tag Info'!$A$1," ",CHAR(10),'Bundle Tag Info'!$A$2," ",'Bundle Tag Info'!$A$3,CHAR(10),'Bundle Tag Info'!F$6,CHAR(10),'Bundle Tag Info'!F$8),"")</f>
        <v/>
      </c>
      <c r="G3" s="12" t="str">
        <f>IF('Bundle Tag Info'!G$8&lt;&gt;"",CONCATENATE('Bundle Tag Info'!$A$1," ",CHAR(10),'Bundle Tag Info'!$A$2," ",'Bundle Tag Info'!$A$3,CHAR(10),'Bundle Tag Info'!G$6,CHAR(10),'Bundle Tag Info'!G$8),"")</f>
        <v/>
      </c>
      <c r="H3" s="12" t="str">
        <f>IF('Bundle Tag Info'!H$8&lt;&gt;"",CONCATENATE('Bundle Tag Info'!$A$1," ",CHAR(10),'Bundle Tag Info'!$A$2," ",'Bundle Tag Info'!$A$3,CHAR(10),'Bundle Tag Info'!H$6,CHAR(10),'Bundle Tag Info'!H$8),"")</f>
        <v/>
      </c>
      <c r="I3" s="12" t="str">
        <f>IF('Bundle Tag Info'!I$8&lt;&gt;"",CONCATENATE('Bundle Tag Info'!$A$1," ",CHAR(10),'Bundle Tag Info'!$A$2," ",'Bundle Tag Info'!$A$3,CHAR(10),'Bundle Tag Info'!I$6,CHAR(10),'Bundle Tag Info'!I$8),"")</f>
        <v/>
      </c>
      <c r="J3" s="12" t="str">
        <f>IF('Bundle Tag Info'!J$8&lt;&gt;"",CONCATENATE('Bundle Tag Info'!$A$1," ",CHAR(10),'Bundle Tag Info'!$A$2," ",'Bundle Tag Info'!$A$3,CHAR(10),'Bundle Tag Info'!J$6,CHAR(10),'Bundle Tag Info'!J$8),"")</f>
        <v/>
      </c>
      <c r="K3" s="12" t="str">
        <f>IF('Bundle Tag Info'!K$8&lt;&gt;"",CONCATENATE('Bundle Tag Info'!$A$1," ",CHAR(10),'Bundle Tag Info'!$A$2," ",'Bundle Tag Info'!$A$3,CHAR(10),'Bundle Tag Info'!K$6,CHAR(10),'Bundle Tag Info'!K$8),"")</f>
        <v/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Project Name and Unit # 
PD # Revision
Panel Name
Here</v>
      </c>
      <c r="B4" s="12" t="str">
        <f>IF('Bundle Tag Info'!B$9&lt;&gt;"",CONCATENATE('Bundle Tag Info'!$A$1," ",CHAR(10),'Bundle Tag Info'!$A$2," ",'Bundle Tag Info'!$A$3,CHAR(10),'Bundle Tag Info'!B$6,CHAR(10),'Bundle Tag Info'!B$9),"")</f>
        <v/>
      </c>
      <c r="C4" s="12" t="str">
        <f>IF('Bundle Tag Info'!C$9&lt;&gt;"",CONCATENATE('Bundle Tag Info'!$A$1," ",CHAR(10),'Bundle Tag Info'!$A$2," ",'Bundle Tag Info'!$A$3,CHAR(10),'Bundle Tag Info'!C$6,CHAR(10),'Bundle Tag Info'!C$9),"")</f>
        <v/>
      </c>
      <c r="D4" s="12" t="str">
        <f>IF('Bundle Tag Info'!D$9&lt;&gt;"",CONCATENATE('Bundle Tag Info'!$A$1," ",CHAR(10),'Bundle Tag Info'!$A$2," ",'Bundle Tag Info'!$A$3,CHAR(10),'Bundle Tag Info'!D$6,CHAR(10),'Bundle Tag Info'!D$9),"")</f>
        <v/>
      </c>
      <c r="E4" s="12" t="str">
        <f>IF('Bundle Tag Info'!E$9&lt;&gt;"",CONCATENATE('Bundle Tag Info'!$A$1," ",CHAR(10),'Bundle Tag Info'!$A$2," ",'Bundle Tag Info'!$A$3,CHAR(10),'Bundle Tag Info'!E$6,CHAR(10),'Bundle Tag Info'!E$9),"")</f>
        <v/>
      </c>
      <c r="F4" s="12" t="str">
        <f>IF('Bundle Tag Info'!F$9&lt;&gt;"",CONCATENATE('Bundle Tag Info'!$A$1," ",CHAR(10),'Bundle Tag Info'!$A$2," ",'Bundle Tag Info'!$A$3,CHAR(10),'Bundle Tag Info'!F$6,CHAR(10),'Bundle Tag Info'!F$9),"")</f>
        <v/>
      </c>
      <c r="G4" s="12" t="str">
        <f>IF('Bundle Tag Info'!G$9&lt;&gt;"",CONCATENATE('Bundle Tag Info'!$A$1," ",CHAR(10),'Bundle Tag Info'!$A$2," ",'Bundle Tag Info'!$A$3,CHAR(10),'Bundle Tag Info'!G$6,CHAR(10),'Bundle Tag Info'!G$9),"")</f>
        <v/>
      </c>
      <c r="H4" s="12" t="str">
        <f>IF('Bundle Tag Info'!H$9&lt;&gt;"",CONCATENATE('Bundle Tag Info'!$A$1," ",CHAR(10),'Bundle Tag Info'!$A$2," ",'Bundle Tag Info'!$A$3,CHAR(10),'Bundle Tag Info'!H$6,CHAR(10),'Bundle Tag Info'!H$9),"")</f>
        <v/>
      </c>
      <c r="I4" s="12" t="str">
        <f>IF('Bundle Tag Info'!I$9&lt;&gt;"",CONCATENATE('Bundle Tag Info'!$A$1," ",CHAR(10),'Bundle Tag Info'!$A$2," ",'Bundle Tag Info'!$A$3,CHAR(10),'Bundle Tag Info'!I$6,CHAR(10),'Bundle Tag Info'!I$9),"")</f>
        <v/>
      </c>
      <c r="J4" s="12" t="str">
        <f>IF('Bundle Tag Info'!J$9&lt;&gt;"",CONCATENATE('Bundle Tag Info'!$A$1," ",CHAR(10),'Bundle Tag Info'!$A$2," ",'Bundle Tag Info'!$A$3,CHAR(10),'Bundle Tag Info'!J$6,CHAR(10),'Bundle Tag Info'!J$9),"")</f>
        <v/>
      </c>
      <c r="K4" s="12" t="str">
        <f>IF('Bundle Tag Info'!K$9&lt;&gt;"",CONCATENATE('Bundle Tag Info'!$A$1," ",CHAR(10),'Bundle Tag Info'!$A$2," ",'Bundle Tag Info'!$A$3,CHAR(10),'Bundle Tag Info'!K$6,CHAR(10),'Bundle Tag Info'!K$9),"")</f>
        <v/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/>
      </c>
      <c r="B5" s="12" t="str">
        <f>IF('Bundle Tag Info'!B$10&lt;&gt;"",CONCATENATE('Bundle Tag Info'!$A$1," ",CHAR(10),'Bundle Tag Info'!$A$2," ",'Bundle Tag Info'!$A$3,CHAR(10),'Bundle Tag Info'!B$6,CHAR(10),'Bundle Tag Info'!B$10),"")</f>
        <v/>
      </c>
      <c r="C5" s="12" t="str">
        <f>IF('Bundle Tag Info'!C$10&lt;&gt;"",CONCATENATE('Bundle Tag Info'!$A$1," ",CHAR(10),'Bundle Tag Info'!$A$2," ",'Bundle Tag Info'!$A$3,CHAR(10),'Bundle Tag Info'!C$6,CHAR(10),'Bundle Tag Info'!C$10),"")</f>
        <v/>
      </c>
      <c r="D5" s="12" t="str">
        <f>IF('Bundle Tag Info'!D$10&lt;&gt;"",CONCATENATE('Bundle Tag Info'!$A$1," ",CHAR(10),'Bundle Tag Info'!$A$2," ",'Bundle Tag Info'!$A$3,CHAR(10),'Bundle Tag Info'!D$6,CHAR(10),'Bundle Tag Info'!D$10),"")</f>
        <v/>
      </c>
      <c r="E5" s="12" t="str">
        <f>IF('Bundle Tag Info'!E$10&lt;&gt;"",CONCATENATE('Bundle Tag Info'!$A$1," ",CHAR(10),'Bundle Tag Info'!$A$2," ",'Bundle Tag Info'!$A$3,CHAR(10),'Bundle Tag Info'!E$6,CHAR(10),'Bundle Tag Info'!E$10),"")</f>
        <v/>
      </c>
      <c r="F5" s="12" t="str">
        <f>IF('Bundle Tag Info'!F$10&lt;&gt;"",CONCATENATE('Bundle Tag Info'!$A$1," ",CHAR(10),'Bundle Tag Info'!$A$2," ",'Bundle Tag Info'!$A$3,CHAR(10),'Bundle Tag Info'!F$6,CHAR(10),'Bundle Tag Info'!F$10),"")</f>
        <v/>
      </c>
      <c r="G5" s="12" t="str">
        <f>IF('Bundle Tag Info'!G$10&lt;&gt;"",CONCATENATE('Bundle Tag Info'!$A$1," ",CHAR(10),'Bundle Tag Info'!$A$2," ",'Bundle Tag Info'!$A$3,CHAR(10),'Bundle Tag Info'!G$6,CHAR(10),'Bundle Tag Info'!G$10),"")</f>
        <v/>
      </c>
      <c r="H5" s="12" t="str">
        <f>IF('Bundle Tag Info'!H$10&lt;&gt;"",CONCATENATE('Bundle Tag Info'!$A$1," ",CHAR(10),'Bundle Tag Info'!$A$2," ",'Bundle Tag Info'!$A$3,CHAR(10),'Bundle Tag Info'!H$6,CHAR(10),'Bundle Tag Info'!H$10),"")</f>
        <v/>
      </c>
      <c r="I5" s="12" t="str">
        <f>IF('Bundle Tag Info'!I$10&lt;&gt;"",CONCATENATE('Bundle Tag Info'!$A$1," ",CHAR(10),'Bundle Tag Info'!$A$2," ",'Bundle Tag Info'!$A$3,CHAR(10),'Bundle Tag Info'!I$6,CHAR(10),'Bundle Tag Info'!I$10),"")</f>
        <v/>
      </c>
      <c r="J5" s="12" t="str">
        <f>IF('Bundle Tag Info'!J$10&lt;&gt;"",CONCATENATE('Bundle Tag Info'!$A$1," ",CHAR(10),'Bundle Tag Info'!$A$2," ",'Bundle Tag Info'!$A$3,CHAR(10),'Bundle Tag Info'!J$6,CHAR(10),'Bundle Tag Info'!J$10),"")</f>
        <v/>
      </c>
      <c r="K5" s="12" t="str">
        <f>IF('Bundle Tag Info'!K$10&lt;&gt;"",CONCATENATE('Bundle Tag Info'!$A$1," ",CHAR(10),'Bundle Tag Info'!$A$2," ",'Bundle Tag Info'!$A$3,CHAR(10),'Bundle Tag Info'!K$6,CHAR(10),'Bundle Tag Info'!K$10),"")</f>
        <v/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/>
      </c>
      <c r="B6" s="12" t="str">
        <f>IF('Bundle Tag Info'!B$11&lt;&gt;"",CONCATENATE('Bundle Tag Info'!$A$1," ",CHAR(10),'Bundle Tag Info'!$A$2," ",'Bundle Tag Info'!$A$3,CHAR(10),'Bundle Tag Info'!B$6,CHAR(10),'Bundle Tag Info'!B$11),"")</f>
        <v/>
      </c>
      <c r="C6" s="12" t="str">
        <f>IF('Bundle Tag Info'!C$11&lt;&gt;"",CONCATENATE('Bundle Tag Info'!$A$1," ",CHAR(10),'Bundle Tag Info'!$A$2," ",'Bundle Tag Info'!$A$3,CHAR(10),'Bundle Tag Info'!C$6,CHAR(10),'Bundle Tag Info'!C$11),"")</f>
        <v/>
      </c>
      <c r="D6" s="12" t="str">
        <f>IF('Bundle Tag Info'!D$11&lt;&gt;"",CONCATENATE('Bundle Tag Info'!$A$1," ",CHAR(10),'Bundle Tag Info'!$A$2," ",'Bundle Tag Info'!$A$3,CHAR(10),'Bundle Tag Info'!D$6,CHAR(10),'Bundle Tag Info'!D$11),"")</f>
        <v/>
      </c>
      <c r="E6" s="12" t="str">
        <f>IF('Bundle Tag Info'!E$11&lt;&gt;"",CONCATENATE('Bundle Tag Info'!$A$1," ",CHAR(10),'Bundle Tag Info'!$A$2," ",'Bundle Tag Info'!$A$3,CHAR(10),'Bundle Tag Info'!E$6,CHAR(10),'Bundle Tag Info'!E$11),"")</f>
        <v/>
      </c>
      <c r="F6" s="12" t="str">
        <f>IF('Bundle Tag Info'!F$11&lt;&gt;"",CONCATENATE('Bundle Tag Info'!$A$1," ",CHAR(10),'Bundle Tag Info'!$A$2," ",'Bundle Tag Info'!$A$3,CHAR(10),'Bundle Tag Info'!F$6,CHAR(10),'Bundle Tag Info'!F$11),"")</f>
        <v/>
      </c>
      <c r="G6" s="12" t="str">
        <f>IF('Bundle Tag Info'!G$11&lt;&gt;"",CONCATENATE('Bundle Tag Info'!$A$1," ",CHAR(10),'Bundle Tag Info'!$A$2," ",'Bundle Tag Info'!$A$3,CHAR(10),'Bundle Tag Info'!G$6,CHAR(10),'Bundle Tag Info'!G$11),"")</f>
        <v/>
      </c>
      <c r="H6" s="12" t="str">
        <f>IF('Bundle Tag Info'!H$11&lt;&gt;"",CONCATENATE('Bundle Tag Info'!$A$1," ",CHAR(10),'Bundle Tag Info'!$A$2," ",'Bundle Tag Info'!$A$3,CHAR(10),'Bundle Tag Info'!H$6,CHAR(10),'Bundle Tag Info'!H$11),"")</f>
        <v/>
      </c>
      <c r="I6" s="12" t="str">
        <f>IF('Bundle Tag Info'!I$11&lt;&gt;"",CONCATENATE('Bundle Tag Info'!$A$1," ",CHAR(10),'Bundle Tag Info'!$A$2," ",'Bundle Tag Info'!$A$3,CHAR(10),'Bundle Tag Info'!I$6,CHAR(10),'Bundle Tag Info'!I$11),"")</f>
        <v/>
      </c>
      <c r="J6" s="12" t="str">
        <f>IF('Bundle Tag Info'!J$11&lt;&gt;"",CONCATENATE('Bundle Tag Info'!$A$1," ",CHAR(10),'Bundle Tag Info'!$A$2," ",'Bundle Tag Info'!$A$3,CHAR(10),'Bundle Tag Info'!J$6,CHAR(10),'Bundle Tag Info'!J$11),"")</f>
        <v/>
      </c>
      <c r="K6" s="12" t="str">
        <f>IF('Bundle Tag Info'!K$11&lt;&gt;"",CONCATENATE('Bundle Tag Info'!$A$1," ",CHAR(10),'Bundle Tag Info'!$A$2," ",'Bundle Tag Info'!$A$3,CHAR(10),'Bundle Tag Info'!K$6,CHAR(10),'Bundle Tag Info'!K$11),"")</f>
        <v/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/>
      </c>
      <c r="B7" s="12" t="str">
        <f>IF('Bundle Tag Info'!B$12&lt;&gt;"",CONCATENATE('Bundle Tag Info'!$A$1," ",CHAR(10),'Bundle Tag Info'!$A$2," ",'Bundle Tag Info'!$A$3,CHAR(10),'Bundle Tag Info'!B$6,CHAR(10),'Bundle Tag Info'!B$12),"")</f>
        <v/>
      </c>
      <c r="C7" s="12" t="str">
        <f>IF('Bundle Tag Info'!C$12&lt;&gt;"",CONCATENATE('Bundle Tag Info'!$A$1," ",CHAR(10),'Bundle Tag Info'!$A$2," ",'Bundle Tag Info'!$A$3,CHAR(10),'Bundle Tag Info'!C$6,CHAR(10),'Bundle Tag Info'!C$12),"")</f>
        <v/>
      </c>
      <c r="D7" s="12" t="str">
        <f>IF('Bundle Tag Info'!D$12&lt;&gt;"",CONCATENATE('Bundle Tag Info'!$A$1," ",CHAR(10),'Bundle Tag Info'!$A$2," ",'Bundle Tag Info'!$A$3,CHAR(10),'Bundle Tag Info'!D$6,CHAR(10),'Bundle Tag Info'!D$12),"")</f>
        <v/>
      </c>
      <c r="E7" s="12" t="str">
        <f>IF('Bundle Tag Info'!E$12&lt;&gt;"",CONCATENATE('Bundle Tag Info'!$A$1," ",CHAR(10),'Bundle Tag Info'!$A$2," ",'Bundle Tag Info'!$A$3,CHAR(10),'Bundle Tag Info'!E$6,CHAR(10),'Bundle Tag Info'!E$12),"")</f>
        <v/>
      </c>
      <c r="F7" s="12" t="str">
        <f>IF('Bundle Tag Info'!F$12&lt;&gt;"",CONCATENATE('Bundle Tag Info'!$A$1," ",CHAR(10),'Bundle Tag Info'!$A$2," ",'Bundle Tag Info'!$A$3,CHAR(10),'Bundle Tag Info'!F$6,CHAR(10),'Bundle Tag Info'!F$12),"")</f>
        <v/>
      </c>
      <c r="G7" s="12" t="str">
        <f>IF('Bundle Tag Info'!G$12&lt;&gt;"",CONCATENATE('Bundle Tag Info'!$A$1," ",CHAR(10),'Bundle Tag Info'!$A$2," ",'Bundle Tag Info'!$A$3,CHAR(10),'Bundle Tag Info'!G$6,CHAR(10),'Bundle Tag Info'!G$12),"")</f>
        <v/>
      </c>
      <c r="H7" s="12" t="str">
        <f>IF('Bundle Tag Info'!H$12&lt;&gt;"",CONCATENATE('Bundle Tag Info'!$A$1," ",CHAR(10),'Bundle Tag Info'!$A$2," ",'Bundle Tag Info'!$A$3,CHAR(10),'Bundle Tag Info'!H$6,CHAR(10),'Bundle Tag Info'!H$12),"")</f>
        <v/>
      </c>
      <c r="I7" s="12" t="str">
        <f>IF('Bundle Tag Info'!I$12&lt;&gt;"",CONCATENATE('Bundle Tag Info'!$A$1," ",CHAR(10),'Bundle Tag Info'!$A$2," ",'Bundle Tag Info'!$A$3,CHAR(10),'Bundle Tag Info'!I$6,CHAR(10),'Bundle Tag Info'!I$12),"")</f>
        <v/>
      </c>
      <c r="J7" s="12" t="str">
        <f>IF('Bundle Tag Info'!J$12&lt;&gt;"",CONCATENATE('Bundle Tag Info'!$A$1," ",CHAR(10),'Bundle Tag Info'!$A$2," ",'Bundle Tag Info'!$A$3,CHAR(10),'Bundle Tag Info'!J$6,CHAR(10),'Bundle Tag Info'!J$12),"")</f>
        <v/>
      </c>
      <c r="K7" s="12" t="str">
        <f>IF('Bundle Tag Info'!K$12&lt;&gt;"",CONCATENATE('Bundle Tag Info'!$A$1," ",CHAR(10),'Bundle Tag Info'!$A$2," ",'Bundle Tag Info'!$A$3,CHAR(10),'Bundle Tag Info'!K$6,CHAR(10),'Bundle Tag Info'!K$12),"")</f>
        <v/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/>
      </c>
      <c r="B8" s="12" t="str">
        <f>IF('Bundle Tag Info'!B$13&lt;&gt;"",CONCATENATE('Bundle Tag Info'!$A$1," ",CHAR(10),'Bundle Tag Info'!$A$2," ",'Bundle Tag Info'!$A$3,CHAR(10),'Bundle Tag Info'!B$6,CHAR(10),'Bundle Tag Info'!B$13),"")</f>
        <v/>
      </c>
      <c r="C8" s="12" t="str">
        <f>IF('Bundle Tag Info'!C$13&lt;&gt;"",CONCATENATE('Bundle Tag Info'!$A$1," ",CHAR(10),'Bundle Tag Info'!$A$2," ",'Bundle Tag Info'!$A$3,CHAR(10),'Bundle Tag Info'!C$6,CHAR(10),'Bundle Tag Info'!C$13),"")</f>
        <v/>
      </c>
      <c r="D8" s="12" t="str">
        <f>IF('Bundle Tag Info'!D$13&lt;&gt;"",CONCATENATE('Bundle Tag Info'!$A$1," ",CHAR(10),'Bundle Tag Info'!$A$2," ",'Bundle Tag Info'!$A$3,CHAR(10),'Bundle Tag Info'!D$6,CHAR(10),'Bundle Tag Info'!D$13),"")</f>
        <v/>
      </c>
      <c r="E8" s="12" t="str">
        <f>IF('Bundle Tag Info'!E$13&lt;&gt;"",CONCATENATE('Bundle Tag Info'!$A$1," ",CHAR(10),'Bundle Tag Info'!$A$2," ",'Bundle Tag Info'!$A$3,CHAR(10),'Bundle Tag Info'!E$6,CHAR(10),'Bundle Tag Info'!E$13),"")</f>
        <v/>
      </c>
      <c r="F8" s="12" t="str">
        <f>IF('Bundle Tag Info'!F$13&lt;&gt;"",CONCATENATE('Bundle Tag Info'!$A$1," ",CHAR(10),'Bundle Tag Info'!$A$2," ",'Bundle Tag Info'!$A$3,CHAR(10),'Bundle Tag Info'!F$6,CHAR(10),'Bundle Tag Info'!F$13),"")</f>
        <v/>
      </c>
      <c r="G8" s="12" t="str">
        <f>IF('Bundle Tag Info'!G$13&lt;&gt;"",CONCATENATE('Bundle Tag Info'!$A$1," ",CHAR(10),'Bundle Tag Info'!$A$2," ",'Bundle Tag Info'!$A$3,CHAR(10),'Bundle Tag Info'!G$6,CHAR(10),'Bundle Tag Info'!G$13),"")</f>
        <v/>
      </c>
      <c r="H8" s="12" t="str">
        <f>IF('Bundle Tag Info'!H$13&lt;&gt;"",CONCATENATE('Bundle Tag Info'!$A$1," ",CHAR(10),'Bundle Tag Info'!$A$2," ",'Bundle Tag Info'!$A$3,CHAR(10),'Bundle Tag Info'!H$6,CHAR(10),'Bundle Tag Info'!H$13),"")</f>
        <v/>
      </c>
      <c r="I8" s="12" t="str">
        <f>IF('Bundle Tag Info'!I$13&lt;&gt;"",CONCATENATE('Bundle Tag Info'!$A$1," ",CHAR(10),'Bundle Tag Info'!$A$2," ",'Bundle Tag Info'!$A$3,CHAR(10),'Bundle Tag Info'!I$6,CHAR(10),'Bundle Tag Info'!I$13),"")</f>
        <v/>
      </c>
      <c r="J8" s="12" t="str">
        <f>IF('Bundle Tag Info'!J$13&lt;&gt;"",CONCATENATE('Bundle Tag Info'!$A$1," ",CHAR(10),'Bundle Tag Info'!$A$2," ",'Bundle Tag Info'!$A$3,CHAR(10),'Bundle Tag Info'!J$6,CHAR(10),'Bundle Tag Info'!J$13),"")</f>
        <v/>
      </c>
      <c r="K8" s="12" t="str">
        <f>IF('Bundle Tag Info'!K$13&lt;&gt;"",CONCATENATE('Bundle Tag Info'!$A$1," ",CHAR(10),'Bundle Tag Info'!$A$2," ",'Bundle Tag Info'!$A$3,CHAR(10),'Bundle Tag Info'!K$6,CHAR(10),'Bundle Tag Info'!K$13),"")</f>
        <v/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/>
      </c>
      <c r="B9" s="12" t="str">
        <f>IF('Bundle Tag Info'!B$14&lt;&gt;"",CONCATENATE('Bundle Tag Info'!$A$1," ",CHAR(10),'Bundle Tag Info'!$A$2," ",'Bundle Tag Info'!$A$3,CHAR(10),'Bundle Tag Info'!B$6,CHAR(10),'Bundle Tag Info'!B$14),"")</f>
        <v/>
      </c>
      <c r="C9" s="12" t="str">
        <f>IF('Bundle Tag Info'!C$14&lt;&gt;"",CONCATENATE('Bundle Tag Info'!$A$1," ",CHAR(10),'Bundle Tag Info'!$A$2," ",'Bundle Tag Info'!$A$3,CHAR(10),'Bundle Tag Info'!C$6,CHAR(10),'Bundle Tag Info'!C$14),"")</f>
        <v/>
      </c>
      <c r="D9" s="12" t="str">
        <f>IF('Bundle Tag Info'!D$14&lt;&gt;"",CONCATENATE('Bundle Tag Info'!$A$1," ",CHAR(10),'Bundle Tag Info'!$A$2," ",'Bundle Tag Info'!$A$3,CHAR(10),'Bundle Tag Info'!D$6,CHAR(10),'Bundle Tag Info'!D$14),"")</f>
        <v/>
      </c>
      <c r="E9" s="12" t="str">
        <f>IF('Bundle Tag Info'!E$14&lt;&gt;"",CONCATENATE('Bundle Tag Info'!$A$1," ",CHAR(10),'Bundle Tag Info'!$A$2," ",'Bundle Tag Info'!$A$3,CHAR(10),'Bundle Tag Info'!E$6,CHAR(10),'Bundle Tag Info'!E$14),"")</f>
        <v/>
      </c>
      <c r="F9" s="12" t="str">
        <f>IF('Bundle Tag Info'!F$14&lt;&gt;"",CONCATENATE('Bundle Tag Info'!$A$1," ",CHAR(10),'Bundle Tag Info'!$A$2," ",'Bundle Tag Info'!$A$3,CHAR(10),'Bundle Tag Info'!F$6,CHAR(10),'Bundle Tag Info'!F$14),"")</f>
        <v/>
      </c>
      <c r="G9" s="12" t="str">
        <f>IF('Bundle Tag Info'!G$14&lt;&gt;"",CONCATENATE('Bundle Tag Info'!$A$1," ",CHAR(10),'Bundle Tag Info'!$A$2," ",'Bundle Tag Info'!$A$3,CHAR(10),'Bundle Tag Info'!G$6,CHAR(10),'Bundle Tag Info'!G$14),"")</f>
        <v/>
      </c>
      <c r="H9" s="12" t="str">
        <f>IF('Bundle Tag Info'!H$14&lt;&gt;"",CONCATENATE('Bundle Tag Info'!$A$1," ",CHAR(10),'Bundle Tag Info'!$A$2," ",'Bundle Tag Info'!$A$3,CHAR(10),'Bundle Tag Info'!H$6,CHAR(10),'Bundle Tag Info'!H$14),"")</f>
        <v/>
      </c>
      <c r="I9" s="12" t="str">
        <f>IF('Bundle Tag Info'!I$14&lt;&gt;"",CONCATENATE('Bundle Tag Info'!$A$1," ",CHAR(10),'Bundle Tag Info'!$A$2," ",'Bundle Tag Info'!$A$3,CHAR(10),'Bundle Tag Info'!I$6,CHAR(10),'Bundle Tag Info'!I$14),"")</f>
        <v/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/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/>
      </c>
      <c r="B10" s="12" t="str">
        <f>IF('Bundle Tag Info'!B$15&lt;&gt;"",CONCATENATE('Bundle Tag Info'!$A$1," ",CHAR(10),'Bundle Tag Info'!$A$2," ",'Bundle Tag Info'!$A$3,CHAR(10),'Bundle Tag Info'!B$6,CHAR(10),'Bundle Tag Info'!B$15),"")</f>
        <v/>
      </c>
      <c r="C10" s="12" t="str">
        <f>IF('Bundle Tag Info'!C$15&lt;&gt;"",CONCATENATE('Bundle Tag Info'!$A$1," ",CHAR(10),'Bundle Tag Info'!$A$2," ",'Bundle Tag Info'!$A$3,CHAR(10),'Bundle Tag Info'!C$6,CHAR(10),'Bundle Tag Info'!C$15),"")</f>
        <v/>
      </c>
      <c r="D10" s="12" t="str">
        <f>IF('Bundle Tag Info'!D$15&lt;&gt;"",CONCATENATE('Bundle Tag Info'!$A$1," ",CHAR(10),'Bundle Tag Info'!$A$2," ",'Bundle Tag Info'!$A$3,CHAR(10),'Bundle Tag Info'!D$6,CHAR(10),'Bundle Tag Info'!D$15),"")</f>
        <v/>
      </c>
      <c r="E10" s="12" t="str">
        <f>IF('Bundle Tag Info'!E$15&lt;&gt;"",CONCATENATE('Bundle Tag Info'!$A$1," ",CHAR(10),'Bundle Tag Info'!$A$2," ",'Bundle Tag Info'!$A$3,CHAR(10),'Bundle Tag Info'!E$6,CHAR(10),'Bundle Tag Info'!E$15),"")</f>
        <v/>
      </c>
      <c r="F10" s="12" t="str">
        <f>IF('Bundle Tag Info'!F$15&lt;&gt;"",CONCATENATE('Bundle Tag Info'!$A$1," ",CHAR(10),'Bundle Tag Info'!$A$2," ",'Bundle Tag Info'!$A$3,CHAR(10),'Bundle Tag Info'!F$6,CHAR(10),'Bundle Tag Info'!F$15),"")</f>
        <v/>
      </c>
      <c r="G10" s="12" t="str">
        <f>IF('Bundle Tag Info'!G$15&lt;&gt;"",CONCATENATE('Bundle Tag Info'!$A$1," ",CHAR(10),'Bundle Tag Info'!$A$2," ",'Bundle Tag Info'!$A$3,CHAR(10),'Bundle Tag Info'!G$6,CHAR(10),'Bundle Tag Info'!G$15),"")</f>
        <v/>
      </c>
      <c r="H10" s="12" t="str">
        <f>IF('Bundle Tag Info'!H$15&lt;&gt;"",CONCATENATE('Bundle Tag Info'!$A$1," ",CHAR(10),'Bundle Tag Info'!$A$2," ",'Bundle Tag Info'!$A$3,CHAR(10),'Bundle Tag Info'!H$6,CHAR(10),'Bundle Tag Info'!H$15),"")</f>
        <v/>
      </c>
      <c r="I10" s="12" t="str">
        <f>IF('Bundle Tag Info'!I$15&lt;&gt;"",CONCATENATE('Bundle Tag Info'!$A$1," ",CHAR(10),'Bundle Tag Info'!$A$2," ",'Bundle Tag Info'!$A$3,CHAR(10),'Bundle Tag Info'!I$6,CHAR(10),'Bundle Tag Info'!I$15),"")</f>
        <v/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/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/>
      </c>
      <c r="B11" s="12" t="str">
        <f>IF('Bundle Tag Info'!B$16&lt;&gt;"",CONCATENATE('Bundle Tag Info'!$A$1," ",CHAR(10),'Bundle Tag Info'!$A$2," ",'Bundle Tag Info'!$A$3,CHAR(10),'Bundle Tag Info'!B$6,CHAR(10),'Bundle Tag Info'!B$16),"")</f>
        <v/>
      </c>
      <c r="C11" s="12" t="str">
        <f>IF('Bundle Tag Info'!C$16&lt;&gt;"",CONCATENATE('Bundle Tag Info'!$A$1," ",CHAR(10),'Bundle Tag Info'!$A$2," ",'Bundle Tag Info'!$A$3,CHAR(10),'Bundle Tag Info'!C$6,CHAR(10),'Bundle Tag Info'!C$16),"")</f>
        <v/>
      </c>
      <c r="D11" s="12" t="str">
        <f>IF('Bundle Tag Info'!D$16&lt;&gt;"",CONCATENATE('Bundle Tag Info'!$A$1," ",CHAR(10),'Bundle Tag Info'!$A$2," ",'Bundle Tag Info'!$A$3,CHAR(10),'Bundle Tag Info'!D$6,CHAR(10),'Bundle Tag Info'!D$16),"")</f>
        <v/>
      </c>
      <c r="E11" s="12" t="str">
        <f>IF('Bundle Tag Info'!E$16&lt;&gt;"",CONCATENATE('Bundle Tag Info'!$A$1," ",CHAR(10),'Bundle Tag Info'!$A$2," ",'Bundle Tag Info'!$A$3,CHAR(10),'Bundle Tag Info'!E$6,CHAR(10),'Bundle Tag Info'!E$16),"")</f>
        <v/>
      </c>
      <c r="F11" s="12" t="str">
        <f>IF('Bundle Tag Info'!F$16&lt;&gt;"",CONCATENATE('Bundle Tag Info'!$A$1," ",CHAR(10),'Bundle Tag Info'!$A$2," ",'Bundle Tag Info'!$A$3,CHAR(10),'Bundle Tag Info'!F$6,CHAR(10),'Bundle Tag Info'!F$16),"")</f>
        <v/>
      </c>
      <c r="G11" s="12" t="str">
        <f>IF('Bundle Tag Info'!G$16&lt;&gt;"",CONCATENATE('Bundle Tag Info'!$A$1," ",CHAR(10),'Bundle Tag Info'!$A$2," ",'Bundle Tag Info'!$A$3,CHAR(10),'Bundle Tag Info'!G$6,CHAR(10),'Bundle Tag Info'!G$16),"")</f>
        <v/>
      </c>
      <c r="H11" s="12" t="str">
        <f>IF('Bundle Tag Info'!H$16&lt;&gt;"",CONCATENATE('Bundle Tag Info'!$A$1," ",CHAR(10),'Bundle Tag Info'!$A$2," ",'Bundle Tag Info'!$A$3,CHAR(10),'Bundle Tag Info'!H$6,CHAR(10),'Bundle Tag Info'!H$16),"")</f>
        <v/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/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/>
      </c>
      <c r="B12" s="12" t="str">
        <f>IF('Bundle Tag Info'!B$17&lt;&gt;"",CONCATENATE('Bundle Tag Info'!$A$1," ",CHAR(10),'Bundle Tag Info'!$A$2," ",'Bundle Tag Info'!$A$3,CHAR(10),'Bundle Tag Info'!B$6,CHAR(10),'Bundle Tag Info'!B$17),"")</f>
        <v/>
      </c>
      <c r="C12" s="12" t="str">
        <f>IF('Bundle Tag Info'!C$17&lt;&gt;"",CONCATENATE('Bundle Tag Info'!$A$1," ",CHAR(10),'Bundle Tag Info'!$A$2," ",'Bundle Tag Info'!$A$3,CHAR(10),'Bundle Tag Info'!C$6,CHAR(10),'Bundle Tag Info'!C$17),"")</f>
        <v/>
      </c>
      <c r="D12" s="12" t="str">
        <f>IF('Bundle Tag Info'!D$17&lt;&gt;"",CONCATENATE('Bundle Tag Info'!$A$1," ",CHAR(10),'Bundle Tag Info'!$A$2," ",'Bundle Tag Info'!$A$3,CHAR(10),'Bundle Tag Info'!D$6,CHAR(10),'Bundle Tag Info'!D$17),"")</f>
        <v/>
      </c>
      <c r="E12" s="12" t="str">
        <f>IF('Bundle Tag Info'!E$17&lt;&gt;"",CONCATENATE('Bundle Tag Info'!$A$1," ",CHAR(10),'Bundle Tag Info'!$A$2," ",'Bundle Tag Info'!$A$3,CHAR(10),'Bundle Tag Info'!E$6,CHAR(10),'Bundle Tag Info'!E$17),"")</f>
        <v/>
      </c>
      <c r="F12" s="12" t="str">
        <f>IF('Bundle Tag Info'!F$17&lt;&gt;"",CONCATENATE('Bundle Tag Info'!$A$1," ",CHAR(10),'Bundle Tag Info'!$A$2," ",'Bundle Tag Info'!$A$3,CHAR(10),'Bundle Tag Info'!F$6,CHAR(10),'Bundle Tag Info'!F$17),"")</f>
        <v/>
      </c>
      <c r="G12" s="12" t="str">
        <f>IF('Bundle Tag Info'!G$17&lt;&gt;"",CONCATENATE('Bundle Tag Info'!$A$1," ",CHAR(10),'Bundle Tag Info'!$A$2," ",'Bundle Tag Info'!$A$3,CHAR(10),'Bundle Tag Info'!G$6,CHAR(10),'Bundle Tag Info'!G$17),"")</f>
        <v/>
      </c>
      <c r="H12" s="12" t="str">
        <f>IF('Bundle Tag Info'!H$17&lt;&gt;"",CONCATENATE('Bundle Tag Info'!$A$1," ",CHAR(10),'Bundle Tag Info'!$A$2," ",'Bundle Tag Info'!$A$3,CHAR(10),'Bundle Tag Info'!H$6,CHAR(10),'Bundle Tag Info'!H$17),"")</f>
        <v/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/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/>
      </c>
      <c r="B13" s="12" t="str">
        <f>IF('Bundle Tag Info'!B$18&lt;&gt;"",CONCATENATE('Bundle Tag Info'!$A$1," ",CHAR(10),'Bundle Tag Info'!$A$2," ",'Bundle Tag Info'!$A$3,CHAR(10),'Bundle Tag Info'!B$6,CHAR(10),'Bundle Tag Info'!B$18),"")</f>
        <v/>
      </c>
      <c r="C13" s="12" t="str">
        <f>IF('Bundle Tag Info'!C$18&lt;&gt;"",CONCATENATE('Bundle Tag Info'!$A$1," ",CHAR(10),'Bundle Tag Info'!$A$2," ",'Bundle Tag Info'!$A$3,CHAR(10),'Bundle Tag Info'!C$6,CHAR(10),'Bundle Tag Info'!C$18),"")</f>
        <v/>
      </c>
      <c r="D13" s="12" t="str">
        <f>IF('Bundle Tag Info'!D$18&lt;&gt;"",CONCATENATE('Bundle Tag Info'!$A$1," ",CHAR(10),'Bundle Tag Info'!$A$2," ",'Bundle Tag Info'!$A$3,CHAR(10),'Bundle Tag Info'!D$6,CHAR(10),'Bundle Tag Info'!D$18),"")</f>
        <v/>
      </c>
      <c r="E13" s="12" t="str">
        <f>IF('Bundle Tag Info'!E$18&lt;&gt;"",CONCATENATE('Bundle Tag Info'!$A$1," ",CHAR(10),'Bundle Tag Info'!$A$2," ",'Bundle Tag Info'!$A$3,CHAR(10),'Bundle Tag Info'!E$6,CHAR(10),'Bundle Tag Info'!E$18),"")</f>
        <v/>
      </c>
      <c r="F13" s="12" t="str">
        <f>IF('Bundle Tag Info'!F$18&lt;&gt;"",CONCATENATE('Bundle Tag Info'!$A$1," ",CHAR(10),'Bundle Tag Info'!$A$2," ",'Bundle Tag Info'!$A$3,CHAR(10),'Bundle Tag Info'!F$6,CHAR(10),'Bundle Tag Info'!F$18),"")</f>
        <v/>
      </c>
      <c r="G13" s="12" t="str">
        <f>IF('Bundle Tag Info'!G$18&lt;&gt;"",CONCATENATE('Bundle Tag Info'!$A$1," ",CHAR(10),'Bundle Tag Info'!$A$2," ",'Bundle Tag Info'!$A$3,CHAR(10),'Bundle Tag Info'!G$6,CHAR(10),'Bundle Tag Info'!G$18),"")</f>
        <v/>
      </c>
      <c r="H13" s="12" t="str">
        <f>IF('Bundle Tag Info'!H$18&lt;&gt;"",CONCATENATE('Bundle Tag Info'!$A$1," ",CHAR(10),'Bundle Tag Info'!$A$2," ",'Bundle Tag Info'!$A$3,CHAR(10),'Bundle Tag Info'!H$6,CHAR(10),'Bundle Tag Info'!H$18),"")</f>
        <v/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/>
      </c>
      <c r="B14" s="12" t="str">
        <f>IF('Bundle Tag Info'!B$19&lt;&gt;"",CONCATENATE('Bundle Tag Info'!$A$1," ",CHAR(10),'Bundle Tag Info'!$A$2," ",'Bundle Tag Info'!$A$3,CHAR(10),'Bundle Tag Info'!B$6,CHAR(10),'Bundle Tag Info'!B$19),"")</f>
        <v/>
      </c>
      <c r="C14" s="12" t="str">
        <f>IF('Bundle Tag Info'!C$19&lt;&gt;"",CONCATENATE('Bundle Tag Info'!$A$1," ",CHAR(10),'Bundle Tag Info'!$A$2," ",'Bundle Tag Info'!$A$3,CHAR(10),'Bundle Tag Info'!C$6,CHAR(10),'Bundle Tag Info'!C$19),"")</f>
        <v/>
      </c>
      <c r="D14" s="12" t="str">
        <f>IF('Bundle Tag Info'!D$19&lt;&gt;"",CONCATENATE('Bundle Tag Info'!$A$1," ",CHAR(10),'Bundle Tag Info'!$A$2," ",'Bundle Tag Info'!$A$3,CHAR(10),'Bundle Tag Info'!D$6,CHAR(10),'Bundle Tag Info'!D$19),"")</f>
        <v/>
      </c>
      <c r="E14" s="12" t="str">
        <f>IF('Bundle Tag Info'!E$19&lt;&gt;"",CONCATENATE('Bundle Tag Info'!$A$1," ",CHAR(10),'Bundle Tag Info'!$A$2," ",'Bundle Tag Info'!$A$3,CHAR(10),'Bundle Tag Info'!E$6,CHAR(10),'Bundle Tag Info'!E$19),"")</f>
        <v/>
      </c>
      <c r="F14" s="12" t="str">
        <f>IF('Bundle Tag Info'!F$19&lt;&gt;"",CONCATENATE('Bundle Tag Info'!$A$1," ",CHAR(10),'Bundle Tag Info'!$A$2," ",'Bundle Tag Info'!$A$3,CHAR(10),'Bundle Tag Info'!F$6,CHAR(10),'Bundle Tag Info'!F$19),"")</f>
        <v/>
      </c>
      <c r="G14" s="12" t="str">
        <f>IF('Bundle Tag Info'!G$19&lt;&gt;"",CONCATENATE('Bundle Tag Info'!$A$1," ",CHAR(10),'Bundle Tag Info'!$A$2," ",'Bundle Tag Info'!$A$3,CHAR(10),'Bundle Tag Info'!G$6,CHAR(10),'Bundle Tag Info'!G$19),"")</f>
        <v/>
      </c>
      <c r="H14" s="12" t="str">
        <f>IF('Bundle Tag Info'!H$19&lt;&gt;"",CONCATENATE('Bundle Tag Info'!$A$1," ",CHAR(10),'Bundle Tag Info'!$A$2," ",'Bundle Tag Info'!$A$3,CHAR(10),'Bundle Tag Info'!H$6,CHAR(10),'Bundle Tag Info'!H$19),"")</f>
        <v/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/>
      </c>
      <c r="B15" s="12" t="str">
        <f>IF('Bundle Tag Info'!B$20&lt;&gt;"",CONCATENATE('Bundle Tag Info'!$A$1," ",CHAR(10),'Bundle Tag Info'!$A$2," ",'Bundle Tag Info'!$A$3,CHAR(10),'Bundle Tag Info'!B$6,CHAR(10),'Bundle Tag Info'!B$20),"")</f>
        <v/>
      </c>
      <c r="C15" s="12" t="str">
        <f>IF('Bundle Tag Info'!C$20&lt;&gt;"",CONCATENATE('Bundle Tag Info'!$A$1," ",CHAR(10),'Bundle Tag Info'!$A$2," ",'Bundle Tag Info'!$A$3,CHAR(10),'Bundle Tag Info'!C$6,CHAR(10),'Bundle Tag Info'!C$20),"")</f>
        <v/>
      </c>
      <c r="D15" s="12" t="str">
        <f>IF('Bundle Tag Info'!D$20&lt;&gt;"",CONCATENATE('Bundle Tag Info'!$A$1," ",CHAR(10),'Bundle Tag Info'!$A$2," ",'Bundle Tag Info'!$A$3,CHAR(10),'Bundle Tag Info'!D$6,CHAR(10),'Bundle Tag Info'!D$20),"")</f>
        <v/>
      </c>
      <c r="E15" s="12" t="str">
        <f>IF('Bundle Tag Info'!E$20&lt;&gt;"",CONCATENATE('Bundle Tag Info'!$A$1," ",CHAR(10),'Bundle Tag Info'!$A$2," ",'Bundle Tag Info'!$A$3,CHAR(10),'Bundle Tag Info'!E$6,CHAR(10),'Bundle Tag Info'!E$20),"")</f>
        <v/>
      </c>
      <c r="F15" s="12" t="str">
        <f>IF('Bundle Tag Info'!F$20&lt;&gt;"",CONCATENATE('Bundle Tag Info'!$A$1," ",CHAR(10),'Bundle Tag Info'!$A$2," ",'Bundle Tag Info'!$A$3,CHAR(10),'Bundle Tag Info'!F$6,CHAR(10),'Bundle Tag Info'!F$20),"")</f>
        <v/>
      </c>
      <c r="G15" s="12" t="str">
        <f>IF('Bundle Tag Info'!G$20&lt;&gt;"",CONCATENATE('Bundle Tag Info'!$A$1," ",CHAR(10),'Bundle Tag Info'!$A$2," ",'Bundle Tag Info'!$A$3,CHAR(10),'Bundle Tag Info'!G$6,CHAR(10),'Bundle Tag Info'!G$20),"")</f>
        <v/>
      </c>
      <c r="H15" s="12" t="str">
        <f>IF('Bundle Tag Info'!H$20&lt;&gt;"",CONCATENATE('Bundle Tag Info'!$A$1," ",CHAR(10),'Bundle Tag Info'!$A$2," ",'Bundle Tag Info'!$A$3,CHAR(10),'Bundle Tag Info'!H$6,CHAR(10),'Bundle Tag Info'!H$20),"")</f>
        <v/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/>
      </c>
      <c r="B16" s="12" t="str">
        <f>IF('Bundle Tag Info'!B$21&lt;&gt;"",CONCATENATE('Bundle Tag Info'!$A$1," ",CHAR(10),'Bundle Tag Info'!$A$2," ",'Bundle Tag Info'!$A$3,CHAR(10),'Bundle Tag Info'!B$6,CHAR(10),'Bundle Tag Info'!B$21),"")</f>
        <v/>
      </c>
      <c r="C16" s="12" t="str">
        <f>IF('Bundle Tag Info'!C$21&lt;&gt;"",CONCATENATE('Bundle Tag Info'!$A$1," ",CHAR(10),'Bundle Tag Info'!$A$2," ",'Bundle Tag Info'!$A$3,CHAR(10),'Bundle Tag Info'!C$6,CHAR(10),'Bundle Tag Info'!C$21),"")</f>
        <v/>
      </c>
      <c r="D16" s="12" t="str">
        <f>IF('Bundle Tag Info'!D$21&lt;&gt;"",CONCATENATE('Bundle Tag Info'!$A$1," ",CHAR(10),'Bundle Tag Info'!$A$2," ",'Bundle Tag Info'!$A$3,CHAR(10),'Bundle Tag Info'!D$6,CHAR(10),'Bundle Tag Info'!D$21),"")</f>
        <v/>
      </c>
      <c r="E16" s="12" t="str">
        <f>IF('Bundle Tag Info'!E$21&lt;&gt;"",CONCATENATE('Bundle Tag Info'!$A$1," ",CHAR(10),'Bundle Tag Info'!$A$2," ",'Bundle Tag Info'!$A$3,CHAR(10),'Bundle Tag Info'!E$6,CHAR(10),'Bundle Tag Info'!E$21),"")</f>
        <v/>
      </c>
      <c r="F16" s="12" t="str">
        <f>IF('Bundle Tag Info'!F$21&lt;&gt;"",CONCATENATE('Bundle Tag Info'!$A$1," ",CHAR(10),'Bundle Tag Info'!$A$2," ",'Bundle Tag Info'!$A$3,CHAR(10),'Bundle Tag Info'!F$6,CHAR(10),'Bundle Tag Info'!F$21),"")</f>
        <v/>
      </c>
      <c r="G16" s="12" t="str">
        <f>IF('Bundle Tag Info'!G$21&lt;&gt;"",CONCATENATE('Bundle Tag Info'!$A$1," ",CHAR(10),'Bundle Tag Info'!$A$2," ",'Bundle Tag Info'!$A$3,CHAR(10),'Bundle Tag Info'!G$6,CHAR(10),'Bundle Tag Info'!G$21),"")</f>
        <v/>
      </c>
      <c r="H16" s="12" t="str">
        <f>IF('Bundle Tag Info'!H$21&lt;&gt;"",CONCATENATE('Bundle Tag Info'!$A$1," ",CHAR(10),'Bundle Tag Info'!$A$2," ",'Bundle Tag Info'!$A$3,CHAR(10),'Bundle Tag Info'!H$6,CHAR(10),'Bundle Tag Info'!H$21),"")</f>
        <v/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/>
      </c>
      <c r="B17" s="12" t="str">
        <f>IF('Bundle Tag Info'!B$22&lt;&gt;"",CONCATENATE('Bundle Tag Info'!$A$1," ",CHAR(10),'Bundle Tag Info'!$A$2," ",'Bundle Tag Info'!$A$3,CHAR(10),'Bundle Tag Info'!B$6,CHAR(10),'Bundle Tag Info'!B$22),"")</f>
        <v/>
      </c>
      <c r="C17" s="12" t="str">
        <f>IF('Bundle Tag Info'!C$22&lt;&gt;"",CONCATENATE('Bundle Tag Info'!$A$1," ",CHAR(10),'Bundle Tag Info'!$A$2," ",'Bundle Tag Info'!$A$3,CHAR(10),'Bundle Tag Info'!C$6,CHAR(10),'Bundle Tag Info'!C$22),"")</f>
        <v/>
      </c>
      <c r="D17" s="12" t="str">
        <f>IF('Bundle Tag Info'!D$22&lt;&gt;"",CONCATENATE('Bundle Tag Info'!$A$1," ",CHAR(10),'Bundle Tag Info'!$A$2," ",'Bundle Tag Info'!$A$3,CHAR(10),'Bundle Tag Info'!D$6,CHAR(10),'Bundle Tag Info'!D$22),"")</f>
        <v/>
      </c>
      <c r="E17" s="12" t="str">
        <f>IF('Bundle Tag Info'!E$22&lt;&gt;"",CONCATENATE('Bundle Tag Info'!$A$1," ",CHAR(10),'Bundle Tag Info'!$A$2," ",'Bundle Tag Info'!$A$3,CHAR(10),'Bundle Tag Info'!E$6,CHAR(10),'Bundle Tag Info'!E$22),"")</f>
        <v/>
      </c>
      <c r="F17" s="12" t="str">
        <f>IF('Bundle Tag Info'!F$22&lt;&gt;"",CONCATENATE('Bundle Tag Info'!$A$1," ",CHAR(10),'Bundle Tag Info'!$A$2," ",'Bundle Tag Info'!$A$3,CHAR(10),'Bundle Tag Info'!F$6,CHAR(10),'Bundle Tag Info'!F$22),"")</f>
        <v/>
      </c>
      <c r="G17" s="12" t="str">
        <f>IF('Bundle Tag Info'!G$22&lt;&gt;"",CONCATENATE('Bundle Tag Info'!$A$1," ",CHAR(10),'Bundle Tag Info'!$A$2," ",'Bundle Tag Info'!$A$3,CHAR(10),'Bundle Tag Info'!G$6,CHAR(10),'Bundle Tag Info'!G$22),"")</f>
        <v/>
      </c>
      <c r="H17" s="12" t="str">
        <f>IF('Bundle Tag Info'!H$22&lt;&gt;"",CONCATENATE('Bundle Tag Info'!$A$1," ",CHAR(10),'Bundle Tag Info'!$A$2," ",'Bundle Tag Info'!$A$3,CHAR(10),'Bundle Tag Info'!H$6,CHAR(10),'Bundle Tag Info'!H$22),"")</f>
        <v/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/>
      </c>
      <c r="B18" s="12" t="str">
        <f>IF('Bundle Tag Info'!B$23&lt;&gt;"",CONCATENATE('Bundle Tag Info'!$A$1," ",CHAR(10),'Bundle Tag Info'!$A$2," ",'Bundle Tag Info'!$A$3,CHAR(10),'Bundle Tag Info'!B$6,CHAR(10),'Bundle Tag Info'!B$23),"")</f>
        <v/>
      </c>
      <c r="C18" s="12" t="str">
        <f>IF('Bundle Tag Info'!C$23&lt;&gt;"",CONCATENATE('Bundle Tag Info'!$A$1," ",CHAR(10),'Bundle Tag Info'!$A$2," ",'Bundle Tag Info'!$A$3,CHAR(10),'Bundle Tag Info'!C$6,CHAR(10),'Bundle Tag Info'!C$23),"")</f>
        <v/>
      </c>
      <c r="D18" s="12" t="str">
        <f>IF('Bundle Tag Info'!D$23&lt;&gt;"",CONCATENATE('Bundle Tag Info'!$A$1," ",CHAR(10),'Bundle Tag Info'!$A$2," ",'Bundle Tag Info'!$A$3,CHAR(10),'Bundle Tag Info'!D$6,CHAR(10),'Bundle Tag Info'!D$23),"")</f>
        <v/>
      </c>
      <c r="E18" s="12" t="str">
        <f>IF('Bundle Tag Info'!E$23&lt;&gt;"",CONCATENATE('Bundle Tag Info'!$A$1," ",CHAR(10),'Bundle Tag Info'!$A$2," ",'Bundle Tag Info'!$A$3,CHAR(10),'Bundle Tag Info'!E$6,CHAR(10),'Bundle Tag Info'!E$23),"")</f>
        <v/>
      </c>
      <c r="F18" s="12" t="str">
        <f>IF('Bundle Tag Info'!F$23&lt;&gt;"",CONCATENATE('Bundle Tag Info'!$A$1," ",CHAR(10),'Bundle Tag Info'!$A$2," ",'Bundle Tag Info'!$A$3,CHAR(10),'Bundle Tag Info'!F$6,CHAR(10),'Bundle Tag Info'!F$23),"")</f>
        <v/>
      </c>
      <c r="G18" s="12" t="str">
        <f>IF('Bundle Tag Info'!G$23&lt;&gt;"",CONCATENATE('Bundle Tag Info'!$A$1," ",CHAR(10),'Bundle Tag Info'!$A$2," ",'Bundle Tag Info'!$A$3,CHAR(10),'Bundle Tag Info'!G$6,CHAR(10),'Bundle Tag Info'!G$23),"")</f>
        <v/>
      </c>
      <c r="H18" s="12" t="str">
        <f>IF('Bundle Tag Info'!H$23&lt;&gt;"",CONCATENATE('Bundle Tag Info'!$A$1," ",CHAR(10),'Bundle Tag Info'!$A$2," ",'Bundle Tag Info'!$A$3,CHAR(10),'Bundle Tag Info'!H$6,CHAR(10),'Bundle Tag Info'!H$23),"")</f>
        <v/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2" t="str">
        <f>IF('Bundle Tag Info'!A$24&lt;&gt;"",CONCATENATE('Bundle Tag Info'!$A$1," ",CHAR(10),'Bundle Tag Info'!$A$2," ",'Bundle Tag Info'!$A$3,CHAR(10),'Bundle Tag Info'!A$6,CHAR(10),'Bundle Tag Info'!A$24),"")</f>
        <v/>
      </c>
      <c r="B19" s="12" t="str">
        <f>IF('Bundle Tag Info'!B$24&lt;&gt;"",CONCATENATE('Bundle Tag Info'!$A$1," ",CHAR(10),'Bundle Tag Info'!$A$2," ",'Bundle Tag Info'!$A$3,CHAR(10),'Bundle Tag Info'!B$6,CHAR(10),'Bundle Tag Info'!B$24),"")</f>
        <v/>
      </c>
      <c r="C19" s="12" t="str">
        <f>IF('Bundle Tag Info'!C$24&lt;&gt;"",CONCATENATE('Bundle Tag Info'!$A$1," ",CHAR(10),'Bundle Tag Info'!$A$2," ",'Bundle Tag Info'!$A$3,CHAR(10),'Bundle Tag Info'!C$6,CHAR(10),'Bundle Tag Info'!C$24),"")</f>
        <v/>
      </c>
      <c r="D19" s="12" t="str">
        <f>IF('Bundle Tag Info'!D$24&lt;&gt;"",CONCATENATE('Bundle Tag Info'!$A$1," ",CHAR(10),'Bundle Tag Info'!$A$2," ",'Bundle Tag Info'!$A$3,CHAR(10),'Bundle Tag Info'!D$6,CHAR(10),'Bundle Tag Info'!D$24),"")</f>
        <v/>
      </c>
      <c r="E19" s="12" t="str">
        <f>IF('Bundle Tag Info'!E$24&lt;&gt;"",CONCATENATE('Bundle Tag Info'!$A$1," ",CHAR(10),'Bundle Tag Info'!$A$2," ",'Bundle Tag Info'!$A$3,CHAR(10),'Bundle Tag Info'!E$6,CHAR(10),'Bundle Tag Info'!E$24),"")</f>
        <v/>
      </c>
      <c r="F19" s="12" t="str">
        <f>IF('Bundle Tag Info'!F$24&lt;&gt;"",CONCATENATE('Bundle Tag Info'!$A$1," ",CHAR(10),'Bundle Tag Info'!$A$2," ",'Bundle Tag Info'!$A$3,CHAR(10),'Bundle Tag Info'!F$6,CHAR(10),'Bundle Tag Info'!F$24),"")</f>
        <v/>
      </c>
      <c r="G19" s="12" t="str">
        <f>IF('Bundle Tag Info'!G$24&lt;&gt;"",CONCATENATE('Bundle Tag Info'!$A$1," ",CHAR(10),'Bundle Tag Info'!$A$2," ",'Bundle Tag Info'!$A$3,CHAR(10),'Bundle Tag Info'!G$6,CHAR(10),'Bundle Tag Info'!G$24),"")</f>
        <v/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2" t="str">
        <f>IF('Bundle Tag Info'!A$25&lt;&gt;"",CONCATENATE('Bundle Tag Info'!$A$1," ",CHAR(10),'Bundle Tag Info'!$A$2," ",'Bundle Tag Info'!$A$3,CHAR(10),'Bundle Tag Info'!A$6,CHAR(10),'Bundle Tag Info'!A$25),"")</f>
        <v/>
      </c>
      <c r="B20" s="12" t="str">
        <f>IF('Bundle Tag Info'!B$25&lt;&gt;"",CONCATENATE('Bundle Tag Info'!$A$1," ",CHAR(10),'Bundle Tag Info'!$A$2," ",'Bundle Tag Info'!$A$3,CHAR(10),'Bundle Tag Info'!B$6,CHAR(10),'Bundle Tag Info'!B$25),"")</f>
        <v/>
      </c>
      <c r="C20" s="12" t="str">
        <f>IF('Bundle Tag Info'!C$25&lt;&gt;"",CONCATENATE('Bundle Tag Info'!$A$1," ",CHAR(10),'Bundle Tag Info'!$A$2," ",'Bundle Tag Info'!$A$3,CHAR(10),'Bundle Tag Info'!C$6,CHAR(10),'Bundle Tag Info'!C$25),"")</f>
        <v/>
      </c>
      <c r="D20" s="12" t="str">
        <f>IF('Bundle Tag Info'!D$25&lt;&gt;"",CONCATENATE('Bundle Tag Info'!$A$1," ",CHAR(10),'Bundle Tag Info'!$A$2," ",'Bundle Tag Info'!$A$3,CHAR(10),'Bundle Tag Info'!D$6,CHAR(10),'Bundle Tag Info'!D$25),"")</f>
        <v/>
      </c>
      <c r="E20" s="12" t="str">
        <f>IF('Bundle Tag Info'!E$25&lt;&gt;"",CONCATENATE('Bundle Tag Info'!$A$1," ",CHAR(10),'Bundle Tag Info'!$A$2," ",'Bundle Tag Info'!$A$3,CHAR(10),'Bundle Tag Info'!E$6,CHAR(10),'Bundle Tag Info'!E$25),"")</f>
        <v/>
      </c>
      <c r="F20" s="12" t="str">
        <f>IF('Bundle Tag Info'!F$25&lt;&gt;"",CONCATENATE('Bundle Tag Info'!$A$1," ",CHAR(10),'Bundle Tag Info'!$A$2," ",'Bundle Tag Info'!$A$3,CHAR(10),'Bundle Tag Info'!F$6,CHAR(10),'Bundle Tag Info'!F$25),"")</f>
        <v/>
      </c>
      <c r="G20" s="12" t="str">
        <f>IF('Bundle Tag Info'!G$25&lt;&gt;"",CONCATENATE('Bundle Tag Info'!$A$1," ",CHAR(10),'Bundle Tag Info'!$A$2," ",'Bundle Tag Info'!$A$3,CHAR(10),'Bundle Tag Info'!G$6,CHAR(10),'Bundle Tag Info'!G$25),"")</f>
        <v/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2" t="str">
        <f>IF('Bundle Tag Info'!A$26&lt;&gt;"",CONCATENATE('Bundle Tag Info'!$A$1," ",CHAR(10),'Bundle Tag Info'!$A$2," ",'Bundle Tag Info'!$A$3,CHAR(10),'Bundle Tag Info'!A$6,CHAR(10),'Bundle Tag Info'!A$26),"")</f>
        <v/>
      </c>
      <c r="B21" s="12" t="str">
        <f>IF('Bundle Tag Info'!B$26&lt;&gt;"",CONCATENATE('Bundle Tag Info'!$A$1," ",CHAR(10),'Bundle Tag Info'!$A$2," ",'Bundle Tag Info'!$A$3,CHAR(10),'Bundle Tag Info'!B$6,CHAR(10),'Bundle Tag Info'!B$26),"")</f>
        <v/>
      </c>
      <c r="C21" s="12" t="str">
        <f>IF('Bundle Tag Info'!C$26&lt;&gt;"",CONCATENATE('Bundle Tag Info'!$A$1," ",CHAR(10),'Bundle Tag Info'!$A$2," ",'Bundle Tag Info'!$A$3,CHAR(10),'Bundle Tag Info'!C$6,CHAR(10),'Bundle Tag Info'!C$26),"")</f>
        <v/>
      </c>
      <c r="D21" s="12" t="str">
        <f>IF('Bundle Tag Info'!D$26&lt;&gt;"",CONCATENATE('Bundle Tag Info'!$A$1," ",CHAR(10),'Bundle Tag Info'!$A$2," ",'Bundle Tag Info'!$A$3,CHAR(10),'Bundle Tag Info'!D$6,CHAR(10),'Bundle Tag Info'!D$26),"")</f>
        <v/>
      </c>
      <c r="E21" s="12" t="str">
        <f>IF('Bundle Tag Info'!E$26&lt;&gt;"",CONCATENATE('Bundle Tag Info'!$A$1," ",CHAR(10),'Bundle Tag Info'!$A$2," ",'Bundle Tag Info'!$A$3,CHAR(10),'Bundle Tag Info'!E$6,CHAR(10),'Bundle Tag Info'!E$26),"")</f>
        <v/>
      </c>
      <c r="F21" s="12" t="str">
        <f>IF('Bundle Tag Info'!F$26&lt;&gt;"",CONCATENATE('Bundle Tag Info'!$A$1," ",CHAR(10),'Bundle Tag Info'!$A$2," ",'Bundle Tag Info'!$A$3,CHAR(10),'Bundle Tag Info'!F$6,CHAR(10),'Bundle Tag Info'!F$26),"")</f>
        <v/>
      </c>
      <c r="G21" s="12" t="str">
        <f>IF('Bundle Tag Info'!G$26&lt;&gt;"",CONCATENATE('Bundle Tag Info'!$A$1," ",CHAR(10),'Bundle Tag Info'!$A$2," ",'Bundle Tag Info'!$A$3,CHAR(10),'Bundle Tag Info'!G$6,CHAR(10),'Bundle Tag Info'!G$26),"")</f>
        <v/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2" t="str">
        <f>IF('Bundle Tag Info'!A$27&lt;&gt;"",CONCATENATE('Bundle Tag Info'!$A$1," ",CHAR(10),'Bundle Tag Info'!$A$2," ",'Bundle Tag Info'!$A$3,CHAR(10),'Bundle Tag Info'!A$6,CHAR(10),'Bundle Tag Info'!A$27),"")</f>
        <v/>
      </c>
      <c r="B22" s="12" t="str">
        <f>IF('Bundle Tag Info'!B$27&lt;&gt;"",CONCATENATE('Bundle Tag Info'!$A$1," ",CHAR(10),'Bundle Tag Info'!$A$2," ",'Bundle Tag Info'!$A$3,CHAR(10),'Bundle Tag Info'!B$6,CHAR(10),'Bundle Tag Info'!B$27),"")</f>
        <v/>
      </c>
      <c r="C22" s="12" t="str">
        <f>IF('Bundle Tag Info'!C$27&lt;&gt;"",CONCATENATE('Bundle Tag Info'!$A$1," ",CHAR(10),'Bundle Tag Info'!$A$2," ",'Bundle Tag Info'!$A$3,CHAR(10),'Bundle Tag Info'!C$6,CHAR(10),'Bundle Tag Info'!C$27),"")</f>
        <v/>
      </c>
      <c r="D22" s="12" t="str">
        <f>IF('Bundle Tag Info'!D$27&lt;&gt;"",CONCATENATE('Bundle Tag Info'!$A$1," ",CHAR(10),'Bundle Tag Info'!$A$2," ",'Bundle Tag Info'!$A$3,CHAR(10),'Bundle Tag Info'!D$6,CHAR(10),'Bundle Tag Info'!D$27),"")</f>
        <v/>
      </c>
      <c r="E22" s="12" t="str">
        <f>IF('Bundle Tag Info'!E$27&lt;&gt;"",CONCATENATE('Bundle Tag Info'!$A$1," ",CHAR(10),'Bundle Tag Info'!$A$2," ",'Bundle Tag Info'!$A$3,CHAR(10),'Bundle Tag Info'!E$6,CHAR(10),'Bundle Tag Info'!E$27),"")</f>
        <v/>
      </c>
      <c r="F22" s="12" t="str">
        <f>IF('Bundle Tag Info'!F$27&lt;&gt;"",CONCATENATE('Bundle Tag Info'!$A$1," ",CHAR(10),'Bundle Tag Info'!$A$2," ",'Bundle Tag Info'!$A$3,CHAR(10),'Bundle Tag Info'!F$6,CHAR(10),'Bundle Tag Info'!F$27),"")</f>
        <v/>
      </c>
      <c r="G22" s="12" t="str">
        <f>IF('Bundle Tag Info'!G$27&lt;&gt;"",CONCATENATE('Bundle Tag Info'!$A$1," ",CHAR(10),'Bundle Tag Info'!$A$2," ",'Bundle Tag Info'!$A$3,CHAR(10),'Bundle Tag Info'!G$6,CHAR(10),'Bundle Tag Info'!G$27),"")</f>
        <v/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2" t="str">
        <f>IF('Bundle Tag Info'!A$28&lt;&gt;"",CONCATENATE('Bundle Tag Info'!$A$1," ",CHAR(10),'Bundle Tag Info'!$A$2," ",'Bundle Tag Info'!$A$3,CHAR(10),'Bundle Tag Info'!A$6,CHAR(10),'Bundle Tag Info'!A$28),"")</f>
        <v/>
      </c>
      <c r="B23" s="12" t="str">
        <f>IF('Bundle Tag Info'!B$28&lt;&gt;"",CONCATENATE('Bundle Tag Info'!$A$1," ",CHAR(10),'Bundle Tag Info'!$A$2," ",'Bundle Tag Info'!$A$3,CHAR(10),'Bundle Tag Info'!B$6,CHAR(10),'Bundle Tag Info'!B$28),"")</f>
        <v/>
      </c>
      <c r="C23" s="12" t="str">
        <f>IF('Bundle Tag Info'!C$28&lt;&gt;"",CONCATENATE('Bundle Tag Info'!$A$1," ",CHAR(10),'Bundle Tag Info'!$A$2," ",'Bundle Tag Info'!$A$3,CHAR(10),'Bundle Tag Info'!C$6,CHAR(10),'Bundle Tag Info'!C$28),"")</f>
        <v/>
      </c>
      <c r="D23" s="12" t="str">
        <f>IF('Bundle Tag Info'!D$28&lt;&gt;"",CONCATENATE('Bundle Tag Info'!$A$1," ",CHAR(10),'Bundle Tag Info'!$A$2," ",'Bundle Tag Info'!$A$3,CHAR(10),'Bundle Tag Info'!D$6,CHAR(10),'Bundle Tag Info'!D$28),"")</f>
        <v/>
      </c>
      <c r="E23" s="12" t="str">
        <f>IF('Bundle Tag Info'!E$28&lt;&gt;"",CONCATENATE('Bundle Tag Info'!$A$1," ",CHAR(10),'Bundle Tag Info'!$A$2," ",'Bundle Tag Info'!$A$3,CHAR(10),'Bundle Tag Info'!E$6,CHAR(10),'Bundle Tag Info'!E$28),"")</f>
        <v/>
      </c>
      <c r="F23" s="12" t="str">
        <f>IF('Bundle Tag Info'!F$28&lt;&gt;"",CONCATENATE('Bundle Tag Info'!$A$1," ",CHAR(10),'Bundle Tag Info'!$A$2," ",'Bundle Tag Info'!$A$3,CHAR(10),'Bundle Tag Info'!F$6,CHAR(10),'Bundle Tag Info'!F$28),"")</f>
        <v/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2" t="str">
        <f>IF('Bundle Tag Info'!A$29&lt;&gt;"",CONCATENATE('Bundle Tag Info'!$A$1," ",CHAR(10),'Bundle Tag Info'!$A$2," ",'Bundle Tag Info'!$A$3,CHAR(10),'Bundle Tag Info'!A$6,CHAR(10),'Bundle Tag Info'!A$29),"")</f>
        <v/>
      </c>
      <c r="B24" s="12" t="str">
        <f>IF('Bundle Tag Info'!B$29&lt;&gt;"",CONCATENATE('Bundle Tag Info'!$A$1," ",CHAR(10),'Bundle Tag Info'!$A$2," ",'Bundle Tag Info'!$A$3,CHAR(10),'Bundle Tag Info'!B$6,CHAR(10),'Bundle Tag Info'!B$29),"")</f>
        <v/>
      </c>
      <c r="C24" s="12" t="str">
        <f>IF('Bundle Tag Info'!C$29&lt;&gt;"",CONCATENATE('Bundle Tag Info'!$A$1," ",CHAR(10),'Bundle Tag Info'!$A$2," ",'Bundle Tag Info'!$A$3,CHAR(10),'Bundle Tag Info'!C$6,CHAR(10),'Bundle Tag Info'!C$29),"")</f>
        <v/>
      </c>
      <c r="D24" s="12" t="str">
        <f>IF('Bundle Tag Info'!D$29&lt;&gt;"",CONCATENATE('Bundle Tag Info'!$A$1," ",CHAR(10),'Bundle Tag Info'!$A$2," ",'Bundle Tag Info'!$A$3,CHAR(10),'Bundle Tag Info'!D$6,CHAR(10),'Bundle Tag Info'!D$29),"")</f>
        <v/>
      </c>
      <c r="E24" s="12" t="str">
        <f>IF('Bundle Tag Info'!E$29&lt;&gt;"",CONCATENATE('Bundle Tag Info'!$A$1," ",CHAR(10),'Bundle Tag Info'!$A$2," ",'Bundle Tag Info'!$A$3,CHAR(10),'Bundle Tag Info'!E$6,CHAR(10),'Bundle Tag Info'!E$29),"")</f>
        <v/>
      </c>
      <c r="F24" s="12" t="str">
        <f>IF('Bundle Tag Info'!F$29&lt;&gt;"",CONCATENATE('Bundle Tag Info'!$A$1," ",CHAR(10),'Bundle Tag Info'!$A$2," ",'Bundle Tag Info'!$A$3,CHAR(10),'Bundle Tag Info'!F$6,CHAR(10),'Bundle Tag Info'!F$29),"")</f>
        <v/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2" t="str">
        <f>IF('Bundle Tag Info'!A$30&lt;&gt;"",CONCATENATE('Bundle Tag Info'!$A$1," ",CHAR(10),'Bundle Tag Info'!$A$2," ",'Bundle Tag Info'!$A$3,CHAR(10),'Bundle Tag Info'!A$6,CHAR(10),'Bundle Tag Info'!A$30),"")</f>
        <v/>
      </c>
      <c r="B25" s="12" t="str">
        <f>IF('Bundle Tag Info'!B$30&lt;&gt;"",CONCATENATE('Bundle Tag Info'!$A$1," ",CHAR(10),'Bundle Tag Info'!$A$2," ",'Bundle Tag Info'!$A$3,CHAR(10),'Bundle Tag Info'!B$6,CHAR(10),'Bundle Tag Info'!B$30),"")</f>
        <v/>
      </c>
      <c r="C25" s="12" t="str">
        <f>IF('Bundle Tag Info'!C$30&lt;&gt;"",CONCATENATE('Bundle Tag Info'!$A$1," ",CHAR(10),'Bundle Tag Info'!$A$2," ",'Bundle Tag Info'!$A$3,CHAR(10),'Bundle Tag Info'!C$6,CHAR(10),'Bundle Tag Info'!C$30),"")</f>
        <v/>
      </c>
      <c r="D25" s="12" t="str">
        <f>IF('Bundle Tag Info'!D$30&lt;&gt;"",CONCATENATE('Bundle Tag Info'!$A$1," ",CHAR(10),'Bundle Tag Info'!$A$2," ",'Bundle Tag Info'!$A$3,CHAR(10),'Bundle Tag Info'!D$6,CHAR(10),'Bundle Tag Info'!D$30),"")</f>
        <v/>
      </c>
      <c r="E25" s="12" t="str">
        <f>IF('Bundle Tag Info'!E$30&lt;&gt;"",CONCATENATE('Bundle Tag Info'!$A$1," ",CHAR(10),'Bundle Tag Info'!$A$2," ",'Bundle Tag Info'!$A$3,CHAR(10),'Bundle Tag Info'!E$6,CHAR(10),'Bundle Tag Info'!E$30),"")</f>
        <v/>
      </c>
      <c r="F25" s="12" t="str">
        <f>IF('Bundle Tag Info'!F$30&lt;&gt;"",CONCATENATE('Bundle Tag Info'!$A$1," ",CHAR(10),'Bundle Tag Info'!$A$2," ",'Bundle Tag Info'!$A$3,CHAR(10),'Bundle Tag Info'!F$6,CHAR(10),'Bundle Tag Info'!F$30),"")</f>
        <v/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2" t="str">
        <f>IF('Bundle Tag Info'!A$31&lt;&gt;"",CONCATENATE('Bundle Tag Info'!$A$1," ",CHAR(10),'Bundle Tag Info'!$A$2," ",'Bundle Tag Info'!$A$3,CHAR(10),'Bundle Tag Info'!A$6,CHAR(10),'Bundle Tag Info'!A$31),"")</f>
        <v/>
      </c>
      <c r="B26" s="12" t="str">
        <f>IF('Bundle Tag Info'!B$31&lt;&gt;"",CONCATENATE('Bundle Tag Info'!$A$1," ",CHAR(10),'Bundle Tag Info'!$A$2," ",'Bundle Tag Info'!$A$3,CHAR(10),'Bundle Tag Info'!B$6,CHAR(10),'Bundle Tag Info'!B$31),"")</f>
        <v/>
      </c>
      <c r="C26" s="12" t="str">
        <f>IF('Bundle Tag Info'!C$31&lt;&gt;"",CONCATENATE('Bundle Tag Info'!$A$1," ",CHAR(10),'Bundle Tag Info'!$A$2," ",'Bundle Tag Info'!$A$3,CHAR(10),'Bundle Tag Info'!C$6,CHAR(10),'Bundle Tag Info'!C$31),"")</f>
        <v/>
      </c>
      <c r="D26" s="12" t="str">
        <f>IF('Bundle Tag Info'!D$31&lt;&gt;"",CONCATENATE('Bundle Tag Info'!$A$1," ",CHAR(10),'Bundle Tag Info'!$A$2," ",'Bundle Tag Info'!$A$3,CHAR(10),'Bundle Tag Info'!D$6,CHAR(10),'Bundle Tag Info'!D$31),"")</f>
        <v/>
      </c>
      <c r="E26" s="12" t="str">
        <f>IF('Bundle Tag Info'!E$31&lt;&gt;"",CONCATENATE('Bundle Tag Info'!$A$1," ",CHAR(10),'Bundle Tag Info'!$A$2," ",'Bundle Tag Info'!$A$3,CHAR(10),'Bundle Tag Info'!E$6,CHAR(10),'Bundle Tag Info'!E$31),"")</f>
        <v/>
      </c>
      <c r="F26" s="12" t="str">
        <f>IF('Bundle Tag Info'!F$31&lt;&gt;"",CONCATENATE('Bundle Tag Info'!$A$1," ",CHAR(10),'Bundle Tag Info'!$A$2," ",'Bundle Tag Info'!$A$3,CHAR(10),'Bundle Tag Info'!F$6,CHAR(10),'Bundle Tag Info'!F$31),"")</f>
        <v/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2" t="str">
        <f>IF('Bundle Tag Info'!A$32&lt;&gt;"",CONCATENATE('Bundle Tag Info'!$A$1," ",CHAR(10),'Bundle Tag Info'!$A$2," ",'Bundle Tag Info'!$A$3,CHAR(10),'Bundle Tag Info'!A$6,CHAR(10),'Bundle Tag Info'!A$32),"")</f>
        <v/>
      </c>
      <c r="B27" s="12" t="str">
        <f>IF('Bundle Tag Info'!B$32&lt;&gt;"",CONCATENATE('Bundle Tag Info'!$A$1," ",CHAR(10),'Bundle Tag Info'!$A$2," ",'Bundle Tag Info'!$A$3,CHAR(10),'Bundle Tag Info'!B$6,CHAR(10),'Bundle Tag Info'!B$32),"")</f>
        <v/>
      </c>
      <c r="C27" s="12" t="str">
        <f>IF('Bundle Tag Info'!C$32&lt;&gt;"",CONCATENATE('Bundle Tag Info'!$A$1," ",CHAR(10),'Bundle Tag Info'!$A$2," ",'Bundle Tag Info'!$A$3,CHAR(10),'Bundle Tag Info'!C$6,CHAR(10),'Bundle Tag Info'!C$32),"")</f>
        <v/>
      </c>
      <c r="D27" s="12" t="str">
        <f>IF('Bundle Tag Info'!D$32&lt;&gt;"",CONCATENATE('Bundle Tag Info'!$A$1," ",CHAR(10),'Bundle Tag Info'!$A$2," ",'Bundle Tag Info'!$A$3,CHAR(10),'Bundle Tag Info'!D$6,CHAR(10),'Bundle Tag Info'!D$32),"")</f>
        <v/>
      </c>
      <c r="E27" s="12" t="str">
        <f>IF('Bundle Tag Info'!E$32&lt;&gt;"",CONCATENATE('Bundle Tag Info'!$A$1," ",CHAR(10),'Bundle Tag Info'!$A$2," ",'Bundle Tag Info'!$A$3,CHAR(10),'Bundle Tag Info'!E$6,CHAR(10),'Bundle Tag Info'!E$32),"")</f>
        <v/>
      </c>
      <c r="F27" s="12" t="str">
        <f>IF('Bundle Tag Info'!F$32&lt;&gt;"",CONCATENATE('Bundle Tag Info'!$A$1," ",CHAR(10),'Bundle Tag Info'!$A$2," ",'Bundle Tag Info'!$A$3,CHAR(10),'Bundle Tag Info'!F$6,CHAR(10),'Bundle Tag Info'!F$32),"")</f>
        <v/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2" t="str">
        <f>IF('Bundle Tag Info'!A$33&lt;&gt;"",CONCATENATE('Bundle Tag Info'!$A$1," ",CHAR(10),'Bundle Tag Info'!$A$2," ",'Bundle Tag Info'!$A$3,CHAR(10),'Bundle Tag Info'!A$6,CHAR(10),'Bundle Tag Info'!A$33),"")</f>
        <v/>
      </c>
      <c r="B28" s="12" t="str">
        <f>IF('Bundle Tag Info'!B$33&lt;&gt;"",CONCATENATE('Bundle Tag Info'!$A$1," ",CHAR(10),'Bundle Tag Info'!$A$2," ",'Bundle Tag Info'!$A$3,CHAR(10),'Bundle Tag Info'!B$6,CHAR(10),'Bundle Tag Info'!B$33),"")</f>
        <v/>
      </c>
      <c r="C28" s="12" t="str">
        <f>IF('Bundle Tag Info'!C$33&lt;&gt;"",CONCATENATE('Bundle Tag Info'!$A$1," ",CHAR(10),'Bundle Tag Info'!$A$2," ",'Bundle Tag Info'!$A$3,CHAR(10),'Bundle Tag Info'!C$6,CHAR(10),'Bundle Tag Info'!C$33),"")</f>
        <v/>
      </c>
      <c r="D28" s="12" t="str">
        <f>IF('Bundle Tag Info'!D$33&lt;&gt;"",CONCATENATE('Bundle Tag Info'!$A$1," ",CHAR(10),'Bundle Tag Info'!$A$2," ",'Bundle Tag Info'!$A$3,CHAR(10),'Bundle Tag Info'!D$6,CHAR(10),'Bundle Tag Info'!D$33),"")</f>
        <v/>
      </c>
      <c r="E28" s="12" t="str">
        <f>IF('Bundle Tag Info'!E$33&lt;&gt;"",CONCATENATE('Bundle Tag Info'!$A$1," ",CHAR(10),'Bundle Tag Info'!$A$2," ",'Bundle Tag Info'!$A$3,CHAR(10),'Bundle Tag Info'!E$6,CHAR(10),'Bundle Tag Info'!E$33),"")</f>
        <v/>
      </c>
      <c r="F28" s="12" t="str">
        <f>IF('Bundle Tag Info'!F$33&lt;&gt;"",CONCATENATE('Bundle Tag Info'!$A$1," ",CHAR(10),'Bundle Tag Info'!$A$2," ",'Bundle Tag Info'!$A$3,CHAR(10),'Bundle Tag Info'!F$6,CHAR(10),'Bundle Tag Info'!F$33),"")</f>
        <v/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2" t="str">
        <f>IF('Bundle Tag Info'!A$34&lt;&gt;"",CONCATENATE('Bundle Tag Info'!$A$1," ",CHAR(10),'Bundle Tag Info'!$A$2," ",'Bundle Tag Info'!$A$3,CHAR(10),'Bundle Tag Info'!A$6,CHAR(10),'Bundle Tag Info'!A$34),"")</f>
        <v/>
      </c>
      <c r="B29" s="12" t="str">
        <f>IF('Bundle Tag Info'!B$34&lt;&gt;"",CONCATENATE('Bundle Tag Info'!$A$1," ",CHAR(10),'Bundle Tag Info'!$A$2," ",'Bundle Tag Info'!$A$3,CHAR(10),'Bundle Tag Info'!B$6,CHAR(10),'Bundle Tag Info'!B$34),"")</f>
        <v/>
      </c>
      <c r="C29" s="12" t="str">
        <f>IF('Bundle Tag Info'!C$34&lt;&gt;"",CONCATENATE('Bundle Tag Info'!$A$1," ",CHAR(10),'Bundle Tag Info'!$A$2," ",'Bundle Tag Info'!$A$3,CHAR(10),'Bundle Tag Info'!C$6,CHAR(10),'Bundle Tag Info'!C$34),"")</f>
        <v/>
      </c>
      <c r="D29" s="12" t="str">
        <f>IF('Bundle Tag Info'!D$34&lt;&gt;"",CONCATENATE('Bundle Tag Info'!$A$1," ",CHAR(10),'Bundle Tag Info'!$A$2," ",'Bundle Tag Info'!$A$3,CHAR(10),'Bundle Tag Info'!D$6,CHAR(10),'Bundle Tag Info'!D$34),"")</f>
        <v/>
      </c>
      <c r="E29" s="12" t="str">
        <f>IF('Bundle Tag Info'!E$34&lt;&gt;"",CONCATENATE('Bundle Tag Info'!$A$1," ",CHAR(10),'Bundle Tag Info'!$A$2," ",'Bundle Tag Info'!$A$3,CHAR(10),'Bundle Tag Info'!E$6,CHAR(10),'Bundle Tag Info'!E$34),"")</f>
        <v/>
      </c>
      <c r="F29" s="12" t="str">
        <f>IF('Bundle Tag Info'!F$34&lt;&gt;"",CONCATENATE('Bundle Tag Info'!$A$1," ",CHAR(10),'Bundle Tag Info'!$A$2," ",'Bundle Tag Info'!$A$3,CHAR(10),'Bundle Tag Info'!F$6,CHAR(10),'Bundle Tag Info'!F$34),"")</f>
        <v/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2" t="str">
        <f>IF('Bundle Tag Info'!A$35&lt;&gt;"",CONCATENATE('Bundle Tag Info'!$A$1," ",CHAR(10),'Bundle Tag Info'!$A$2," ",'Bundle Tag Info'!$A$3,CHAR(10),'Bundle Tag Info'!A$6,CHAR(10),'Bundle Tag Info'!A$35),"")</f>
        <v/>
      </c>
      <c r="B30" s="12" t="str">
        <f>IF('Bundle Tag Info'!B$35&lt;&gt;"",CONCATENATE('Bundle Tag Info'!$A$1," ",CHAR(10),'Bundle Tag Info'!$A$2," ",'Bundle Tag Info'!$A$3,CHAR(10),'Bundle Tag Info'!B$6,CHAR(10),'Bundle Tag Info'!B$35),"")</f>
        <v/>
      </c>
      <c r="C30" s="12" t="str">
        <f>IF('Bundle Tag Info'!C$35&lt;&gt;"",CONCATENATE('Bundle Tag Info'!$A$1," ",CHAR(10),'Bundle Tag Info'!$A$2," ",'Bundle Tag Info'!$A$3,CHAR(10),'Bundle Tag Info'!C$6,CHAR(10),'Bundle Tag Info'!C$35),"")</f>
        <v/>
      </c>
      <c r="D30" s="12" t="str">
        <f>IF('Bundle Tag Info'!D$35&lt;&gt;"",CONCATENATE('Bundle Tag Info'!$A$1," ",CHAR(10),'Bundle Tag Info'!$A$2," ",'Bundle Tag Info'!$A$3,CHAR(10),'Bundle Tag Info'!D$6,CHAR(10),'Bundle Tag Info'!D$35),"")</f>
        <v/>
      </c>
      <c r="E30" s="12" t="str">
        <f>IF('Bundle Tag Info'!E$35&lt;&gt;"",CONCATENATE('Bundle Tag Info'!$A$1," ",CHAR(10),'Bundle Tag Info'!$A$2," ",'Bundle Tag Info'!$A$3,CHAR(10),'Bundle Tag Info'!E$6,CHAR(10),'Bundle Tag Info'!E$35),"")</f>
        <v/>
      </c>
      <c r="F30" s="12" t="str">
        <f>IF('Bundle Tag Info'!F$35&lt;&gt;"",CONCATENATE('Bundle Tag Info'!$A$1," ",CHAR(10),'Bundle Tag Info'!$A$2," ",'Bundle Tag Info'!$A$3,CHAR(10),'Bundle Tag Info'!F$6,CHAR(10),'Bundle Tag Info'!F$35),"")</f>
        <v/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2" t="str">
        <f>IF('Bundle Tag Info'!A$36&lt;&gt;"",CONCATENATE('Bundle Tag Info'!$A$1," ",CHAR(10),'Bundle Tag Info'!$A$2," ",'Bundle Tag Info'!$A$3,CHAR(10),'Bundle Tag Info'!A$6,CHAR(10),'Bundle Tag Info'!A$36),"")</f>
        <v/>
      </c>
      <c r="B31" s="12" t="str">
        <f>IF('Bundle Tag Info'!B$36&lt;&gt;"",CONCATENATE('Bundle Tag Info'!$A$1," ",CHAR(10),'Bundle Tag Info'!$A$2," ",'Bundle Tag Info'!$A$3,CHAR(10),'Bundle Tag Info'!B$6,CHAR(10),'Bundle Tag Info'!B$36),"")</f>
        <v/>
      </c>
      <c r="C31" s="12" t="str">
        <f>IF('Bundle Tag Info'!C$36&lt;&gt;"",CONCATENATE('Bundle Tag Info'!$A$1," ",CHAR(10),'Bundle Tag Info'!$A$2," ",'Bundle Tag Info'!$A$3,CHAR(10),'Bundle Tag Info'!C$6,CHAR(10),'Bundle Tag Info'!C$36),"")</f>
        <v/>
      </c>
      <c r="D31" s="12" t="str">
        <f>IF('Bundle Tag Info'!D$36&lt;&gt;"",CONCATENATE('Bundle Tag Info'!$A$1," ",CHAR(10),'Bundle Tag Info'!$A$2," ",'Bundle Tag Info'!$A$3,CHAR(10),'Bundle Tag Info'!D$6,CHAR(10),'Bundle Tag Info'!D$36),"")</f>
        <v/>
      </c>
      <c r="E31" s="12" t="str">
        <f>IF('Bundle Tag Info'!E$36&lt;&gt;"",CONCATENATE('Bundle Tag Info'!$A$1," ",CHAR(10),'Bundle Tag Info'!$A$2," ",'Bundle Tag Info'!$A$3,CHAR(10),'Bundle Tag Info'!E$6,CHAR(10),'Bundle Tag Info'!E$36),"")</f>
        <v/>
      </c>
      <c r="F31" s="12" t="str">
        <f>IF('Bundle Tag Info'!F$36&lt;&gt;"",CONCATENATE('Bundle Tag Info'!$A$1," ",CHAR(10),'Bundle Tag Info'!$A$2," ",'Bundle Tag Info'!$A$3,CHAR(10),'Bundle Tag Info'!F$6,CHAR(10),'Bundle Tag Info'!F$36),"")</f>
        <v/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JB70 DOOR_S</vt:lpstr>
      <vt:lpstr>JB70 R RAIL_S</vt:lpstr>
      <vt:lpstr>PLC_S</vt:lpstr>
      <vt:lpstr>A_S</vt:lpstr>
      <vt:lpstr>B_S</vt:lpstr>
      <vt:lpstr>JB72 L RAIL_S</vt:lpstr>
      <vt:lpstr>JB72 VIB_S</vt:lpstr>
      <vt:lpstr>JB72 GEN_S</vt:lpstr>
      <vt:lpstr>JB1123_S</vt:lpstr>
      <vt:lpstr>MCC RAIL_S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Jadacie Prom</cp:lastModifiedBy>
  <dcterms:created xsi:type="dcterms:W3CDTF">2026-02-27T16:31:44Z</dcterms:created>
  <dcterms:modified xsi:type="dcterms:W3CDTF">2026-03-12T00:37:23Z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2026-02-27T16:31:49Z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77a63023-7908-43e1-b2f1-66f3ca472f1f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