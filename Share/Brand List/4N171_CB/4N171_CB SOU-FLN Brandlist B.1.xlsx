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N171CB SOU-FLN\"/>
    </mc:Choice>
  </mc:AlternateContent>
  <xr:revisionPtr revIDLastSave="0" documentId="13_ncr:1_{53AA5A65-DB6A-4AD3-B336-18DDE494148D}" xr6:coauthVersionLast="47" xr6:coauthVersionMax="47" xr10:uidLastSave="{00000000-0000-0000-0000-000000000000}"/>
  <bookViews>
    <workbookView xWindow="28680" yWindow="-120" windowWidth="29040" windowHeight="15720" tabRatio="997" activeTab="1" xr2:uid="{00000000-000D-0000-FFFF-FFFF00000000}"/>
  </bookViews>
  <sheets>
    <sheet name="BOP_S" sheetId="26" r:id="rId1"/>
    <sheet name="Bundle Tag Info" sheetId="44" r:id="rId2"/>
    <sheet name="Bundle Tags2" sheetId="45" r:id="rId3"/>
    <sheet name="ALL" sheetId="47" r:id="rId4"/>
  </sheets>
  <definedNames>
    <definedName name="_xlnm._FilterDatabase" localSheetId="0" hidden="1">BOP_S!$H$1:$H$85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7" l="1"/>
  <c r="AC31" i="47"/>
  <c r="AB31" i="47"/>
  <c r="AA31" i="47"/>
  <c r="Z31" i="47"/>
  <c r="Y31" i="47"/>
  <c r="X31" i="47"/>
  <c r="W31" i="47"/>
  <c r="V31" i="47"/>
  <c r="U31" i="47"/>
  <c r="T31" i="47"/>
  <c r="S31" i="47"/>
  <c r="R31" i="47"/>
  <c r="Q31" i="47"/>
  <c r="P31" i="47"/>
  <c r="O31" i="47"/>
  <c r="N31" i="47"/>
  <c r="M31" i="47"/>
  <c r="L31" i="47"/>
  <c r="K31" i="47"/>
  <c r="J31" i="47"/>
  <c r="I31" i="47"/>
  <c r="H31" i="47"/>
  <c r="G31" i="47"/>
  <c r="F31" i="47"/>
  <c r="E31" i="47"/>
  <c r="D31" i="47"/>
  <c r="C31" i="47"/>
  <c r="B31" i="47"/>
  <c r="A31" i="47"/>
  <c r="AD30" i="47"/>
  <c r="AC30" i="47"/>
  <c r="AB30" i="47"/>
  <c r="AA30" i="47"/>
  <c r="Z30" i="47"/>
  <c r="Y30" i="47"/>
  <c r="X30" i="47"/>
  <c r="W30" i="47"/>
  <c r="V30" i="47"/>
  <c r="U30" i="47"/>
  <c r="T30" i="47"/>
  <c r="S30" i="47"/>
  <c r="R30" i="47"/>
  <c r="Q30" i="47"/>
  <c r="P30" i="47"/>
  <c r="O30" i="47"/>
  <c r="N30" i="47"/>
  <c r="M30" i="47"/>
  <c r="L30" i="47"/>
  <c r="K30" i="47"/>
  <c r="J30" i="47"/>
  <c r="I30" i="47"/>
  <c r="H30" i="47"/>
  <c r="G30" i="47"/>
  <c r="F30" i="47"/>
  <c r="E30" i="47"/>
  <c r="D30" i="47"/>
  <c r="C30" i="47"/>
  <c r="B30" i="47"/>
  <c r="A30" i="47"/>
  <c r="AD29" i="47"/>
  <c r="AC29" i="47"/>
  <c r="AB29" i="47"/>
  <c r="AA29" i="47"/>
  <c r="Z29" i="47"/>
  <c r="Y29" i="47"/>
  <c r="X29" i="47"/>
  <c r="W29" i="47"/>
  <c r="V29" i="47"/>
  <c r="U29" i="47"/>
  <c r="T29" i="47"/>
  <c r="S29" i="47"/>
  <c r="R29" i="47"/>
  <c r="Q29" i="47"/>
  <c r="P29" i="47"/>
  <c r="O29" i="47"/>
  <c r="N29" i="47"/>
  <c r="M29" i="47"/>
  <c r="L29" i="47"/>
  <c r="K29" i="47"/>
  <c r="J29" i="47"/>
  <c r="I29" i="47"/>
  <c r="H29" i="47"/>
  <c r="G29" i="47"/>
  <c r="F29" i="47"/>
  <c r="E29" i="47"/>
  <c r="D29" i="47"/>
  <c r="C29" i="47"/>
  <c r="B29" i="47"/>
  <c r="A29" i="47"/>
  <c r="AD28" i="47"/>
  <c r="AC28" i="47"/>
  <c r="AB28" i="47"/>
  <c r="AA28" i="47"/>
  <c r="Z28" i="47"/>
  <c r="Y28" i="47"/>
  <c r="X28" i="47"/>
  <c r="W28" i="47"/>
  <c r="V28" i="47"/>
  <c r="U28" i="47"/>
  <c r="T28" i="47"/>
  <c r="S28" i="47"/>
  <c r="R28" i="47"/>
  <c r="Q28" i="47"/>
  <c r="P28" i="47"/>
  <c r="O28" i="47"/>
  <c r="N28" i="47"/>
  <c r="M28" i="47"/>
  <c r="L28" i="47"/>
  <c r="K28" i="47"/>
  <c r="J28" i="47"/>
  <c r="I28" i="47"/>
  <c r="H28" i="47"/>
  <c r="G28" i="47"/>
  <c r="F28" i="47"/>
  <c r="E28" i="47"/>
  <c r="D28" i="47"/>
  <c r="C28" i="47"/>
  <c r="B28" i="47"/>
  <c r="A28" i="47"/>
  <c r="AD27" i="47"/>
  <c r="AC27" i="47"/>
  <c r="AB27" i="47"/>
  <c r="AA27" i="47"/>
  <c r="Z27" i="47"/>
  <c r="Y27" i="47"/>
  <c r="X27" i="47"/>
  <c r="W27" i="47"/>
  <c r="V27" i="47"/>
  <c r="U27" i="47"/>
  <c r="T27" i="47"/>
  <c r="S27" i="47"/>
  <c r="R27" i="47"/>
  <c r="Q27" i="47"/>
  <c r="P27" i="47"/>
  <c r="O27" i="47"/>
  <c r="N27" i="47"/>
  <c r="M27" i="47"/>
  <c r="L27" i="47"/>
  <c r="K27" i="47"/>
  <c r="J27" i="47"/>
  <c r="I27" i="47"/>
  <c r="H27" i="47"/>
  <c r="G27" i="47"/>
  <c r="F27" i="47"/>
  <c r="E27" i="47"/>
  <c r="D27" i="47"/>
  <c r="C27" i="47"/>
  <c r="B27" i="47"/>
  <c r="A27" i="47"/>
  <c r="AD26" i="47"/>
  <c r="AC26" i="47"/>
  <c r="AB26" i="47"/>
  <c r="AA26" i="47"/>
  <c r="Z26" i="47"/>
  <c r="Y26" i="47"/>
  <c r="X26" i="47"/>
  <c r="W26" i="47"/>
  <c r="V26" i="47"/>
  <c r="U26" i="47"/>
  <c r="T26" i="47"/>
  <c r="S26" i="47"/>
  <c r="R26" i="47"/>
  <c r="Q26" i="47"/>
  <c r="P26" i="47"/>
  <c r="O26" i="47"/>
  <c r="N26" i="47"/>
  <c r="M26" i="47"/>
  <c r="L26" i="47"/>
  <c r="K26" i="47"/>
  <c r="J26" i="47"/>
  <c r="I26" i="47"/>
  <c r="H26" i="47"/>
  <c r="G26" i="47"/>
  <c r="F26" i="47"/>
  <c r="E26" i="47"/>
  <c r="D26" i="47"/>
  <c r="C26" i="47"/>
  <c r="B26" i="47"/>
  <c r="A26" i="47"/>
  <c r="AD25" i="47"/>
  <c r="AC25" i="47"/>
  <c r="AB25" i="47"/>
  <c r="AA25" i="47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K25" i="47"/>
  <c r="J25" i="47"/>
  <c r="I25" i="47"/>
  <c r="H25" i="47"/>
  <c r="G25" i="47"/>
  <c r="F25" i="47"/>
  <c r="E25" i="47"/>
  <c r="D25" i="47"/>
  <c r="C25" i="47"/>
  <c r="B25" i="47"/>
  <c r="A25" i="47"/>
  <c r="AD24" i="47"/>
  <c r="AC24" i="47"/>
  <c r="AB24" i="47"/>
  <c r="AA24" i="47"/>
  <c r="Z24" i="47"/>
  <c r="Y24" i="47"/>
  <c r="X24" i="47"/>
  <c r="W24" i="47"/>
  <c r="V24" i="47"/>
  <c r="U24" i="47"/>
  <c r="T24" i="47"/>
  <c r="S24" i="47"/>
  <c r="R24" i="47"/>
  <c r="Q24" i="47"/>
  <c r="P24" i="47"/>
  <c r="O24" i="47"/>
  <c r="N24" i="47"/>
  <c r="M24" i="47"/>
  <c r="L24" i="47"/>
  <c r="K24" i="47"/>
  <c r="J24" i="47"/>
  <c r="I24" i="47"/>
  <c r="H24" i="47"/>
  <c r="G24" i="47"/>
  <c r="F24" i="47"/>
  <c r="E24" i="47"/>
  <c r="D24" i="47"/>
  <c r="C24" i="47"/>
  <c r="B24" i="47"/>
  <c r="A24" i="47"/>
  <c r="AD23" i="47"/>
  <c r="AC23" i="47"/>
  <c r="AB23" i="47"/>
  <c r="AA23" i="47"/>
  <c r="Z23" i="47"/>
  <c r="Y23" i="47"/>
  <c r="X23" i="47"/>
  <c r="W23" i="47"/>
  <c r="V23" i="47"/>
  <c r="U23" i="47"/>
  <c r="T23" i="47"/>
  <c r="S23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E23" i="47"/>
  <c r="D23" i="47"/>
  <c r="C23" i="47"/>
  <c r="B23" i="47"/>
  <c r="A23" i="47"/>
  <c r="AD22" i="47"/>
  <c r="AC22" i="47"/>
  <c r="AB22" i="47"/>
  <c r="AA22" i="47"/>
  <c r="Z22" i="47"/>
  <c r="Y22" i="47"/>
  <c r="X22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C22" i="47"/>
  <c r="B22" i="47"/>
  <c r="A22" i="47"/>
  <c r="AD21" i="47"/>
  <c r="AC21" i="47"/>
  <c r="AB21" i="47"/>
  <c r="AA21" i="47"/>
  <c r="Z21" i="47"/>
  <c r="Y21" i="47"/>
  <c r="X21" i="47"/>
  <c r="W21" i="47"/>
  <c r="V21" i="47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H21" i="47"/>
  <c r="G21" i="47"/>
  <c r="F21" i="47"/>
  <c r="E21" i="47"/>
  <c r="D21" i="47"/>
  <c r="C21" i="47"/>
  <c r="B21" i="47"/>
  <c r="A21" i="47"/>
  <c r="AD20" i="47"/>
  <c r="AC20" i="47"/>
  <c r="AB20" i="47"/>
  <c r="AA20" i="47"/>
  <c r="Z20" i="47"/>
  <c r="Y20" i="47"/>
  <c r="X20" i="47"/>
  <c r="W20" i="47"/>
  <c r="V20" i="47"/>
  <c r="U20" i="47"/>
  <c r="T20" i="47"/>
  <c r="S20" i="47"/>
  <c r="R20" i="47"/>
  <c r="Q20" i="47"/>
  <c r="P20" i="47"/>
  <c r="O20" i="47"/>
  <c r="N20" i="47"/>
  <c r="M20" i="47"/>
  <c r="L20" i="47"/>
  <c r="K20" i="47"/>
  <c r="J20" i="47"/>
  <c r="I20" i="47"/>
  <c r="H20" i="47"/>
  <c r="G20" i="47"/>
  <c r="F20" i="47"/>
  <c r="E20" i="47"/>
  <c r="D20" i="47"/>
  <c r="C20" i="47"/>
  <c r="B20" i="47"/>
  <c r="A20" i="47"/>
  <c r="AD19" i="47"/>
  <c r="AC19" i="47"/>
  <c r="AB19" i="47"/>
  <c r="AA19" i="47"/>
  <c r="Z19" i="47"/>
  <c r="Y19" i="47"/>
  <c r="X19" i="47"/>
  <c r="W19" i="47"/>
  <c r="V19" i="47"/>
  <c r="U19" i="47"/>
  <c r="T19" i="47"/>
  <c r="S19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F19" i="47"/>
  <c r="E19" i="47"/>
  <c r="D19" i="47"/>
  <c r="C19" i="47"/>
  <c r="B19" i="47"/>
  <c r="A19" i="47"/>
  <c r="AD18" i="47"/>
  <c r="AC18" i="47"/>
  <c r="AB18" i="47"/>
  <c r="AA18" i="47"/>
  <c r="Z18" i="47"/>
  <c r="Y18" i="47"/>
  <c r="X18" i="47"/>
  <c r="W18" i="47"/>
  <c r="V18" i="47"/>
  <c r="U18" i="47"/>
  <c r="T18" i="47"/>
  <c r="S18" i="47"/>
  <c r="R18" i="47"/>
  <c r="Q18" i="47"/>
  <c r="P18" i="47"/>
  <c r="O18" i="47"/>
  <c r="N18" i="47"/>
  <c r="M18" i="47"/>
  <c r="L18" i="47"/>
  <c r="K18" i="47"/>
  <c r="J18" i="47"/>
  <c r="I18" i="47"/>
  <c r="H18" i="47"/>
  <c r="G18" i="47"/>
  <c r="F18" i="47"/>
  <c r="E18" i="47"/>
  <c r="D18" i="47"/>
  <c r="C18" i="47"/>
  <c r="B18" i="47"/>
  <c r="A18" i="47"/>
  <c r="AD17" i="47"/>
  <c r="AC17" i="47"/>
  <c r="AB17" i="47"/>
  <c r="AA17" i="47"/>
  <c r="Z17" i="47"/>
  <c r="Y17" i="47"/>
  <c r="X17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C17" i="47"/>
  <c r="B17" i="47"/>
  <c r="A17" i="47"/>
  <c r="AD16" i="47"/>
  <c r="AC16" i="47"/>
  <c r="AB16" i="47"/>
  <c r="AA16" i="47"/>
  <c r="Z16" i="47"/>
  <c r="Y16" i="47"/>
  <c r="X16" i="47"/>
  <c r="W16" i="47"/>
  <c r="V16" i="47"/>
  <c r="U16" i="47"/>
  <c r="T16" i="47"/>
  <c r="S16" i="47"/>
  <c r="R16" i="47"/>
  <c r="Q16" i="47"/>
  <c r="P16" i="47"/>
  <c r="O16" i="47"/>
  <c r="N16" i="47"/>
  <c r="M16" i="47"/>
  <c r="L16" i="47"/>
  <c r="K16" i="47"/>
  <c r="J16" i="47"/>
  <c r="I16" i="47"/>
  <c r="H16" i="47"/>
  <c r="G16" i="47"/>
  <c r="F16" i="47"/>
  <c r="E16" i="47"/>
  <c r="D16" i="47"/>
  <c r="C16" i="47"/>
  <c r="B16" i="47"/>
  <c r="A16" i="47"/>
  <c r="AD15" i="47"/>
  <c r="AC15" i="47"/>
  <c r="AB15" i="47"/>
  <c r="AA15" i="47"/>
  <c r="Z15" i="47"/>
  <c r="Y15" i="47"/>
  <c r="X15" i="47"/>
  <c r="W15" i="47"/>
  <c r="V15" i="47"/>
  <c r="U15" i="47"/>
  <c r="T15" i="47"/>
  <c r="S15" i="47"/>
  <c r="R15" i="47"/>
  <c r="Q15" i="47"/>
  <c r="P15" i="47"/>
  <c r="O15" i="47"/>
  <c r="N15" i="47"/>
  <c r="M15" i="47"/>
  <c r="L15" i="47"/>
  <c r="K15" i="47"/>
  <c r="J15" i="47"/>
  <c r="I15" i="47"/>
  <c r="H15" i="47"/>
  <c r="G15" i="47"/>
  <c r="F15" i="47"/>
  <c r="E15" i="47"/>
  <c r="D15" i="47"/>
  <c r="C15" i="47"/>
  <c r="B15" i="47"/>
  <c r="A15" i="47"/>
  <c r="AD14" i="47"/>
  <c r="AC14" i="47"/>
  <c r="AB14" i="47"/>
  <c r="AA14" i="47"/>
  <c r="Z14" i="47"/>
  <c r="Y14" i="47"/>
  <c r="X14" i="47"/>
  <c r="W14" i="47"/>
  <c r="V14" i="47"/>
  <c r="U14" i="47"/>
  <c r="T14" i="47"/>
  <c r="S14" i="47"/>
  <c r="R14" i="47"/>
  <c r="Q14" i="47"/>
  <c r="P14" i="47"/>
  <c r="O14" i="47"/>
  <c r="N14" i="47"/>
  <c r="M14" i="47"/>
  <c r="L14" i="47"/>
  <c r="K14" i="47"/>
  <c r="J14" i="47"/>
  <c r="I14" i="47"/>
  <c r="H14" i="47"/>
  <c r="G14" i="47"/>
  <c r="F14" i="47"/>
  <c r="E14" i="47"/>
  <c r="D14" i="47"/>
  <c r="C14" i="47"/>
  <c r="B14" i="47"/>
  <c r="A14" i="47"/>
  <c r="AD13" i="47"/>
  <c r="AC13" i="47"/>
  <c r="AB13" i="47"/>
  <c r="AA13" i="47"/>
  <c r="Z13" i="47"/>
  <c r="Y13" i="47"/>
  <c r="X13" i="47"/>
  <c r="W13" i="47"/>
  <c r="V13" i="47"/>
  <c r="U13" i="47"/>
  <c r="T13" i="47"/>
  <c r="S13" i="47"/>
  <c r="R13" i="47"/>
  <c r="Q13" i="47"/>
  <c r="P13" i="47"/>
  <c r="O13" i="47"/>
  <c r="N13" i="47"/>
  <c r="M13" i="47"/>
  <c r="L13" i="47"/>
  <c r="K13" i="47"/>
  <c r="J13" i="47"/>
  <c r="I13" i="47"/>
  <c r="H13" i="47"/>
  <c r="G13" i="47"/>
  <c r="F13" i="47"/>
  <c r="E13" i="47"/>
  <c r="D13" i="47"/>
  <c r="C13" i="47"/>
  <c r="B13" i="47"/>
  <c r="A13" i="47"/>
  <c r="AD12" i="47"/>
  <c r="AC12" i="47"/>
  <c r="AB12" i="47"/>
  <c r="AA12" i="47"/>
  <c r="Z12" i="47"/>
  <c r="Y12" i="47"/>
  <c r="X12" i="47"/>
  <c r="W12" i="47"/>
  <c r="V12" i="47"/>
  <c r="U12" i="47"/>
  <c r="T12" i="47"/>
  <c r="S12" i="47"/>
  <c r="R12" i="47"/>
  <c r="Q12" i="47"/>
  <c r="P12" i="47"/>
  <c r="O12" i="47"/>
  <c r="N12" i="47"/>
  <c r="M12" i="47"/>
  <c r="L12" i="47"/>
  <c r="K12" i="47"/>
  <c r="J12" i="47"/>
  <c r="I12" i="47"/>
  <c r="H12" i="47"/>
  <c r="G12" i="47"/>
  <c r="F12" i="47"/>
  <c r="E12" i="47"/>
  <c r="D12" i="47"/>
  <c r="C12" i="47"/>
  <c r="B12" i="47"/>
  <c r="A12" i="47"/>
  <c r="AD11" i="47"/>
  <c r="AC11" i="47"/>
  <c r="AB11" i="47"/>
  <c r="AA11" i="47"/>
  <c r="Z11" i="47"/>
  <c r="Y11" i="47"/>
  <c r="X11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C11" i="47"/>
  <c r="B11" i="47"/>
  <c r="A11" i="47"/>
  <c r="AD10" i="47"/>
  <c r="AC10" i="47"/>
  <c r="AB10" i="47"/>
  <c r="AA10" i="47"/>
  <c r="Z10" i="47"/>
  <c r="Y10" i="47"/>
  <c r="X10" i="47"/>
  <c r="W10" i="47"/>
  <c r="V10" i="47"/>
  <c r="U10" i="47"/>
  <c r="T10" i="47"/>
  <c r="S10" i="47"/>
  <c r="R10" i="47"/>
  <c r="Q10" i="47"/>
  <c r="P10" i="47"/>
  <c r="O10" i="47"/>
  <c r="N10" i="47"/>
  <c r="M10" i="47"/>
  <c r="L10" i="47"/>
  <c r="K10" i="47"/>
  <c r="J10" i="47"/>
  <c r="I10" i="47"/>
  <c r="H10" i="47"/>
  <c r="G10" i="47"/>
  <c r="F10" i="47"/>
  <c r="E10" i="47"/>
  <c r="D10" i="47"/>
  <c r="C10" i="47"/>
  <c r="B10" i="47"/>
  <c r="A10" i="47"/>
  <c r="AD9" i="47"/>
  <c r="AC9" i="47"/>
  <c r="AB9" i="47"/>
  <c r="AA9" i="47"/>
  <c r="Z9" i="47"/>
  <c r="Y9" i="47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9" i="47"/>
  <c r="E9" i="47"/>
  <c r="D9" i="47"/>
  <c r="C9" i="47"/>
  <c r="B9" i="47"/>
  <c r="A9" i="47"/>
  <c r="AD8" i="47"/>
  <c r="AC8" i="47"/>
  <c r="AB8" i="47"/>
  <c r="AA8" i="47"/>
  <c r="Z8" i="47"/>
  <c r="Y8" i="47"/>
  <c r="X8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C8" i="47"/>
  <c r="B8" i="47"/>
  <c r="A8" i="47"/>
  <c r="AD7" i="47"/>
  <c r="AC7" i="47"/>
  <c r="AB7" i="47"/>
  <c r="AA7" i="47"/>
  <c r="Z7" i="47"/>
  <c r="Y7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G7" i="47"/>
  <c r="F7" i="47"/>
  <c r="E7" i="47"/>
  <c r="D7" i="47"/>
  <c r="C7" i="47"/>
  <c r="B7" i="47"/>
  <c r="A7" i="47"/>
  <c r="AD6" i="47"/>
  <c r="AC6" i="47"/>
  <c r="AB6" i="47"/>
  <c r="AA6" i="47"/>
  <c r="Z6" i="47"/>
  <c r="Y6" i="47"/>
  <c r="X6" i="47"/>
  <c r="W6" i="47"/>
  <c r="V6" i="47"/>
  <c r="U6" i="47"/>
  <c r="T6" i="47"/>
  <c r="S6" i="47"/>
  <c r="R6" i="47"/>
  <c r="Q6" i="47"/>
  <c r="P6" i="47"/>
  <c r="O6" i="47"/>
  <c r="N6" i="47"/>
  <c r="M6" i="47"/>
  <c r="L6" i="47"/>
  <c r="K6" i="47"/>
  <c r="J6" i="47"/>
  <c r="I6" i="47"/>
  <c r="H6" i="47"/>
  <c r="G6" i="47"/>
  <c r="F6" i="47"/>
  <c r="E6" i="47"/>
  <c r="D6" i="47"/>
  <c r="C6" i="47"/>
  <c r="B6" i="47"/>
  <c r="A6" i="47"/>
  <c r="AD5" i="47"/>
  <c r="AC5" i="47"/>
  <c r="AB5" i="47"/>
  <c r="AA5" i="47"/>
  <c r="Z5" i="47"/>
  <c r="Y5" i="47"/>
  <c r="X5" i="47"/>
  <c r="W5" i="47"/>
  <c r="V5" i="47"/>
  <c r="U5" i="47"/>
  <c r="T5" i="47"/>
  <c r="S5" i="47"/>
  <c r="R5" i="47"/>
  <c r="Q5" i="47"/>
  <c r="P5" i="47"/>
  <c r="O5" i="47"/>
  <c r="N5" i="47"/>
  <c r="M5" i="47"/>
  <c r="L5" i="47"/>
  <c r="K5" i="47"/>
  <c r="J5" i="47"/>
  <c r="I5" i="47"/>
  <c r="H5" i="47"/>
  <c r="G5" i="47"/>
  <c r="F5" i="47"/>
  <c r="E5" i="47"/>
  <c r="D5" i="47"/>
  <c r="C5" i="47"/>
  <c r="B5" i="47"/>
  <c r="A5" i="47"/>
  <c r="AD4" i="47"/>
  <c r="AC4" i="47"/>
  <c r="AB4" i="47"/>
  <c r="AA4" i="47"/>
  <c r="Z4" i="47"/>
  <c r="Y4" i="47"/>
  <c r="X4" i="47"/>
  <c r="W4" i="47"/>
  <c r="V4" i="47"/>
  <c r="U4" i="47"/>
  <c r="T4" i="47"/>
  <c r="S4" i="47"/>
  <c r="R4" i="47"/>
  <c r="Q4" i="47"/>
  <c r="P4" i="47"/>
  <c r="O4" i="47"/>
  <c r="N4" i="47"/>
  <c r="M4" i="47"/>
  <c r="L4" i="47"/>
  <c r="K4" i="47"/>
  <c r="J4" i="47"/>
  <c r="I4" i="47"/>
  <c r="H4" i="47"/>
  <c r="G4" i="47"/>
  <c r="F4" i="47"/>
  <c r="E4" i="47"/>
  <c r="D4" i="47"/>
  <c r="C4" i="47"/>
  <c r="B4" i="47"/>
  <c r="A4" i="47"/>
  <c r="AD3" i="47"/>
  <c r="AC3" i="47"/>
  <c r="AB3" i="47"/>
  <c r="AA3" i="47"/>
  <c r="Z3" i="47"/>
  <c r="Y3" i="47"/>
  <c r="X3" i="47"/>
  <c r="W3" i="47"/>
  <c r="V3" i="47"/>
  <c r="U3" i="47"/>
  <c r="T3" i="47"/>
  <c r="S3" i="47"/>
  <c r="R3" i="47"/>
  <c r="Q3" i="47"/>
  <c r="P3" i="47"/>
  <c r="O3" i="47"/>
  <c r="N3" i="47"/>
  <c r="M3" i="47"/>
  <c r="L3" i="47"/>
  <c r="K3" i="47"/>
  <c r="J3" i="47"/>
  <c r="I3" i="47"/>
  <c r="H3" i="47"/>
  <c r="G3" i="47"/>
  <c r="F3" i="47"/>
  <c r="E3" i="47"/>
  <c r="D3" i="47"/>
  <c r="C3" i="47"/>
  <c r="B3" i="47"/>
  <c r="A3" i="47"/>
  <c r="AD2" i="47"/>
  <c r="AC2" i="47"/>
  <c r="AB2" i="47"/>
  <c r="AA2" i="47"/>
  <c r="Z2" i="47"/>
  <c r="Y2" i="47"/>
  <c r="X2" i="47"/>
  <c r="W2" i="47"/>
  <c r="V2" i="47"/>
  <c r="U2" i="47"/>
  <c r="T2" i="47"/>
  <c r="S2" i="47"/>
  <c r="R2" i="47"/>
  <c r="Q2" i="47"/>
  <c r="P2" i="47"/>
  <c r="O2" i="47"/>
  <c r="N2" i="47"/>
  <c r="M2" i="47"/>
  <c r="L2" i="47"/>
  <c r="K2" i="47"/>
  <c r="J2" i="47"/>
  <c r="I2" i="47"/>
  <c r="H2" i="47"/>
  <c r="G2" i="47"/>
  <c r="F2" i="47"/>
  <c r="E2" i="47"/>
  <c r="D2" i="47"/>
  <c r="C2" i="47"/>
  <c r="B2" i="47"/>
  <c r="A2" i="47"/>
  <c r="AD1" i="47"/>
  <c r="AC1" i="47"/>
  <c r="AB1" i="47"/>
  <c r="AA1" i="47"/>
  <c r="Z1" i="47"/>
  <c r="Y1" i="47"/>
  <c r="X1" i="47"/>
  <c r="W1" i="47"/>
  <c r="V1" i="47"/>
  <c r="U1" i="47"/>
  <c r="T1" i="47"/>
  <c r="S1" i="47"/>
  <c r="R1" i="47"/>
  <c r="Q1" i="47"/>
  <c r="P1" i="47"/>
  <c r="O1" i="47"/>
  <c r="N1" i="47"/>
  <c r="M1" i="47"/>
  <c r="L1" i="47"/>
  <c r="K1" i="47"/>
  <c r="J1" i="47"/>
  <c r="I1" i="47"/>
  <c r="H1" i="47"/>
  <c r="G1" i="47"/>
  <c r="F1" i="47"/>
  <c r="E1" i="47"/>
  <c r="D1" i="47"/>
  <c r="C1" i="47"/>
  <c r="B1" i="47"/>
  <c r="A1" i="47"/>
  <c r="AD31" i="45" l="1"/>
  <c r="AC31" i="45"/>
  <c r="AB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D31" i="45"/>
  <c r="C31" i="45"/>
  <c r="B31" i="45"/>
  <c r="A31" i="45"/>
  <c r="AD30" i="45"/>
  <c r="AC30" i="45"/>
  <c r="AB30" i="45"/>
  <c r="AA30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D30" i="45"/>
  <c r="C30" i="45"/>
  <c r="B30" i="45"/>
  <c r="A30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D29" i="45"/>
  <c r="C29" i="45"/>
  <c r="B29" i="45"/>
  <c r="A29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D28" i="45"/>
  <c r="C28" i="45"/>
  <c r="B28" i="45"/>
  <c r="A28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D27" i="45"/>
  <c r="C27" i="45"/>
  <c r="B27" i="45"/>
  <c r="A27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E26" i="45"/>
  <c r="D26" i="45"/>
  <c r="C26" i="45"/>
  <c r="B26" i="45"/>
  <c r="A26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C25" i="45"/>
  <c r="B25" i="45"/>
  <c r="A25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C24" i="45"/>
  <c r="B24" i="45"/>
  <c r="A24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23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C22" i="45"/>
  <c r="B22" i="45"/>
  <c r="A22" i="45"/>
  <c r="AD21" i="45"/>
  <c r="AC21" i="45"/>
  <c r="AB21" i="45"/>
  <c r="AA21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E21" i="45"/>
  <c r="D21" i="45"/>
  <c r="C21" i="45"/>
  <c r="B21" i="45"/>
  <c r="A21" i="45"/>
  <c r="AD20" i="45"/>
  <c r="AC20" i="45"/>
  <c r="AB20" i="45"/>
  <c r="AA20" i="45"/>
  <c r="Z20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D20" i="45"/>
  <c r="C20" i="45"/>
  <c r="B20" i="45"/>
  <c r="A20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D19" i="45"/>
  <c r="C19" i="45"/>
  <c r="B19" i="45"/>
  <c r="A19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D18" i="45"/>
  <c r="C18" i="45"/>
  <c r="B18" i="45"/>
  <c r="A18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D17" i="45"/>
  <c r="C17" i="45"/>
  <c r="B17" i="45"/>
  <c r="A17" i="45"/>
  <c r="AD1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E16" i="45"/>
  <c r="D16" i="45"/>
  <c r="C16" i="45"/>
  <c r="B16" i="45"/>
  <c r="A16" i="45"/>
  <c r="AD15" i="45"/>
  <c r="AC15" i="45"/>
  <c r="AB15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E15" i="45"/>
  <c r="D15" i="45"/>
  <c r="C15" i="45"/>
  <c r="B15" i="45"/>
  <c r="A15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E14" i="45"/>
  <c r="D14" i="45"/>
  <c r="C14" i="45"/>
  <c r="B14" i="45"/>
  <c r="A14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C13" i="45"/>
  <c r="B13" i="45"/>
  <c r="A13" i="45"/>
  <c r="AD12" i="45"/>
  <c r="AC12" i="45"/>
  <c r="AB12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C12" i="45"/>
  <c r="B12" i="45"/>
  <c r="A12" i="45"/>
  <c r="AD11" i="45"/>
  <c r="AC11" i="45"/>
  <c r="AB11" i="45"/>
  <c r="AA11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E11" i="45"/>
  <c r="D11" i="45"/>
  <c r="C11" i="45"/>
  <c r="B11" i="45"/>
  <c r="A11" i="45"/>
  <c r="AD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E10" i="45"/>
  <c r="D10" i="45"/>
  <c r="C10" i="45"/>
  <c r="B10" i="45"/>
  <c r="A10" i="45"/>
  <c r="AD9" i="45"/>
  <c r="AC9" i="45"/>
  <c r="AB9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A9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E8" i="45"/>
  <c r="D8" i="45"/>
  <c r="C8" i="45"/>
  <c r="B8" i="45"/>
  <c r="A8" i="45"/>
  <c r="AD7" i="45"/>
  <c r="AC7" i="45"/>
  <c r="AB7" i="45"/>
  <c r="AA7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E7" i="45"/>
  <c r="D7" i="45"/>
  <c r="C7" i="45"/>
  <c r="B7" i="45"/>
  <c r="A7" i="45"/>
  <c r="AD6" i="45"/>
  <c r="AC6" i="45"/>
  <c r="AB6" i="45"/>
  <c r="AA6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G6" i="45"/>
  <c r="F6" i="45"/>
  <c r="E6" i="45"/>
  <c r="D6" i="45"/>
  <c r="C6" i="45"/>
  <c r="B6" i="45"/>
  <c r="A6" i="45"/>
  <c r="AD5" i="45"/>
  <c r="AC5" i="45"/>
  <c r="AB5" i="45"/>
  <c r="AA5" i="45"/>
  <c r="Z5" i="45"/>
  <c r="Y5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G5" i="45"/>
  <c r="F5" i="45"/>
  <c r="E5" i="45"/>
  <c r="D5" i="45"/>
  <c r="C5" i="45"/>
  <c r="B5" i="45"/>
  <c r="A5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E4" i="45"/>
  <c r="D4" i="45"/>
  <c r="C4" i="45"/>
  <c r="B4" i="45"/>
  <c r="A4" i="45"/>
  <c r="AD3" i="45"/>
  <c r="AC3" i="45"/>
  <c r="AB3" i="45"/>
  <c r="AA3" i="45"/>
  <c r="Z3" i="45"/>
  <c r="Y3" i="45"/>
  <c r="X3" i="45"/>
  <c r="W3" i="45"/>
  <c r="V3" i="45"/>
  <c r="U3" i="45"/>
  <c r="T3" i="45"/>
  <c r="S3" i="45"/>
  <c r="R3" i="45"/>
  <c r="Q3" i="45"/>
  <c r="P3" i="45"/>
  <c r="O3" i="45"/>
  <c r="N3" i="45"/>
  <c r="M3" i="45"/>
  <c r="L3" i="45"/>
  <c r="K3" i="45"/>
  <c r="J3" i="45"/>
  <c r="I3" i="45"/>
  <c r="H3" i="45"/>
  <c r="G3" i="45"/>
  <c r="F3" i="45"/>
  <c r="E3" i="45"/>
  <c r="D3" i="45"/>
  <c r="C3" i="45"/>
  <c r="B3" i="45"/>
  <c r="A3" i="45"/>
  <c r="AD2" i="45"/>
  <c r="AC2" i="45"/>
  <c r="AB2" i="45"/>
  <c r="AA2" i="45"/>
  <c r="Z2" i="45"/>
  <c r="Y2" i="45"/>
  <c r="X2" i="45"/>
  <c r="W2" i="45"/>
  <c r="V2" i="45"/>
  <c r="U2" i="45"/>
  <c r="T2" i="45"/>
  <c r="S2" i="45"/>
  <c r="R2" i="45"/>
  <c r="Q2" i="45"/>
  <c r="P2" i="45"/>
  <c r="O2" i="45"/>
  <c r="N2" i="45"/>
  <c r="M2" i="45"/>
  <c r="L2" i="45"/>
  <c r="K2" i="45"/>
  <c r="J2" i="45"/>
  <c r="I2" i="45"/>
  <c r="H2" i="45"/>
  <c r="G2" i="45"/>
  <c r="F2" i="45"/>
  <c r="E2" i="45"/>
  <c r="D2" i="45"/>
  <c r="C2" i="45"/>
  <c r="B2" i="45"/>
  <c r="A2" i="45"/>
  <c r="AD1" i="45"/>
  <c r="AC1" i="45"/>
  <c r="AB1" i="45"/>
  <c r="AA1" i="45"/>
  <c r="Z1" i="45"/>
  <c r="Y1" i="45"/>
  <c r="X1" i="45"/>
  <c r="W1" i="45"/>
  <c r="V1" i="45"/>
  <c r="U1" i="45"/>
  <c r="T1" i="45"/>
  <c r="S1" i="45"/>
  <c r="R1" i="45"/>
  <c r="Q1" i="45"/>
  <c r="P1" i="45"/>
  <c r="O1" i="45"/>
  <c r="N1" i="45"/>
  <c r="M1" i="45"/>
  <c r="L1" i="45"/>
  <c r="K1" i="45"/>
  <c r="J1" i="45"/>
  <c r="I1" i="45"/>
  <c r="H1" i="45"/>
  <c r="G1" i="45"/>
  <c r="F1" i="45"/>
  <c r="E1" i="45"/>
  <c r="D1" i="45"/>
  <c r="C1" i="45"/>
  <c r="B1" i="45"/>
  <c r="A1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tc={01547891-3214-4459-B4B3-C67C5F5956CB}</author>
  </authors>
  <commentList>
    <comment ref="C85" authorId="0" shapeId="0" xr:uid="{01547891-3214-4459-B4B3-C67C5F5956CB}">
      <text>
        <t>[Threaded comment]
Your version of Excel allows you to read this threaded comment; however, any edits to it will get removed if the file is opened in a newer version of Excel. Learn more: https://go.microsoft.com/fwlink/?linkid=870924
Comment:
    Originally blank, changed to WHT</t>
      </text>
    </comment>
  </commentList>
</comments>
</file>

<file path=xl/sharedStrings.xml><?xml version="1.0" encoding="utf-8"?>
<sst xmlns="http://schemas.openxmlformats.org/spreadsheetml/2006/main" count="508" uniqueCount="222">
  <si>
    <t>Project #</t>
  </si>
  <si>
    <t>4N171</t>
  </si>
  <si>
    <t>Project Name</t>
  </si>
  <si>
    <t>FLNG Production</t>
  </si>
  <si>
    <t>Revision</t>
  </si>
  <si>
    <t>B</t>
  </si>
  <si>
    <t>Controls DE</t>
  </si>
  <si>
    <t>CAROLYN CRAIG</t>
  </si>
  <si>
    <t>Phone:</t>
  </si>
  <si>
    <t>Controls ME</t>
  </si>
  <si>
    <t>Hector Medrano</t>
  </si>
  <si>
    <t>Device ID</t>
  </si>
  <si>
    <t>Location</t>
  </si>
  <si>
    <t>BOP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</si>
  <si>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</si>
  <si>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</si>
  <si>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</si>
  <si>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</si>
  <si>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</si>
  <si>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</si>
  <si>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</si>
  <si>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</si>
  <si>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AT0190</t>
  </si>
  <si>
    <t>DOOR</t>
  </si>
  <si>
    <t>EL0273</t>
  </si>
  <si>
    <t>ZS0273</t>
  </si>
  <si>
    <t>PLC</t>
  </si>
  <si>
    <t>From</t>
  </si>
  <si>
    <t>To</t>
  </si>
  <si>
    <t>Wire ID</t>
  </si>
  <si>
    <t>Wire No.</t>
  </si>
  <si>
    <t>Gauge/Size</t>
  </si>
  <si>
    <t>WHT</t>
  </si>
  <si>
    <t>14</t>
  </si>
  <si>
    <t>16</t>
  </si>
  <si>
    <t>20</t>
  </si>
  <si>
    <t>ESTOP</t>
  </si>
  <si>
    <t>KA0131A1</t>
  </si>
  <si>
    <t>XT0140:6</t>
  </si>
  <si>
    <t>KA0551:11</t>
  </si>
  <si>
    <t>KA055111</t>
  </si>
  <si>
    <t>AF0141:36</t>
  </si>
  <si>
    <t>KA0551:14</t>
  </si>
  <si>
    <t>KA054111</t>
  </si>
  <si>
    <t>KA0541:11</t>
  </si>
  <si>
    <t>KA0551:A1</t>
  </si>
  <si>
    <t>KA0551A1</t>
  </si>
  <si>
    <t>AF0184:02</t>
  </si>
  <si>
    <t>KA0551:A2</t>
  </si>
  <si>
    <t>KA0551A2</t>
  </si>
  <si>
    <t>AF0184:18</t>
  </si>
  <si>
    <t>KA0554:11</t>
  </si>
  <si>
    <t>KA055411</t>
  </si>
  <si>
    <t>AF0141:12</t>
  </si>
  <si>
    <t>KA0554:14</t>
  </si>
  <si>
    <t>KA053511</t>
  </si>
  <si>
    <t>KA0535:11</t>
  </si>
  <si>
    <t>KA0554:A1</t>
  </si>
  <si>
    <t>KA0554A1</t>
  </si>
  <si>
    <t>AF0184:05</t>
  </si>
  <si>
    <t>KA0554:A2</t>
  </si>
  <si>
    <t>KA0554A2</t>
  </si>
  <si>
    <t>AF0184:21</t>
  </si>
  <si>
    <t>ZSC76212</t>
  </si>
  <si>
    <t>XT0572:4</t>
  </si>
  <si>
    <t>ZSC76412</t>
  </si>
  <si>
    <t>XT0572:6</t>
  </si>
  <si>
    <t>ZSC74822</t>
  </si>
  <si>
    <t>XT0572:8</t>
  </si>
  <si>
    <t>BALANCE OF PLANT,JB74</t>
  </si>
  <si>
    <t>XT0140:2</t>
  </si>
  <si>
    <t>XT0140:3</t>
  </si>
  <si>
    <t>XT0140:4</t>
  </si>
  <si>
    <t>XT0140:5</t>
  </si>
  <si>
    <t>AF0141:00</t>
  </si>
  <si>
    <t>KA053121</t>
  </si>
  <si>
    <t>KA0531:21</t>
  </si>
  <si>
    <t>AF0141:02</t>
  </si>
  <si>
    <t>KA5940:A1</t>
  </si>
  <si>
    <t>AF0141:04</t>
  </si>
  <si>
    <t>KA053221</t>
  </si>
  <si>
    <t>KA0532:21</t>
  </si>
  <si>
    <t>AF0141:06</t>
  </si>
  <si>
    <t>KA5941:A1</t>
  </si>
  <si>
    <t>AF0141:14</t>
  </si>
  <si>
    <t>KA053111</t>
  </si>
  <si>
    <t>KA0531:11</t>
  </si>
  <si>
    <t>AF0141:16</t>
  </si>
  <si>
    <t>SV76212</t>
  </si>
  <si>
    <t>XT0572:3</t>
  </si>
  <si>
    <t>AF0141:18</t>
  </si>
  <si>
    <t>KA5940:A2</t>
  </si>
  <si>
    <t>AF0141:20</t>
  </si>
  <si>
    <t>SV76412</t>
  </si>
  <si>
    <t>XT0572:5</t>
  </si>
  <si>
    <t>AF0141:22</t>
  </si>
  <si>
    <t>KA5941:A2</t>
  </si>
  <si>
    <t>AF0141:32</t>
  </si>
  <si>
    <t>KA055011</t>
  </si>
  <si>
    <t>KA0550:11</t>
  </si>
  <si>
    <t>AF0141:COM</t>
  </si>
  <si>
    <t>AF0141:V+</t>
  </si>
  <si>
    <t>FU0141:LD</t>
  </si>
  <si>
    <t>AF0142:07</t>
  </si>
  <si>
    <t>ZSC76112</t>
  </si>
  <si>
    <t>XT0572:2</t>
  </si>
  <si>
    <t>AF0146:06</t>
  </si>
  <si>
    <t>KA0534:24</t>
  </si>
  <si>
    <t>AF0146:12</t>
  </si>
  <si>
    <t>KA0532:14</t>
  </si>
  <si>
    <t>AF0146:22</t>
  </si>
  <si>
    <t>SV74822</t>
  </si>
  <si>
    <t>XT0572:7</t>
  </si>
  <si>
    <t>AF0146:38</t>
  </si>
  <si>
    <t>KA7483:11</t>
  </si>
  <si>
    <t>AF0146:COM</t>
  </si>
  <si>
    <t>AF0146:V+</t>
  </si>
  <si>
    <t>FU0142:LD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</si>
  <si>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</si>
  <si>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</si>
  <si>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</si>
  <si>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</si>
  <si>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</si>
  <si>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</si>
  <si>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</si>
  <si>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</si>
  <si>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</si>
  <si>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</si>
  <si>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</si>
  <si>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AF0183:00</t>
  </si>
  <si>
    <t>AF0183:04</t>
  </si>
  <si>
    <t>AF0183:05</t>
  </si>
  <si>
    <t>AF0183N</t>
  </si>
  <si>
    <t>AF0185:COM</t>
  </si>
  <si>
    <t>AF0183P</t>
  </si>
  <si>
    <t>AF0185:V+</t>
  </si>
  <si>
    <t>AF0184:00</t>
  </si>
  <si>
    <t>KA0550A1</t>
  </si>
  <si>
    <t>KA0550:A1</t>
  </si>
  <si>
    <t>AF0184:16</t>
  </si>
  <si>
    <t>KA0550A2</t>
  </si>
  <si>
    <t>KA0550:A2</t>
  </si>
  <si>
    <t>AF0184:COM</t>
  </si>
  <si>
    <t>AF0184:V+</t>
  </si>
  <si>
    <t>FU0182:LD</t>
  </si>
  <si>
    <t>AU0140:COM</t>
  </si>
  <si>
    <t>AU0140:V+</t>
  </si>
  <si>
    <t>FU0140:LD</t>
  </si>
  <si>
    <t>FU0180:LD</t>
  </si>
  <si>
    <t>FU0140:LI</t>
  </si>
  <si>
    <t>FU0146:LD</t>
  </si>
  <si>
    <t>FU0143:LD</t>
  </si>
  <si>
    <t>XT0140:9</t>
  </si>
  <si>
    <t>FU0181:LI</t>
  </si>
  <si>
    <t>FU0182:LI</t>
  </si>
  <si>
    <t>KA0531:14</t>
  </si>
  <si>
    <t>SV76111</t>
  </si>
  <si>
    <t>XT0572:1</t>
  </si>
  <si>
    <t>KA0531:24</t>
  </si>
  <si>
    <t>KA053124</t>
  </si>
  <si>
    <t>KA0540:A1</t>
  </si>
  <si>
    <t>KA0531:A1</t>
  </si>
  <si>
    <t>XT0140:8</t>
  </si>
  <si>
    <t>KA0532:24</t>
  </si>
  <si>
    <t>KA053224</t>
  </si>
  <si>
    <t>KA0541:A1</t>
  </si>
  <si>
    <t>KA0533:11</t>
  </si>
  <si>
    <t>KA0534:21</t>
  </si>
  <si>
    <t>KA053421</t>
  </si>
  <si>
    <t>KA7482:A1</t>
  </si>
  <si>
    <t>KA0535:14</t>
  </si>
  <si>
    <t>KA053514</t>
  </si>
  <si>
    <t>VD0584:+-1N4005/1</t>
  </si>
  <si>
    <t>KA0535:A1</t>
  </si>
  <si>
    <t>XT0140:7</t>
  </si>
  <si>
    <t>KA0535:A2</t>
  </si>
  <si>
    <t>KA0536:12</t>
  </si>
  <si>
    <t>SV76011</t>
  </si>
  <si>
    <t>VD0584:--1N4005/1</t>
  </si>
  <si>
    <t>KA0540:11</t>
  </si>
  <si>
    <t>KA054011</t>
  </si>
  <si>
    <t>KA0550:14</t>
  </si>
  <si>
    <t>KA0540:A2</t>
  </si>
  <si>
    <t>KA0541:A2</t>
  </si>
  <si>
    <t>KA7482:A2</t>
  </si>
  <si>
    <t>VD0585:--1N4005/1</t>
  </si>
  <si>
    <t>KA053611</t>
  </si>
  <si>
    <t>KA0536:11</t>
  </si>
  <si>
    <t>Length</t>
  </si>
  <si>
    <t>Bundle Name</t>
  </si>
  <si>
    <t>-0V</t>
  </si>
  <si>
    <t>-014612</t>
  </si>
  <si>
    <t>-014606</t>
  </si>
  <si>
    <t>-014102</t>
  </si>
  <si>
    <t>-014118</t>
  </si>
  <si>
    <t>-014106</t>
  </si>
  <si>
    <t>-014122</t>
  </si>
  <si>
    <t>-014638</t>
  </si>
  <si>
    <t>Panel Name</t>
  </si>
  <si>
    <t>60</t>
  </si>
  <si>
    <t>FU</t>
  </si>
  <si>
    <t>AUX</t>
  </si>
  <si>
    <t>JB70 L RAIL</t>
  </si>
  <si>
    <t>FS CTRL</t>
  </si>
  <si>
    <t>JB70 DOOR</t>
  </si>
  <si>
    <t>JB70 R RAIL</t>
  </si>
  <si>
    <t>A</t>
  </si>
  <si>
    <t>HPC</t>
  </si>
  <si>
    <t>JB74 L RAIL</t>
  </si>
  <si>
    <t>KA A2</t>
  </si>
  <si>
    <t>KA</t>
  </si>
  <si>
    <t>AF/AU140s</t>
  </si>
  <si>
    <t>AF/AU180s</t>
  </si>
  <si>
    <t>VD</t>
  </si>
  <si>
    <t>KA A1</t>
  </si>
  <si>
    <t>80</t>
  </si>
  <si>
    <t>4N171CB</t>
  </si>
  <si>
    <t>B.1</t>
  </si>
  <si>
    <t>PWR DST</t>
  </si>
  <si>
    <t>JB73 R RAIL</t>
  </si>
  <si>
    <t>MEDIA</t>
  </si>
  <si>
    <t>SOU-FLN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</si>
</sst>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1"/>
      <color rgb="FFFF000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1"/>
    <xf numFmtId="0" fontId="5" fillId="0" borderId="4" xfId="1" applyBorder="1" applyAlignment="1">
      <alignment horizontal="left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49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5" fillId="0" borderId="0" xfId="1" applyAlignment="1">
      <alignment horizontal="left"/>
    </xf>
  </cellXfs>
  <cellStyles count="2">
    <cellStyle name="Normal" xfId="0" builtinId="0"/>
    <cellStyle name="Normal 2" xfId="1" xr:uid="{F3998093-222E-452C-860A-2FAFDF5ABDA4}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D7FA4147-480C-448B-A3EB-B6417F169292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5" dT="2026-01-27T01:42:52.87" personId="{D7FA4147-480C-448B-A3EB-B6417F169292}" id="{01547891-3214-4459-B4B3-C67C5F5956CB}">
    <text>Originally blank, changed to WHT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BE3C2-F141-44FA-A4CB-4E40B33ED89C}">
  <sheetPr>
    <tabColor rgb="FF7030A0"/>
  </sheetPr>
  <dimension ref="A1:H85"/>
  <sheetViews>
    <sheetView showGridLines="0" workbookViewId="0">
      <selection activeCell="H14" sqref="H14:H83"/>
    </sheetView>
  </sheetViews>
  <sheetFormatPr defaultRowHeight="17.100000000000001" customHeight="1" x14ac:dyDescent="0.25"/>
  <cols>
    <col min="1" max="1" width="18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6" t="s">
        <v>13</v>
      </c>
      <c r="B1" s="16"/>
      <c r="C1" s="16"/>
      <c r="D1" s="16"/>
    </row>
    <row r="2" spans="1:8" ht="12.75" customHeight="1" x14ac:dyDescent="0.25">
      <c r="A2" s="17" t="s">
        <v>69</v>
      </c>
      <c r="B2" s="17"/>
      <c r="C2" s="17"/>
      <c r="D2" s="17"/>
    </row>
    <row r="3" spans="1:8" ht="12" customHeight="1" x14ac:dyDescent="0.25">
      <c r="A3" s="1" t="s">
        <v>0</v>
      </c>
      <c r="B3" s="15" t="s">
        <v>1</v>
      </c>
      <c r="C3" s="15"/>
      <c r="D3" s="15"/>
    </row>
    <row r="4" spans="1:8" ht="12.75" customHeight="1" x14ac:dyDescent="0.25">
      <c r="A4" s="1" t="s">
        <v>2</v>
      </c>
      <c r="B4" s="15" t="s">
        <v>3</v>
      </c>
      <c r="C4" s="15"/>
      <c r="D4" s="15"/>
    </row>
    <row r="5" spans="1:8" ht="12" customHeight="1" x14ac:dyDescent="0.25">
      <c r="A5" s="1" t="s">
        <v>4</v>
      </c>
      <c r="B5" s="15" t="s">
        <v>5</v>
      </c>
      <c r="C5" s="15"/>
      <c r="D5" s="15"/>
    </row>
    <row r="6" spans="1:8" ht="5.25" customHeight="1" x14ac:dyDescent="0.25"/>
    <row r="7" spans="1:8" ht="12" customHeight="1" x14ac:dyDescent="0.25">
      <c r="A7" s="1" t="s">
        <v>6</v>
      </c>
      <c r="B7" s="15" t="s">
        <v>7</v>
      </c>
      <c r="C7" s="15"/>
      <c r="D7" s="15"/>
    </row>
    <row r="8" spans="1:8" ht="12.75" customHeight="1" x14ac:dyDescent="0.25">
      <c r="A8" s="1" t="s">
        <v>8</v>
      </c>
      <c r="B8" s="15"/>
      <c r="C8" s="15"/>
      <c r="D8" s="15"/>
    </row>
    <row r="9" spans="1:8" ht="12" customHeight="1" x14ac:dyDescent="0.25">
      <c r="A9" s="1" t="s">
        <v>9</v>
      </c>
      <c r="B9" s="15" t="s">
        <v>10</v>
      </c>
      <c r="C9" s="15"/>
      <c r="D9" s="15"/>
    </row>
    <row r="10" spans="1:8" ht="12.75" customHeight="1" x14ac:dyDescent="0.25">
      <c r="A10" s="1" t="s">
        <v>8</v>
      </c>
      <c r="B10" s="15"/>
      <c r="C10" s="15"/>
      <c r="D10" s="15"/>
    </row>
    <row r="11" spans="1:8" ht="10.5" customHeight="1" x14ac:dyDescent="0.25"/>
    <row r="12" spans="1:8" ht="16.5" customHeight="1" x14ac:dyDescent="0.25">
      <c r="A12" s="18" t="s">
        <v>27</v>
      </c>
      <c r="B12" s="18"/>
      <c r="C12" s="18"/>
      <c r="D12" s="18"/>
      <c r="E12" s="18"/>
      <c r="F12" s="18"/>
      <c r="G12" s="18" t="s">
        <v>28</v>
      </c>
      <c r="H12" s="18"/>
    </row>
    <row r="13" spans="1:8" ht="43.5" customHeight="1" x14ac:dyDescent="0.25">
      <c r="A13" s="3" t="s">
        <v>11</v>
      </c>
      <c r="B13" s="4" t="s">
        <v>30</v>
      </c>
      <c r="C13" s="4" t="s">
        <v>29</v>
      </c>
      <c r="D13" s="4" t="s">
        <v>31</v>
      </c>
      <c r="E13" s="4" t="s">
        <v>188</v>
      </c>
      <c r="F13" s="5" t="s">
        <v>11</v>
      </c>
      <c r="G13" s="5" t="s">
        <v>12</v>
      </c>
      <c r="H13" s="5" t="s">
        <v>189</v>
      </c>
    </row>
    <row r="14" spans="1:8" ht="17.100000000000001" customHeight="1" x14ac:dyDescent="0.25">
      <c r="A14" s="6" t="s">
        <v>110</v>
      </c>
      <c r="B14" s="6" t="s">
        <v>111</v>
      </c>
      <c r="C14" s="6" t="s">
        <v>32</v>
      </c>
      <c r="D14" s="6" t="s">
        <v>35</v>
      </c>
      <c r="E14" s="6" t="s">
        <v>199</v>
      </c>
      <c r="F14" s="7" t="s">
        <v>112</v>
      </c>
      <c r="G14" s="7" t="s">
        <v>13</v>
      </c>
      <c r="H14" s="7" t="s">
        <v>211</v>
      </c>
    </row>
    <row r="15" spans="1:8" ht="17.100000000000001" customHeight="1" x14ac:dyDescent="0.25">
      <c r="A15" s="6" t="s">
        <v>87</v>
      </c>
      <c r="B15" s="6" t="s">
        <v>88</v>
      </c>
      <c r="C15" s="6" t="s">
        <v>32</v>
      </c>
      <c r="D15" s="6" t="s">
        <v>35</v>
      </c>
      <c r="E15" s="6" t="s">
        <v>199</v>
      </c>
      <c r="F15" s="7" t="s">
        <v>89</v>
      </c>
      <c r="G15" s="7" t="s">
        <v>13</v>
      </c>
      <c r="H15" s="7"/>
    </row>
    <row r="16" spans="1:8" ht="17.100000000000001" customHeight="1" x14ac:dyDescent="0.25">
      <c r="A16" s="6" t="s">
        <v>92</v>
      </c>
      <c r="B16" s="6" t="s">
        <v>93</v>
      </c>
      <c r="C16" s="6" t="s">
        <v>32</v>
      </c>
      <c r="D16" s="6" t="s">
        <v>35</v>
      </c>
      <c r="E16" s="6" t="s">
        <v>199</v>
      </c>
      <c r="F16" s="7" t="s">
        <v>94</v>
      </c>
      <c r="G16" s="7" t="s">
        <v>13</v>
      </c>
      <c r="H16" s="7"/>
    </row>
    <row r="17" spans="1:8" ht="17.100000000000001" customHeight="1" x14ac:dyDescent="0.25">
      <c r="A17" s="6" t="s">
        <v>103</v>
      </c>
      <c r="B17" s="6" t="s">
        <v>104</v>
      </c>
      <c r="C17" s="6" t="s">
        <v>32</v>
      </c>
      <c r="D17" s="6" t="s">
        <v>35</v>
      </c>
      <c r="E17" s="6" t="s">
        <v>199</v>
      </c>
      <c r="F17" s="7" t="s">
        <v>105</v>
      </c>
      <c r="G17" s="7" t="s">
        <v>13</v>
      </c>
      <c r="H17" s="7"/>
    </row>
    <row r="18" spans="1:8" ht="17.100000000000001" customHeight="1" x14ac:dyDescent="0.25">
      <c r="A18" s="6"/>
      <c r="B18" s="6"/>
      <c r="C18" s="6"/>
      <c r="D18" s="6"/>
      <c r="E18" s="6"/>
      <c r="F18" s="7"/>
      <c r="G18" s="7"/>
      <c r="H18" s="7"/>
    </row>
    <row r="19" spans="1:8" ht="17.100000000000001" customHeight="1" x14ac:dyDescent="0.25">
      <c r="A19" s="6" t="s">
        <v>100</v>
      </c>
      <c r="B19" s="6" t="s">
        <v>190</v>
      </c>
      <c r="C19" s="6" t="s">
        <v>32</v>
      </c>
      <c r="D19" s="6" t="s">
        <v>34</v>
      </c>
      <c r="E19" s="6" t="s">
        <v>199</v>
      </c>
      <c r="F19" s="7" t="s">
        <v>70</v>
      </c>
      <c r="G19" s="7" t="s">
        <v>13</v>
      </c>
      <c r="H19" s="7"/>
    </row>
    <row r="20" spans="1:8" ht="17.100000000000001" customHeight="1" x14ac:dyDescent="0.25">
      <c r="A20" s="6" t="s">
        <v>115</v>
      </c>
      <c r="B20" s="6" t="s">
        <v>190</v>
      </c>
      <c r="C20" s="6" t="s">
        <v>32</v>
      </c>
      <c r="D20" s="6" t="s">
        <v>34</v>
      </c>
      <c r="E20" s="6" t="s">
        <v>199</v>
      </c>
      <c r="F20" s="7" t="s">
        <v>71</v>
      </c>
      <c r="G20" s="7" t="s">
        <v>13</v>
      </c>
      <c r="H20" s="7"/>
    </row>
    <row r="21" spans="1:8" ht="17.100000000000001" customHeight="1" x14ac:dyDescent="0.25">
      <c r="A21" s="6" t="s">
        <v>145</v>
      </c>
      <c r="B21" s="6" t="s">
        <v>190</v>
      </c>
      <c r="C21" s="6" t="s">
        <v>32</v>
      </c>
      <c r="D21" s="6" t="s">
        <v>34</v>
      </c>
      <c r="E21" s="6" t="s">
        <v>199</v>
      </c>
      <c r="F21" s="7" t="s">
        <v>70</v>
      </c>
      <c r="G21" s="7" t="s">
        <v>13</v>
      </c>
      <c r="H21" s="7"/>
    </row>
    <row r="22" spans="1:8" ht="17.100000000000001" customHeight="1" x14ac:dyDescent="0.25">
      <c r="A22" s="6" t="s">
        <v>146</v>
      </c>
      <c r="B22" s="6" t="s">
        <v>14</v>
      </c>
      <c r="C22" s="6" t="s">
        <v>32</v>
      </c>
      <c r="D22" s="6" t="s">
        <v>34</v>
      </c>
      <c r="E22" s="6" t="s">
        <v>199</v>
      </c>
      <c r="F22" s="7" t="s">
        <v>147</v>
      </c>
      <c r="G22" s="7" t="s">
        <v>13</v>
      </c>
      <c r="H22" s="7"/>
    </row>
    <row r="23" spans="1:8" ht="17.100000000000001" customHeight="1" x14ac:dyDescent="0.25">
      <c r="A23" s="6" t="s">
        <v>101</v>
      </c>
      <c r="B23" s="6" t="s">
        <v>15</v>
      </c>
      <c r="C23" s="6" t="s">
        <v>32</v>
      </c>
      <c r="D23" s="6" t="s">
        <v>34</v>
      </c>
      <c r="E23" s="6" t="s">
        <v>199</v>
      </c>
      <c r="F23" s="7" t="s">
        <v>102</v>
      </c>
      <c r="G23" s="7" t="s">
        <v>13</v>
      </c>
      <c r="H23" s="7"/>
    </row>
    <row r="24" spans="1:8" ht="17.100000000000001" customHeight="1" x14ac:dyDescent="0.25">
      <c r="A24" s="6" t="s">
        <v>116</v>
      </c>
      <c r="B24" s="6" t="s">
        <v>16</v>
      </c>
      <c r="C24" s="6" t="s">
        <v>32</v>
      </c>
      <c r="D24" s="6" t="s">
        <v>34</v>
      </c>
      <c r="E24" s="6" t="s">
        <v>215</v>
      </c>
      <c r="F24" s="7" t="s">
        <v>117</v>
      </c>
      <c r="G24" s="7" t="s">
        <v>13</v>
      </c>
      <c r="H24" s="7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6" t="s">
        <v>129</v>
      </c>
      <c r="B26" s="6" t="s">
        <v>67</v>
      </c>
      <c r="C26" s="6" t="s">
        <v>32</v>
      </c>
      <c r="D26" s="6" t="s">
        <v>35</v>
      </c>
      <c r="E26" s="6" t="s">
        <v>215</v>
      </c>
      <c r="F26" s="7" t="s">
        <v>68</v>
      </c>
      <c r="G26" s="7" t="s">
        <v>13</v>
      </c>
      <c r="H26" s="7" t="s">
        <v>212</v>
      </c>
    </row>
    <row r="27" spans="1:8" ht="17.100000000000001" customHeight="1" x14ac:dyDescent="0.25">
      <c r="A27" s="6" t="s">
        <v>130</v>
      </c>
      <c r="B27" s="6" t="s">
        <v>63</v>
      </c>
      <c r="C27" s="6" t="s">
        <v>32</v>
      </c>
      <c r="D27" s="6" t="s">
        <v>35</v>
      </c>
      <c r="E27" s="6" t="s">
        <v>215</v>
      </c>
      <c r="F27" s="7" t="s">
        <v>64</v>
      </c>
      <c r="G27" s="7" t="s">
        <v>13</v>
      </c>
      <c r="H27" s="7"/>
    </row>
    <row r="28" spans="1:8" ht="17.100000000000001" customHeight="1" x14ac:dyDescent="0.25">
      <c r="A28" s="6" t="s">
        <v>131</v>
      </c>
      <c r="B28" s="6" t="s">
        <v>65</v>
      </c>
      <c r="C28" s="6" t="s">
        <v>32</v>
      </c>
      <c r="D28" s="6" t="s">
        <v>35</v>
      </c>
      <c r="E28" s="6" t="s">
        <v>215</v>
      </c>
      <c r="F28" s="7" t="s">
        <v>66</v>
      </c>
      <c r="G28" s="7" t="s">
        <v>13</v>
      </c>
      <c r="H28" s="7"/>
    </row>
    <row r="29" spans="1:8" ht="17.100000000000001" customHeight="1" x14ac:dyDescent="0.25">
      <c r="A29" s="6"/>
      <c r="B29" s="6"/>
      <c r="C29" s="6"/>
      <c r="D29" s="6"/>
      <c r="E29" s="6"/>
      <c r="F29" s="7"/>
      <c r="G29" s="7"/>
      <c r="H29" s="7"/>
    </row>
    <row r="30" spans="1:8" ht="17.100000000000001" customHeight="1" x14ac:dyDescent="0.25">
      <c r="A30" s="6" t="s">
        <v>118</v>
      </c>
      <c r="B30" s="6" t="s">
        <v>190</v>
      </c>
      <c r="C30" s="6" t="s">
        <v>32</v>
      </c>
      <c r="D30" s="6" t="s">
        <v>34</v>
      </c>
      <c r="E30" s="6" t="s">
        <v>199</v>
      </c>
      <c r="F30" s="7" t="s">
        <v>72</v>
      </c>
      <c r="G30" s="7" t="s">
        <v>13</v>
      </c>
      <c r="H30" s="7"/>
    </row>
    <row r="31" spans="1:8" ht="17.100000000000001" customHeight="1" x14ac:dyDescent="0.25">
      <c r="A31" s="6" t="s">
        <v>142</v>
      </c>
      <c r="B31" s="6" t="s">
        <v>190</v>
      </c>
      <c r="C31" s="6" t="s">
        <v>32</v>
      </c>
      <c r="D31" s="6" t="s">
        <v>34</v>
      </c>
      <c r="E31" s="6" t="s">
        <v>215</v>
      </c>
      <c r="F31" s="7" t="s">
        <v>73</v>
      </c>
      <c r="G31" s="7" t="s">
        <v>13</v>
      </c>
      <c r="H31" s="7"/>
    </row>
    <row r="32" spans="1:8" ht="17.100000000000001" customHeight="1" x14ac:dyDescent="0.25">
      <c r="A32" s="6" t="s">
        <v>124</v>
      </c>
      <c r="B32" s="6" t="s">
        <v>190</v>
      </c>
      <c r="C32" s="6" t="s">
        <v>32</v>
      </c>
      <c r="D32" s="6" t="s">
        <v>34</v>
      </c>
      <c r="E32" s="6" t="s">
        <v>199</v>
      </c>
      <c r="F32" s="7" t="s">
        <v>72</v>
      </c>
      <c r="G32" s="7" t="s">
        <v>13</v>
      </c>
      <c r="H32" s="7"/>
    </row>
    <row r="33" spans="1:8" ht="17.100000000000001" customHeight="1" x14ac:dyDescent="0.25">
      <c r="A33" s="6" t="s">
        <v>122</v>
      </c>
      <c r="B33" s="6" t="s">
        <v>132</v>
      </c>
      <c r="C33" s="6" t="s">
        <v>32</v>
      </c>
      <c r="D33" s="6" t="s">
        <v>34</v>
      </c>
      <c r="E33" s="6" t="s">
        <v>199</v>
      </c>
      <c r="F33" s="7" t="s">
        <v>133</v>
      </c>
      <c r="G33" s="7" t="s">
        <v>13</v>
      </c>
      <c r="H33" s="7"/>
    </row>
    <row r="34" spans="1:8" ht="17.100000000000001" customHeight="1" x14ac:dyDescent="0.25">
      <c r="A34" s="6" t="s">
        <v>126</v>
      </c>
      <c r="B34" s="6" t="s">
        <v>134</v>
      </c>
      <c r="C34" s="6" t="s">
        <v>32</v>
      </c>
      <c r="D34" s="6" t="s">
        <v>34</v>
      </c>
      <c r="E34" s="6" t="s">
        <v>199</v>
      </c>
      <c r="F34" s="7" t="s">
        <v>135</v>
      </c>
      <c r="G34" s="7" t="s">
        <v>13</v>
      </c>
      <c r="H34" s="7"/>
    </row>
    <row r="35" spans="1:8" ht="17.100000000000001" customHeight="1" x14ac:dyDescent="0.25">
      <c r="A35" s="6" t="s">
        <v>121</v>
      </c>
      <c r="B35" s="6" t="s">
        <v>123</v>
      </c>
      <c r="C35" s="6" t="s">
        <v>32</v>
      </c>
      <c r="D35" s="6" t="s">
        <v>34</v>
      </c>
      <c r="E35" s="6" t="s">
        <v>199</v>
      </c>
      <c r="F35" s="7" t="s">
        <v>124</v>
      </c>
      <c r="G35" s="7" t="s">
        <v>13</v>
      </c>
      <c r="H35" s="7"/>
    </row>
    <row r="36" spans="1:8" ht="17.100000000000001" customHeight="1" x14ac:dyDescent="0.25">
      <c r="A36" s="6" t="s">
        <v>125</v>
      </c>
      <c r="B36" s="6" t="s">
        <v>127</v>
      </c>
      <c r="C36" s="6" t="s">
        <v>32</v>
      </c>
      <c r="D36" s="6" t="s">
        <v>34</v>
      </c>
      <c r="E36" s="6" t="s">
        <v>199</v>
      </c>
      <c r="F36" s="7" t="s">
        <v>128</v>
      </c>
      <c r="G36" s="7" t="s">
        <v>13</v>
      </c>
      <c r="H36" s="7"/>
    </row>
    <row r="37" spans="1:8" ht="17.100000000000001" customHeight="1" x14ac:dyDescent="0.25">
      <c r="A37" s="6" t="s">
        <v>128</v>
      </c>
      <c r="B37" s="6" t="s">
        <v>19</v>
      </c>
      <c r="C37" s="6" t="s">
        <v>32</v>
      </c>
      <c r="D37" s="6" t="s">
        <v>34</v>
      </c>
      <c r="E37" s="6" t="s">
        <v>199</v>
      </c>
      <c r="F37" s="7" t="s">
        <v>148</v>
      </c>
      <c r="G37" s="7" t="s">
        <v>13</v>
      </c>
      <c r="H37" s="7"/>
    </row>
    <row r="38" spans="1:8" ht="17.100000000000001" customHeight="1" x14ac:dyDescent="0.25">
      <c r="A38" s="6" t="s">
        <v>119</v>
      </c>
      <c r="B38" s="6" t="s">
        <v>20</v>
      </c>
      <c r="C38" s="6" t="s">
        <v>32</v>
      </c>
      <c r="D38" s="6" t="s">
        <v>34</v>
      </c>
      <c r="E38" s="6" t="s">
        <v>199</v>
      </c>
      <c r="F38" s="7" t="s">
        <v>120</v>
      </c>
      <c r="G38" s="7" t="s">
        <v>13</v>
      </c>
      <c r="H38" s="7"/>
    </row>
    <row r="39" spans="1:8" ht="17.100000000000001" customHeight="1" x14ac:dyDescent="0.25">
      <c r="A39" s="6" t="s">
        <v>143</v>
      </c>
      <c r="B39" s="6" t="s">
        <v>21</v>
      </c>
      <c r="C39" s="6" t="s">
        <v>32</v>
      </c>
      <c r="D39" s="6" t="s">
        <v>34</v>
      </c>
      <c r="E39" s="6" t="s">
        <v>199</v>
      </c>
      <c r="F39" s="7" t="s">
        <v>144</v>
      </c>
      <c r="G39" s="7" t="s">
        <v>13</v>
      </c>
      <c r="H39" s="7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6" t="s">
        <v>151</v>
      </c>
      <c r="B41" s="6" t="s">
        <v>17</v>
      </c>
      <c r="C41" s="6" t="s">
        <v>32</v>
      </c>
      <c r="D41" s="6" t="s">
        <v>34</v>
      </c>
      <c r="E41" s="6" t="s">
        <v>199</v>
      </c>
      <c r="F41" s="7" t="s">
        <v>152</v>
      </c>
      <c r="G41" s="7" t="s">
        <v>13</v>
      </c>
      <c r="H41" s="7" t="s">
        <v>200</v>
      </c>
    </row>
    <row r="42" spans="1:8" ht="17.100000000000001" customHeight="1" x14ac:dyDescent="0.25">
      <c r="A42" s="6"/>
      <c r="B42" s="6"/>
      <c r="C42" s="6"/>
      <c r="D42" s="6"/>
      <c r="E42" s="6"/>
      <c r="F42" s="7"/>
      <c r="G42" s="7"/>
      <c r="H42" s="7"/>
    </row>
    <row r="43" spans="1:8" ht="17.100000000000001" customHeight="1" x14ac:dyDescent="0.25">
      <c r="A43" s="6" t="s">
        <v>149</v>
      </c>
      <c r="B43" s="6" t="s">
        <v>18</v>
      </c>
      <c r="C43" s="6" t="s">
        <v>32</v>
      </c>
      <c r="D43" s="6" t="s">
        <v>33</v>
      </c>
      <c r="E43" s="6" t="s">
        <v>199</v>
      </c>
      <c r="F43" s="7" t="s">
        <v>150</v>
      </c>
      <c r="G43" s="7" t="s">
        <v>13</v>
      </c>
      <c r="H43" s="7"/>
    </row>
    <row r="44" spans="1:8" ht="17.100000000000001" customHeight="1" x14ac:dyDescent="0.25">
      <c r="A44" s="6" t="s">
        <v>153</v>
      </c>
      <c r="B44" s="6" t="s">
        <v>18</v>
      </c>
      <c r="C44" s="6" t="s">
        <v>32</v>
      </c>
      <c r="D44" s="6" t="s">
        <v>33</v>
      </c>
      <c r="E44" s="6" t="s">
        <v>199</v>
      </c>
      <c r="F44" s="7" t="s">
        <v>154</v>
      </c>
      <c r="G44" s="7" t="s">
        <v>13</v>
      </c>
      <c r="H44" s="7"/>
    </row>
    <row r="45" spans="1:8" ht="17.100000000000001" customHeight="1" x14ac:dyDescent="0.25">
      <c r="A45" s="12"/>
      <c r="B45" s="12"/>
      <c r="C45" s="12"/>
      <c r="D45" s="12"/>
      <c r="E45" s="12"/>
      <c r="F45" s="13"/>
      <c r="G45" s="13"/>
      <c r="H45" s="13"/>
    </row>
    <row r="46" spans="1:8" ht="17.100000000000001" customHeight="1" x14ac:dyDescent="0.25">
      <c r="A46" s="6" t="s">
        <v>78</v>
      </c>
      <c r="B46" s="6" t="s">
        <v>193</v>
      </c>
      <c r="C46" s="6" t="s">
        <v>32</v>
      </c>
      <c r="D46" s="6" t="s">
        <v>35</v>
      </c>
      <c r="E46" s="6" t="s">
        <v>199</v>
      </c>
      <c r="F46" s="7" t="s">
        <v>77</v>
      </c>
      <c r="G46" s="7" t="s">
        <v>13</v>
      </c>
      <c r="H46" s="7" t="s">
        <v>214</v>
      </c>
    </row>
    <row r="47" spans="1:8" ht="17.100000000000001" customHeight="1" x14ac:dyDescent="0.25">
      <c r="A47" s="6" t="s">
        <v>83</v>
      </c>
      <c r="B47" s="6" t="s">
        <v>195</v>
      </c>
      <c r="C47" s="6" t="s">
        <v>32</v>
      </c>
      <c r="D47" s="6" t="s">
        <v>35</v>
      </c>
      <c r="E47" s="6" t="s">
        <v>199</v>
      </c>
      <c r="F47" s="7" t="s">
        <v>82</v>
      </c>
      <c r="G47" s="7" t="s">
        <v>13</v>
      </c>
      <c r="H47" s="7"/>
    </row>
    <row r="48" spans="1:8" ht="17.100000000000001" customHeight="1" x14ac:dyDescent="0.25">
      <c r="A48" s="6" t="s">
        <v>161</v>
      </c>
      <c r="B48" s="6" t="s">
        <v>36</v>
      </c>
      <c r="C48" s="6" t="s">
        <v>32</v>
      </c>
      <c r="D48" s="6" t="s">
        <v>35</v>
      </c>
      <c r="E48" s="6" t="s">
        <v>199</v>
      </c>
      <c r="F48" s="7" t="s">
        <v>162</v>
      </c>
      <c r="G48" s="7" t="s">
        <v>13</v>
      </c>
      <c r="H48" s="7"/>
    </row>
    <row r="49" spans="1:8" ht="17.100000000000001" customHeight="1" x14ac:dyDescent="0.25">
      <c r="A49" s="6" t="s">
        <v>173</v>
      </c>
      <c r="B49" s="6" t="s">
        <v>37</v>
      </c>
      <c r="C49" s="6" t="s">
        <v>32</v>
      </c>
      <c r="D49" s="6" t="s">
        <v>35</v>
      </c>
      <c r="E49" s="6" t="s">
        <v>199</v>
      </c>
      <c r="F49" s="7" t="s">
        <v>174</v>
      </c>
      <c r="G49" s="7" t="s">
        <v>13</v>
      </c>
      <c r="H49" s="7"/>
    </row>
    <row r="50" spans="1:8" ht="17.100000000000001" customHeight="1" x14ac:dyDescent="0.25">
      <c r="A50" s="7" t="s">
        <v>160</v>
      </c>
      <c r="B50" s="6" t="s">
        <v>159</v>
      </c>
      <c r="C50" s="6" t="s">
        <v>32</v>
      </c>
      <c r="D50" s="6" t="s">
        <v>35</v>
      </c>
      <c r="E50" s="6" t="s">
        <v>199</v>
      </c>
      <c r="F50" s="6" t="s">
        <v>158</v>
      </c>
      <c r="G50" s="7" t="s">
        <v>13</v>
      </c>
      <c r="H50" s="7"/>
    </row>
    <row r="51" spans="1:8" ht="17.100000000000001" customHeight="1" x14ac:dyDescent="0.25">
      <c r="A51" s="7" t="s">
        <v>165</v>
      </c>
      <c r="B51" s="6" t="s">
        <v>164</v>
      </c>
      <c r="C51" s="6" t="s">
        <v>32</v>
      </c>
      <c r="D51" s="6" t="s">
        <v>35</v>
      </c>
      <c r="E51" s="6" t="s">
        <v>199</v>
      </c>
      <c r="F51" s="6" t="s">
        <v>163</v>
      </c>
      <c r="G51" s="7" t="s">
        <v>13</v>
      </c>
      <c r="H51" s="7"/>
    </row>
    <row r="52" spans="1:8" ht="17.100000000000001" customHeight="1" x14ac:dyDescent="0.25">
      <c r="A52" s="7" t="s">
        <v>169</v>
      </c>
      <c r="B52" s="6" t="s">
        <v>168</v>
      </c>
      <c r="C52" s="6" t="s">
        <v>32</v>
      </c>
      <c r="D52" s="6" t="s">
        <v>35</v>
      </c>
      <c r="E52" s="6" t="s">
        <v>199</v>
      </c>
      <c r="F52" s="6" t="s">
        <v>167</v>
      </c>
      <c r="G52" s="7" t="s">
        <v>13</v>
      </c>
      <c r="H52" s="7"/>
    </row>
    <row r="53" spans="1:8" ht="17.100000000000001" customHeight="1" x14ac:dyDescent="0.25">
      <c r="A53" s="6" t="s">
        <v>138</v>
      </c>
      <c r="B53" s="6" t="s">
        <v>137</v>
      </c>
      <c r="C53" s="6" t="s">
        <v>32</v>
      </c>
      <c r="D53" s="6" t="s">
        <v>35</v>
      </c>
      <c r="E53" s="6" t="s">
        <v>215</v>
      </c>
      <c r="F53" s="7" t="s">
        <v>136</v>
      </c>
      <c r="G53" s="7" t="s">
        <v>13</v>
      </c>
      <c r="H53" s="7"/>
    </row>
    <row r="54" spans="1:8" ht="17.100000000000001" customHeight="1" x14ac:dyDescent="0.25">
      <c r="A54" s="6" t="s">
        <v>45</v>
      </c>
      <c r="B54" s="6" t="s">
        <v>46</v>
      </c>
      <c r="C54" s="6" t="s">
        <v>32</v>
      </c>
      <c r="D54" s="6" t="s">
        <v>35</v>
      </c>
      <c r="E54" s="6" t="s">
        <v>215</v>
      </c>
      <c r="F54" s="7" t="s">
        <v>47</v>
      </c>
      <c r="G54" s="7" t="s">
        <v>13</v>
      </c>
      <c r="H54" s="7"/>
    </row>
    <row r="55" spans="1:8" ht="17.100000000000001" customHeight="1" x14ac:dyDescent="0.25">
      <c r="A55" s="6" t="s">
        <v>57</v>
      </c>
      <c r="B55" s="6" t="s">
        <v>58</v>
      </c>
      <c r="C55" s="6" t="s">
        <v>32</v>
      </c>
      <c r="D55" s="6" t="s">
        <v>35</v>
      </c>
      <c r="E55" s="6" t="s">
        <v>215</v>
      </c>
      <c r="F55" s="7" t="s">
        <v>59</v>
      </c>
      <c r="G55" s="7" t="s">
        <v>13</v>
      </c>
      <c r="H55" s="7"/>
    </row>
    <row r="56" spans="1:8" ht="17.100000000000001" customHeight="1" x14ac:dyDescent="0.25">
      <c r="A56" s="12"/>
      <c r="B56" s="12"/>
      <c r="C56" s="12"/>
      <c r="D56" s="12"/>
      <c r="E56" s="12"/>
      <c r="F56" s="13"/>
      <c r="G56" s="13"/>
      <c r="H56" s="13"/>
    </row>
    <row r="57" spans="1:8" ht="17.100000000000001" customHeight="1" x14ac:dyDescent="0.25">
      <c r="A57" s="6" t="s">
        <v>91</v>
      </c>
      <c r="B57" s="6" t="s">
        <v>194</v>
      </c>
      <c r="C57" s="6" t="s">
        <v>32</v>
      </c>
      <c r="D57" s="6" t="s">
        <v>35</v>
      </c>
      <c r="E57" s="6" t="s">
        <v>199</v>
      </c>
      <c r="F57" s="7" t="s">
        <v>90</v>
      </c>
      <c r="G57" s="7" t="s">
        <v>13</v>
      </c>
      <c r="H57" s="7" t="s">
        <v>209</v>
      </c>
    </row>
    <row r="58" spans="1:8" ht="17.100000000000001" customHeight="1" x14ac:dyDescent="0.25">
      <c r="A58" s="6" t="s">
        <v>96</v>
      </c>
      <c r="B58" s="6" t="s">
        <v>196</v>
      </c>
      <c r="C58" s="6" t="s">
        <v>32</v>
      </c>
      <c r="D58" s="6" t="s">
        <v>35</v>
      </c>
      <c r="E58" s="6" t="s">
        <v>199</v>
      </c>
      <c r="F58" s="7" t="s">
        <v>95</v>
      </c>
      <c r="G58" s="7" t="s">
        <v>13</v>
      </c>
      <c r="H58" s="7"/>
    </row>
    <row r="59" spans="1:8" ht="17.100000000000001" customHeight="1" x14ac:dyDescent="0.25">
      <c r="A59" s="6" t="s">
        <v>175</v>
      </c>
      <c r="B59" s="6" t="s">
        <v>190</v>
      </c>
      <c r="C59" s="6" t="s">
        <v>32</v>
      </c>
      <c r="D59" s="6" t="s">
        <v>35</v>
      </c>
      <c r="E59" s="6" t="s">
        <v>199</v>
      </c>
      <c r="F59" s="7" t="s">
        <v>38</v>
      </c>
      <c r="G59" s="7" t="s">
        <v>13</v>
      </c>
      <c r="H59" s="7"/>
    </row>
    <row r="60" spans="1:8" ht="17.100000000000001" customHeight="1" x14ac:dyDescent="0.25">
      <c r="A60" s="6" t="s">
        <v>141</v>
      </c>
      <c r="B60" s="6" t="s">
        <v>140</v>
      </c>
      <c r="C60" s="6" t="s">
        <v>32</v>
      </c>
      <c r="D60" s="6" t="s">
        <v>35</v>
      </c>
      <c r="E60" s="6" t="s">
        <v>215</v>
      </c>
      <c r="F60" s="7" t="s">
        <v>139</v>
      </c>
      <c r="G60" s="7" t="s">
        <v>13</v>
      </c>
      <c r="H60" s="7"/>
    </row>
    <row r="61" spans="1:8" ht="17.100000000000001" customHeight="1" x14ac:dyDescent="0.25">
      <c r="A61" s="6" t="s">
        <v>48</v>
      </c>
      <c r="B61" s="6" t="s">
        <v>49</v>
      </c>
      <c r="C61" s="6" t="s">
        <v>32</v>
      </c>
      <c r="D61" s="6" t="s">
        <v>35</v>
      </c>
      <c r="E61" s="6" t="s">
        <v>215</v>
      </c>
      <c r="F61" s="7" t="s">
        <v>50</v>
      </c>
      <c r="G61" s="7" t="s">
        <v>13</v>
      </c>
      <c r="H61" s="7"/>
    </row>
    <row r="62" spans="1:8" ht="17.100000000000001" customHeight="1" x14ac:dyDescent="0.25">
      <c r="A62" s="6" t="s">
        <v>60</v>
      </c>
      <c r="B62" s="6" t="s">
        <v>61</v>
      </c>
      <c r="C62" s="6" t="s">
        <v>32</v>
      </c>
      <c r="D62" s="6" t="s">
        <v>35</v>
      </c>
      <c r="E62" s="6" t="s">
        <v>215</v>
      </c>
      <c r="F62" s="7" t="s">
        <v>62</v>
      </c>
      <c r="G62" s="7" t="s">
        <v>13</v>
      </c>
      <c r="H62" s="7"/>
    </row>
    <row r="63" spans="1:8" ht="17.100000000000001" customHeight="1" x14ac:dyDescent="0.25">
      <c r="A63" s="6" t="s">
        <v>184</v>
      </c>
      <c r="B63" s="6" t="s">
        <v>111</v>
      </c>
      <c r="C63" s="6" t="s">
        <v>32</v>
      </c>
      <c r="D63" s="6" t="s">
        <v>35</v>
      </c>
      <c r="E63" s="6" t="s">
        <v>199</v>
      </c>
      <c r="F63" s="7" t="s">
        <v>112</v>
      </c>
      <c r="G63" s="7" t="s">
        <v>13</v>
      </c>
      <c r="H63" s="7"/>
    </row>
    <row r="64" spans="1:8" ht="17.100000000000001" customHeight="1" x14ac:dyDescent="0.25">
      <c r="A64" s="6" t="s">
        <v>182</v>
      </c>
      <c r="B64" s="6" t="s">
        <v>88</v>
      </c>
      <c r="C64" s="6" t="s">
        <v>32</v>
      </c>
      <c r="D64" s="6" t="s">
        <v>35</v>
      </c>
      <c r="E64" s="6" t="s">
        <v>199</v>
      </c>
      <c r="F64" s="7" t="s">
        <v>89</v>
      </c>
      <c r="G64" s="7" t="s">
        <v>13</v>
      </c>
      <c r="H64" s="7"/>
    </row>
    <row r="65" spans="1:8" ht="17.100000000000001" customHeight="1" x14ac:dyDescent="0.25">
      <c r="A65" s="6" t="s">
        <v>183</v>
      </c>
      <c r="B65" s="6" t="s">
        <v>93</v>
      </c>
      <c r="C65" s="6" t="s">
        <v>32</v>
      </c>
      <c r="D65" s="6" t="s">
        <v>35</v>
      </c>
      <c r="E65" s="6" t="s">
        <v>199</v>
      </c>
      <c r="F65" s="7" t="s">
        <v>94</v>
      </c>
      <c r="G65" s="7" t="s">
        <v>13</v>
      </c>
      <c r="H65" s="7"/>
    </row>
    <row r="66" spans="1:8" ht="17.100000000000001" customHeight="1" x14ac:dyDescent="0.25">
      <c r="A66" s="12"/>
      <c r="B66" s="12"/>
      <c r="C66" s="12"/>
      <c r="D66" s="12"/>
      <c r="E66" s="12"/>
      <c r="F66" s="13"/>
      <c r="G66" s="13"/>
      <c r="H66" s="13"/>
    </row>
    <row r="67" spans="1:8" ht="17.100000000000001" customHeight="1" x14ac:dyDescent="0.25">
      <c r="A67" s="6" t="s">
        <v>107</v>
      </c>
      <c r="B67" s="6" t="s">
        <v>192</v>
      </c>
      <c r="C67" s="6" t="s">
        <v>32</v>
      </c>
      <c r="D67" s="6" t="s">
        <v>35</v>
      </c>
      <c r="E67" s="6" t="s">
        <v>199</v>
      </c>
      <c r="F67" s="7" t="s">
        <v>106</v>
      </c>
      <c r="G67" s="7" t="s">
        <v>13</v>
      </c>
      <c r="H67" s="7" t="s">
        <v>210</v>
      </c>
    </row>
    <row r="68" spans="1:8" ht="17.100000000000001" customHeight="1" x14ac:dyDescent="0.25">
      <c r="A68" s="6" t="s">
        <v>109</v>
      </c>
      <c r="B68" s="6" t="s">
        <v>191</v>
      </c>
      <c r="C68" s="6" t="s">
        <v>32</v>
      </c>
      <c r="D68" s="6" t="s">
        <v>35</v>
      </c>
      <c r="E68" s="6" t="s">
        <v>199</v>
      </c>
      <c r="F68" s="7" t="s">
        <v>108</v>
      </c>
      <c r="G68" s="7" t="s">
        <v>13</v>
      </c>
      <c r="H68" s="7"/>
    </row>
    <row r="69" spans="1:8" ht="17.100000000000001" customHeight="1" x14ac:dyDescent="0.25">
      <c r="A69" s="6" t="s">
        <v>114</v>
      </c>
      <c r="B69" s="6" t="s">
        <v>197</v>
      </c>
      <c r="C69" s="6" t="s">
        <v>32</v>
      </c>
      <c r="D69" s="6" t="s">
        <v>35</v>
      </c>
      <c r="E69" s="6" t="s">
        <v>199</v>
      </c>
      <c r="F69" s="7" t="s">
        <v>113</v>
      </c>
      <c r="G69" s="7" t="s">
        <v>13</v>
      </c>
      <c r="H69" s="7"/>
    </row>
    <row r="70" spans="1:8" ht="17.100000000000001" customHeight="1" x14ac:dyDescent="0.25">
      <c r="A70" s="6" t="s">
        <v>86</v>
      </c>
      <c r="B70" s="6" t="s">
        <v>85</v>
      </c>
      <c r="C70" s="6" t="s">
        <v>32</v>
      </c>
      <c r="D70" s="6" t="s">
        <v>35</v>
      </c>
      <c r="E70" s="6" t="s">
        <v>199</v>
      </c>
      <c r="F70" s="7" t="s">
        <v>84</v>
      </c>
      <c r="G70" s="7" t="s">
        <v>13</v>
      </c>
      <c r="H70" s="7"/>
    </row>
    <row r="71" spans="1:8" ht="17.100000000000001" customHeight="1" x14ac:dyDescent="0.25">
      <c r="A71" s="6" t="s">
        <v>76</v>
      </c>
      <c r="B71" s="6" t="s">
        <v>75</v>
      </c>
      <c r="C71" s="6" t="s">
        <v>32</v>
      </c>
      <c r="D71" s="6" t="s">
        <v>35</v>
      </c>
      <c r="E71" s="6" t="s">
        <v>199</v>
      </c>
      <c r="F71" s="7" t="s">
        <v>74</v>
      </c>
      <c r="G71" s="7" t="s">
        <v>13</v>
      </c>
      <c r="H71" s="7"/>
    </row>
    <row r="72" spans="1:8" ht="17.100000000000001" customHeight="1" x14ac:dyDescent="0.25">
      <c r="A72" s="6" t="s">
        <v>81</v>
      </c>
      <c r="B72" s="6" t="s">
        <v>80</v>
      </c>
      <c r="C72" s="6" t="s">
        <v>32</v>
      </c>
      <c r="D72" s="6" t="s">
        <v>35</v>
      </c>
      <c r="E72" s="6" t="s">
        <v>199</v>
      </c>
      <c r="F72" s="7" t="s">
        <v>79</v>
      </c>
      <c r="G72" s="7" t="s">
        <v>13</v>
      </c>
      <c r="H72" s="7"/>
    </row>
    <row r="73" spans="1:8" ht="17.100000000000001" customHeight="1" x14ac:dyDescent="0.25">
      <c r="A73" s="6" t="s">
        <v>56</v>
      </c>
      <c r="B73" s="6" t="s">
        <v>55</v>
      </c>
      <c r="C73" s="6" t="s">
        <v>32</v>
      </c>
      <c r="D73" s="6" t="s">
        <v>35</v>
      </c>
      <c r="E73" s="6" t="s">
        <v>199</v>
      </c>
      <c r="F73" s="7" t="s">
        <v>54</v>
      </c>
      <c r="G73" s="7" t="s">
        <v>13</v>
      </c>
      <c r="H73" s="7"/>
    </row>
    <row r="74" spans="1:8" ht="17.100000000000001" customHeight="1" x14ac:dyDescent="0.25">
      <c r="A74" s="6" t="s">
        <v>179</v>
      </c>
      <c r="B74" s="6" t="s">
        <v>180</v>
      </c>
      <c r="C74" s="6" t="s">
        <v>32</v>
      </c>
      <c r="D74" s="6" t="s">
        <v>35</v>
      </c>
      <c r="E74" s="6" t="s">
        <v>199</v>
      </c>
      <c r="F74" s="7" t="s">
        <v>181</v>
      </c>
      <c r="G74" s="7" t="s">
        <v>13</v>
      </c>
      <c r="H74" s="7"/>
    </row>
    <row r="75" spans="1:8" ht="17.100000000000001" customHeight="1" x14ac:dyDescent="0.25">
      <c r="A75" s="6" t="s">
        <v>44</v>
      </c>
      <c r="B75" s="6" t="s">
        <v>43</v>
      </c>
      <c r="C75" s="6" t="s">
        <v>32</v>
      </c>
      <c r="D75" s="6" t="s">
        <v>35</v>
      </c>
      <c r="E75" s="6" t="s">
        <v>199</v>
      </c>
      <c r="F75" s="7" t="s">
        <v>42</v>
      </c>
      <c r="G75" s="7" t="s">
        <v>13</v>
      </c>
      <c r="H75" s="7"/>
    </row>
    <row r="76" spans="1:8" ht="17.100000000000001" customHeight="1" x14ac:dyDescent="0.25">
      <c r="A76" s="6" t="s">
        <v>99</v>
      </c>
      <c r="B76" s="6" t="s">
        <v>98</v>
      </c>
      <c r="C76" s="6" t="s">
        <v>32</v>
      </c>
      <c r="D76" s="6" t="s">
        <v>35</v>
      </c>
      <c r="E76" s="6" t="s">
        <v>199</v>
      </c>
      <c r="F76" s="7" t="s">
        <v>97</v>
      </c>
      <c r="G76" s="7" t="s">
        <v>13</v>
      </c>
      <c r="H76" s="7"/>
    </row>
    <row r="77" spans="1:8" ht="17.100000000000001" customHeight="1" x14ac:dyDescent="0.25">
      <c r="A77" s="6" t="s">
        <v>39</v>
      </c>
      <c r="B77" s="6" t="s">
        <v>40</v>
      </c>
      <c r="C77" s="6" t="s">
        <v>32</v>
      </c>
      <c r="D77" s="6" t="s">
        <v>35</v>
      </c>
      <c r="E77" s="6" t="s">
        <v>199</v>
      </c>
      <c r="F77" s="7" t="s">
        <v>41</v>
      </c>
      <c r="G77" s="7" t="s">
        <v>13</v>
      </c>
      <c r="H77" s="7"/>
    </row>
    <row r="78" spans="1:8" ht="17.100000000000001" customHeight="1" x14ac:dyDescent="0.25">
      <c r="A78" s="6" t="s">
        <v>51</v>
      </c>
      <c r="B78" s="6" t="s">
        <v>52</v>
      </c>
      <c r="C78" s="6" t="s">
        <v>32</v>
      </c>
      <c r="D78" s="6" t="s">
        <v>35</v>
      </c>
      <c r="E78" s="6" t="s">
        <v>199</v>
      </c>
      <c r="F78" s="7" t="s">
        <v>53</v>
      </c>
      <c r="G78" s="7" t="s">
        <v>13</v>
      </c>
      <c r="H78" s="7"/>
    </row>
    <row r="79" spans="1:8" ht="17.100000000000001" customHeight="1" x14ac:dyDescent="0.25">
      <c r="A79" s="6" t="s">
        <v>155</v>
      </c>
      <c r="B79" s="6" t="s">
        <v>156</v>
      </c>
      <c r="C79" s="6" t="s">
        <v>32</v>
      </c>
      <c r="D79" s="6" t="s">
        <v>35</v>
      </c>
      <c r="E79" s="6" t="s">
        <v>199</v>
      </c>
      <c r="F79" s="7" t="s">
        <v>157</v>
      </c>
      <c r="G79" s="7" t="s">
        <v>13</v>
      </c>
      <c r="H79" s="7"/>
    </row>
    <row r="80" spans="1:8" ht="17.100000000000001" customHeight="1" x14ac:dyDescent="0.25">
      <c r="A80" s="6"/>
      <c r="B80" s="6"/>
      <c r="C80" s="6"/>
      <c r="D80" s="6"/>
      <c r="E80" s="6"/>
      <c r="F80" s="7"/>
      <c r="G80" s="7"/>
      <c r="H80" s="7"/>
    </row>
    <row r="81" spans="1:8" ht="17.100000000000001" customHeight="1" x14ac:dyDescent="0.25">
      <c r="A81" s="6" t="s">
        <v>166</v>
      </c>
      <c r="B81" s="6" t="s">
        <v>17</v>
      </c>
      <c r="C81" s="6" t="s">
        <v>32</v>
      </c>
      <c r="D81" s="6" t="s">
        <v>34</v>
      </c>
      <c r="E81" s="6" t="s">
        <v>199</v>
      </c>
      <c r="F81" s="7" t="s">
        <v>152</v>
      </c>
      <c r="G81" s="7" t="s">
        <v>13</v>
      </c>
      <c r="H81" s="7"/>
    </row>
    <row r="82" spans="1:8" ht="17.100000000000001" customHeight="1" x14ac:dyDescent="0.25">
      <c r="A82" s="12"/>
      <c r="B82" s="12"/>
      <c r="C82" s="12"/>
      <c r="D82" s="12"/>
      <c r="E82" s="12"/>
      <c r="F82" s="13"/>
      <c r="G82" s="13"/>
      <c r="H82" s="13"/>
    </row>
    <row r="83" spans="1:8" ht="17.100000000000001" customHeight="1" x14ac:dyDescent="0.25">
      <c r="A83" s="7" t="s">
        <v>172</v>
      </c>
      <c r="B83" s="6" t="s">
        <v>171</v>
      </c>
      <c r="C83" s="6" t="s">
        <v>32</v>
      </c>
      <c r="D83" s="6" t="s">
        <v>35</v>
      </c>
      <c r="E83" s="6" t="s">
        <v>199</v>
      </c>
      <c r="F83" s="6" t="s">
        <v>170</v>
      </c>
      <c r="G83" s="7" t="s">
        <v>13</v>
      </c>
      <c r="H83" s="7" t="s">
        <v>213</v>
      </c>
    </row>
    <row r="84" spans="1:8" ht="17.100000000000001" customHeight="1" x14ac:dyDescent="0.25">
      <c r="A84" s="7" t="s">
        <v>185</v>
      </c>
      <c r="B84" s="6" t="s">
        <v>186</v>
      </c>
      <c r="C84" s="6" t="s">
        <v>32</v>
      </c>
      <c r="D84" s="6" t="s">
        <v>35</v>
      </c>
      <c r="E84" s="6" t="s">
        <v>199</v>
      </c>
      <c r="F84" s="6" t="s">
        <v>187</v>
      </c>
      <c r="G84" s="7" t="s">
        <v>13</v>
      </c>
      <c r="H84" s="7"/>
    </row>
    <row r="85" spans="1:8" ht="17.100000000000001" customHeight="1" x14ac:dyDescent="0.25">
      <c r="A85" s="7" t="s">
        <v>178</v>
      </c>
      <c r="B85" s="6" t="s">
        <v>177</v>
      </c>
      <c r="C85" s="14" t="s">
        <v>32</v>
      </c>
      <c r="D85" s="6" t="s">
        <v>35</v>
      </c>
      <c r="E85" s="6" t="s">
        <v>199</v>
      </c>
      <c r="F85" s="6" t="s">
        <v>176</v>
      </c>
      <c r="G85" s="7" t="s">
        <v>13</v>
      </c>
      <c r="H85" s="7"/>
    </row>
  </sheetData>
  <sortState xmlns:xlrd2="http://schemas.microsoft.com/office/spreadsheetml/2017/richdata2" ref="A46:G55">
    <sortCondition sortBy="cellColor" ref="A46:A55" dxfId="3"/>
    <sortCondition sortBy="cellColor" ref="A46:A55" dxfId="2"/>
    <sortCondition descending="1" ref="D46:D55"/>
    <sortCondition ref="B46:B5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6:H85">
    <cfRule type="containsText" dxfId="1" priority="1" operator="containsText" text=":A2">
      <formula>NOT(ISERROR(SEARCH(":A2",A46)))</formula>
    </cfRule>
    <cfRule type="containsText" dxfId="0" priority="2" operator="containsText" text=":A1">
      <formula>NOT(ISERROR(SEARCH(":A1",A46)))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A64B-C072-4C9E-98A5-4CF7489E77A8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19" t="s">
        <v>221</v>
      </c>
      <c r="B1" s="19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216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217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23</v>
      </c>
      <c r="B6" s="9" t="s">
        <v>218</v>
      </c>
      <c r="C6" s="9" t="s">
        <v>201</v>
      </c>
      <c r="D6" s="9" t="s">
        <v>204</v>
      </c>
      <c r="E6" s="9" t="s">
        <v>202</v>
      </c>
      <c r="F6" s="9" t="s">
        <v>203</v>
      </c>
      <c r="G6" s="9" t="s">
        <v>205</v>
      </c>
      <c r="H6" s="9" t="s">
        <v>26</v>
      </c>
      <c r="I6" s="9" t="s">
        <v>206</v>
      </c>
      <c r="J6" s="9" t="s">
        <v>5</v>
      </c>
      <c r="K6" s="9" t="s">
        <v>219</v>
      </c>
      <c r="L6" s="9" t="s">
        <v>207</v>
      </c>
      <c r="M6" s="9" t="s">
        <v>220</v>
      </c>
      <c r="N6" s="9" t="s">
        <v>208</v>
      </c>
      <c r="O6" s="9" t="s">
        <v>13</v>
      </c>
      <c r="P6" s="9" t="s">
        <v>198</v>
      </c>
      <c r="Q6" s="9" t="s">
        <v>198</v>
      </c>
      <c r="R6" s="9" t="s">
        <v>198</v>
      </c>
      <c r="S6" s="9" t="s">
        <v>198</v>
      </c>
      <c r="T6" s="9" t="s">
        <v>198</v>
      </c>
      <c r="U6" s="9" t="s">
        <v>198</v>
      </c>
      <c r="V6" s="9" t="s">
        <v>198</v>
      </c>
      <c r="W6" s="9" t="s">
        <v>198</v>
      </c>
      <c r="X6" s="9" t="s">
        <v>198</v>
      </c>
      <c r="Y6" s="9" t="s">
        <v>198</v>
      </c>
      <c r="Z6" s="9" t="s">
        <v>198</v>
      </c>
      <c r="AA6" s="9" t="s">
        <v>198</v>
      </c>
      <c r="AB6" s="9" t="s">
        <v>198</v>
      </c>
      <c r="AC6" s="9" t="s">
        <v>198</v>
      </c>
      <c r="AD6" s="9" t="s">
        <v>198</v>
      </c>
    </row>
    <row r="7" spans="1:30" x14ac:dyDescent="0.25">
      <c r="A7" s="9" t="s">
        <v>22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 t="s">
        <v>211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24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 t="s">
        <v>212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25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 t="s">
        <v>200</v>
      </c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 t="s">
        <v>214</v>
      </c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 t="s">
        <v>209</v>
      </c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 t="s">
        <v>210</v>
      </c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 t="s">
        <v>213</v>
      </c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BF0DD-49B0-4FDA-9887-FF91E15C6D64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DOOR</v>
      </c>
      <c r="B1" s="10" t="str">
        <f>IF('Bundle Tag Info'!B6&lt;&gt;"Panel Name",'Bundle Tag Info'!B6,"")</f>
        <v>PWR DST</v>
      </c>
      <c r="C1" s="10" t="str">
        <f>IF('Bundle Tag Info'!C6&lt;&gt;"Panel Name",'Bundle Tag Info'!C6,"")</f>
        <v>AUX</v>
      </c>
      <c r="D1" s="10" t="str">
        <f>IF('Bundle Tag Info'!D6&lt;&gt;"Panel Name",'Bundle Tag Info'!D6,"")</f>
        <v>JB70 DOOR</v>
      </c>
      <c r="E1" s="10" t="str">
        <f>IF('Bundle Tag Info'!E6&lt;&gt;"Panel Name",'Bundle Tag Info'!E6,"")</f>
        <v>JB70 L RAIL</v>
      </c>
      <c r="F1" s="10" t="str">
        <f>IF('Bundle Tag Info'!F6&lt;&gt;"Panel Name",'Bundle Tag Info'!F6,"")</f>
        <v>FS CTRL</v>
      </c>
      <c r="G1" s="10" t="str">
        <f>IF('Bundle Tag Info'!G6&lt;&gt;"Panel Name",'Bundle Tag Info'!G6,"")</f>
        <v>JB70 R RAIL</v>
      </c>
      <c r="H1" s="10" t="str">
        <f>IF('Bundle Tag Info'!H6&lt;&gt;"Panel Name",'Bundle Tag Info'!H6,"")</f>
        <v>PLC</v>
      </c>
      <c r="I1" s="10" t="str">
        <f>IF('Bundle Tag Info'!I6&lt;&gt;"Panel Name",'Bundle Tag Info'!I6,"")</f>
        <v>A</v>
      </c>
      <c r="J1" s="10" t="str">
        <f>IF('Bundle Tag Info'!J6&lt;&gt;"Panel Name",'Bundle Tag Info'!J6,"")</f>
        <v>B</v>
      </c>
      <c r="K1" s="10" t="str">
        <f>IF('Bundle Tag Info'!K6&lt;&gt;"Panel Name",'Bundle Tag Info'!K6,"")</f>
        <v>JB73 R RAIL</v>
      </c>
      <c r="L1" s="10" t="str">
        <f>IF('Bundle Tag Info'!L6&lt;&gt;"Panel Name",'Bundle Tag Info'!L6,"")</f>
        <v>HPC</v>
      </c>
      <c r="M1" s="10" t="str">
        <f>IF('Bundle Tag Info'!M6&lt;&gt;"Panel Name",'Bundle Tag Info'!M6,"")</f>
        <v>MEDIA</v>
      </c>
      <c r="N1" s="10" t="str">
        <f>IF('Bundle Tag Info'!N6&lt;&gt;"Panel Name",'Bundle Tag Info'!N6,"")</f>
        <v>JB74 L RAIL</v>
      </c>
      <c r="O1" s="10" t="str">
        <f>IF('Bundle Tag Info'!O6&lt;&gt;"Panel Name",'Bundle Tag Info'!O6,"")</f>
        <v>BOP</v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SOU-FLN 
4N171CB B.1
DOOR
AT0190</v>
      </c>
      <c r="B2" s="11" t="str">
        <f>IF('Bundle Tag Info'!B$7&lt;&gt;"",CONCATENATE('Bundle Tag Info'!$A$1," ",CHAR(10),'Bundle Tag Info'!$A$2," ",'Bundle Tag Info'!$A$3,CHAR(10),'Bundle Tag Info'!B$6,CHAR(10),'Bundle Tag Info'!B$7),"")</f>
        <v/>
      </c>
      <c r="C2" s="11" t="str">
        <f>IF('Bundle Tag Info'!C$7&lt;&gt;"",CONCATENATE('Bundle Tag Info'!$A$1," ",CHAR(10),'Bundle Tag Info'!$A$2," ",'Bundle Tag Info'!$A$3,CHAR(10),'Bundle Tag Info'!C$6,CHAR(10),'Bundle Tag Info'!C$7),"")</f>
        <v/>
      </c>
      <c r="D2" s="11" t="str">
        <f>IF('Bundle Tag Info'!D$7&lt;&gt;"",CONCATENATE('Bundle Tag Info'!$A$1," ",CHAR(10),'Bundle Tag Info'!$A$2," ",'Bundle Tag Info'!$A$3,CHAR(10),'Bundle Tag Info'!D$6,CHAR(10),'Bundle Tag Info'!D$7),"")</f>
        <v/>
      </c>
      <c r="E2" s="11" t="str">
        <f>IF('Bundle Tag Info'!E$7&lt;&gt;"",CONCATENATE('Bundle Tag Info'!$A$1," ",CHAR(10),'Bundle Tag Info'!$A$2," ",'Bundle Tag Info'!$A$3,CHAR(10),'Bundle Tag Info'!E$6,CHAR(10),'Bundle Tag Info'!E$7),"")</f>
        <v/>
      </c>
      <c r="F2" s="11" t="str">
        <f>IF('Bundle Tag Info'!F$7&lt;&gt;"",CONCATENATE('Bundle Tag Info'!$A$1," ",CHAR(10),'Bundle Tag Info'!$A$2," ",'Bundle Tag Info'!$A$3,CHAR(10),'Bundle Tag Info'!F$6,CHAR(10),'Bundle Tag Info'!F$7),"")</f>
        <v/>
      </c>
      <c r="G2" s="11" t="str">
        <f>IF('Bundle Tag Info'!G$7&lt;&gt;"",CONCATENATE('Bundle Tag Info'!$A$1," ",CHAR(10),'Bundle Tag Info'!$A$2," ",'Bundle Tag Info'!$A$3,CHAR(10),'Bundle Tag Info'!G$6,CHAR(10),'Bundle Tag Info'!G$7),"")</f>
        <v/>
      </c>
      <c r="H2" s="11" t="str">
        <f>IF('Bundle Tag Info'!H$7&lt;&gt;"",CONCATENATE('Bundle Tag Info'!$A$1," ",CHAR(10),'Bundle Tag Info'!$A$2," ",'Bundle Tag Info'!$A$3,CHAR(10),'Bundle Tag Info'!H$6,CHAR(10),'Bundle Tag Info'!H$7),"")</f>
        <v/>
      </c>
      <c r="I2" s="11" t="str">
        <f>IF('Bundle Tag Info'!I$7&lt;&gt;"",CONCATENATE('Bundle Tag Info'!$A$1," ",CHAR(10),'Bundle Tag Info'!$A$2," ",'Bundle Tag Info'!$A$3,CHAR(10),'Bundle Tag Info'!I$6,CHAR(10),'Bundle Tag Info'!I$7),"")</f>
        <v/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>SOU-FLN 
4N171CB B.1
BOP
AF/AU140s</v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SOU-FLN 
4N171CB B.1
DOOR
EL0273</v>
      </c>
      <c r="B3" s="11" t="str">
        <f>IF('Bundle Tag Info'!B$8&lt;&gt;"",CONCATENATE('Bundle Tag Info'!$A$1," ",CHAR(10),'Bundle Tag Info'!$A$2," ",'Bundle Tag Info'!$A$3,CHAR(10),'Bundle Tag Info'!B$6,CHAR(10),'Bundle Tag Info'!B$8),"")</f>
        <v/>
      </c>
      <c r="C3" s="11" t="str">
        <f>IF('Bundle Tag Info'!C$8&lt;&gt;"",CONCATENATE('Bundle Tag Info'!$A$1," ",CHAR(10),'Bundle Tag Info'!$A$2," ",'Bundle Tag Info'!$A$3,CHAR(10),'Bundle Tag Info'!C$6,CHAR(10),'Bundle Tag Info'!C$8),"")</f>
        <v/>
      </c>
      <c r="D3" s="11" t="str">
        <f>IF('Bundle Tag Info'!D$8&lt;&gt;"",CONCATENATE('Bundle Tag Info'!$A$1," ",CHAR(10),'Bundle Tag Info'!$A$2," ",'Bundle Tag Info'!$A$3,CHAR(10),'Bundle Tag Info'!D$6,CHAR(10),'Bundle Tag Info'!D$8),"")</f>
        <v/>
      </c>
      <c r="E3" s="11" t="str">
        <f>IF('Bundle Tag Info'!E$8&lt;&gt;"",CONCATENATE('Bundle Tag Info'!$A$1," ",CHAR(10),'Bundle Tag Info'!$A$2," ",'Bundle Tag Info'!$A$3,CHAR(10),'Bundle Tag Info'!E$6,CHAR(10),'Bundle Tag Info'!E$8),"")</f>
        <v/>
      </c>
      <c r="F3" s="11" t="str">
        <f>IF('Bundle Tag Info'!F$8&lt;&gt;"",CONCATENATE('Bundle Tag Info'!$A$1," ",CHAR(10),'Bundle Tag Info'!$A$2," ",'Bundle Tag Info'!$A$3,CHAR(10),'Bundle Tag Info'!F$6,CHAR(10),'Bundle Tag Info'!F$8),"")</f>
        <v/>
      </c>
      <c r="G3" s="11" t="str">
        <f>IF('Bundle Tag Info'!G$8&lt;&gt;"",CONCATENATE('Bundle Tag Info'!$A$1," ",CHAR(10),'Bundle Tag Info'!$A$2," ",'Bundle Tag Info'!$A$3,CHAR(10),'Bundle Tag Info'!G$6,CHAR(10),'Bundle Tag Info'!G$8),"")</f>
        <v/>
      </c>
      <c r="H3" s="11" t="str">
        <f>IF('Bundle Tag Info'!H$8&lt;&gt;"",CONCATENATE('Bundle Tag Info'!$A$1," ",CHAR(10),'Bundle Tag Info'!$A$2," ",'Bundle Tag Info'!$A$3,CHAR(10),'Bundle Tag Info'!H$6,CHAR(10),'Bundle Tag Info'!H$8),"")</f>
        <v/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>SOU-FLN 
4N171CB B.1
BOP
AF/AU180s</v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SOU-FLN 
4N171CB B.1
DOOR
ZS0273</v>
      </c>
      <c r="B4" s="11" t="str">
        <f>IF('Bundle Tag Info'!B$9&lt;&gt;"",CONCATENATE('Bundle Tag Info'!$A$1," ",CHAR(10),'Bundle Tag Info'!$A$2," ",'Bundle Tag Info'!$A$3,CHAR(10),'Bundle Tag Info'!B$6,CHAR(10),'Bundle Tag Info'!B$9),"")</f>
        <v/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/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/>
      </c>
      <c r="H4" s="11" t="str">
        <f>IF('Bundle Tag Info'!H$9&lt;&gt;"",CONCATENATE('Bundle Tag Info'!$A$1," ",CHAR(10),'Bundle Tag Info'!$A$2," ",'Bundle Tag Info'!$A$3,CHAR(10),'Bundle Tag Info'!H$6,CHAR(10),'Bundle Tag Info'!H$9),"")</f>
        <v/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>SOU-FLN 
4N171CB B.1
BOP
FU</v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/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/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>SOU-FLN 
4N171CB B.1
BOP
KA A1</v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/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>SOU-FLN 
4N171CB B.1
BOP
KA A2</v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/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>SOU-FLN 
4N171CB B.1
BOP
KA</v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/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>SOU-FLN 
4N171CB B.1
BOP
VD</v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/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5B25-7192-45A1-8DC4-2504918D3E82}">
  <dimension ref="A1:AD31"/>
  <sheetViews>
    <sheetView zoomScale="85" zoomScaleNormal="85" workbookViewId="0">
      <selection activeCell="A8" sqref="A8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tr">
        <f>IF('Bundle Tag Info'!A6&lt;&gt;"Panel Name",'Bundle Tag Info'!A6,"")</f>
        <v>DOOR</v>
      </c>
      <c r="B1" s="10" t="str">
        <f>IF('Bundle Tag Info'!B6&lt;&gt;"Panel Name",'Bundle Tag Info'!B6,"")</f>
        <v>PWR DST</v>
      </c>
      <c r="C1" s="10" t="str">
        <f>IF('Bundle Tag Info'!C6&lt;&gt;"Panel Name",'Bundle Tag Info'!C6,"")</f>
        <v>AUX</v>
      </c>
      <c r="D1" s="10" t="str">
        <f>IF('Bundle Tag Info'!D6&lt;&gt;"Panel Name",'Bundle Tag Info'!D6,"")</f>
        <v>JB70 DOOR</v>
      </c>
      <c r="E1" s="10" t="str">
        <f>IF('Bundle Tag Info'!E6&lt;&gt;"Panel Name",'Bundle Tag Info'!E6,"")</f>
        <v>JB70 L RAIL</v>
      </c>
      <c r="F1" s="10" t="str">
        <f>IF('Bundle Tag Info'!F6&lt;&gt;"Panel Name",'Bundle Tag Info'!F6,"")</f>
        <v>FS CTRL</v>
      </c>
      <c r="G1" s="10" t="str">
        <f>IF('Bundle Tag Info'!G6&lt;&gt;"Panel Name",'Bundle Tag Info'!G6,"")</f>
        <v>JB70 R RAIL</v>
      </c>
      <c r="H1" s="10" t="str">
        <f>IF('Bundle Tag Info'!H6&lt;&gt;"Panel Name",'Bundle Tag Info'!H6,"")</f>
        <v>PLC</v>
      </c>
      <c r="I1" s="10" t="str">
        <f>IF('Bundle Tag Info'!I6&lt;&gt;"Panel Name",'Bundle Tag Info'!I6,"")</f>
        <v>A</v>
      </c>
      <c r="J1" s="10" t="str">
        <f>IF('Bundle Tag Info'!J6&lt;&gt;"Panel Name",'Bundle Tag Info'!J6,"")</f>
        <v>B</v>
      </c>
      <c r="K1" s="10" t="str">
        <f>IF('Bundle Tag Info'!K6&lt;&gt;"Panel Name",'Bundle Tag Info'!K6,"")</f>
        <v>JB73 R RAIL</v>
      </c>
      <c r="L1" s="10" t="str">
        <f>IF('Bundle Tag Info'!L6&lt;&gt;"Panel Name",'Bundle Tag Info'!L6,"")</f>
        <v>HPC</v>
      </c>
      <c r="M1" s="10" t="str">
        <f>IF('Bundle Tag Info'!M6&lt;&gt;"Panel Name",'Bundle Tag Info'!M6,"")</f>
        <v>MEDIA</v>
      </c>
      <c r="N1" s="10" t="str">
        <f>IF('Bundle Tag Info'!N6&lt;&gt;"Panel Name",'Bundle Tag Info'!N6,"")</f>
        <v>JB74 L RAIL</v>
      </c>
      <c r="O1" s="10" t="str">
        <f>IF('Bundle Tag Info'!O6&lt;&gt;"Panel Name",'Bundle Tag Info'!O6,"")</f>
        <v>BOP</v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SOU-FLN 
4N171CB B.1
DOOR
AT0190</v>
      </c>
      <c r="B2" s="11" t="str">
        <f>IF('Bundle Tag Info'!B$7&lt;&gt;"",CONCATENATE('Bundle Tag Info'!$A$1," ",CHAR(10),'Bundle Tag Info'!$A$2," ",'Bundle Tag Info'!$A$3,CHAR(10),'Bundle Tag Info'!B$6,CHAR(10),'Bundle Tag Info'!B$7),"")</f>
        <v/>
      </c>
      <c r="C2" s="11" t="str">
        <f>IF('Bundle Tag Info'!C$7&lt;&gt;"",CONCATENATE('Bundle Tag Info'!$A$1," ",CHAR(10),'Bundle Tag Info'!$A$2," ",'Bundle Tag Info'!$A$3,CHAR(10),'Bundle Tag Info'!C$6,CHAR(10),'Bundle Tag Info'!C$7),"")</f>
        <v/>
      </c>
      <c r="D2" s="11" t="str">
        <f>IF('Bundle Tag Info'!D$7&lt;&gt;"",CONCATENATE('Bundle Tag Info'!$A$1," ",CHAR(10),'Bundle Tag Info'!$A$2," ",'Bundle Tag Info'!$A$3,CHAR(10),'Bundle Tag Info'!D$6,CHAR(10),'Bundle Tag Info'!D$7),"")</f>
        <v/>
      </c>
      <c r="E2" s="11" t="str">
        <f>IF('Bundle Tag Info'!E$7&lt;&gt;"",CONCATENATE('Bundle Tag Info'!$A$1," ",CHAR(10),'Bundle Tag Info'!$A$2," ",'Bundle Tag Info'!$A$3,CHAR(10),'Bundle Tag Info'!E$6,CHAR(10),'Bundle Tag Info'!E$7),"")</f>
        <v/>
      </c>
      <c r="F2" s="11" t="str">
        <f>IF('Bundle Tag Info'!F$7&lt;&gt;"",CONCATENATE('Bundle Tag Info'!$A$1," ",CHAR(10),'Bundle Tag Info'!$A$2," ",'Bundle Tag Info'!$A$3,CHAR(10),'Bundle Tag Info'!F$6,CHAR(10),'Bundle Tag Info'!F$7),"")</f>
        <v/>
      </c>
      <c r="G2" s="11" t="str">
        <f>IF('Bundle Tag Info'!G$7&lt;&gt;"",CONCATENATE('Bundle Tag Info'!$A$1," ",CHAR(10),'Bundle Tag Info'!$A$2," ",'Bundle Tag Info'!$A$3,CHAR(10),'Bundle Tag Info'!G$6,CHAR(10),'Bundle Tag Info'!G$7),"")</f>
        <v/>
      </c>
      <c r="H2" s="11" t="str">
        <f>IF('Bundle Tag Info'!H$7&lt;&gt;"",CONCATENATE('Bundle Tag Info'!$A$1," ",CHAR(10),'Bundle Tag Info'!$A$2," ",'Bundle Tag Info'!$A$3,CHAR(10),'Bundle Tag Info'!H$6,CHAR(10),'Bundle Tag Info'!H$7),"")</f>
        <v/>
      </c>
      <c r="I2" s="11" t="str">
        <f>IF('Bundle Tag Info'!I$7&lt;&gt;"",CONCATENATE('Bundle Tag Info'!$A$1," ",CHAR(10),'Bundle Tag Info'!$A$2," ",'Bundle Tag Info'!$A$3,CHAR(10),'Bundle Tag Info'!I$6,CHAR(10),'Bundle Tag Info'!I$7),"")</f>
        <v/>
      </c>
      <c r="J2" s="11" t="str">
        <f>IF('Bundle Tag Info'!J$7&lt;&gt;"",CONCATENATE('Bundle Tag Info'!$A$1," ",CHAR(10),'Bundle Tag Info'!$A$2," ",'Bundle Tag Info'!$A$3,CHAR(10),'Bundle Tag Info'!J$6,CHAR(10),'Bundle Tag Info'!J$7),"")</f>
        <v/>
      </c>
      <c r="K2" s="11" t="str">
        <f>IF('Bundle Tag Info'!K$7&lt;&gt;"",CONCATENATE('Bundle Tag Info'!$A$1," ",CHAR(10),'Bundle Tag Info'!$A$2," ",'Bundle Tag Info'!$A$3,CHAR(10),'Bundle Tag Info'!K$6,CHAR(10),'Bundle Tag Info'!K$7),"")</f>
        <v/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>SOU-FLN 
4N171CB B.1
BOP
AF/AU140s</v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SOU-FLN 
4N171CB B.1
DOOR
EL0273</v>
      </c>
      <c r="B3" s="11" t="str">
        <f>IF('Bundle Tag Info'!B$8&lt;&gt;"",CONCATENATE('Bundle Tag Info'!$A$1," ",CHAR(10),'Bundle Tag Info'!$A$2," ",'Bundle Tag Info'!$A$3,CHAR(10),'Bundle Tag Info'!B$6,CHAR(10),'Bundle Tag Info'!B$8),"")</f>
        <v/>
      </c>
      <c r="C3" s="11" t="str">
        <f>IF('Bundle Tag Info'!C$8&lt;&gt;"",CONCATENATE('Bundle Tag Info'!$A$1," ",CHAR(10),'Bundle Tag Info'!$A$2," ",'Bundle Tag Info'!$A$3,CHAR(10),'Bundle Tag Info'!C$6,CHAR(10),'Bundle Tag Info'!C$8),"")</f>
        <v/>
      </c>
      <c r="D3" s="11" t="str">
        <f>IF('Bundle Tag Info'!D$8&lt;&gt;"",CONCATENATE('Bundle Tag Info'!$A$1," ",CHAR(10),'Bundle Tag Info'!$A$2," ",'Bundle Tag Info'!$A$3,CHAR(10),'Bundle Tag Info'!D$6,CHAR(10),'Bundle Tag Info'!D$8),"")</f>
        <v/>
      </c>
      <c r="E3" s="11" t="str">
        <f>IF('Bundle Tag Info'!E$8&lt;&gt;"",CONCATENATE('Bundle Tag Info'!$A$1," ",CHAR(10),'Bundle Tag Info'!$A$2," ",'Bundle Tag Info'!$A$3,CHAR(10),'Bundle Tag Info'!E$6,CHAR(10),'Bundle Tag Info'!E$8),"")</f>
        <v/>
      </c>
      <c r="F3" s="11" t="str">
        <f>IF('Bundle Tag Info'!F$8&lt;&gt;"",CONCATENATE('Bundle Tag Info'!$A$1," ",CHAR(10),'Bundle Tag Info'!$A$2," ",'Bundle Tag Info'!$A$3,CHAR(10),'Bundle Tag Info'!F$6,CHAR(10),'Bundle Tag Info'!F$8),"")</f>
        <v/>
      </c>
      <c r="G3" s="11" t="str">
        <f>IF('Bundle Tag Info'!G$8&lt;&gt;"",CONCATENATE('Bundle Tag Info'!$A$1," ",CHAR(10),'Bundle Tag Info'!$A$2," ",'Bundle Tag Info'!$A$3,CHAR(10),'Bundle Tag Info'!G$6,CHAR(10),'Bundle Tag Info'!G$8),"")</f>
        <v/>
      </c>
      <c r="H3" s="11" t="str">
        <f>IF('Bundle Tag Info'!H$8&lt;&gt;"",CONCATENATE('Bundle Tag Info'!$A$1," ",CHAR(10),'Bundle Tag Info'!$A$2," ",'Bundle Tag Info'!$A$3,CHAR(10),'Bundle Tag Info'!H$6,CHAR(10),'Bundle Tag Info'!H$8),"")</f>
        <v/>
      </c>
      <c r="I3" s="11" t="str">
        <f>IF('Bundle Tag Info'!I$8&lt;&gt;"",CONCATENATE('Bundle Tag Info'!$A$1," ",CHAR(10),'Bundle Tag Info'!$A$2," ",'Bundle Tag Info'!$A$3,CHAR(10),'Bundle Tag Info'!I$6,CHAR(10),'Bundle Tag Info'!I$8),"")</f>
        <v/>
      </c>
      <c r="J3" s="11" t="str">
        <f>IF('Bundle Tag Info'!J$8&lt;&gt;"",CONCATENATE('Bundle Tag Info'!$A$1," ",CHAR(10),'Bundle Tag Info'!$A$2," ",'Bundle Tag Info'!$A$3,CHAR(10),'Bundle Tag Info'!J$6,CHAR(10),'Bundle Tag Info'!J$8),"")</f>
        <v/>
      </c>
      <c r="K3" s="11" t="str">
        <f>IF('Bundle Tag Info'!K$8&lt;&gt;"",CONCATENATE('Bundle Tag Info'!$A$1," ",CHAR(10),'Bundle Tag Info'!$A$2," ",'Bundle Tag Info'!$A$3,CHAR(10),'Bundle Tag Info'!K$6,CHAR(10),'Bundle Tag Info'!K$8),"")</f>
        <v/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>SOU-FLN 
4N171CB B.1
BOP
AF/AU180s</v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SOU-FLN 
4N171CB B.1
DOOR
ZS0273</v>
      </c>
      <c r="B4" s="11" t="str">
        <f>IF('Bundle Tag Info'!B$9&lt;&gt;"",CONCATENATE('Bundle Tag Info'!$A$1," ",CHAR(10),'Bundle Tag Info'!$A$2," ",'Bundle Tag Info'!$A$3,CHAR(10),'Bundle Tag Info'!B$6,CHAR(10),'Bundle Tag Info'!B$9),"")</f>
        <v/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/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/>
      </c>
      <c r="H4" s="11" t="str">
        <f>IF('Bundle Tag Info'!H$9&lt;&gt;"",CONCATENATE('Bundle Tag Info'!$A$1," ",CHAR(10),'Bundle Tag Info'!$A$2," ",'Bundle Tag Info'!$A$3,CHAR(10),'Bundle Tag Info'!H$6,CHAR(10),'Bundle Tag Info'!H$9),"")</f>
        <v/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/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>SOU-FLN 
4N171CB B.1
BOP
FU</v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/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/>
      </c>
      <c r="H5" s="11" t="str">
        <f>IF('Bundle Tag Info'!H$10&lt;&gt;"",CONCATENATE('Bundle Tag Info'!$A$1," ",CHAR(10),'Bundle Tag Info'!$A$2," ",'Bundle Tag Info'!$A$3,CHAR(10),'Bundle Tag Info'!H$6,CHAR(10),'Bundle Tag Info'!H$10),"")</f>
        <v/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/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>SOU-FLN 
4N171CB B.1
BOP
KA A1</v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/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/>
      </c>
      <c r="H6" s="11" t="str">
        <f>IF('Bundle Tag Info'!H$11&lt;&gt;"",CONCATENATE('Bundle Tag Info'!$A$1," ",CHAR(10),'Bundle Tag Info'!$A$2," ",'Bundle Tag Info'!$A$3,CHAR(10),'Bundle Tag Info'!H$6,CHAR(10),'Bundle Tag Info'!H$11),"")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/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>SOU-FLN 
4N171CB B.1
BOP
KA A2</v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/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/>
      </c>
      <c r="H7" s="11" t="str">
        <f>IF('Bundle Tag Info'!H$12&lt;&gt;"",CONCATENATE('Bundle Tag Info'!$A$1," ",CHAR(10),'Bundle Tag Info'!$A$2," ",'Bundle Tag Info'!$A$3,CHAR(10),'Bundle Tag Info'!H$6,CHAR(10),'Bundle Tag Info'!H$12),"")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>SOU-FLN 
4N171CB B.1
BOP
KA</v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/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/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>SOU-FLN 
4N171CB B.1
BOP
VD</v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/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/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/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/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/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/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BOP_S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2026-01-27T02:38:23Z</cp:lastPrinted>
  <dcterms:created xsi:type="dcterms:W3CDTF">2026-01-16T18:59:26Z</dcterms:created>
  <dcterms:modified xsi:type="dcterms:W3CDTF">2026-01-27T02:50:23Z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2026-01-16T18:59:28Z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7036bca6-4583-4aac-bb7a-dfd81148fb09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