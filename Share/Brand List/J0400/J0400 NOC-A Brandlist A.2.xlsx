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400 NOC-A\"/>
    </mc:Choice>
  </mc:AlternateContent>
  <xr:revisionPtr revIDLastSave="0" documentId="13_ncr:1_{52341DC8-9418-48E2-8DC9-A01F59B6EB6A}" xr6:coauthVersionLast="47" xr6:coauthVersionMax="47" xr10:uidLastSave="{00000000-0000-0000-0000-000000000000}"/>
  <bookViews>
    <workbookView xWindow="-110" yWindow="-110" windowWidth="19420" windowHeight="10300" tabRatio="1000" activeTab="3" xr2:uid="{00000000-000D-0000-FFFF-FFFF00000000}"/>
  </bookViews>
  <sheets>
    <sheet name="Panel Errors" sheetId="3" r:id="rId1"/>
    <sheet name="CONSOLE_S" sheetId="21" r:id="rId2"/>
    <sheet name="POWER SUPPLY_S" sheetId="26" r:id="rId3"/>
    <sheet name="PWR DISTRIBUTION RAIL_S" sheetId="29" r:id="rId4"/>
    <sheet name="OBRIT_S" sheetId="25" r:id="rId5"/>
    <sheet name="LS WALL_S" sheetId="24" r:id="rId6"/>
    <sheet name="L BACK_S" sheetId="23" r:id="rId7"/>
    <sheet name="ISO_S" sheetId="20" r:id="rId8"/>
    <sheet name="RS WALL_S" sheetId="31" r:id="rId9"/>
    <sheet name="JB44_S" sheetId="22" r:id="rId10"/>
    <sheet name="Bundle Tag Info" sheetId="34" r:id="rId11"/>
    <sheet name="Bundle Tags2" sheetId="35" r:id="rId12"/>
    <sheet name="ALL" sheetId="37" r:id="rId13"/>
  </sheets>
  <definedNames>
    <definedName name="_xlnm._FilterDatabase" localSheetId="1" hidden="1">CONSOLE_S!$H$1:$H$25</definedName>
    <definedName name="_xlnm._FilterDatabase" localSheetId="7" hidden="1">ISO_S!$H$1:$H$61</definedName>
    <definedName name="_xlnm._FilterDatabase" localSheetId="6" hidden="1">'L BACK_S'!$H$1:$H$94</definedName>
    <definedName name="_xlnm._FilterDatabase" localSheetId="5" hidden="1">'LS WALL_S'!$H$1:$H$391</definedName>
    <definedName name="_xlnm._FilterDatabase" localSheetId="4" hidden="1">OBRIT_S!$H$1:$H$30</definedName>
    <definedName name="_xlnm._FilterDatabase" localSheetId="2" hidden="1">'POWER SUPPLY_S'!$H$1:$H$34</definedName>
    <definedName name="_xlnm._FilterDatabase" localSheetId="3" hidden="1">'PWR DISTRIBUTION RAIL_S'!$H$1:$H$42</definedName>
    <definedName name="_xlnm._FilterDatabase" localSheetId="8" hidden="1">'RS WALL_S'!$H$1:$H$78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A34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A33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A32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A31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A30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A29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A28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A44" i="37"/>
  <c r="A27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A43" i="37"/>
  <c r="A26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A42" i="37"/>
  <c r="A25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A41" i="37"/>
  <c r="A24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A53" i="37"/>
  <c r="A40" i="37"/>
  <c r="A23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A52" i="37"/>
  <c r="A39" i="37"/>
  <c r="A22" i="37"/>
  <c r="A14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A51" i="37"/>
  <c r="A38" i="37"/>
  <c r="A21" i="37"/>
  <c r="A13" i="37"/>
  <c r="A9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A50" i="37"/>
  <c r="A47" i="37"/>
  <c r="A37" i="37"/>
  <c r="A20" i="37"/>
  <c r="A17" i="37"/>
  <c r="A12" i="37"/>
  <c r="A8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A49" i="37"/>
  <c r="A46" i="37"/>
  <c r="A36" i="37"/>
  <c r="A19" i="37"/>
  <c r="A16" i="37"/>
  <c r="A11" i="37"/>
  <c r="A7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A54" i="37"/>
  <c r="A48" i="37"/>
  <c r="A45" i="37"/>
  <c r="A35" i="37"/>
  <c r="A18" i="37"/>
  <c r="A15" i="37"/>
  <c r="A10" i="37"/>
  <c r="A6" i="37"/>
  <c r="A2" i="37"/>
  <c r="AD31" i="35" l="1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tc={F18E7916-1B52-46B9-AE1F-202025FB2A4B}</author>
    <author>tc={3B9FE85B-AF93-4E5E-8D7C-734F84A44AAD}</author>
  </authors>
  <commentList>
    <comment ref="D74" authorId="0" shapeId="0" xr:uid="{F18E7916-1B52-46B9-AE1F-202025FB2A4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WHT, 20G
MRCA:</t>
      </text>
    </comment>
    <comment ref="D390" authorId="1" shapeId="0" xr:uid="{3B9FE85B-AF93-4E5E-8D7C-734F84A44AA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CABLE,16G
MRCA: 1990582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tc={69DCABEB-0926-430E-B53B-14C3F7FE69CE}</author>
  </authors>
  <commentList>
    <comment ref="D92" authorId="0" shapeId="0" xr:uid="{69DCABEB-0926-430E-B53B-14C3F7FE69C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Was: [BLANK]
Changed to: WHT,20
MRCA:1990584</t>
      </text>
    </comment>
  </commentList>
</comments>
</file>

<file path=xl/sharedStrings.xml><?xml version="1.0" encoding="utf-8"?>
<sst xmlns="http://schemas.openxmlformats.org/spreadsheetml/2006/main" count="4449" uniqueCount="1521">
  <si>
    <t>SolarTools ver. 24.0.84.24712 (Jul 31, 2025)</t>
  </si>
  <si>
    <t>Project #</t>
  </si>
  <si>
    <t>J0400</t>
  </si>
  <si>
    <t>Project Name</t>
  </si>
  <si>
    <t>NOC ASBAB-A-4401</t>
  </si>
  <si>
    <t>Revision</t>
  </si>
  <si>
    <t>A.2</t>
  </si>
  <si>
    <t>Controls DE</t>
  </si>
  <si>
    <t>N.GONZALEZ</t>
  </si>
  <si>
    <t>Phone:</t>
  </si>
  <si>
    <t>0</t>
  </si>
  <si>
    <t>Controls ME</t>
  </si>
  <si>
    <t>R.DURAN</t>
  </si>
  <si>
    <t>Device ID</t>
  </si>
  <si>
    <t>Location</t>
  </si>
  <si>
    <t>CENTER BACK^ISOLATOR PANEL</t>
  </si>
  <si>
    <t>CONSOLE</t>
  </si>
  <si>
    <t>ZS0273</t>
  </si>
  <si>
    <t>JB44</t>
  </si>
  <si>
    <t>UA1200</t>
  </si>
  <si>
    <t>LEFT BACK^PANEL</t>
  </si>
  <si>
    <t>FU0010</t>
  </si>
  <si>
    <t>LEFT SIDE WALL^PANEL</t>
  </si>
  <si>
    <t>FU0060</t>
  </si>
  <si>
    <t>FU0061</t>
  </si>
  <si>
    <t>FU0062</t>
  </si>
  <si>
    <t>FU0063</t>
  </si>
  <si>
    <t>FU0064</t>
  </si>
  <si>
    <t>FU0070</t>
  </si>
  <si>
    <t>FU0071</t>
  </si>
  <si>
    <t>FU0080</t>
  </si>
  <si>
    <t>FU0082</t>
  </si>
  <si>
    <t>FU0090</t>
  </si>
  <si>
    <t>FU0091</t>
  </si>
  <si>
    <t>FU0092</t>
  </si>
  <si>
    <t>FU0093</t>
  </si>
  <si>
    <t>FU0110</t>
  </si>
  <si>
    <t>FU0111</t>
  </si>
  <si>
    <t>FU0112</t>
  </si>
  <si>
    <t>FU0113</t>
  </si>
  <si>
    <t>FU0120</t>
  </si>
  <si>
    <t>FU0121</t>
  </si>
  <si>
    <t>FU0130</t>
  </si>
  <si>
    <t>FU0137</t>
  </si>
  <si>
    <t>FU0139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</si>
  <si>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</si>
  <si>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</si>
  <si>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</si>
  <si>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</si>
  <si>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</si>
  <si>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</si>
  <si>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</si>
  <si>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</si>
  <si>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</si>
  <si>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FU0212</t>
  </si>
  <si>
    <t>FU0570</t>
  </si>
  <si>
    <t>ORBIT 60^DOOR PANEL</t>
  </si>
  <si>
    <t>PANEL</t>
  </si>
  <si>
    <t>POWER SUPPLY</t>
  </si>
  <si>
    <t>FU0190</t>
  </si>
  <si>
    <t>FU0273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</si>
  <si>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</si>
  <si>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</si>
  <si>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</si>
  <si>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</si>
  <si>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</si>
  <si>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</si>
  <si>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</si>
  <si>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</si>
  <si>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AT0190:USB2</t>
  </si>
  <si>
    <t>SC</t>
  </si>
  <si>
    <t>*</t>
  </si>
  <si>
    <t>9.B4</t>
  </si>
  <si>
    <t>CC1000:1</t>
  </si>
  <si>
    <t>9.C5</t>
  </si>
  <si>
    <t>TS8000:1</t>
  </si>
  <si>
    <t>WHT</t>
  </si>
  <si>
    <t>006336</t>
  </si>
  <si>
    <t>20</t>
  </si>
  <si>
    <t>25.C5</t>
  </si>
  <si>
    <t>AF0063:36</t>
  </si>
  <si>
    <t>25.C7</t>
  </si>
  <si>
    <t>TS8000:2</t>
  </si>
  <si>
    <t>006304</t>
  </si>
  <si>
    <t>AF0063:04</t>
  </si>
  <si>
    <t>Report date: 1/29/2026 12:50 AM</t>
  </si>
  <si>
    <t>16</t>
  </si>
  <si>
    <t>14</t>
  </si>
  <si>
    <t>XT0562:1</t>
  </si>
  <si>
    <t>XT0563:4</t>
  </si>
  <si>
    <t>KA0241A1</t>
  </si>
  <si>
    <t>XT0563:5</t>
  </si>
  <si>
    <t>XT0563:6</t>
  </si>
  <si>
    <t>ESTOPB</t>
  </si>
  <si>
    <t>XT0563:1</t>
  </si>
  <si>
    <t>ESTOPA</t>
  </si>
  <si>
    <t>XT0563:2</t>
  </si>
  <si>
    <t>TCP18B1</t>
  </si>
  <si>
    <t>XT0563:8</t>
  </si>
  <si>
    <t>TCP18B2</t>
  </si>
  <si>
    <t>XT0563:9</t>
  </si>
  <si>
    <t>XT0562:2</t>
  </si>
  <si>
    <t>KA023612</t>
  </si>
  <si>
    <t>XT0563:3</t>
  </si>
  <si>
    <t>XT0060:1</t>
  </si>
  <si>
    <t>XT0060:2</t>
  </si>
  <si>
    <t>XT0110:3</t>
  </si>
  <si>
    <t>XT0110:2</t>
  </si>
  <si>
    <t>XT0130:3</t>
  </si>
  <si>
    <t>XT0130:2</t>
  </si>
  <si>
    <t>XT0130:4</t>
  </si>
  <si>
    <t>XT0140:3</t>
  </si>
  <si>
    <t>XT0140:2</t>
  </si>
  <si>
    <t>XT0140:4</t>
  </si>
  <si>
    <t>XT0180:1</t>
  </si>
  <si>
    <t>XT0180:2</t>
  </si>
  <si>
    <t>XT0233:1</t>
  </si>
  <si>
    <t>XT0233:2</t>
  </si>
  <si>
    <t>XT0233:3</t>
  </si>
  <si>
    <t>XT0235:1</t>
  </si>
  <si>
    <t>XT0235:3</t>
  </si>
  <si>
    <t>XT0240:11</t>
  </si>
  <si>
    <t>XT0240:12</t>
  </si>
  <si>
    <t>XT0240:9</t>
  </si>
  <si>
    <t>XT0240:10</t>
  </si>
  <si>
    <t>AF0061:COM</t>
  </si>
  <si>
    <t>AF0062:16</t>
  </si>
  <si>
    <t>SV2124-2</t>
  </si>
  <si>
    <t>XT0060:6</t>
  </si>
  <si>
    <t>AF0062:COM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</si>
  <si>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</si>
  <si>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</si>
  <si>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</si>
  <si>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</si>
  <si>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</si>
  <si>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</si>
  <si>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</si>
  <si>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</si>
  <si>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</si>
  <si>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</si>
  <si>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</si>
  <si>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</si>
  <si>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</si>
  <si>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AF0067:COM</t>
  </si>
  <si>
    <t>AU0070:COM</t>
  </si>
  <si>
    <t>AU0070:V+</t>
  </si>
  <si>
    <t>AF0076:12</t>
  </si>
  <si>
    <t>XT0237:1 B2</t>
  </si>
  <si>
    <t>AF0076:COM</t>
  </si>
  <si>
    <t>XT0070:1</t>
  </si>
  <si>
    <t>AF0182:03</t>
  </si>
  <si>
    <t>AF0182:35</t>
  </si>
  <si>
    <t>XT0240:2</t>
  </si>
  <si>
    <t>XT0240:1</t>
  </si>
  <si>
    <t>AF0141:16</t>
  </si>
  <si>
    <t>SV7621-2</t>
  </si>
  <si>
    <t>XT0572:4</t>
  </si>
  <si>
    <t>AF0141:20</t>
  </si>
  <si>
    <t>SV7641-2</t>
  </si>
  <si>
    <t>XT0572:5</t>
  </si>
  <si>
    <t>AF0141:22</t>
  </si>
  <si>
    <t>SV7643-2</t>
  </si>
  <si>
    <t>XT0572:10</t>
  </si>
  <si>
    <t>AF0141:COM</t>
  </si>
  <si>
    <t>AF0142:07</t>
  </si>
  <si>
    <t>XT0572:1</t>
  </si>
  <si>
    <t>AF0142:COM</t>
  </si>
  <si>
    <t>AU0140N</t>
  </si>
  <si>
    <t>AU0140:COM</t>
  </si>
  <si>
    <t>AF0142:V+</t>
  </si>
  <si>
    <t>AU0140P</t>
  </si>
  <si>
    <t>AU0140:V+</t>
  </si>
  <si>
    <t>AF0146:COM</t>
  </si>
  <si>
    <t>AF0181:COM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</si>
  <si>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</si>
  <si>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</si>
  <si>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</si>
  <si>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</si>
  <si>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</si>
  <si>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</si>
  <si>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</si>
  <si>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</si>
  <si>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AF0183:00</t>
  </si>
  <si>
    <t>XT0572:2</t>
  </si>
  <si>
    <t>AF0183:01</t>
  </si>
  <si>
    <t>XT0572:3</t>
  </si>
  <si>
    <t>AF0183:02</t>
  </si>
  <si>
    <t>XT0572:9</t>
  </si>
  <si>
    <t>AF0183N</t>
  </si>
  <si>
    <t>AF0185:COM</t>
  </si>
  <si>
    <t>AF0183P</t>
  </si>
  <si>
    <t>AF0185:V+</t>
  </si>
  <si>
    <t>AF0184:COM</t>
  </si>
  <si>
    <t>AF1201:COM</t>
  </si>
  <si>
    <t>AF1202:COM</t>
  </si>
  <si>
    <t>AU1200N</t>
  </si>
  <si>
    <t>AU1200:COM</t>
  </si>
  <si>
    <t>AF1202:V+</t>
  </si>
  <si>
    <t>AU1200P</t>
  </si>
  <si>
    <t>AU1200:V+</t>
  </si>
  <si>
    <t>XT0110:1</t>
  </si>
  <si>
    <t>XT0130:1</t>
  </si>
  <si>
    <t>XT0520:1</t>
  </si>
  <si>
    <t>XT0520:2</t>
  </si>
  <si>
    <t>XT0130:5</t>
  </si>
  <si>
    <t>KA0231A1</t>
  </si>
  <si>
    <t>XT0110:5</t>
  </si>
  <si>
    <t>XT0140:1</t>
  </si>
  <si>
    <t>12</t>
  </si>
  <si>
    <t>XT0570:1</t>
  </si>
  <si>
    <t>XT0570:2</t>
  </si>
  <si>
    <t>XT0235:4</t>
  </si>
  <si>
    <t>XT0240:4</t>
  </si>
  <si>
    <t>ESTOP</t>
  </si>
  <si>
    <t>XT0140:6</t>
  </si>
  <si>
    <t>XT0520:3</t>
  </si>
  <si>
    <t>XT0570:3</t>
  </si>
  <si>
    <t>XT0140:5</t>
  </si>
  <si>
    <t>AF0142:05</t>
  </si>
  <si>
    <t>UAI1426:11</t>
  </si>
  <si>
    <t>AF0142:06</t>
  </si>
  <si>
    <t>UAI1426:8</t>
  </si>
  <si>
    <t>AF0142:08</t>
  </si>
  <si>
    <t>UAI1428:8</t>
  </si>
  <si>
    <t>AF0142:09</t>
  </si>
  <si>
    <t>UAI1429:8</t>
  </si>
  <si>
    <t>AF0142:12</t>
  </si>
  <si>
    <t>UAI1831:8</t>
  </si>
  <si>
    <t>AF0142:13</t>
  </si>
  <si>
    <t>UAI1832:8</t>
  </si>
  <si>
    <t>AF0142:37</t>
  </si>
  <si>
    <t>UAI1426:10</t>
  </si>
  <si>
    <t>AF0142:38</t>
  </si>
  <si>
    <t>UAI1426:7</t>
  </si>
  <si>
    <t>AF0142:39</t>
  </si>
  <si>
    <t>UAI1428:10</t>
  </si>
  <si>
    <t>AF0142:40</t>
  </si>
  <si>
    <t>UAI1428:7</t>
  </si>
  <si>
    <t>AF0142:41</t>
  </si>
  <si>
    <t>UAI1429:7</t>
  </si>
  <si>
    <t>AF0142:44</t>
  </si>
  <si>
    <t>UAI1831:7</t>
  </si>
  <si>
    <t>AF0142:45</t>
  </si>
  <si>
    <t>UAI1832:7</t>
  </si>
  <si>
    <t>AF0183:32</t>
  </si>
  <si>
    <t>UAI1429:10</t>
  </si>
  <si>
    <t>AF0183:33</t>
  </si>
  <si>
    <t>UAI1831:10</t>
  </si>
  <si>
    <t>AF0183:34</t>
  </si>
  <si>
    <t>UAI1832:10</t>
  </si>
  <si>
    <t>UAI1428:11</t>
  </si>
  <si>
    <t>UAI1429:11</t>
  </si>
  <si>
    <t>UAI1831:11</t>
  </si>
  <si>
    <t>UAI1832:11</t>
  </si>
  <si>
    <t>RED</t>
  </si>
  <si>
    <t>AF0076:10</t>
  </si>
  <si>
    <t>KT014615</t>
  </si>
  <si>
    <t>KT0146:15</t>
  </si>
  <si>
    <t>AF0076:13</t>
  </si>
  <si>
    <t>KT0146B1</t>
  </si>
  <si>
    <t>KT0146:B1</t>
  </si>
  <si>
    <t>AF0076:29</t>
  </si>
  <si>
    <t>KT0146A2</t>
  </si>
  <si>
    <t>KT0146:A2</t>
  </si>
  <si>
    <t>AF0142:23</t>
  </si>
  <si>
    <t>KT0571:A2</t>
  </si>
  <si>
    <t>AF0183:16</t>
  </si>
  <si>
    <t>KT0572:A2</t>
  </si>
  <si>
    <t>AF0183:17</t>
  </si>
  <si>
    <t>KT0573:A2</t>
  </si>
  <si>
    <t>AF0183:18</t>
  </si>
  <si>
    <t>KT0574:A2</t>
  </si>
  <si>
    <t>XT0060:4</t>
  </si>
  <si>
    <t>SV2120-2</t>
  </si>
  <si>
    <t>AF0095:18</t>
  </si>
  <si>
    <t>XT9004K:4</t>
  </si>
  <si>
    <t>XT0136:3</t>
  </si>
  <si>
    <t>XT0136:1</t>
  </si>
  <si>
    <t>KT0571:A1</t>
  </si>
  <si>
    <t>KT0572:A1</t>
  </si>
  <si>
    <t>KT0573:A1</t>
  </si>
  <si>
    <t>KT0574:A1</t>
  </si>
  <si>
    <t>XT0573:2 B2</t>
  </si>
  <si>
    <t>KT057216</t>
  </si>
  <si>
    <t>KT0572:16</t>
  </si>
  <si>
    <t>XT0573:2 T1</t>
  </si>
  <si>
    <t>KT057316</t>
  </si>
  <si>
    <t>KT0574:16</t>
  </si>
  <si>
    <t>XT0573:2 T2</t>
  </si>
  <si>
    <t>KT0573:16</t>
  </si>
  <si>
    <t>AF0061:00</t>
  </si>
  <si>
    <t>KA0701:A1</t>
  </si>
  <si>
    <t>AF0061:04</t>
  </si>
  <si>
    <t>FCE21309</t>
  </si>
  <si>
    <t>XT9000K:5</t>
  </si>
  <si>
    <t>AF0061:12</t>
  </si>
  <si>
    <t>FCE14409</t>
  </si>
  <si>
    <t>XT9000K:3</t>
  </si>
  <si>
    <t>AF0061:14</t>
  </si>
  <si>
    <t>KA0234:14</t>
  </si>
  <si>
    <t>AF0061:16</t>
  </si>
  <si>
    <t>KA0701:A2</t>
  </si>
  <si>
    <t>AF0061:20</t>
  </si>
  <si>
    <t>FCE213010</t>
  </si>
  <si>
    <t>XT9000K:6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</si>
  <si>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</si>
  <si>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</si>
  <si>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</si>
  <si>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</si>
  <si>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</si>
  <si>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</si>
  <si>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</si>
  <si>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</si>
  <si>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</si>
  <si>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KA0222:14</t>
  </si>
  <si>
    <t>AF0062:02</t>
  </si>
  <si>
    <t>KA0233:14</t>
  </si>
  <si>
    <t>AF0062:04</t>
  </si>
  <si>
    <t>SV2121-1</t>
  </si>
  <si>
    <t>XT9000K:11</t>
  </si>
  <si>
    <t>AF0062:06</t>
  </si>
  <si>
    <t>SV2150-1</t>
  </si>
  <si>
    <t>XT9000K:13</t>
  </si>
  <si>
    <t>AF0062:08</t>
  </si>
  <si>
    <t>KA0233:24</t>
  </si>
  <si>
    <t>AF0062:18</t>
  </si>
  <si>
    <t>SV1420-B2</t>
  </si>
  <si>
    <t>XT9000K:10</t>
  </si>
  <si>
    <t>AF0062:20</t>
  </si>
  <si>
    <t>SV2121-2</t>
  </si>
  <si>
    <t>XT9000K:12</t>
  </si>
  <si>
    <t>AF0062:22</t>
  </si>
  <si>
    <t>SV2150-2</t>
  </si>
  <si>
    <t>XT9000K:14</t>
  </si>
  <si>
    <t>AF0062:24</t>
  </si>
  <si>
    <t>SV1420-A2</t>
  </si>
  <si>
    <t>XT9000K:8</t>
  </si>
  <si>
    <t>AF0062:40</t>
  </si>
  <si>
    <t>KA0233:22</t>
  </si>
  <si>
    <t>AF0062:V+</t>
  </si>
  <si>
    <t>FU0062:LD</t>
  </si>
  <si>
    <t>AF0063:02</t>
  </si>
  <si>
    <t>FCE213014</t>
  </si>
  <si>
    <t>XT9000K:22</t>
  </si>
  <si>
    <t>AF0063:03</t>
  </si>
  <si>
    <t>FCE213012</t>
  </si>
  <si>
    <t>XT9000K:20</t>
  </si>
  <si>
    <t>AF0063:06</t>
  </si>
  <si>
    <t>FCE144014</t>
  </si>
  <si>
    <t>XT9000K:18</t>
  </si>
  <si>
    <t>AF0063:07</t>
  </si>
  <si>
    <t>FCE144012</t>
  </si>
  <si>
    <t>XT9000K:16</t>
  </si>
  <si>
    <t>AF0063:14</t>
  </si>
  <si>
    <t>ZSC6310-2</t>
  </si>
  <si>
    <t>XT9002:11</t>
  </si>
  <si>
    <t>AF0063:15</t>
  </si>
  <si>
    <t>ZSC6311-2</t>
  </si>
  <si>
    <t>XT9002:14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</si>
  <si>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</si>
  <si>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</si>
  <si>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</si>
  <si>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</si>
  <si>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</si>
  <si>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</si>
  <si>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</si>
  <si>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</si>
  <si>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</si>
  <si>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</si>
  <si>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</si>
  <si>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</si>
  <si>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AF0063:46</t>
  </si>
  <si>
    <t>ZSC6310-1</t>
  </si>
  <si>
    <t>XT9002:10</t>
  </si>
  <si>
    <t>AF0063:47</t>
  </si>
  <si>
    <t>ZSC6311-1</t>
  </si>
  <si>
    <t>XT9002:13</t>
  </si>
  <si>
    <t>AF0066:V+</t>
  </si>
  <si>
    <t>FU0063:LD</t>
  </si>
  <si>
    <t>AF0067:08</t>
  </si>
  <si>
    <t>SV1720-1</t>
  </si>
  <si>
    <t>XT9000K:41</t>
  </si>
  <si>
    <t>AF0067:10</t>
  </si>
  <si>
    <t>SV1710-1</t>
  </si>
  <si>
    <t>XT9000K:43</t>
  </si>
  <si>
    <t>AF0067:12</t>
  </si>
  <si>
    <t>KA0134A1</t>
  </si>
  <si>
    <t>KA0134:A1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</si>
  <si>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</si>
  <si>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</si>
  <si>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</si>
  <si>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</si>
  <si>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</si>
  <si>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</si>
  <si>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</si>
  <si>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</si>
  <si>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AF0076:02</t>
  </si>
  <si>
    <t>KA0221:A1</t>
  </si>
  <si>
    <t>AF0076:04</t>
  </si>
  <si>
    <t>KA0222:A1</t>
  </si>
  <si>
    <t>AF0076:06</t>
  </si>
  <si>
    <t>KA0237:14</t>
  </si>
  <si>
    <t>AF0076:08</t>
  </si>
  <si>
    <t>KA1020:A1</t>
  </si>
  <si>
    <t>AF0076:11</t>
  </si>
  <si>
    <t>UA1200J14</t>
  </si>
  <si>
    <t>XT9000K:75</t>
  </si>
  <si>
    <t>AF0076:18</t>
  </si>
  <si>
    <t>KA0221:A2</t>
  </si>
  <si>
    <t>AF0076:20</t>
  </si>
  <si>
    <t>KA0222:A2</t>
  </si>
  <si>
    <t>AF0076:22</t>
  </si>
  <si>
    <t>FCE21308</t>
  </si>
  <si>
    <t>XT9000K:84</t>
  </si>
  <si>
    <t>AF0076:24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</si>
  <si>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</si>
  <si>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</si>
  <si>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</si>
  <si>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</si>
  <si>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</si>
  <si>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</si>
  <si>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</si>
  <si>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</si>
  <si>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</si>
  <si>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AF0141:04</t>
  </si>
  <si>
    <t>KA0532:21</t>
  </si>
  <si>
    <t>AF0141:06</t>
  </si>
  <si>
    <t>KA053421</t>
  </si>
  <si>
    <t>KA0534:21</t>
  </si>
  <si>
    <t>AF0141:12</t>
  </si>
  <si>
    <t>KA055311</t>
  </si>
  <si>
    <t>KA0553:11</t>
  </si>
  <si>
    <t>AF0141:14</t>
  </si>
  <si>
    <t>KA0531:11</t>
  </si>
  <si>
    <t>AF0141:28</t>
  </si>
  <si>
    <t>SV7602-2</t>
  </si>
  <si>
    <t>XT9002K:15</t>
  </si>
  <si>
    <t>AF0141:30</t>
  </si>
  <si>
    <t>SV7611-2</t>
  </si>
  <si>
    <t>XT9002K:7</t>
  </si>
  <si>
    <t>AF0141:32</t>
  </si>
  <si>
    <t>KA054011</t>
  </si>
  <si>
    <t>KA0540:11</t>
  </si>
  <si>
    <t>AF0141:36</t>
  </si>
  <si>
    <t>KA0541:11</t>
  </si>
  <si>
    <t>AF0141:38</t>
  </si>
  <si>
    <t>KA0542:11</t>
  </si>
  <si>
    <t>AF0141:V+</t>
  </si>
  <si>
    <t>FU0141:LD</t>
  </si>
  <si>
    <t>AF0146:02</t>
  </si>
  <si>
    <t>SV7631-1</t>
  </si>
  <si>
    <t>XT9002K:4</t>
  </si>
  <si>
    <t>AF0146:18</t>
  </si>
  <si>
    <t>SV7631-2</t>
  </si>
  <si>
    <t>XT9002K:5</t>
  </si>
  <si>
    <t>AF0146:V+</t>
  </si>
  <si>
    <t>FU0142:LD</t>
  </si>
  <si>
    <t>AF0181:00</t>
  </si>
  <si>
    <t>KA1810:A1</t>
  </si>
  <si>
    <t>AF0181:02</t>
  </si>
  <si>
    <t>KA1811:A1</t>
  </si>
  <si>
    <t>AF0181:04</t>
  </si>
  <si>
    <t>KA1812:A1</t>
  </si>
  <si>
    <t>AF0181:16</t>
  </si>
  <si>
    <t>KA1810:A2</t>
  </si>
  <si>
    <t>AF0181:18</t>
  </si>
  <si>
    <t>KA1811:A2</t>
  </si>
  <si>
    <t>AF0181:20</t>
  </si>
  <si>
    <t>KA1812:A2</t>
  </si>
  <si>
    <t>AF0181:V+</t>
  </si>
  <si>
    <t>FU0181:LD</t>
  </si>
  <si>
    <t>AF0182:00</t>
  </si>
  <si>
    <t>SB7510-2</t>
  </si>
  <si>
    <t>XT9002K:17</t>
  </si>
  <si>
    <t>AF0182:01</t>
  </si>
  <si>
    <t>SB7511-2</t>
  </si>
  <si>
    <t>XT9002K:19</t>
  </si>
  <si>
    <t>KA1823:11</t>
  </si>
  <si>
    <t>AF0182:32</t>
  </si>
  <si>
    <t>SB7510-1</t>
  </si>
  <si>
    <t>XT9002K:16</t>
  </si>
  <si>
    <t>AF0182:33</t>
  </si>
  <si>
    <t>SB7511-1</t>
  </si>
  <si>
    <t>XT9002K:18</t>
  </si>
  <si>
    <t>KA1823:14</t>
  </si>
  <si>
    <t>AF0184:00</t>
  </si>
  <si>
    <t>KA0550:A1</t>
  </si>
  <si>
    <t>AF0184:01</t>
  </si>
  <si>
    <t>KA0552:A1</t>
  </si>
  <si>
    <t>AF0184:02</t>
  </si>
  <si>
    <t>KA0551:A1</t>
  </si>
  <si>
    <t>AF0184:05</t>
  </si>
  <si>
    <t>KA0553:A1</t>
  </si>
  <si>
    <t>AF0184:16</t>
  </si>
  <si>
    <t>KA0550:A2</t>
  </si>
  <si>
    <t>AF0184:17</t>
  </si>
  <si>
    <t>KA0552:A2</t>
  </si>
  <si>
    <t>AF0184:18</t>
  </si>
  <si>
    <t>KA0551:A2</t>
  </si>
  <si>
    <t>AF0184:21</t>
  </si>
  <si>
    <t>KA0553:A2</t>
  </si>
  <si>
    <t>AF0184:V+</t>
  </si>
  <si>
    <t>FU0184:LD</t>
  </si>
  <si>
    <t>AF1201:V+</t>
  </si>
  <si>
    <t>FU0121:LD</t>
  </si>
  <si>
    <t>FU0060:LD</t>
  </si>
  <si>
    <t>FU0070:LD</t>
  </si>
  <si>
    <t>FU0140:LD</t>
  </si>
  <si>
    <t>FU0180:LD</t>
  </si>
  <si>
    <t>FU0120:LD</t>
  </si>
  <si>
    <t>XT0060:3</t>
  </si>
  <si>
    <t>UA1200J21</t>
  </si>
  <si>
    <t>KA0235:11</t>
  </si>
  <si>
    <t>XT9000K:79</t>
  </si>
  <si>
    <t>XT9001K:40</t>
  </si>
  <si>
    <t>XT9001K:42</t>
  </si>
  <si>
    <t>FU0113:LI</t>
  </si>
  <si>
    <t>FU0110:LI</t>
  </si>
  <si>
    <t>XT0138:4</t>
  </si>
  <si>
    <t>XT0134:4</t>
  </si>
  <si>
    <t>KA9984:A2</t>
  </si>
  <si>
    <t>KA9982:A2</t>
  </si>
  <si>
    <t>XT0139:4</t>
  </si>
  <si>
    <t>FU0130:LI</t>
  </si>
  <si>
    <t>KA0120:A2</t>
  </si>
  <si>
    <t>KA0120:A1</t>
  </si>
  <si>
    <t>FU0570:LI</t>
  </si>
  <si>
    <t>KA0535:A2</t>
  </si>
  <si>
    <t>KA0535:A1</t>
  </si>
  <si>
    <t>KA0531:A1</t>
  </si>
  <si>
    <t>XT0140:7</t>
  </si>
  <si>
    <t>KA0533:11</t>
  </si>
  <si>
    <t>FU0210:LD</t>
  </si>
  <si>
    <t>FU0212:LI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</si>
  <si>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</si>
  <si>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</si>
  <si>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</si>
  <si>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</si>
  <si>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</si>
  <si>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</si>
  <si>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</si>
  <si>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</si>
  <si>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</si>
  <si>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XT0237:1 T2</t>
  </si>
  <si>
    <t>KA0242:21</t>
  </si>
  <si>
    <t>ESTOPC</t>
  </si>
  <si>
    <t>KA0243:21</t>
  </si>
  <si>
    <t>KA0817:21</t>
  </si>
  <si>
    <t>KA0249:A2</t>
  </si>
  <si>
    <t>KA0236:11</t>
  </si>
  <si>
    <t>KA9984:11</t>
  </si>
  <si>
    <t>KA9982:11</t>
  </si>
  <si>
    <t>XT0240:13</t>
  </si>
  <si>
    <t>KA0236:12</t>
  </si>
  <si>
    <t>KA0817:24</t>
  </si>
  <si>
    <t>XT0240:3</t>
  </si>
  <si>
    <t>XT9000K:87</t>
  </si>
  <si>
    <t>KA0235:A1</t>
  </si>
  <si>
    <t>XT9000K:92</t>
  </si>
  <si>
    <t>XT0240:6</t>
  </si>
  <si>
    <t>KA0241:A1</t>
  </si>
  <si>
    <t>XT0240:7</t>
  </si>
  <si>
    <t>KA0243A1</t>
  </si>
  <si>
    <t>KA0243:A1</t>
  </si>
  <si>
    <t>KA9982:14</t>
  </si>
  <si>
    <t>XT0240:8</t>
  </si>
  <si>
    <t>KA0245A1</t>
  </si>
  <si>
    <t>KA0245:A1</t>
  </si>
  <si>
    <t>KA9984:14</t>
  </si>
  <si>
    <t>KA0542:A2</t>
  </si>
  <si>
    <t>XT9002K:13</t>
  </si>
  <si>
    <t>KA0540:A2</t>
  </si>
  <si>
    <t>XT9002K:9</t>
  </si>
  <si>
    <t>KA0541:A2</t>
  </si>
  <si>
    <t>XT9002K:11</t>
  </si>
  <si>
    <t>XT0573:1 B1</t>
  </si>
  <si>
    <t>SV7602-1</t>
  </si>
  <si>
    <t>XT9002K:14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</si>
  <si>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</si>
  <si>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</si>
  <si>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</si>
  <si>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</si>
  <si>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</si>
  <si>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</si>
  <si>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</si>
  <si>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</si>
  <si>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</si>
  <si>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UV0610:COM</t>
  </si>
  <si>
    <t>UV0611:COM</t>
  </si>
  <si>
    <t>FU0680:LI</t>
  </si>
  <si>
    <t>XT0680:2</t>
  </si>
  <si>
    <t>CONTROL CONSOLE DOOR (PWR DIST RAIL)</t>
  </si>
  <si>
    <t>XT0561:1</t>
  </si>
  <si>
    <t>XT0561:2</t>
  </si>
  <si>
    <t>XT0560:2</t>
  </si>
  <si>
    <t>AT0680:NEG</t>
  </si>
  <si>
    <t>AT0680:POS</t>
  </si>
  <si>
    <t>AT0680POS</t>
  </si>
  <si>
    <t>XT0680:1</t>
  </si>
  <si>
    <t>FU0190:LI</t>
  </si>
  <si>
    <t>FU0200LI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</si>
  <si>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</si>
  <si>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</si>
  <si>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</si>
  <si>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</si>
  <si>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</si>
  <si>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</si>
  <si>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</si>
  <si>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FU0190:LD</t>
  </si>
  <si>
    <t>AT0190:POS</t>
  </si>
  <si>
    <t>FU0273:LD</t>
  </si>
  <si>
    <t>ZS0271:1</t>
  </si>
  <si>
    <t>ZS0273:1</t>
  </si>
  <si>
    <t>EL0271:W1</t>
  </si>
  <si>
    <t>AT0190:NEG</t>
  </si>
  <si>
    <t>AF0081:37</t>
  </si>
  <si>
    <t>AF0081:05</t>
  </si>
  <si>
    <t>XT0138:2</t>
  </si>
  <si>
    <t>XT0134:2</t>
  </si>
  <si>
    <t>FU9999L1</t>
  </si>
  <si>
    <t>FU9999:LI</t>
  </si>
  <si>
    <t>XT0032:1</t>
  </si>
  <si>
    <t>XT0032:3</t>
  </si>
  <si>
    <t>XT0033:2</t>
  </si>
  <si>
    <t>XT0033:3</t>
  </si>
  <si>
    <t>10</t>
  </si>
  <si>
    <t>QS0011:LD-1</t>
  </si>
  <si>
    <t>UJ0131P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</si>
  <si>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</si>
  <si>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</si>
  <si>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</si>
  <si>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</si>
  <si>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</si>
  <si>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</si>
  <si>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</si>
  <si>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</si>
  <si>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</si>
  <si>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</si>
  <si>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UJ0031:IS</t>
  </si>
  <si>
    <t>UJ0131IS</t>
  </si>
  <si>
    <t>UJ0131:IS</t>
  </si>
  <si>
    <t>UJ0031:IOUT</t>
  </si>
  <si>
    <t>UJ0031IOUT</t>
  </si>
  <si>
    <t>AF0094:10</t>
  </si>
  <si>
    <t>UJ0031:OK1</t>
  </si>
  <si>
    <t>UJ0031OK1</t>
  </si>
  <si>
    <t>AF0091:42</t>
  </si>
  <si>
    <t>UJ0031:OK2</t>
  </si>
  <si>
    <t>UJ0031OK2</t>
  </si>
  <si>
    <t>AF0091:10</t>
  </si>
  <si>
    <t>UJ0031:VIN</t>
  </si>
  <si>
    <t>UJ0031VIN</t>
  </si>
  <si>
    <t>AF0094:08</t>
  </si>
  <si>
    <t>UJ0131:IOUT</t>
  </si>
  <si>
    <t>UJ0131IOUT</t>
  </si>
  <si>
    <t>AF0094:06</t>
  </si>
  <si>
    <t>UJ0131:OK1</t>
  </si>
  <si>
    <t>UJ0131OK1</t>
  </si>
  <si>
    <t>AF0091:41</t>
  </si>
  <si>
    <t>UJ0131:OK2</t>
  </si>
  <si>
    <t>UJ0131OK2</t>
  </si>
  <si>
    <t>AF0091:09</t>
  </si>
  <si>
    <t>UJ0131:VIN</t>
  </si>
  <si>
    <t>UJ0131VIN</t>
  </si>
  <si>
    <t>AF0094:04</t>
  </si>
  <si>
    <t>XT0085:1</t>
  </si>
  <si>
    <t>XT0085:3</t>
  </si>
  <si>
    <t>FU0136:LI</t>
  </si>
  <si>
    <t>XT0134:1</t>
  </si>
  <si>
    <t>CONTROL CONSOLE^(ORBIT 60 RACK DOOR PANEL)</t>
  </si>
  <si>
    <t>AP0612:ARM</t>
  </si>
  <si>
    <t>AF0082:38</t>
  </si>
  <si>
    <t>AP0612:NO</t>
  </si>
  <si>
    <t>AF0082:06</t>
  </si>
  <si>
    <t>AP0628:ARM1</t>
  </si>
  <si>
    <t>AF0082:39</t>
  </si>
  <si>
    <t>AP0628:ARM2</t>
  </si>
  <si>
    <t>AF0082:40</t>
  </si>
  <si>
    <t>AP0628:ARM3</t>
  </si>
  <si>
    <t>AF0082:41</t>
  </si>
  <si>
    <t>AP0628:NO1</t>
  </si>
  <si>
    <t>AF0082:07</t>
  </si>
  <si>
    <t>AP0628:NO2</t>
  </si>
  <si>
    <t>AF0082:08</t>
  </si>
  <si>
    <t>AP0628:NO3</t>
  </si>
  <si>
    <t>AF0082:09</t>
  </si>
  <si>
    <t>AP0612:COM</t>
  </si>
  <si>
    <t>KA0701:14</t>
  </si>
  <si>
    <t>AP0612:TM</t>
  </si>
  <si>
    <t>KA0701:11</t>
  </si>
  <si>
    <t>UV0610:+DC</t>
  </si>
  <si>
    <t>FU0111:LD</t>
  </si>
  <si>
    <t>UV0611:+DC</t>
  </si>
  <si>
    <t>FU0112:LD</t>
  </si>
  <si>
    <t>XT0135:1</t>
  </si>
  <si>
    <t>XT0135:2</t>
  </si>
  <si>
    <t>XT0135:3</t>
  </si>
  <si>
    <t>XT0135:4</t>
  </si>
  <si>
    <t>XT0138:1</t>
  </si>
  <si>
    <t>XT0139:1</t>
  </si>
  <si>
    <t>XT0139:2</t>
  </si>
  <si>
    <t>XT0139:3</t>
  </si>
  <si>
    <t>XT9000K:88</t>
  </si>
  <si>
    <t>XT9000K:91</t>
  </si>
  <si>
    <t>FU0010:LI</t>
  </si>
  <si>
    <t>FU0139:LI</t>
  </si>
  <si>
    <t>FU0080:LI</t>
  </si>
  <si>
    <t>FU0082:LD</t>
  </si>
  <si>
    <t>XT9002:4</t>
  </si>
  <si>
    <t>FU0090:LI</t>
  </si>
  <si>
    <t>FU0111:LI</t>
  </si>
  <si>
    <t>FU0110:LD</t>
  </si>
  <si>
    <t>FU0120:LI</t>
  </si>
  <si>
    <t>FU0130:LD</t>
  </si>
  <si>
    <t>FU0137:LD</t>
  </si>
  <si>
    <t>FU0137:LI</t>
  </si>
  <si>
    <t>FU0140:LI</t>
  </si>
  <si>
    <t>FU0570:LD</t>
  </si>
  <si>
    <t>FU0142:LI</t>
  </si>
  <si>
    <t>FU0180:LI</t>
  </si>
  <si>
    <t>FU0170:LD</t>
  </si>
  <si>
    <t>KA0232:21</t>
  </si>
  <si>
    <t>FU0170:LI</t>
  </si>
  <si>
    <t>FU0210:LI</t>
  </si>
  <si>
    <t>FU0211:LD</t>
  </si>
  <si>
    <t>KA1020:14</t>
  </si>
  <si>
    <t>FU0211:LI</t>
  </si>
  <si>
    <t>KA0248:11</t>
  </si>
  <si>
    <t>FU0271:LI</t>
  </si>
  <si>
    <t>FU0272:LI</t>
  </si>
  <si>
    <t>KA0130:A1</t>
  </si>
  <si>
    <t>KA0130:11</t>
  </si>
  <si>
    <t>KA0130:A2</t>
  </si>
  <si>
    <t>UA1200J26</t>
  </si>
  <si>
    <t>XT9000K:77</t>
  </si>
  <si>
    <t>KA0131:12</t>
  </si>
  <si>
    <t>KA013724</t>
  </si>
  <si>
    <t>KA0137:24</t>
  </si>
  <si>
    <t>KA0131:A1</t>
  </si>
  <si>
    <t>KA0242:11</t>
  </si>
  <si>
    <t>KA0132:A1</t>
  </si>
  <si>
    <t>KA0131:A2</t>
  </si>
  <si>
    <t>KA0132:A2</t>
  </si>
  <si>
    <t>KA0132:11</t>
  </si>
  <si>
    <t>KA0132:12</t>
  </si>
  <si>
    <t>KT0141A1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</si>
  <si>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</si>
  <si>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</si>
  <si>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</si>
  <si>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</si>
  <si>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</si>
  <si>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</si>
  <si>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</si>
  <si>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</si>
  <si>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KA0133:A2</t>
  </si>
  <si>
    <t>KA0134:A2</t>
  </si>
  <si>
    <t>KA0144:A2</t>
  </si>
  <si>
    <t>KA0136:A1</t>
  </si>
  <si>
    <t>PS3200-2</t>
  </si>
  <si>
    <t>XT9001K:44</t>
  </si>
  <si>
    <t>KA0136:A2</t>
  </si>
  <si>
    <t>KA0137:A2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</si>
  <si>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</si>
  <si>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</si>
  <si>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</si>
  <si>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</si>
  <si>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</si>
  <si>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</si>
  <si>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</si>
  <si>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</si>
  <si>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KA0176:A1</t>
  </si>
  <si>
    <t>KA0176:A2</t>
  </si>
  <si>
    <t>KA0221:11</t>
  </si>
  <si>
    <t>KA022111</t>
  </si>
  <si>
    <t>KA0235:24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</si>
  <si>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</si>
  <si>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</si>
  <si>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</si>
  <si>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</si>
  <si>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</si>
  <si>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</si>
  <si>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</si>
  <si>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</si>
  <si>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</si>
  <si>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</si>
  <si>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</si>
  <si>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</si>
  <si>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</si>
  <si>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KA0232:22</t>
  </si>
  <si>
    <t>KA023222</t>
  </si>
  <si>
    <t>KA0144:21</t>
  </si>
  <si>
    <t>KA0249:11</t>
  </si>
  <si>
    <t>KA0233:11</t>
  </si>
  <si>
    <t>SV1420-B1</t>
  </si>
  <si>
    <t>XT9000K:9</t>
  </si>
  <si>
    <t>KA0233:21</t>
  </si>
  <si>
    <t>SV1420-A1</t>
  </si>
  <si>
    <t>XT9000K:7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</si>
  <si>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</si>
  <si>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</si>
  <si>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</si>
  <si>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</si>
  <si>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</si>
  <si>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</si>
  <si>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</si>
  <si>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</si>
  <si>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</si>
  <si>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</si>
  <si>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</si>
  <si>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XT9001K:39</t>
  </si>
  <si>
    <t>KA0244:11</t>
  </si>
  <si>
    <t>KA0236:21</t>
  </si>
  <si>
    <t>SV2124-1</t>
  </si>
  <si>
    <t>XT9001K:41</t>
  </si>
  <si>
    <t>KA0237:11</t>
  </si>
  <si>
    <t>FCE21307</t>
  </si>
  <si>
    <t>XT9000K:83</t>
  </si>
  <si>
    <t>KA0240:A1</t>
  </si>
  <si>
    <t>KA0240:A2</t>
  </si>
  <si>
    <t>KA0240:11</t>
  </si>
  <si>
    <t>UF1300-D2P</t>
  </si>
  <si>
    <t>XT9001K:33</t>
  </si>
  <si>
    <t>KA0240:14</t>
  </si>
  <si>
    <t>SB1300-111</t>
  </si>
  <si>
    <t>XT9001K:31</t>
  </si>
  <si>
    <t>KA0248:A1</t>
  </si>
  <si>
    <t>KA0248:A2</t>
  </si>
  <si>
    <t>KA0231:24</t>
  </si>
  <si>
    <t>KA0241:A2</t>
  </si>
  <si>
    <t>KA0250:A2</t>
  </si>
  <si>
    <t>KA0242:24</t>
  </si>
  <si>
    <t>KA024812</t>
  </si>
  <si>
    <t>KA0248:12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</si>
  <si>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</si>
  <si>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</si>
  <si>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</si>
  <si>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</si>
  <si>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</si>
  <si>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</si>
  <si>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</si>
  <si>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</si>
  <si>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</si>
  <si>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</si>
  <si>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KA0250:A1</t>
  </si>
  <si>
    <t>KA0531:14</t>
  </si>
  <si>
    <t>SV7611-1</t>
  </si>
  <si>
    <t>XT9002K:6</t>
  </si>
  <si>
    <t>KA0531:A2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</si>
  <si>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</si>
  <si>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</si>
  <si>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</si>
  <si>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</si>
  <si>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</si>
  <si>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</si>
  <si>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</si>
  <si>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</si>
  <si>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</si>
  <si>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</si>
  <si>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</si>
  <si>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</si>
  <si>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</si>
  <si>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</si>
  <si>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</si>
  <si>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</si>
  <si>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</si>
  <si>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</si>
  <si>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</si>
  <si>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</si>
  <si>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</si>
  <si>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</si>
  <si>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</si>
  <si>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</si>
  <si>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</si>
  <si>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</si>
  <si>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KA0550:14</t>
  </si>
  <si>
    <t>SV7621-1</t>
  </si>
  <si>
    <t>XT9002K:8</t>
  </si>
  <si>
    <t>KA0551:14</t>
  </si>
  <si>
    <t>SV7643-1</t>
  </si>
  <si>
    <t>XT9002K:12</t>
  </si>
  <si>
    <t>KA0552:14</t>
  </si>
  <si>
    <t>SV7641-1</t>
  </si>
  <si>
    <t>XT9002K:10</t>
  </si>
  <si>
    <t>KA0817:A1</t>
  </si>
  <si>
    <t>SB7512-1</t>
  </si>
  <si>
    <t>XT9002K:22</t>
  </si>
  <si>
    <t>KA0817:A2</t>
  </si>
  <si>
    <t>SB7512-2</t>
  </si>
  <si>
    <t>XT9002K:23</t>
  </si>
  <si>
    <t>KA1020:11</t>
  </si>
  <si>
    <t>LZ1020-B</t>
  </si>
  <si>
    <t>XT9001K:36</t>
  </si>
  <si>
    <t>KA1020:21</t>
  </si>
  <si>
    <t>LZ1020-A</t>
  </si>
  <si>
    <t>XT9001K:37</t>
  </si>
  <si>
    <t>KA1020:24</t>
  </si>
  <si>
    <t>KA1810:11</t>
  </si>
  <si>
    <t>CC9001-1</t>
  </si>
  <si>
    <t>XT9002K:27</t>
  </si>
  <si>
    <t>KA1810:14</t>
  </si>
  <si>
    <t>CC9001-2</t>
  </si>
  <si>
    <t>XT9002K:28</t>
  </si>
  <si>
    <t>KA1811:11</t>
  </si>
  <si>
    <t>CC9002-1</t>
  </si>
  <si>
    <t>XT9002K:29</t>
  </si>
  <si>
    <t>KA1811:14</t>
  </si>
  <si>
    <t>CC9002-2</t>
  </si>
  <si>
    <t>XT9002K:30</t>
  </si>
  <si>
    <t>KA1812:11</t>
  </si>
  <si>
    <t>CC9005-1</t>
  </si>
  <si>
    <t>XT9002K:31</t>
  </si>
  <si>
    <t>KA1812:14</t>
  </si>
  <si>
    <t>CC9005-2</t>
  </si>
  <si>
    <t>XT9002K:32</t>
  </si>
  <si>
    <t>KA1823:A1</t>
  </si>
  <si>
    <t>SB7513-1</t>
  </si>
  <si>
    <t>XT9002K:20</t>
  </si>
  <si>
    <t>KA1823:A2</t>
  </si>
  <si>
    <t>SB7513-2</t>
  </si>
  <si>
    <t>XT9002K:21</t>
  </si>
  <si>
    <t>ESTOPD</t>
  </si>
  <si>
    <t>XT9001K:32</t>
  </si>
  <si>
    <t>SB1300-211</t>
  </si>
  <si>
    <t>XT9001K:34</t>
  </si>
  <si>
    <t>FU0271:LD</t>
  </si>
  <si>
    <t>UV0271-P</t>
  </si>
  <si>
    <t>UV0271:8+</t>
  </si>
  <si>
    <t>FU0272:LD</t>
  </si>
  <si>
    <t>UV0274-P</t>
  </si>
  <si>
    <t>UV0274:8+</t>
  </si>
  <si>
    <t>UV0271:9-</t>
  </si>
  <si>
    <t>UV0274:9-</t>
  </si>
  <si>
    <t>FU0010:LD</t>
  </si>
  <si>
    <t>UV0600:(+)</t>
  </si>
  <si>
    <t>FU0080:LD</t>
  </si>
  <si>
    <t>AU0080:V+</t>
  </si>
  <si>
    <t>FU0090:LD</t>
  </si>
  <si>
    <t>AU0090:V+</t>
  </si>
  <si>
    <t>FU0091:LD</t>
  </si>
  <si>
    <t>AF0092:V+</t>
  </si>
  <si>
    <t>FU0092:LD</t>
  </si>
  <si>
    <t>AF0093:V+</t>
  </si>
  <si>
    <t>FU0093:LD</t>
  </si>
  <si>
    <t>AF0095:V+</t>
  </si>
  <si>
    <t>FU0113:LD</t>
  </si>
  <si>
    <t>XT9004K:7</t>
  </si>
  <si>
    <t>FU0139:LD</t>
  </si>
  <si>
    <t>KA0130:14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</si>
  <si>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</si>
  <si>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</si>
  <si>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</si>
  <si>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</si>
  <si>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</si>
  <si>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</si>
  <si>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</si>
  <si>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</si>
  <si>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KT0145:A2</t>
  </si>
  <si>
    <t>KT0145:15</t>
  </si>
  <si>
    <t>KT0142:A1</t>
  </si>
  <si>
    <t>KA0132:21</t>
  </si>
  <si>
    <t>KA0138A1</t>
  </si>
  <si>
    <t>KA0138:A1</t>
  </si>
  <si>
    <t>KT0141:18</t>
  </si>
  <si>
    <t>KA0133:A1</t>
  </si>
  <si>
    <t>KA0133A1</t>
  </si>
  <si>
    <t>AF0092:02</t>
  </si>
  <si>
    <t>AF0091:12</t>
  </si>
  <si>
    <t>KA0136:14</t>
  </si>
  <si>
    <t>KA013821</t>
  </si>
  <si>
    <t>KA0138:21</t>
  </si>
  <si>
    <t>KA0136:21</t>
  </si>
  <si>
    <t>KA013621</t>
  </si>
  <si>
    <t>AF0087:43</t>
  </si>
  <si>
    <t>KA0136:24</t>
  </si>
  <si>
    <t>KA013624</t>
  </si>
  <si>
    <t>AF0087:11</t>
  </si>
  <si>
    <t>KA0135:A2</t>
  </si>
  <si>
    <t>AF0087:09</t>
  </si>
  <si>
    <t>KA0137:A1</t>
  </si>
  <si>
    <t>KA0137A1</t>
  </si>
  <si>
    <t>KT0142:18</t>
  </si>
  <si>
    <t>KA0138:A2</t>
  </si>
  <si>
    <t>KA0141:11</t>
  </si>
  <si>
    <t>KA014111</t>
  </si>
  <si>
    <t>AF0091:39</t>
  </si>
  <si>
    <t>KA0141:14</t>
  </si>
  <si>
    <t>KA014114</t>
  </si>
  <si>
    <t>AF0091:07</t>
  </si>
  <si>
    <t>KT0146:A1</t>
  </si>
  <si>
    <t>XT0136:2</t>
  </si>
  <si>
    <t>KA0144:A1</t>
  </si>
  <si>
    <t>KA0176:11</t>
  </si>
  <si>
    <t>KA017611</t>
  </si>
  <si>
    <t>XT0171:1</t>
  </si>
  <si>
    <t>KA0176:14</t>
  </si>
  <si>
    <t>AF0093:36</t>
  </si>
  <si>
    <t>KA0177:11</t>
  </si>
  <si>
    <t>KA017711</t>
  </si>
  <si>
    <t>XT0171:5</t>
  </si>
  <si>
    <t>KA0177:14</t>
  </si>
  <si>
    <t>AF0093:37</t>
  </si>
  <si>
    <t>KA0221:14</t>
  </si>
  <si>
    <t>AF0095:02</t>
  </si>
  <si>
    <t>KT0146:18</t>
  </si>
  <si>
    <t>KA0239:21</t>
  </si>
  <si>
    <t>KA023921</t>
  </si>
  <si>
    <t>AF0081:41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</si>
  <si>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</si>
  <si>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</si>
  <si>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</si>
  <si>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</si>
  <si>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</si>
  <si>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</si>
  <si>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</si>
  <si>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</si>
  <si>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</si>
  <si>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</si>
  <si>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</si>
  <si>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</si>
  <si>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</si>
  <si>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</si>
  <si>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</si>
  <si>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</si>
  <si>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</si>
  <si>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</si>
  <si>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</si>
  <si>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</si>
  <si>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</si>
  <si>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</si>
  <si>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</si>
  <si>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</si>
  <si>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</si>
  <si>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</si>
  <si>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</si>
  <si>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</si>
  <si>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KA0533:12</t>
  </si>
  <si>
    <t>KA053312</t>
  </si>
  <si>
    <t>KT0573:15</t>
  </si>
  <si>
    <t>KA0817:11</t>
  </si>
  <si>
    <t>AF0081:07</t>
  </si>
  <si>
    <t>KA0817:14</t>
  </si>
  <si>
    <t>AF0081:39</t>
  </si>
  <si>
    <t>KA9982:A1</t>
  </si>
  <si>
    <t>KA9982A1</t>
  </si>
  <si>
    <t>K9982C:14</t>
  </si>
  <si>
    <t>KA9984:A1</t>
  </si>
  <si>
    <t>KA9984A1</t>
  </si>
  <si>
    <t>K9984C:14</t>
  </si>
  <si>
    <t>UV0600:(-)</t>
  </si>
  <si>
    <t>XT0081:1</t>
  </si>
  <si>
    <t>XT0080:1</t>
  </si>
  <si>
    <t>AF0094:07</t>
  </si>
  <si>
    <t>AF0094:05</t>
  </si>
  <si>
    <t>XT9000K:100</t>
  </si>
  <si>
    <t>PS3150-2</t>
  </si>
  <si>
    <t>AF0082:00</t>
  </si>
  <si>
    <t>XT9000K:101</t>
  </si>
  <si>
    <t>PDS6210-1</t>
  </si>
  <si>
    <t>AF0082:45</t>
  </si>
  <si>
    <t>XT9000K:102</t>
  </si>
  <si>
    <t>PDS6210-2</t>
  </si>
  <si>
    <t>AF0082:13</t>
  </si>
  <si>
    <t>XT9000K:125</t>
  </si>
  <si>
    <t>FT21082</t>
  </si>
  <si>
    <t>AF0086:12</t>
  </si>
  <si>
    <t>XT9000K:127</t>
  </si>
  <si>
    <t>FT2108S</t>
  </si>
  <si>
    <t>AF0086:60</t>
  </si>
  <si>
    <t>XT9000K:78</t>
  </si>
  <si>
    <t>UA1200J27</t>
  </si>
  <si>
    <t>AF0081:19</t>
  </si>
  <si>
    <t>XT9000K:85</t>
  </si>
  <si>
    <t>SB047221</t>
  </si>
  <si>
    <t>AF0081:38</t>
  </si>
  <si>
    <t>XT9000K:86</t>
  </si>
  <si>
    <t>SB047222</t>
  </si>
  <si>
    <t>AF0081:06</t>
  </si>
  <si>
    <t>XT9000K:89</t>
  </si>
  <si>
    <t>SB047321</t>
  </si>
  <si>
    <t>AF0081:36</t>
  </si>
  <si>
    <t>XT9000K:90</t>
  </si>
  <si>
    <t>SB047322</t>
  </si>
  <si>
    <t>AF0081:04</t>
  </si>
  <si>
    <t>XT9000K:93</t>
  </si>
  <si>
    <t>SA047523</t>
  </si>
  <si>
    <t>AF0082:44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</si>
  <si>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</si>
  <si>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</si>
  <si>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</si>
  <si>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</si>
  <si>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</si>
  <si>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</si>
  <si>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</si>
  <si>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</si>
  <si>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</si>
  <si>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</si>
  <si>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</si>
  <si>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AF0082:34</t>
  </si>
  <si>
    <t>XT9000K:98</t>
  </si>
  <si>
    <t>PS3170-2</t>
  </si>
  <si>
    <t>AF0082:02</t>
  </si>
  <si>
    <t>XT9000K:99</t>
  </si>
  <si>
    <t>PS3150-1</t>
  </si>
  <si>
    <t>AF0082:32</t>
  </si>
  <si>
    <t>XT9001K:19</t>
  </si>
  <si>
    <t>SB6200-23</t>
  </si>
  <si>
    <t>AF0087:37</t>
  </si>
  <si>
    <t>XT9001K:20</t>
  </si>
  <si>
    <t>SB6200-24</t>
  </si>
  <si>
    <t>AF0087:05</t>
  </si>
  <si>
    <t>XT9001K:21</t>
  </si>
  <si>
    <t>SB3170-112</t>
  </si>
  <si>
    <t>AF0091:32</t>
  </si>
  <si>
    <t>XT9001K:22</t>
  </si>
  <si>
    <t>SB3170-111</t>
  </si>
  <si>
    <t>AF0091:00</t>
  </si>
  <si>
    <t>XT9001K:23</t>
  </si>
  <si>
    <t>HL6200-1</t>
  </si>
  <si>
    <t>AF0093:15</t>
  </si>
  <si>
    <t>XT9001K:24</t>
  </si>
  <si>
    <t>HL6200-2</t>
  </si>
  <si>
    <t>AF0093:31</t>
  </si>
  <si>
    <t>XT9001K:25</t>
  </si>
  <si>
    <t>HA1300-2</t>
  </si>
  <si>
    <t>AF0095:00</t>
  </si>
  <si>
    <t>XT9001K:26</t>
  </si>
  <si>
    <t>HA1300-1</t>
  </si>
  <si>
    <t>AF0095:16</t>
  </si>
  <si>
    <t>XT9001K:27</t>
  </si>
  <si>
    <t>CC9982-1</t>
  </si>
  <si>
    <t>K9982C:A1</t>
  </si>
  <si>
    <t>XT9001K:28</t>
  </si>
  <si>
    <t>CC9982-2</t>
  </si>
  <si>
    <t>K9982C:A2</t>
  </si>
  <si>
    <t>XT9001K:29</t>
  </si>
  <si>
    <t>CC9984-1</t>
  </si>
  <si>
    <t>K9984C:A1</t>
  </si>
  <si>
    <t>XT9001K:30</t>
  </si>
  <si>
    <t>CC9984-2</t>
  </si>
  <si>
    <t>K9984C:A2</t>
  </si>
  <si>
    <t>XT9001K:43</t>
  </si>
  <si>
    <t>XT9002:5</t>
  </si>
  <si>
    <t>XT0080:2</t>
  </si>
  <si>
    <t>XT0081:2</t>
  </si>
  <si>
    <t>AU0080:COM</t>
  </si>
  <si>
    <t>AF0091:COM</t>
  </si>
  <si>
    <t>AF0091N</t>
  </si>
  <si>
    <t>AF0094:COM</t>
  </si>
  <si>
    <t>AU0090:COM</t>
  </si>
  <si>
    <t>AF0091:V+</t>
  </si>
  <si>
    <t>AF0091P</t>
  </si>
  <si>
    <t>AF0094:V+</t>
  </si>
  <si>
    <t>AF0092:08</t>
  </si>
  <si>
    <t>KA3103:A1</t>
  </si>
  <si>
    <t>AF0092:24</t>
  </si>
  <si>
    <t>KA3103:A2</t>
  </si>
  <si>
    <t>AF0092:COM</t>
  </si>
  <si>
    <t>AF0093:04</t>
  </si>
  <si>
    <t>XT0171:2</t>
  </si>
  <si>
    <t>AF0093:05</t>
  </si>
  <si>
    <t>XT0171:6</t>
  </si>
  <si>
    <t>AF0093:12</t>
  </si>
  <si>
    <t>PC0470:INP_A</t>
  </si>
  <si>
    <t>AF0093:20</t>
  </si>
  <si>
    <t>KA6211:A2</t>
  </si>
  <si>
    <t>AF0093:21</t>
  </si>
  <si>
    <t>KA6212:A2</t>
  </si>
  <si>
    <t>AF0093:28</t>
  </si>
  <si>
    <t>PC0470:-PWR</t>
  </si>
  <si>
    <t>AF0093:44</t>
  </si>
  <si>
    <t>PC0470:+PWR</t>
  </si>
  <si>
    <t>AF0093:COM</t>
  </si>
  <si>
    <t>AF0094:00</t>
  </si>
  <si>
    <t>XT0085:2</t>
  </si>
  <si>
    <t>AF0094:01</t>
  </si>
  <si>
    <t>AF0094N</t>
  </si>
  <si>
    <t>AF0096:COM</t>
  </si>
  <si>
    <t>AF0094P</t>
  </si>
  <si>
    <t>AF0096:V+</t>
  </si>
  <si>
    <t>AF0095:COM</t>
  </si>
  <si>
    <t>KA0135:11</t>
  </si>
  <si>
    <t>KM3150-EN</t>
  </si>
  <si>
    <t>XT9004K:2</t>
  </si>
  <si>
    <t>KA0135:12</t>
  </si>
  <si>
    <t>KM3150-EP</t>
  </si>
  <si>
    <t>XT9004K:1</t>
  </si>
  <si>
    <t>KA0138:11</t>
  </si>
  <si>
    <t>KA0138:12</t>
  </si>
  <si>
    <t>SB3170-212</t>
  </si>
  <si>
    <t>XT9004K:6</t>
  </si>
  <si>
    <t>KA0138:24</t>
  </si>
  <si>
    <t>KT0144B1</t>
  </si>
  <si>
    <t>KT0144:B1</t>
  </si>
  <si>
    <t>KA3103:11</t>
  </si>
  <si>
    <t>KM3103-EN</t>
  </si>
  <si>
    <t>XT9004K:8</t>
  </si>
  <si>
    <t>KA3103:14</t>
  </si>
  <si>
    <t>H3103-T2</t>
  </si>
  <si>
    <t>XT9004K:5</t>
  </si>
  <si>
    <t>KA6211:11</t>
  </si>
  <si>
    <t>KM6211-EN</t>
  </si>
  <si>
    <t>XT9004K:10</t>
  </si>
  <si>
    <t>KA6211:14</t>
  </si>
  <si>
    <t>KM6211-EP</t>
  </si>
  <si>
    <t>XT9004K:9</t>
  </si>
  <si>
    <t>KA6212:11</t>
  </si>
  <si>
    <t>KM6212-EN</t>
  </si>
  <si>
    <t>XT9004K:12</t>
  </si>
  <si>
    <t>KA6212:14</t>
  </si>
  <si>
    <t>KM6212-EP</t>
  </si>
  <si>
    <t>XT9004K:11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</si>
  <si>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</si>
  <si>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</si>
  <si>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</si>
  <si>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</si>
  <si>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</si>
  <si>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</si>
  <si>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</si>
  <si>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</si>
  <si>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</si>
  <si>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</si>
  <si>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</si>
  <si>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</si>
  <si>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</si>
  <si>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</si>
  <si>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</si>
  <si>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</si>
  <si>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</si>
  <si>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KT0572:15</t>
  </si>
  <si>
    <t>KT0574:15</t>
  </si>
  <si>
    <t>XT9004K:3</t>
  </si>
  <si>
    <t>AF0087:10</t>
  </si>
  <si>
    <t>UAI0814:8</t>
  </si>
  <si>
    <t>AF0087:42</t>
  </si>
  <si>
    <t>UAI0814:7</t>
  </si>
  <si>
    <t>BUOS BOX</t>
  </si>
  <si>
    <t>UA1200:J1-10</t>
  </si>
  <si>
    <t>XT1200:10</t>
  </si>
  <si>
    <t>UA1200:J1-4</t>
  </si>
  <si>
    <t>XT1200:4</t>
  </si>
  <si>
    <t>UA1200:J1-5</t>
  </si>
  <si>
    <t>XT1200:5</t>
  </si>
  <si>
    <t>UA1200:J1-8</t>
  </si>
  <si>
    <t>UA1200J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</si>
  <si>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</si>
  <si>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</si>
  <si>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</si>
  <si>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</si>
  <si>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</si>
  <si>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</si>
  <si>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</si>
  <si>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</si>
  <si>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</si>
  <si>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</si>
  <si>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</si>
  <si>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CONTROL CONSOLE  &amp;  CONTROL CONSOLE (DOOR PANELS)</t>
  </si>
  <si>
    <t>EL0271:B1</t>
  </si>
  <si>
    <t>ZS0273:2</t>
  </si>
  <si>
    <t>EL0271:B2</t>
  </si>
  <si>
    <t>EL0271B</t>
  </si>
  <si>
    <t>EL0272:B1</t>
  </si>
  <si>
    <t>EL0271:W2</t>
  </si>
  <si>
    <t>EL0271W</t>
  </si>
  <si>
    <t>EL0272:W1</t>
  </si>
  <si>
    <t>EL0272:B2</t>
  </si>
  <si>
    <t>EL0272B</t>
  </si>
  <si>
    <t>ZS0271:2</t>
  </si>
  <si>
    <t>UAI0814:1+</t>
  </si>
  <si>
    <t>ZS6151P</t>
  </si>
  <si>
    <t>XT8001KI:76</t>
  </si>
  <si>
    <t>UAI0814:3-</t>
  </si>
  <si>
    <t>ZS61551</t>
  </si>
  <si>
    <t>XT8001KI:77</t>
  </si>
  <si>
    <t>UAI1426:1+</t>
  </si>
  <si>
    <t>ZSO7601-1</t>
  </si>
  <si>
    <t>XT8001KI:107</t>
  </si>
  <si>
    <t>UAI1426:3-</t>
  </si>
  <si>
    <t>ZSO7601-2</t>
  </si>
  <si>
    <t>XT8001KI:108</t>
  </si>
  <si>
    <t>UAI1426:4+</t>
  </si>
  <si>
    <t>ZSC7601-1</t>
  </si>
  <si>
    <t>XT8001KI:109</t>
  </si>
  <si>
    <t>UAI1426:6-</t>
  </si>
  <si>
    <t>ZSC7601-2</t>
  </si>
  <si>
    <t>XT8001KI:110</t>
  </si>
  <si>
    <t>UAI1428:1+</t>
  </si>
  <si>
    <t>ZSO7611-1</t>
  </si>
  <si>
    <t>XT8001KI:88</t>
  </si>
  <si>
    <t>UAI1428:3-</t>
  </si>
  <si>
    <t>ZSO7611-2</t>
  </si>
  <si>
    <t>XT8001KI:89</t>
  </si>
  <si>
    <t>UAI1428:4+</t>
  </si>
  <si>
    <t>ZSC7611-1</t>
  </si>
  <si>
    <t>XT8001KI:90</t>
  </si>
  <si>
    <t>UAI1428:6-</t>
  </si>
  <si>
    <t>ZSC7611-2</t>
  </si>
  <si>
    <t>XT8001KI:91</t>
  </si>
  <si>
    <t>UAI1429:1+</t>
  </si>
  <si>
    <t>ZSO7621-1</t>
  </si>
  <si>
    <t>XT8001KI:92</t>
  </si>
  <si>
    <t>UAI1429:3-</t>
  </si>
  <si>
    <t>ZSO7621-2</t>
  </si>
  <si>
    <t>XT8001KI:93</t>
  </si>
  <si>
    <t>UAI1429:4+</t>
  </si>
  <si>
    <t>ZSC7621-1</t>
  </si>
  <si>
    <t>XT8001KI:94</t>
  </si>
  <si>
    <t>UAI1429:6-</t>
  </si>
  <si>
    <t>ZSC7621-2</t>
  </si>
  <si>
    <t>XT8001KI:95</t>
  </si>
  <si>
    <t>UAI1831:1+</t>
  </si>
  <si>
    <t>ZSO7641-1</t>
  </si>
  <si>
    <t>XT8001KI:99</t>
  </si>
  <si>
    <t>UAI1831:3-</t>
  </si>
  <si>
    <t>ZSO7641-2</t>
  </si>
  <si>
    <t>XT8001KI:100</t>
  </si>
  <si>
    <t>UAI1831:4+</t>
  </si>
  <si>
    <t>ZSC7641-1</t>
  </si>
  <si>
    <t>XT8001KI:101</t>
  </si>
  <si>
    <t>UAI1831:6-</t>
  </si>
  <si>
    <t>ZSC7641-2</t>
  </si>
  <si>
    <t>XT8001KI:102</t>
  </si>
  <si>
    <t>UAI1832:1+</t>
  </si>
  <si>
    <t>ZSO7643-1</t>
  </si>
  <si>
    <t>XT8001KI:103</t>
  </si>
  <si>
    <t>UAI1832:3-</t>
  </si>
  <si>
    <t>ZSO7643-2</t>
  </si>
  <si>
    <t>XT8001KI:104</t>
  </si>
  <si>
    <t>UAI1832:4+</t>
  </si>
  <si>
    <t>ZSC7643-1</t>
  </si>
  <si>
    <t>XT8001KI:105</t>
  </si>
  <si>
    <t>UAI1832:6-</t>
  </si>
  <si>
    <t>ZSC7643-2</t>
  </si>
  <si>
    <t>XT8001KI:106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</si>
  <si>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</si>
  <si>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</si>
  <si>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</si>
  <si>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</si>
  <si>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</si>
  <si>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</si>
  <si>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</si>
  <si>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</si>
  <si>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</si>
  <si>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</si>
  <si>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</si>
  <si>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</si>
  <si>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Length</t>
  </si>
  <si>
    <t>Bundle Name</t>
  </si>
  <si>
    <t>-0V</t>
  </si>
  <si>
    <t>-0V1</t>
  </si>
  <si>
    <t>-007612</t>
  </si>
  <si>
    <t>-014207</t>
  </si>
  <si>
    <t>-018300</t>
  </si>
  <si>
    <t>-018301</t>
  </si>
  <si>
    <t>-018302</t>
  </si>
  <si>
    <t>-014205</t>
  </si>
  <si>
    <t>-014206</t>
  </si>
  <si>
    <t>-014208</t>
  </si>
  <si>
    <t>-014209</t>
  </si>
  <si>
    <t>-014212</t>
  </si>
  <si>
    <t>-014213</t>
  </si>
  <si>
    <t>-014237</t>
  </si>
  <si>
    <t>-014238</t>
  </si>
  <si>
    <t>-014239</t>
  </si>
  <si>
    <t>-014240</t>
  </si>
  <si>
    <t>-014241</t>
  </si>
  <si>
    <t>-014244</t>
  </si>
  <si>
    <t>-014245</t>
  </si>
  <si>
    <t>-018332</t>
  </si>
  <si>
    <t>-018333</t>
  </si>
  <si>
    <t>-018334</t>
  </si>
  <si>
    <t>-014223</t>
  </si>
  <si>
    <t>-018316</t>
  </si>
  <si>
    <t>-018317</t>
  </si>
  <si>
    <t>-018318</t>
  </si>
  <si>
    <t>-006100</t>
  </si>
  <si>
    <t>-006114</t>
  </si>
  <si>
    <t>-006116</t>
  </si>
  <si>
    <t>-006200</t>
  </si>
  <si>
    <t>-006202</t>
  </si>
  <si>
    <t>-006208</t>
  </si>
  <si>
    <t>-006240</t>
  </si>
  <si>
    <t>-007602</t>
  </si>
  <si>
    <t>-007604</t>
  </si>
  <si>
    <t>-007600</t>
  </si>
  <si>
    <t>-007608</t>
  </si>
  <si>
    <t>-007618</t>
  </si>
  <si>
    <t>-007620</t>
  </si>
  <si>
    <t>-007624</t>
  </si>
  <si>
    <t>-014104</t>
  </si>
  <si>
    <t>-014114</t>
  </si>
  <si>
    <t>-014136</t>
  </si>
  <si>
    <t>-014138</t>
  </si>
  <si>
    <t>-018100</t>
  </si>
  <si>
    <t>-018102</t>
  </si>
  <si>
    <t>-018104</t>
  </si>
  <si>
    <t>-018116</t>
  </si>
  <si>
    <t>-018118</t>
  </si>
  <si>
    <t>-018120</t>
  </si>
  <si>
    <t>-018203</t>
  </si>
  <si>
    <t>-018235</t>
  </si>
  <si>
    <t>-018400</t>
  </si>
  <si>
    <t>-018401</t>
  </si>
  <si>
    <t>-018402</t>
  </si>
  <si>
    <t>-018405</t>
  </si>
  <si>
    <t>-018416</t>
  </si>
  <si>
    <t>-018417</t>
  </si>
  <si>
    <t>-018418</t>
  </si>
  <si>
    <t>-018421</t>
  </si>
  <si>
    <t>-024221</t>
  </si>
  <si>
    <t>-24V</t>
  </si>
  <si>
    <t>-0612ARM</t>
  </si>
  <si>
    <t>-0612NO</t>
  </si>
  <si>
    <t>-0628ARM1</t>
  </si>
  <si>
    <t>-0628ARM2</t>
  </si>
  <si>
    <t>-0628ARM3</t>
  </si>
  <si>
    <t>-0628NO1</t>
  </si>
  <si>
    <t>-0628NO2</t>
  </si>
  <si>
    <t>-0628NO3</t>
  </si>
  <si>
    <t>-0612COM</t>
  </si>
  <si>
    <t>-0612TM</t>
  </si>
  <si>
    <t>-008135</t>
  </si>
  <si>
    <t>-008103</t>
  </si>
  <si>
    <t>-009336</t>
  </si>
  <si>
    <t>-009337</t>
  </si>
  <si>
    <t>-009502</t>
  </si>
  <si>
    <t>-008107</t>
  </si>
  <si>
    <t>-008139</t>
  </si>
  <si>
    <t>-009304</t>
  </si>
  <si>
    <t>-009305</t>
  </si>
  <si>
    <t>-009312</t>
  </si>
  <si>
    <t>-009328</t>
  </si>
  <si>
    <t>-009344</t>
  </si>
  <si>
    <t>-009400</t>
  </si>
  <si>
    <t>-009208</t>
  </si>
  <si>
    <t>-009224</t>
  </si>
  <si>
    <t>-009320</t>
  </si>
  <si>
    <t>-009321</t>
  </si>
  <si>
    <t>-008710</t>
  </si>
  <si>
    <t>-008742</t>
  </si>
  <si>
    <t>Panel Name</t>
  </si>
  <si>
    <t>EL</t>
  </si>
  <si>
    <t>AT</t>
  </si>
  <si>
    <t>EL-PDR</t>
  </si>
  <si>
    <t>AT-PDR</t>
  </si>
  <si>
    <t>AZ-PDR</t>
  </si>
  <si>
    <t>LEFT WALL</t>
  </si>
  <si>
    <t>LEFT BACK PNL</t>
  </si>
  <si>
    <t>ISOLATOR</t>
  </si>
  <si>
    <t>RIGHT WALL</t>
  </si>
  <si>
    <t>PWR DST RAIL</t>
  </si>
  <si>
    <t>UJ/QS</t>
  </si>
  <si>
    <t>XT-LBACK</t>
  </si>
  <si>
    <t>UJ-LBACK</t>
  </si>
  <si>
    <t>XT-LWALL</t>
  </si>
  <si>
    <t>FU/XT</t>
  </si>
  <si>
    <t>FU/XT-RWALL</t>
  </si>
  <si>
    <t>`</t>
  </si>
  <si>
    <t>AP/UV-LWALL</t>
  </si>
  <si>
    <t>UV-RWALL</t>
  </si>
  <si>
    <t>AF/XT-RWALL</t>
  </si>
  <si>
    <t>KT L/S-RWALL</t>
  </si>
  <si>
    <t>KT R/S-RWALL</t>
  </si>
  <si>
    <t>AF-ISO</t>
  </si>
  <si>
    <t>16R</t>
  </si>
  <si>
    <t>KT L/S</t>
  </si>
  <si>
    <t>KT R/S</t>
  </si>
  <si>
    <t>PC</t>
  </si>
  <si>
    <t>KA RED</t>
  </si>
  <si>
    <t>KA A1/A2</t>
  </si>
  <si>
    <t>AF/AU</t>
  </si>
  <si>
    <t>UAI</t>
  </si>
  <si>
    <t>UV</t>
  </si>
  <si>
    <t>UAI-RWALL</t>
  </si>
  <si>
    <t>AF/AU1200s</t>
  </si>
  <si>
    <t>AF/AU0180s</t>
  </si>
  <si>
    <t>AF/AU140s</t>
  </si>
  <si>
    <t>AF/AU070s</t>
  </si>
  <si>
    <t>AF/AU060s</t>
  </si>
  <si>
    <t>XT</t>
  </si>
  <si>
    <t>100</t>
  </si>
  <si>
    <t>200</t>
  </si>
  <si>
    <t>180</t>
  </si>
  <si>
    <t>140</t>
  </si>
  <si>
    <t>120</t>
  </si>
  <si>
    <t>60</t>
  </si>
  <si>
    <t>240</t>
  </si>
  <si>
    <t>300</t>
  </si>
  <si>
    <t>280</t>
  </si>
  <si>
    <t>360</t>
  </si>
  <si>
    <t>400</t>
  </si>
  <si>
    <t>FU</t>
  </si>
  <si>
    <t>KA A1</t>
  </si>
  <si>
    <t>KA A2</t>
  </si>
  <si>
    <t>KA</t>
  </si>
  <si>
    <t>FU/XT-ISO</t>
  </si>
  <si>
    <t>FU-LBACK</t>
  </si>
  <si>
    <t>KA A1/A2-LBACK</t>
  </si>
  <si>
    <t>KA-LBACK</t>
  </si>
  <si>
    <t>XT9K-LBACK</t>
  </si>
  <si>
    <t>FU-RWALL</t>
  </si>
  <si>
    <t>KA A1-RWALL</t>
  </si>
  <si>
    <t>KA A2-RWALL</t>
  </si>
  <si>
    <t>KA-RWALL</t>
  </si>
  <si>
    <t>XT-RWALL</t>
  </si>
  <si>
    <t>XT9K-RWALL</t>
  </si>
  <si>
    <t>80</t>
  </si>
  <si>
    <t>320</t>
  </si>
  <si>
    <t>260</t>
  </si>
  <si>
    <t>160</t>
  </si>
  <si>
    <t>NOC-A #1</t>
  </si>
  <si>
    <t>CABLE</t>
  </si>
  <si>
    <t>\</t>
  </si>
  <si>
    <t>PWR SUPPLY</t>
  </si>
  <si>
    <t>ORBIT</t>
  </si>
  <si>
    <t>LS WALL</t>
  </si>
  <si>
    <t>RS WALL</t>
  </si>
  <si>
    <t>L BACK</t>
  </si>
  <si>
    <t>ALL</t>
  </si>
  <si>
    <t>POWER DISTRIBUTION RAIL LEFT DOOR</t>
  </si>
  <si>
    <t>RIGHT SIDE WALL^PANEL</t>
  </si>
  <si>
    <t>AP-LBACK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</si>
</sst>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1"/>
    <xf numFmtId="0" fontId="5" fillId="0" borderId="7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6" fillId="4" borderId="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E5069600-874E-4423-96C8-03D31C4D1632}"/>
  </cellStyles>
  <dxfs count="3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colors>
    <mruColors>
      <color rgb="FFB07BD7"/>
      <color rgb="FFE28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B3710F1A-CCE0-4CC3-9C84-872D8F6B6613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4" dT="2026-02-12T01:38:15.40" personId="{B3710F1A-CCE0-4CC3-9C84-872D8F6B6613}" id="{F18E7916-1B52-46B9-AE1F-202025FB2A4B}">
    <text>Was: [BLANK]
Changed to: WHT, 20G
MRCA:</text>
  </threadedComment>
  <threadedComment ref="D390" dT="2026-02-12T01:45:32.45" personId="{B3710F1A-CCE0-4CC3-9C84-872D8F6B6613}" id="{3B9FE85B-AF93-4E5E-8D7C-734F84A44AAD}">
    <text>Was: [BLANK]
Changed to: CABLE,16G
MRCA: 1990582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2" dT="2026-02-12T04:57:38.76" personId="{B3710F1A-CCE0-4CC3-9C84-872D8F6B6613}" id="{69DCABEB-0926-430E-B53B-14C3F7FE69CE}">
    <text>Was: [BLANK]
Changed to: WHT,20
MRCA:1990584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8186-45CF-43F9-98CB-7A3A1D7CCC48}">
  <sheetPr>
    <pageSetUpPr fitToPage="1"/>
  </sheetPr>
  <dimension ref="A1:J20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35">
      <c r="A1" s="27" t="s">
        <v>61</v>
      </c>
      <c r="B1" s="27"/>
      <c r="C1" s="27"/>
    </row>
    <row r="2" spans="1:10" ht="12" customHeight="1" x14ac:dyDescent="0.35">
      <c r="A2" s="28"/>
      <c r="B2" s="28"/>
      <c r="C2" s="28"/>
    </row>
    <row r="3" spans="1:10" ht="12.75" customHeight="1" x14ac:dyDescent="0.35">
      <c r="A3" s="1" t="s">
        <v>1</v>
      </c>
      <c r="B3" s="29" t="s">
        <v>2</v>
      </c>
      <c r="C3" s="29"/>
    </row>
    <row r="4" spans="1:10" ht="12" customHeight="1" x14ac:dyDescent="0.35">
      <c r="A4" s="1" t="s">
        <v>3</v>
      </c>
      <c r="B4" s="29" t="s">
        <v>4</v>
      </c>
      <c r="C4" s="29"/>
    </row>
    <row r="5" spans="1:10" ht="12.75" customHeight="1" x14ac:dyDescent="0.35">
      <c r="A5" s="1" t="s">
        <v>5</v>
      </c>
      <c r="B5" s="29" t="s">
        <v>6</v>
      </c>
      <c r="C5" s="29"/>
    </row>
    <row r="6" spans="1:10" ht="5.25" customHeight="1" x14ac:dyDescent="0.35"/>
    <row r="7" spans="1:10" ht="12" customHeight="1" x14ac:dyDescent="0.35">
      <c r="A7" s="1" t="s">
        <v>7</v>
      </c>
      <c r="B7" s="29" t="s">
        <v>8</v>
      </c>
      <c r="C7" s="29"/>
    </row>
    <row r="8" spans="1:10" ht="12.75" customHeight="1" x14ac:dyDescent="0.35">
      <c r="A8" s="1" t="s">
        <v>9</v>
      </c>
      <c r="B8" s="29" t="s">
        <v>10</v>
      </c>
      <c r="C8" s="29"/>
    </row>
    <row r="9" spans="1:10" ht="12" customHeight="1" x14ac:dyDescent="0.35">
      <c r="A9" s="1" t="s">
        <v>11</v>
      </c>
      <c r="B9" s="29" t="s">
        <v>12</v>
      </c>
      <c r="C9" s="29"/>
    </row>
    <row r="10" spans="1:10" ht="12.75" customHeight="1" x14ac:dyDescent="0.35">
      <c r="A10" s="1" t="s">
        <v>9</v>
      </c>
      <c r="B10" s="29"/>
      <c r="C10" s="29"/>
    </row>
    <row r="11" spans="1:10" ht="10.5" customHeight="1" x14ac:dyDescent="0.35"/>
    <row r="12" spans="1:10" ht="16.5" customHeight="1" x14ac:dyDescent="0.35">
      <c r="A12" s="30" t="s">
        <v>62</v>
      </c>
      <c r="B12" s="30"/>
      <c r="C12" s="30"/>
      <c r="D12" s="30"/>
      <c r="E12" s="30"/>
      <c r="F12" s="30"/>
      <c r="G12" s="30"/>
      <c r="H12" s="31" t="s">
        <v>63</v>
      </c>
      <c r="I12" s="31"/>
      <c r="J12" s="31"/>
    </row>
    <row r="13" spans="1:10" ht="43.5" customHeight="1" x14ac:dyDescent="0.35">
      <c r="A13" s="8" t="s">
        <v>13</v>
      </c>
      <c r="B13" s="9" t="s">
        <v>14</v>
      </c>
      <c r="C13" s="9" t="s">
        <v>64</v>
      </c>
      <c r="D13" s="9" t="s">
        <v>65</v>
      </c>
      <c r="E13" s="9" t="s">
        <v>66</v>
      </c>
      <c r="F13" s="9" t="s">
        <v>67</v>
      </c>
      <c r="G13" s="9" t="s">
        <v>68</v>
      </c>
      <c r="H13" s="9" t="s">
        <v>13</v>
      </c>
      <c r="I13" s="9" t="s">
        <v>14</v>
      </c>
      <c r="J13" s="9" t="s">
        <v>68</v>
      </c>
    </row>
    <row r="14" spans="1:10" ht="16.5" customHeight="1" x14ac:dyDescent="0.35">
      <c r="A14" s="4" t="s">
        <v>69</v>
      </c>
      <c r="B14" s="5" t="s">
        <v>16</v>
      </c>
      <c r="C14" s="5" t="s">
        <v>70</v>
      </c>
      <c r="D14" s="3"/>
      <c r="E14" s="5" t="s">
        <v>71</v>
      </c>
      <c r="F14" s="3"/>
      <c r="G14" s="5" t="s">
        <v>72</v>
      </c>
      <c r="H14" s="5" t="s">
        <v>73</v>
      </c>
      <c r="I14" s="5" t="s">
        <v>57</v>
      </c>
      <c r="J14" s="5" t="s">
        <v>74</v>
      </c>
    </row>
    <row r="15" spans="1:10" ht="16.5" customHeight="1" x14ac:dyDescent="0.35">
      <c r="A15" s="6" t="s">
        <v>75</v>
      </c>
      <c r="B15" s="7" t="s">
        <v>57</v>
      </c>
      <c r="C15" s="7" t="s">
        <v>70</v>
      </c>
      <c r="D15" s="7" t="s">
        <v>76</v>
      </c>
      <c r="E15" s="7" t="s">
        <v>77</v>
      </c>
      <c r="F15" s="7" t="s">
        <v>78</v>
      </c>
      <c r="G15" s="7" t="s">
        <v>79</v>
      </c>
      <c r="H15" s="7" t="s">
        <v>80</v>
      </c>
      <c r="I15" s="7" t="s">
        <v>1448</v>
      </c>
      <c r="J15" s="7" t="s">
        <v>81</v>
      </c>
    </row>
    <row r="16" spans="1:10" ht="16.5" customHeight="1" x14ac:dyDescent="0.35">
      <c r="A16" s="6" t="s">
        <v>82</v>
      </c>
      <c r="B16" s="7" t="s">
        <v>57</v>
      </c>
      <c r="C16" s="7" t="s">
        <v>70</v>
      </c>
      <c r="D16" s="7" t="s">
        <v>76</v>
      </c>
      <c r="E16" s="7" t="s">
        <v>83</v>
      </c>
      <c r="F16" s="7" t="s">
        <v>78</v>
      </c>
      <c r="G16" s="7" t="s">
        <v>79</v>
      </c>
      <c r="H16" s="7" t="s">
        <v>84</v>
      </c>
      <c r="I16" s="7" t="s">
        <v>1448</v>
      </c>
      <c r="J16" s="7" t="s">
        <v>81</v>
      </c>
    </row>
    <row r="17" spans="1:9" ht="6.75" customHeight="1" x14ac:dyDescent="0.35"/>
    <row r="18" spans="1:9" ht="0.75" customHeight="1" x14ac:dyDescent="0.35">
      <c r="E18" s="25" t="s">
        <v>0</v>
      </c>
      <c r="F18" s="25"/>
      <c r="G18" s="25"/>
      <c r="H18" s="25"/>
      <c r="I18" s="25"/>
    </row>
    <row r="19" spans="1:9" ht="11.25" customHeight="1" x14ac:dyDescent="0.35">
      <c r="A19" s="26" t="s">
        <v>85</v>
      </c>
      <c r="B19" s="26"/>
      <c r="C19" s="26"/>
      <c r="E19" s="25"/>
      <c r="F19" s="25"/>
      <c r="G19" s="25"/>
      <c r="H19" s="25"/>
      <c r="I19" s="25"/>
    </row>
    <row r="20" spans="1:9" ht="0.75" customHeight="1" x14ac:dyDescent="0.35">
      <c r="A20" s="26"/>
      <c r="B20" s="26"/>
      <c r="C20" s="26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&amp;CJ0400 PANEL ERRORS_A.2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3C55-C615-4C1F-91CD-040E17FEE04D}">
  <sheetPr>
    <tabColor rgb="FF7030A0"/>
  </sheetPr>
  <dimension ref="A1:H25"/>
  <sheetViews>
    <sheetView showGridLines="0" topLeftCell="A12" workbookViewId="0">
      <selection activeCell="M17" sqref="M17"/>
    </sheetView>
  </sheetViews>
  <sheetFormatPr defaultRowHeight="17.149999999999999" customHeight="1" x14ac:dyDescent="0.35"/>
  <cols>
    <col min="1" max="1" width="12" style="10" bestFit="1" customWidth="1"/>
    <col min="2" max="2" width="8.72656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0.26953125" style="10" customWidth="1"/>
    <col min="7" max="7" width="13.26953125" bestFit="1" customWidth="1"/>
    <col min="8" max="8" width="9.54296875" bestFit="1" customWidth="1"/>
  </cols>
  <sheetData>
    <row r="1" spans="1:8" ht="18" customHeight="1" x14ac:dyDescent="0.35">
      <c r="A1" s="32" t="s">
        <v>16</v>
      </c>
      <c r="B1" s="32"/>
      <c r="C1" s="32"/>
      <c r="D1" s="32"/>
    </row>
    <row r="2" spans="1:8" ht="12.75" customHeight="1" x14ac:dyDescent="0.35">
      <c r="A2" s="33" t="s">
        <v>1255</v>
      </c>
      <c r="B2" s="33"/>
      <c r="C2" s="33"/>
      <c r="D2" s="33"/>
    </row>
    <row r="3" spans="1:8" ht="12" customHeight="1" x14ac:dyDescent="0.35">
      <c r="A3" s="2" t="s">
        <v>1</v>
      </c>
      <c r="B3" s="29" t="s">
        <v>2</v>
      </c>
      <c r="C3" s="29"/>
      <c r="D3" s="29"/>
    </row>
    <row r="4" spans="1:8" ht="15" customHeight="1" x14ac:dyDescent="0.35">
      <c r="A4" s="2" t="s">
        <v>3</v>
      </c>
      <c r="B4" s="29" t="s">
        <v>4</v>
      </c>
      <c r="C4" s="29"/>
      <c r="D4" s="29"/>
    </row>
    <row r="5" spans="1:8" ht="12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5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5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36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1258</v>
      </c>
      <c r="B14" s="14" t="s">
        <v>1259</v>
      </c>
      <c r="C14" s="14" t="s">
        <v>76</v>
      </c>
      <c r="D14" s="14" t="s">
        <v>87</v>
      </c>
      <c r="E14" s="14" t="s">
        <v>1479</v>
      </c>
      <c r="F14" s="15" t="s">
        <v>1260</v>
      </c>
      <c r="G14" s="15" t="s">
        <v>16</v>
      </c>
      <c r="H14" s="15" t="s">
        <v>1440</v>
      </c>
    </row>
    <row r="15" spans="1:8" ht="17.149999999999999" customHeight="1" x14ac:dyDescent="0.35">
      <c r="A15" s="14" t="s">
        <v>1261</v>
      </c>
      <c r="B15" s="14" t="s">
        <v>1262</v>
      </c>
      <c r="C15" s="14" t="s">
        <v>76</v>
      </c>
      <c r="D15" s="14" t="s">
        <v>87</v>
      </c>
      <c r="E15" s="14" t="s">
        <v>1479</v>
      </c>
      <c r="F15" s="15" t="s">
        <v>1263</v>
      </c>
      <c r="G15" s="15" t="s">
        <v>16</v>
      </c>
      <c r="H15" s="15"/>
    </row>
    <row r="16" spans="1:8" ht="17.149999999999999" customHeight="1" x14ac:dyDescent="0.35">
      <c r="A16" s="14" t="s">
        <v>1264</v>
      </c>
      <c r="B16" s="14" t="s">
        <v>1265</v>
      </c>
      <c r="C16" s="14" t="s">
        <v>76</v>
      </c>
      <c r="D16" s="14" t="s">
        <v>87</v>
      </c>
      <c r="E16" s="14" t="s">
        <v>1479</v>
      </c>
      <c r="F16" s="15" t="s">
        <v>1266</v>
      </c>
      <c r="G16" s="15" t="s">
        <v>16</v>
      </c>
      <c r="H16" s="15"/>
    </row>
    <row r="17" spans="1:8" ht="17.149999999999999" customHeight="1" x14ac:dyDescent="0.35">
      <c r="A17" s="14" t="s">
        <v>1256</v>
      </c>
      <c r="B17" s="14" t="s">
        <v>17</v>
      </c>
      <c r="C17" s="14" t="s">
        <v>76</v>
      </c>
      <c r="D17" s="14" t="s">
        <v>87</v>
      </c>
      <c r="E17" s="14" t="s">
        <v>1479</v>
      </c>
      <c r="F17" s="15" t="s">
        <v>1257</v>
      </c>
      <c r="G17" s="15" t="s">
        <v>16</v>
      </c>
      <c r="H17" s="15"/>
    </row>
    <row r="18" spans="1:8" ht="17.149999999999999" customHeight="1" x14ac:dyDescent="0.35">
      <c r="A18" s="20"/>
      <c r="B18" s="20"/>
      <c r="C18" s="20"/>
      <c r="D18" s="20"/>
      <c r="E18" s="20"/>
      <c r="F18" s="21"/>
      <c r="G18" s="21"/>
      <c r="H18" s="21"/>
    </row>
    <row r="19" spans="1:8" ht="17.149999999999999" customHeight="1" x14ac:dyDescent="0.35">
      <c r="A19" s="14" t="s">
        <v>614</v>
      </c>
      <c r="B19" s="14" t="s">
        <v>1348</v>
      </c>
      <c r="C19" s="14" t="s">
        <v>76</v>
      </c>
      <c r="D19" s="14" t="s">
        <v>87</v>
      </c>
      <c r="E19" s="14" t="s">
        <v>1482</v>
      </c>
      <c r="F19" s="15" t="s">
        <v>101</v>
      </c>
      <c r="G19" s="15" t="s">
        <v>1449</v>
      </c>
      <c r="H19" s="15" t="s">
        <v>1443</v>
      </c>
    </row>
    <row r="20" spans="1:8" ht="17.149999999999999" customHeight="1" x14ac:dyDescent="0.35">
      <c r="A20" s="14" t="s">
        <v>609</v>
      </c>
      <c r="B20" s="14" t="s">
        <v>59</v>
      </c>
      <c r="C20" s="14" t="s">
        <v>76</v>
      </c>
      <c r="D20" s="14" t="s">
        <v>87</v>
      </c>
      <c r="E20" s="14" t="s">
        <v>1482</v>
      </c>
      <c r="F20" s="15" t="s">
        <v>608</v>
      </c>
      <c r="G20" s="15" t="s">
        <v>1449</v>
      </c>
      <c r="H20" s="15"/>
    </row>
    <row r="21" spans="1:8" ht="17.149999999999999" customHeight="1" x14ac:dyDescent="0.35">
      <c r="A21" s="22"/>
      <c r="B21" s="22"/>
      <c r="C21" s="22"/>
      <c r="D21" s="22"/>
      <c r="E21" s="22"/>
      <c r="F21" s="23"/>
      <c r="G21" s="23"/>
      <c r="H21" s="23"/>
    </row>
    <row r="22" spans="1:8" ht="17.149999999999999" customHeight="1" x14ac:dyDescent="0.35">
      <c r="A22" s="14" t="s">
        <v>613</v>
      </c>
      <c r="B22" s="14" t="s">
        <v>1348</v>
      </c>
      <c r="C22" s="14" t="s">
        <v>76</v>
      </c>
      <c r="D22" s="14" t="s">
        <v>87</v>
      </c>
      <c r="E22" s="14" t="s">
        <v>1483</v>
      </c>
      <c r="F22" s="15" t="s">
        <v>88</v>
      </c>
      <c r="G22" s="15" t="s">
        <v>1449</v>
      </c>
      <c r="H22" s="15" t="s">
        <v>1442</v>
      </c>
    </row>
    <row r="23" spans="1:8" ht="17.149999999999999" customHeight="1" x14ac:dyDescent="0.35">
      <c r="A23" s="22"/>
      <c r="B23" s="22"/>
      <c r="C23" s="22"/>
      <c r="D23" s="22"/>
      <c r="E23" s="22"/>
      <c r="F23" s="23"/>
      <c r="G23" s="23"/>
      <c r="H23" s="23"/>
    </row>
    <row r="24" spans="1:8" ht="17.149999999999999" customHeight="1" x14ac:dyDescent="0.35">
      <c r="A24" s="14" t="s">
        <v>611</v>
      </c>
      <c r="B24" s="14" t="s">
        <v>60</v>
      </c>
      <c r="C24" s="14" t="s">
        <v>76</v>
      </c>
      <c r="D24" s="14" t="s">
        <v>87</v>
      </c>
      <c r="E24" s="14" t="s">
        <v>1483</v>
      </c>
      <c r="F24" s="15" t="s">
        <v>610</v>
      </c>
      <c r="G24" s="15" t="s">
        <v>1449</v>
      </c>
      <c r="H24" s="15" t="s">
        <v>1444</v>
      </c>
    </row>
    <row r="25" spans="1:8" ht="17.149999999999999" customHeight="1" x14ac:dyDescent="0.35">
      <c r="A25" s="14" t="s">
        <v>612</v>
      </c>
      <c r="B25" s="14" t="s">
        <v>60</v>
      </c>
      <c r="C25" s="14" t="s">
        <v>76</v>
      </c>
      <c r="D25" s="14" t="s">
        <v>87</v>
      </c>
      <c r="E25" s="14" t="s">
        <v>1483</v>
      </c>
      <c r="F25" s="15" t="s">
        <v>610</v>
      </c>
      <c r="G25" s="15" t="s">
        <v>1449</v>
      </c>
      <c r="H25" s="15"/>
    </row>
  </sheetData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0C43-C7FA-41FE-87D8-C6666B5A0B06}">
  <sheetPr>
    <tabColor rgb="FF7030A0"/>
  </sheetPr>
  <dimension ref="A1:H34"/>
  <sheetViews>
    <sheetView showGridLines="0" topLeftCell="A8" workbookViewId="0">
      <selection activeCell="A44" sqref="A43:XFD44"/>
    </sheetView>
  </sheetViews>
  <sheetFormatPr defaultRowHeight="17.149999999999999" customHeight="1" x14ac:dyDescent="0.35"/>
  <cols>
    <col min="1" max="1" width="12" style="10" bestFit="1" customWidth="1"/>
    <col min="2" max="2" width="11.269531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9.81640625" style="10" bestFit="1" customWidth="1"/>
    <col min="7" max="7" width="14.54296875" bestFit="1" customWidth="1"/>
    <col min="8" max="8" width="9.54296875" bestFit="1" customWidth="1"/>
  </cols>
  <sheetData>
    <row r="1" spans="1:8" ht="18" customHeight="1" x14ac:dyDescent="0.35">
      <c r="A1" s="32" t="s">
        <v>58</v>
      </c>
      <c r="B1" s="32"/>
      <c r="C1" s="32"/>
      <c r="D1" s="32"/>
    </row>
    <row r="2" spans="1:8" ht="12" customHeight="1" x14ac:dyDescent="0.35">
      <c r="A2" s="33"/>
      <c r="B2" s="33"/>
      <c r="C2" s="33"/>
      <c r="D2" s="33"/>
    </row>
    <row r="3" spans="1:8" ht="12.75" customHeight="1" x14ac:dyDescent="0.35">
      <c r="A3" s="2" t="s">
        <v>1</v>
      </c>
      <c r="B3" s="29" t="s">
        <v>2</v>
      </c>
      <c r="C3" s="29"/>
      <c r="D3" s="29"/>
    </row>
    <row r="4" spans="1:8" ht="12" customHeight="1" x14ac:dyDescent="0.35">
      <c r="A4" s="2" t="s">
        <v>3</v>
      </c>
      <c r="B4" s="29" t="s">
        <v>4</v>
      </c>
      <c r="C4" s="29"/>
      <c r="D4" s="29"/>
    </row>
    <row r="5" spans="1:8" ht="12.75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2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2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638</v>
      </c>
      <c r="B14" s="14" t="s">
        <v>639</v>
      </c>
      <c r="C14" s="14" t="s">
        <v>76</v>
      </c>
      <c r="D14" s="14" t="s">
        <v>78</v>
      </c>
      <c r="E14" s="14" t="s">
        <v>1484</v>
      </c>
      <c r="F14" s="15" t="s">
        <v>640</v>
      </c>
      <c r="G14" s="15" t="s">
        <v>58</v>
      </c>
      <c r="H14" s="15" t="s">
        <v>1450</v>
      </c>
    </row>
    <row r="15" spans="1:8" ht="17.149999999999999" customHeight="1" x14ac:dyDescent="0.35">
      <c r="A15" s="14"/>
      <c r="B15" s="14"/>
      <c r="C15" s="14"/>
      <c r="D15" s="14"/>
      <c r="E15" s="14"/>
      <c r="F15" s="15"/>
      <c r="G15" s="15"/>
      <c r="H15" s="15"/>
    </row>
    <row r="16" spans="1:8" ht="17.149999999999999" customHeight="1" x14ac:dyDescent="0.35">
      <c r="A16" s="14" t="s">
        <v>635</v>
      </c>
      <c r="B16" s="14" t="s">
        <v>636</v>
      </c>
      <c r="C16" s="14" t="s">
        <v>76</v>
      </c>
      <c r="D16" s="14" t="s">
        <v>208</v>
      </c>
      <c r="E16" s="14" t="s">
        <v>1484</v>
      </c>
      <c r="F16" s="15" t="s">
        <v>637</v>
      </c>
      <c r="G16" s="15" t="s">
        <v>58</v>
      </c>
      <c r="H16" s="15"/>
    </row>
    <row r="17" spans="1:8" ht="17.149999999999999" customHeight="1" x14ac:dyDescent="0.35">
      <c r="A17" s="14" t="s">
        <v>632</v>
      </c>
      <c r="B17" s="14" t="s">
        <v>633</v>
      </c>
      <c r="C17" s="14" t="s">
        <v>76</v>
      </c>
      <c r="D17" s="14" t="s">
        <v>208</v>
      </c>
      <c r="E17" s="14" t="s">
        <v>1484</v>
      </c>
      <c r="F17" s="15" t="s">
        <v>634</v>
      </c>
      <c r="G17" s="15" t="s">
        <v>58</v>
      </c>
      <c r="H17" s="15"/>
    </row>
    <row r="18" spans="1:8" ht="17.149999999999999" customHeight="1" x14ac:dyDescent="0.35">
      <c r="A18" s="14" t="s">
        <v>629</v>
      </c>
      <c r="B18" s="14" t="s">
        <v>630</v>
      </c>
      <c r="C18" s="14" t="s">
        <v>76</v>
      </c>
      <c r="D18" s="14" t="s">
        <v>208</v>
      </c>
      <c r="E18" s="14" t="s">
        <v>1484</v>
      </c>
      <c r="F18" s="15" t="s">
        <v>631</v>
      </c>
      <c r="G18" s="15" t="s">
        <v>58</v>
      </c>
      <c r="H18" s="15"/>
    </row>
    <row r="19" spans="1:8" ht="17.149999999999999" customHeight="1" x14ac:dyDescent="0.35">
      <c r="A19" s="14" t="s">
        <v>626</v>
      </c>
      <c r="B19" s="14" t="s">
        <v>627</v>
      </c>
      <c r="C19" s="14" t="s">
        <v>76</v>
      </c>
      <c r="D19" s="14" t="s">
        <v>208</v>
      </c>
      <c r="E19" s="14" t="s">
        <v>1484</v>
      </c>
      <c r="F19" s="15" t="s">
        <v>628</v>
      </c>
      <c r="G19" s="15" t="s">
        <v>58</v>
      </c>
      <c r="H19" s="15"/>
    </row>
    <row r="20" spans="1:8" ht="17.149999999999999" customHeight="1" x14ac:dyDescent="0.35">
      <c r="A20" s="20"/>
      <c r="B20" s="20"/>
      <c r="C20" s="20"/>
      <c r="D20" s="20"/>
      <c r="E20" s="20"/>
      <c r="F20" s="21"/>
      <c r="G20" s="21"/>
      <c r="H20" s="21"/>
    </row>
    <row r="21" spans="1:8" ht="17.149999999999999" customHeight="1" x14ac:dyDescent="0.35">
      <c r="A21" s="14" t="s">
        <v>641</v>
      </c>
      <c r="B21" s="14" t="s">
        <v>642</v>
      </c>
      <c r="C21" s="14" t="s">
        <v>76</v>
      </c>
      <c r="D21" s="14" t="s">
        <v>78</v>
      </c>
      <c r="E21" s="14" t="s">
        <v>1485</v>
      </c>
      <c r="F21" s="15" t="s">
        <v>643</v>
      </c>
      <c r="G21" s="15" t="s">
        <v>1446</v>
      </c>
      <c r="H21" s="15" t="s">
        <v>1452</v>
      </c>
    </row>
    <row r="22" spans="1:8" ht="17.149999999999999" customHeight="1" x14ac:dyDescent="0.35">
      <c r="A22" s="14" t="s">
        <v>644</v>
      </c>
      <c r="B22" s="14" t="s">
        <v>645</v>
      </c>
      <c r="C22" s="14" t="s">
        <v>76</v>
      </c>
      <c r="D22" s="14" t="s">
        <v>78</v>
      </c>
      <c r="E22" s="14" t="s">
        <v>1485</v>
      </c>
      <c r="F22" s="15" t="s">
        <v>646</v>
      </c>
      <c r="G22" s="15" t="s">
        <v>1446</v>
      </c>
      <c r="H22" s="15"/>
    </row>
    <row r="23" spans="1:8" ht="17.149999999999999" customHeight="1" x14ac:dyDescent="0.35">
      <c r="A23" s="14" t="s">
        <v>647</v>
      </c>
      <c r="B23" s="14" t="s">
        <v>648</v>
      </c>
      <c r="C23" s="14" t="s">
        <v>76</v>
      </c>
      <c r="D23" s="14" t="s">
        <v>78</v>
      </c>
      <c r="E23" s="14" t="s">
        <v>1485</v>
      </c>
      <c r="F23" s="15" t="s">
        <v>649</v>
      </c>
      <c r="G23" s="15" t="s">
        <v>1446</v>
      </c>
      <c r="H23" s="15"/>
    </row>
    <row r="24" spans="1:8" ht="17.149999999999999" customHeight="1" x14ac:dyDescent="0.35">
      <c r="A24" s="14" t="s">
        <v>650</v>
      </c>
      <c r="B24" s="14" t="s">
        <v>651</v>
      </c>
      <c r="C24" s="14" t="s">
        <v>76</v>
      </c>
      <c r="D24" s="14" t="s">
        <v>78</v>
      </c>
      <c r="E24" s="14" t="s">
        <v>1485</v>
      </c>
      <c r="F24" s="15" t="s">
        <v>652</v>
      </c>
      <c r="G24" s="15" t="s">
        <v>1446</v>
      </c>
      <c r="H24" s="15"/>
    </row>
    <row r="25" spans="1:8" ht="17.149999999999999" customHeight="1" x14ac:dyDescent="0.35">
      <c r="A25" s="14" t="s">
        <v>653</v>
      </c>
      <c r="B25" s="14" t="s">
        <v>654</v>
      </c>
      <c r="C25" s="14" t="s">
        <v>76</v>
      </c>
      <c r="D25" s="14" t="s">
        <v>78</v>
      </c>
      <c r="E25" s="14" t="s">
        <v>1485</v>
      </c>
      <c r="F25" s="15" t="s">
        <v>655</v>
      </c>
      <c r="G25" s="15" t="s">
        <v>1446</v>
      </c>
      <c r="H25" s="15"/>
    </row>
    <row r="26" spans="1:8" ht="17.149999999999999" customHeight="1" x14ac:dyDescent="0.35">
      <c r="A26" s="14" t="s">
        <v>656</v>
      </c>
      <c r="B26" s="14" t="s">
        <v>657</v>
      </c>
      <c r="C26" s="14" t="s">
        <v>76</v>
      </c>
      <c r="D26" s="14" t="s">
        <v>78</v>
      </c>
      <c r="E26" s="14" t="s">
        <v>1485</v>
      </c>
      <c r="F26" s="15" t="s">
        <v>658</v>
      </c>
      <c r="G26" s="15" t="s">
        <v>1446</v>
      </c>
      <c r="H26" s="15"/>
    </row>
    <row r="27" spans="1:8" ht="17.149999999999999" customHeight="1" x14ac:dyDescent="0.35">
      <c r="A27" s="14" t="s">
        <v>659</v>
      </c>
      <c r="B27" s="14" t="s">
        <v>660</v>
      </c>
      <c r="C27" s="14" t="s">
        <v>76</v>
      </c>
      <c r="D27" s="14" t="s">
        <v>78</v>
      </c>
      <c r="E27" s="14" t="s">
        <v>1485</v>
      </c>
      <c r="F27" s="15" t="s">
        <v>661</v>
      </c>
      <c r="G27" s="15" t="s">
        <v>1446</v>
      </c>
      <c r="H27" s="15"/>
    </row>
    <row r="28" spans="1:8" ht="17.149999999999999" customHeight="1" x14ac:dyDescent="0.35">
      <c r="A28" s="14" t="s">
        <v>662</v>
      </c>
      <c r="B28" s="14" t="s">
        <v>663</v>
      </c>
      <c r="C28" s="14" t="s">
        <v>76</v>
      </c>
      <c r="D28" s="14" t="s">
        <v>78</v>
      </c>
      <c r="E28" s="14" t="s">
        <v>1485</v>
      </c>
      <c r="F28" s="15" t="s">
        <v>664</v>
      </c>
      <c r="G28" s="15" t="s">
        <v>1446</v>
      </c>
      <c r="H28" s="15"/>
    </row>
    <row r="29" spans="1:8" ht="17.149999999999999" customHeight="1" x14ac:dyDescent="0.35">
      <c r="A29" s="22"/>
      <c r="B29" s="22"/>
      <c r="C29" s="22"/>
      <c r="D29" s="22"/>
      <c r="E29" s="22"/>
      <c r="F29" s="23"/>
      <c r="G29" s="23"/>
      <c r="H29" s="23"/>
    </row>
    <row r="30" spans="1:8" ht="17.149999999999999" customHeight="1" x14ac:dyDescent="0.35">
      <c r="A30" s="14" t="s">
        <v>622</v>
      </c>
      <c r="B30" s="14" t="s">
        <v>1347</v>
      </c>
      <c r="C30" s="14" t="s">
        <v>76</v>
      </c>
      <c r="D30" s="14" t="s">
        <v>208</v>
      </c>
      <c r="E30" s="14" t="s">
        <v>1485</v>
      </c>
      <c r="F30" s="15" t="s">
        <v>666</v>
      </c>
      <c r="G30" s="15" t="s">
        <v>1446</v>
      </c>
      <c r="H30" s="15" t="s">
        <v>1451</v>
      </c>
    </row>
    <row r="31" spans="1:8" ht="17.149999999999999" customHeight="1" x14ac:dyDescent="0.35">
      <c r="A31" s="14" t="s">
        <v>621</v>
      </c>
      <c r="B31" s="14" t="s">
        <v>1409</v>
      </c>
      <c r="C31" s="14" t="s">
        <v>76</v>
      </c>
      <c r="D31" s="14" t="s">
        <v>208</v>
      </c>
      <c r="E31" s="14" t="s">
        <v>1485</v>
      </c>
      <c r="F31" s="15" t="s">
        <v>665</v>
      </c>
      <c r="G31" s="15" t="s">
        <v>1446</v>
      </c>
      <c r="H31" s="15"/>
    </row>
    <row r="32" spans="1:8" ht="17.149999999999999" customHeight="1" x14ac:dyDescent="0.35">
      <c r="A32" s="20"/>
      <c r="B32" s="20"/>
      <c r="C32" s="20"/>
      <c r="D32" s="20"/>
      <c r="E32" s="20"/>
      <c r="F32" s="21"/>
      <c r="G32" s="21"/>
      <c r="H32" s="21"/>
    </row>
    <row r="33" spans="1:8" ht="17.149999999999999" customHeight="1" x14ac:dyDescent="0.35">
      <c r="A33" s="14" t="s">
        <v>624</v>
      </c>
      <c r="B33" s="14" t="s">
        <v>1347</v>
      </c>
      <c r="C33" s="14" t="s">
        <v>76</v>
      </c>
      <c r="D33" s="14" t="s">
        <v>625</v>
      </c>
      <c r="E33" s="14" t="s">
        <v>1480</v>
      </c>
      <c r="F33" s="15" t="s">
        <v>668</v>
      </c>
      <c r="G33" s="15" t="s">
        <v>1445</v>
      </c>
      <c r="H33" s="15" t="s">
        <v>1453</v>
      </c>
    </row>
    <row r="34" spans="1:8" ht="17.149999999999999" customHeight="1" x14ac:dyDescent="0.35">
      <c r="A34" s="14" t="s">
        <v>623</v>
      </c>
      <c r="B34" s="14" t="s">
        <v>1409</v>
      </c>
      <c r="C34" s="14" t="s">
        <v>76</v>
      </c>
      <c r="D34" s="14" t="s">
        <v>625</v>
      </c>
      <c r="E34" s="14" t="s">
        <v>1480</v>
      </c>
      <c r="F34" s="15" t="s">
        <v>667</v>
      </c>
      <c r="G34" s="15" t="s">
        <v>1445</v>
      </c>
      <c r="H34" s="15"/>
    </row>
  </sheetData>
  <sortState xmlns:xlrd2="http://schemas.microsoft.com/office/spreadsheetml/2017/richdata2" ref="A21:G28">
    <sortCondition ref="B21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4F34-2A27-47CA-97C3-1AF9F50B4598}">
  <sheetPr>
    <tabColor rgb="FFB07BD7"/>
  </sheetPr>
  <dimension ref="A1:H42"/>
  <sheetViews>
    <sheetView showGridLines="0" tabSelected="1" topLeftCell="A29" workbookViewId="0">
      <selection activeCell="A43" sqref="A43:XFD44"/>
    </sheetView>
  </sheetViews>
  <sheetFormatPr defaultRowHeight="17.149999999999999" customHeight="1" x14ac:dyDescent="0.35"/>
  <cols>
    <col min="1" max="1" width="12" style="10" bestFit="1" customWidth="1"/>
    <col min="2" max="2" width="10.816406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2.453125" style="10" bestFit="1" customWidth="1"/>
    <col min="7" max="7" width="14" bestFit="1" customWidth="1"/>
    <col min="8" max="8" width="13.1796875" bestFit="1" customWidth="1"/>
  </cols>
  <sheetData>
    <row r="1" spans="1:8" ht="18" customHeight="1" x14ac:dyDescent="0.35">
      <c r="A1" s="32" t="s">
        <v>1518</v>
      </c>
      <c r="B1" s="32"/>
      <c r="C1" s="32"/>
      <c r="D1" s="32"/>
    </row>
    <row r="2" spans="1:8" ht="12.75" customHeight="1" x14ac:dyDescent="0.35">
      <c r="A2" s="33" t="s">
        <v>591</v>
      </c>
      <c r="B2" s="33"/>
      <c r="C2" s="33"/>
      <c r="D2" s="33"/>
    </row>
    <row r="3" spans="1:8" ht="12" customHeight="1" x14ac:dyDescent="0.35">
      <c r="A3" s="2" t="s">
        <v>1</v>
      </c>
      <c r="B3" s="29" t="s">
        <v>2</v>
      </c>
      <c r="C3" s="29"/>
      <c r="D3" s="29"/>
    </row>
    <row r="4" spans="1:8" ht="12.75" customHeight="1" x14ac:dyDescent="0.35">
      <c r="A4" s="2" t="s">
        <v>3</v>
      </c>
      <c r="B4" s="29" t="s">
        <v>4</v>
      </c>
      <c r="C4" s="29"/>
      <c r="D4" s="29"/>
    </row>
    <row r="5" spans="1:8" ht="12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2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2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595</v>
      </c>
      <c r="B14" s="14" t="s">
        <v>1347</v>
      </c>
      <c r="C14" s="14" t="s">
        <v>76</v>
      </c>
      <c r="D14" s="14" t="s">
        <v>87</v>
      </c>
      <c r="E14" s="14" t="s">
        <v>1484</v>
      </c>
      <c r="F14" s="15" t="s">
        <v>590</v>
      </c>
      <c r="G14" s="15" t="s">
        <v>1449</v>
      </c>
      <c r="H14" s="15" t="s">
        <v>1441</v>
      </c>
    </row>
    <row r="15" spans="1:8" ht="17.149999999999999" customHeight="1" x14ac:dyDescent="0.35">
      <c r="A15" s="14" t="s">
        <v>596</v>
      </c>
      <c r="B15" s="14" t="s">
        <v>597</v>
      </c>
      <c r="C15" s="14" t="s">
        <v>76</v>
      </c>
      <c r="D15" s="14" t="s">
        <v>87</v>
      </c>
      <c r="E15" s="14" t="s">
        <v>1484</v>
      </c>
      <c r="F15" s="15" t="s">
        <v>598</v>
      </c>
      <c r="G15" s="15" t="s">
        <v>1449</v>
      </c>
      <c r="H15" s="15"/>
    </row>
    <row r="16" spans="1:8" ht="17.149999999999999" customHeight="1" x14ac:dyDescent="0.35">
      <c r="A16" s="22"/>
      <c r="B16" s="22"/>
      <c r="C16" s="22"/>
      <c r="D16" s="22"/>
      <c r="E16" s="22"/>
      <c r="F16" s="23"/>
      <c r="G16" s="23"/>
      <c r="H16" s="23"/>
    </row>
    <row r="17" spans="1:8" ht="17.149999999999999" customHeight="1" x14ac:dyDescent="0.35">
      <c r="A17" s="14" t="s">
        <v>599</v>
      </c>
      <c r="B17" s="14" t="s">
        <v>600</v>
      </c>
      <c r="C17" s="14" t="s">
        <v>76</v>
      </c>
      <c r="D17" s="14" t="s">
        <v>87</v>
      </c>
      <c r="E17" s="14" t="s">
        <v>1484</v>
      </c>
      <c r="F17" s="15" t="s">
        <v>601</v>
      </c>
      <c r="G17" s="15" t="s">
        <v>1449</v>
      </c>
      <c r="H17" s="15" t="s">
        <v>1454</v>
      </c>
    </row>
    <row r="18" spans="1:8" ht="17.149999999999999" customHeight="1" x14ac:dyDescent="0.35">
      <c r="A18" s="14" t="s">
        <v>602</v>
      </c>
      <c r="B18" s="14" t="s">
        <v>600</v>
      </c>
      <c r="C18" s="14" t="s">
        <v>76</v>
      </c>
      <c r="D18" s="14" t="s">
        <v>87</v>
      </c>
      <c r="E18" s="14" t="s">
        <v>1484</v>
      </c>
      <c r="F18" s="15" t="s">
        <v>592</v>
      </c>
      <c r="G18" s="15" t="s">
        <v>1449</v>
      </c>
      <c r="H18" s="15"/>
    </row>
    <row r="19" spans="1:8" ht="17.149999999999999" customHeight="1" x14ac:dyDescent="0.35">
      <c r="A19" s="14" t="s">
        <v>603</v>
      </c>
      <c r="B19" s="14" t="s">
        <v>600</v>
      </c>
      <c r="C19" s="14" t="s">
        <v>76</v>
      </c>
      <c r="D19" s="14" t="s">
        <v>87</v>
      </c>
      <c r="E19" s="14" t="s">
        <v>1484</v>
      </c>
      <c r="F19" s="15" t="s">
        <v>601</v>
      </c>
      <c r="G19" s="15" t="s">
        <v>1449</v>
      </c>
      <c r="H19" s="15"/>
    </row>
    <row r="20" spans="1:8" ht="17.149999999999999" customHeight="1" x14ac:dyDescent="0.35">
      <c r="A20" s="14" t="s">
        <v>604</v>
      </c>
      <c r="B20" s="14" t="s">
        <v>600</v>
      </c>
      <c r="C20" s="14" t="s">
        <v>76</v>
      </c>
      <c r="D20" s="14" t="s">
        <v>87</v>
      </c>
      <c r="E20" s="14" t="s">
        <v>1484</v>
      </c>
      <c r="F20" s="15" t="s">
        <v>592</v>
      </c>
      <c r="G20" s="15" t="s">
        <v>1449</v>
      </c>
      <c r="H20" s="15"/>
    </row>
    <row r="21" spans="1:8" ht="17.149999999999999" customHeight="1" x14ac:dyDescent="0.35">
      <c r="A21" s="14" t="s">
        <v>607</v>
      </c>
      <c r="B21" s="14" t="s">
        <v>597</v>
      </c>
      <c r="C21" s="14" t="s">
        <v>76</v>
      </c>
      <c r="D21" s="14" t="s">
        <v>87</v>
      </c>
      <c r="E21" s="14" t="s">
        <v>1484</v>
      </c>
      <c r="F21" s="15" t="s">
        <v>598</v>
      </c>
      <c r="G21" s="15" t="s">
        <v>1449</v>
      </c>
      <c r="H21" s="15"/>
    </row>
    <row r="22" spans="1:8" ht="17.149999999999999" customHeight="1" x14ac:dyDescent="0.35">
      <c r="A22" s="14"/>
      <c r="B22" s="14"/>
      <c r="C22" s="14"/>
      <c r="D22" s="14"/>
      <c r="E22" s="14"/>
      <c r="F22" s="15"/>
      <c r="G22" s="15"/>
      <c r="H22" s="15"/>
    </row>
    <row r="23" spans="1:8" ht="17.149999999999999" customHeight="1" x14ac:dyDescent="0.35">
      <c r="A23" s="14" t="s">
        <v>605</v>
      </c>
      <c r="B23" s="14" t="s">
        <v>44</v>
      </c>
      <c r="C23" s="14" t="s">
        <v>76</v>
      </c>
      <c r="D23" s="14" t="s">
        <v>208</v>
      </c>
      <c r="E23" s="14" t="s">
        <v>1484</v>
      </c>
      <c r="F23" s="15" t="s">
        <v>606</v>
      </c>
      <c r="G23" s="15" t="s">
        <v>1449</v>
      </c>
      <c r="H23" s="15"/>
    </row>
    <row r="24" spans="1:8" ht="17.149999999999999" customHeight="1" x14ac:dyDescent="0.35">
      <c r="A24" s="20"/>
      <c r="B24" s="20"/>
      <c r="C24" s="20"/>
      <c r="D24" s="20"/>
      <c r="E24" s="20"/>
      <c r="F24" s="21"/>
      <c r="G24" s="21"/>
      <c r="H24" s="21"/>
    </row>
    <row r="25" spans="1:8" ht="17.149999999999999" customHeight="1" x14ac:dyDescent="0.35">
      <c r="A25" s="14" t="s">
        <v>98</v>
      </c>
      <c r="B25" s="14" t="s">
        <v>97</v>
      </c>
      <c r="C25" s="14" t="s">
        <v>76</v>
      </c>
      <c r="D25" s="14" t="s">
        <v>78</v>
      </c>
      <c r="E25" s="14" t="s">
        <v>1487</v>
      </c>
      <c r="F25" s="15" t="s">
        <v>615</v>
      </c>
      <c r="G25" s="15" t="s">
        <v>1446</v>
      </c>
      <c r="H25" s="15" t="s">
        <v>1451</v>
      </c>
    </row>
    <row r="26" spans="1:8" ht="17.149999999999999" customHeight="1" x14ac:dyDescent="0.35">
      <c r="A26" s="14" t="s">
        <v>100</v>
      </c>
      <c r="B26" s="14" t="s">
        <v>99</v>
      </c>
      <c r="C26" s="14" t="s">
        <v>76</v>
      </c>
      <c r="D26" s="14" t="s">
        <v>78</v>
      </c>
      <c r="E26" s="14" t="s">
        <v>1487</v>
      </c>
      <c r="F26" s="15" t="s">
        <v>616</v>
      </c>
      <c r="G26" s="15" t="s">
        <v>1446</v>
      </c>
      <c r="H26" s="15"/>
    </row>
    <row r="27" spans="1:8" ht="17.149999999999999" customHeight="1" x14ac:dyDescent="0.35">
      <c r="A27" s="20"/>
      <c r="B27" s="20"/>
      <c r="C27" s="20"/>
      <c r="D27" s="20"/>
      <c r="E27" s="20"/>
      <c r="F27" s="21" t="s">
        <v>1456</v>
      </c>
      <c r="G27" s="21"/>
      <c r="H27" s="21"/>
    </row>
    <row r="28" spans="1:8" ht="17.149999999999999" customHeight="1" x14ac:dyDescent="0.35">
      <c r="A28" s="14" t="s">
        <v>593</v>
      </c>
      <c r="B28" s="14" t="s">
        <v>619</v>
      </c>
      <c r="C28" s="14" t="s">
        <v>76</v>
      </c>
      <c r="D28" s="14" t="s">
        <v>87</v>
      </c>
      <c r="E28" s="14" t="s">
        <v>1485</v>
      </c>
      <c r="F28" s="15" t="s">
        <v>620</v>
      </c>
      <c r="G28" s="15" t="s">
        <v>1445</v>
      </c>
      <c r="H28" s="15" t="s">
        <v>1453</v>
      </c>
    </row>
    <row r="29" spans="1:8" ht="17.149999999999999" customHeight="1" x14ac:dyDescent="0.35">
      <c r="A29" s="14"/>
      <c r="B29" s="14"/>
      <c r="C29" s="14"/>
      <c r="D29" s="14"/>
      <c r="E29" s="14"/>
      <c r="F29" s="15"/>
      <c r="G29" s="15"/>
      <c r="H29" s="15"/>
    </row>
    <row r="30" spans="1:8" ht="17.149999999999999" customHeight="1" x14ac:dyDescent="0.35">
      <c r="A30" s="14" t="s">
        <v>594</v>
      </c>
      <c r="B30" s="14" t="s">
        <v>1347</v>
      </c>
      <c r="C30" s="14" t="s">
        <v>76</v>
      </c>
      <c r="D30" s="14" t="s">
        <v>208</v>
      </c>
      <c r="E30" s="14" t="s">
        <v>1485</v>
      </c>
      <c r="F30" s="15" t="s">
        <v>618</v>
      </c>
      <c r="G30" s="15" t="s">
        <v>1445</v>
      </c>
      <c r="H30" s="15"/>
    </row>
    <row r="31" spans="1:8" ht="17.149999999999999" customHeight="1" x14ac:dyDescent="0.35">
      <c r="A31" s="14" t="s">
        <v>606</v>
      </c>
      <c r="B31" s="14" t="s">
        <v>44</v>
      </c>
      <c r="C31" s="14" t="s">
        <v>76</v>
      </c>
      <c r="D31" s="14" t="s">
        <v>208</v>
      </c>
      <c r="E31" s="14" t="s">
        <v>1485</v>
      </c>
      <c r="F31" s="15" t="s">
        <v>617</v>
      </c>
      <c r="G31" s="15" t="s">
        <v>1445</v>
      </c>
      <c r="H31" s="15"/>
    </row>
    <row r="32" spans="1:8" ht="17.149999999999999" customHeight="1" x14ac:dyDescent="0.35">
      <c r="A32" s="20"/>
      <c r="B32" s="20"/>
      <c r="C32" s="20"/>
      <c r="D32" s="20"/>
      <c r="E32" s="20"/>
      <c r="F32" s="21"/>
      <c r="G32" s="21"/>
      <c r="H32" s="21"/>
    </row>
    <row r="33" spans="1:8" ht="17.149999999999999" customHeight="1" x14ac:dyDescent="0.35">
      <c r="A33" s="14" t="s">
        <v>89</v>
      </c>
      <c r="B33" s="14" t="s">
        <v>1347</v>
      </c>
      <c r="C33" s="14" t="s">
        <v>76</v>
      </c>
      <c r="D33" s="14" t="s">
        <v>78</v>
      </c>
      <c r="E33" s="14" t="s">
        <v>1488</v>
      </c>
      <c r="F33" s="15" t="s">
        <v>123</v>
      </c>
      <c r="G33" s="15" t="s">
        <v>1448</v>
      </c>
      <c r="H33" s="15" t="s">
        <v>1455</v>
      </c>
    </row>
    <row r="34" spans="1:8" ht="17.149999999999999" customHeight="1" x14ac:dyDescent="0.35">
      <c r="A34" s="14" t="s">
        <v>96</v>
      </c>
      <c r="B34" s="14" t="s">
        <v>95</v>
      </c>
      <c r="C34" s="14" t="s">
        <v>76</v>
      </c>
      <c r="D34" s="14" t="s">
        <v>78</v>
      </c>
      <c r="E34" s="14" t="s">
        <v>1488</v>
      </c>
      <c r="F34" s="15" t="s">
        <v>555</v>
      </c>
      <c r="G34" s="15" t="s">
        <v>1448</v>
      </c>
      <c r="H34" s="15"/>
    </row>
    <row r="35" spans="1:8" ht="17.149999999999999" customHeight="1" x14ac:dyDescent="0.35">
      <c r="A35" s="14" t="s">
        <v>94</v>
      </c>
      <c r="B35" s="14" t="s">
        <v>93</v>
      </c>
      <c r="C35" s="14" t="s">
        <v>76</v>
      </c>
      <c r="D35" s="14" t="s">
        <v>78</v>
      </c>
      <c r="E35" s="14" t="s">
        <v>1488</v>
      </c>
      <c r="F35" s="15" t="s">
        <v>152</v>
      </c>
      <c r="G35" s="15" t="s">
        <v>1448</v>
      </c>
      <c r="H35" s="15"/>
    </row>
    <row r="36" spans="1:8" ht="17.149999999999999" customHeight="1" x14ac:dyDescent="0.35">
      <c r="A36" s="14" t="s">
        <v>92</v>
      </c>
      <c r="B36" s="14" t="s">
        <v>44</v>
      </c>
      <c r="C36" s="14" t="s">
        <v>76</v>
      </c>
      <c r="D36" s="14" t="s">
        <v>78</v>
      </c>
      <c r="E36" s="14" t="s">
        <v>1488</v>
      </c>
      <c r="F36" s="15" t="s">
        <v>121</v>
      </c>
      <c r="G36" s="15" t="s">
        <v>1448</v>
      </c>
      <c r="H36" s="15"/>
    </row>
    <row r="37" spans="1:8" ht="17.149999999999999" customHeight="1" x14ac:dyDescent="0.35">
      <c r="A37" s="14" t="s">
        <v>103</v>
      </c>
      <c r="B37" s="14" t="s">
        <v>102</v>
      </c>
      <c r="C37" s="14" t="s">
        <v>76</v>
      </c>
      <c r="D37" s="14" t="s">
        <v>78</v>
      </c>
      <c r="E37" s="14" t="s">
        <v>1488</v>
      </c>
      <c r="F37" s="15" t="s">
        <v>552</v>
      </c>
      <c r="G37" s="15" t="s">
        <v>1448</v>
      </c>
      <c r="H37" s="15"/>
    </row>
    <row r="38" spans="1:8" ht="17.149999999999999" customHeight="1" x14ac:dyDescent="0.35">
      <c r="A38" s="14" t="s">
        <v>91</v>
      </c>
      <c r="B38" s="14" t="s">
        <v>90</v>
      </c>
      <c r="C38" s="14" t="s">
        <v>76</v>
      </c>
      <c r="D38" s="14" t="s">
        <v>78</v>
      </c>
      <c r="E38" s="14" t="s">
        <v>1488</v>
      </c>
      <c r="F38" s="15" t="s">
        <v>559</v>
      </c>
      <c r="G38" s="15" t="s">
        <v>1448</v>
      </c>
      <c r="H38" s="15"/>
    </row>
    <row r="39" spans="1:8" ht="17.149999999999999" customHeight="1" x14ac:dyDescent="0.35">
      <c r="A39" s="14"/>
      <c r="B39" s="14"/>
      <c r="C39" s="14"/>
      <c r="D39" s="14"/>
      <c r="E39" s="14"/>
      <c r="F39" s="15"/>
      <c r="G39" s="15"/>
      <c r="H39" s="15"/>
    </row>
    <row r="40" spans="1:8" ht="17.149999999999999" customHeight="1" x14ac:dyDescent="0.35">
      <c r="A40" s="14" t="s">
        <v>590</v>
      </c>
      <c r="B40" s="14" t="s">
        <v>1347</v>
      </c>
      <c r="C40" s="14" t="s">
        <v>76</v>
      </c>
      <c r="D40" s="14" t="s">
        <v>87</v>
      </c>
      <c r="E40" s="14" t="s">
        <v>1488</v>
      </c>
      <c r="F40" s="15" t="s">
        <v>120</v>
      </c>
      <c r="G40" s="15" t="s">
        <v>1448</v>
      </c>
      <c r="H40" s="15"/>
    </row>
    <row r="41" spans="1:8" ht="17.149999999999999" customHeight="1" x14ac:dyDescent="0.35">
      <c r="A41" s="14"/>
      <c r="B41" s="14"/>
      <c r="C41" s="14"/>
      <c r="D41" s="14"/>
      <c r="E41" s="14"/>
      <c r="F41" s="15"/>
      <c r="G41" s="15"/>
      <c r="H41" s="15"/>
    </row>
    <row r="42" spans="1:8" ht="17.149999999999999" customHeight="1" x14ac:dyDescent="0.35">
      <c r="A42" s="14" t="s">
        <v>589</v>
      </c>
      <c r="B42" s="14" t="s">
        <v>52</v>
      </c>
      <c r="C42" s="14" t="s">
        <v>76</v>
      </c>
      <c r="D42" s="14" t="s">
        <v>87</v>
      </c>
      <c r="E42" s="14" t="s">
        <v>1488</v>
      </c>
      <c r="F42" s="15" t="s">
        <v>118</v>
      </c>
      <c r="G42" s="15" t="s">
        <v>1448</v>
      </c>
      <c r="H42" s="15"/>
    </row>
  </sheetData>
  <sortState xmlns:xlrd2="http://schemas.microsoft.com/office/spreadsheetml/2017/richdata2" ref="A33:G42">
    <sortCondition descending="1" ref="D33:D42"/>
    <sortCondition ref="B33:B4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DC7F-17E7-45FD-B161-F7C6A00E9BA0}">
  <sheetPr filterMode="1">
    <tabColor rgb="FF7030A0"/>
  </sheetPr>
  <dimension ref="A1:H30"/>
  <sheetViews>
    <sheetView showGridLines="0" workbookViewId="0">
      <selection activeCell="H14" sqref="H14:H29"/>
    </sheetView>
  </sheetViews>
  <sheetFormatPr defaultRowHeight="17.149999999999999" customHeight="1" x14ac:dyDescent="0.35"/>
  <cols>
    <col min="1" max="1" width="13.26953125" style="10" bestFit="1" customWidth="1"/>
    <col min="2" max="2" width="10.179687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0" style="10" bestFit="1" customWidth="1"/>
    <col min="7" max="7" width="14" bestFit="1" customWidth="1"/>
    <col min="8" max="8" width="13.453125" bestFit="1" customWidth="1"/>
  </cols>
  <sheetData>
    <row r="1" spans="1:8" ht="18" customHeight="1" x14ac:dyDescent="0.35">
      <c r="A1" s="32" t="s">
        <v>56</v>
      </c>
      <c r="B1" s="32"/>
      <c r="C1" s="32"/>
      <c r="D1" s="32"/>
    </row>
    <row r="2" spans="1:8" ht="12.75" hidden="1" customHeight="1" x14ac:dyDescent="0.35">
      <c r="A2" s="33" t="s">
        <v>669</v>
      </c>
      <c r="B2" s="33"/>
      <c r="C2" s="33"/>
      <c r="D2" s="33"/>
    </row>
    <row r="3" spans="1:8" ht="12" hidden="1" customHeight="1" x14ac:dyDescent="0.35">
      <c r="A3" s="2" t="s">
        <v>1</v>
      </c>
      <c r="B3" s="29" t="s">
        <v>2</v>
      </c>
      <c r="C3" s="29"/>
      <c r="D3" s="29"/>
    </row>
    <row r="4" spans="1:8" ht="12.75" hidden="1" customHeight="1" x14ac:dyDescent="0.35">
      <c r="A4" s="2" t="s">
        <v>3</v>
      </c>
      <c r="B4" s="29" t="s">
        <v>4</v>
      </c>
      <c r="C4" s="29"/>
      <c r="D4" s="29"/>
    </row>
    <row r="5" spans="1:8" ht="12" hidden="1" customHeight="1" x14ac:dyDescent="0.35">
      <c r="A5" s="2" t="s">
        <v>5</v>
      </c>
      <c r="B5" s="29" t="s">
        <v>6</v>
      </c>
      <c r="C5" s="29"/>
      <c r="D5" s="29"/>
    </row>
    <row r="6" spans="1:8" ht="5.25" hidden="1" customHeight="1" x14ac:dyDescent="0.35"/>
    <row r="7" spans="1:8" ht="12" hidden="1" customHeight="1" x14ac:dyDescent="0.35">
      <c r="A7" s="2" t="s">
        <v>7</v>
      </c>
      <c r="B7" s="29" t="s">
        <v>8</v>
      </c>
      <c r="C7" s="29"/>
      <c r="D7" s="29"/>
    </row>
    <row r="8" spans="1:8" ht="12.75" hidden="1" customHeight="1" x14ac:dyDescent="0.35">
      <c r="A8" s="2" t="s">
        <v>9</v>
      </c>
      <c r="B8" s="29" t="s">
        <v>10</v>
      </c>
      <c r="C8" s="29"/>
      <c r="D8" s="29"/>
    </row>
    <row r="9" spans="1:8" ht="12" hidden="1" customHeight="1" x14ac:dyDescent="0.35">
      <c r="A9" s="2" t="s">
        <v>11</v>
      </c>
      <c r="B9" s="29" t="s">
        <v>12</v>
      </c>
      <c r="C9" s="29"/>
      <c r="D9" s="29"/>
    </row>
    <row r="10" spans="1:8" ht="12.75" hidden="1" customHeight="1" x14ac:dyDescent="0.35">
      <c r="A10" s="2" t="s">
        <v>9</v>
      </c>
      <c r="B10" s="29"/>
      <c r="C10" s="29"/>
      <c r="D10" s="29"/>
    </row>
    <row r="11" spans="1:8" ht="10.5" hidden="1" customHeight="1" x14ac:dyDescent="0.35"/>
    <row r="12" spans="1:8" ht="16.5" hidden="1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670</v>
      </c>
      <c r="B14" s="14" t="s">
        <v>1410</v>
      </c>
      <c r="C14" s="14" t="s">
        <v>76</v>
      </c>
      <c r="D14" s="14" t="s">
        <v>78</v>
      </c>
      <c r="E14" s="14" t="s">
        <v>1507</v>
      </c>
      <c r="F14" s="15" t="s">
        <v>671</v>
      </c>
      <c r="G14" s="15" t="s">
        <v>1446</v>
      </c>
      <c r="H14" s="15" t="s">
        <v>1520</v>
      </c>
    </row>
    <row r="15" spans="1:8" ht="17.149999999999999" hidden="1" customHeight="1" x14ac:dyDescent="0.35">
      <c r="A15" s="14" t="s">
        <v>672</v>
      </c>
      <c r="B15" s="14" t="s">
        <v>1411</v>
      </c>
      <c r="C15" s="14" t="s">
        <v>76</v>
      </c>
      <c r="D15" s="14" t="s">
        <v>78</v>
      </c>
      <c r="E15" s="14" t="s">
        <v>1507</v>
      </c>
      <c r="F15" s="15" t="s">
        <v>673</v>
      </c>
      <c r="G15" s="15" t="s">
        <v>1446</v>
      </c>
      <c r="H15" s="15"/>
    </row>
    <row r="16" spans="1:8" ht="17.149999999999999" hidden="1" customHeight="1" x14ac:dyDescent="0.35">
      <c r="A16" s="14" t="s">
        <v>674</v>
      </c>
      <c r="B16" s="14" t="s">
        <v>1412</v>
      </c>
      <c r="C16" s="14" t="s">
        <v>76</v>
      </c>
      <c r="D16" s="14" t="s">
        <v>78</v>
      </c>
      <c r="E16" s="14" t="s">
        <v>1507</v>
      </c>
      <c r="F16" s="15" t="s">
        <v>675</v>
      </c>
      <c r="G16" s="15" t="s">
        <v>1446</v>
      </c>
      <c r="H16" s="15"/>
    </row>
    <row r="17" spans="1:8" ht="17.149999999999999" hidden="1" customHeight="1" x14ac:dyDescent="0.35">
      <c r="A17" s="14" t="s">
        <v>676</v>
      </c>
      <c r="B17" s="14" t="s">
        <v>1413</v>
      </c>
      <c r="C17" s="14" t="s">
        <v>76</v>
      </c>
      <c r="D17" s="14" t="s">
        <v>78</v>
      </c>
      <c r="E17" s="14" t="s">
        <v>1507</v>
      </c>
      <c r="F17" s="15" t="s">
        <v>677</v>
      </c>
      <c r="G17" s="15" t="s">
        <v>1446</v>
      </c>
      <c r="H17" s="15"/>
    </row>
    <row r="18" spans="1:8" ht="17.149999999999999" hidden="1" customHeight="1" x14ac:dyDescent="0.35">
      <c r="A18" s="14" t="s">
        <v>678</v>
      </c>
      <c r="B18" s="14" t="s">
        <v>1414</v>
      </c>
      <c r="C18" s="14" t="s">
        <v>76</v>
      </c>
      <c r="D18" s="14" t="s">
        <v>78</v>
      </c>
      <c r="E18" s="14" t="s">
        <v>1507</v>
      </c>
      <c r="F18" s="15" t="s">
        <v>679</v>
      </c>
      <c r="G18" s="15" t="s">
        <v>1446</v>
      </c>
      <c r="H18" s="15"/>
    </row>
    <row r="19" spans="1:8" ht="17.149999999999999" hidden="1" customHeight="1" x14ac:dyDescent="0.35">
      <c r="A19" s="14" t="s">
        <v>680</v>
      </c>
      <c r="B19" s="14" t="s">
        <v>1415</v>
      </c>
      <c r="C19" s="14" t="s">
        <v>76</v>
      </c>
      <c r="D19" s="14" t="s">
        <v>78</v>
      </c>
      <c r="E19" s="14" t="s">
        <v>1507</v>
      </c>
      <c r="F19" s="15" t="s">
        <v>681</v>
      </c>
      <c r="G19" s="15" t="s">
        <v>1446</v>
      </c>
      <c r="H19" s="15"/>
    </row>
    <row r="20" spans="1:8" ht="17.149999999999999" hidden="1" customHeight="1" x14ac:dyDescent="0.35">
      <c r="A20" s="14" t="s">
        <v>682</v>
      </c>
      <c r="B20" s="14" t="s">
        <v>1416</v>
      </c>
      <c r="C20" s="14" t="s">
        <v>76</v>
      </c>
      <c r="D20" s="14" t="s">
        <v>78</v>
      </c>
      <c r="E20" s="14" t="s">
        <v>1507</v>
      </c>
      <c r="F20" s="15" t="s">
        <v>683</v>
      </c>
      <c r="G20" s="15" t="s">
        <v>1446</v>
      </c>
      <c r="H20" s="15"/>
    </row>
    <row r="21" spans="1:8" ht="17.149999999999999" hidden="1" customHeight="1" x14ac:dyDescent="0.35">
      <c r="A21" s="14" t="s">
        <v>684</v>
      </c>
      <c r="B21" s="14" t="s">
        <v>1417</v>
      </c>
      <c r="C21" s="14" t="s">
        <v>76</v>
      </c>
      <c r="D21" s="14" t="s">
        <v>78</v>
      </c>
      <c r="E21" s="14" t="s">
        <v>1507</v>
      </c>
      <c r="F21" s="15" t="s">
        <v>685</v>
      </c>
      <c r="G21" s="15" t="s">
        <v>1446</v>
      </c>
      <c r="H21" s="15"/>
    </row>
    <row r="22" spans="1:8" ht="17.149999999999999" hidden="1" customHeight="1" x14ac:dyDescent="0.35">
      <c r="A22" s="20"/>
      <c r="B22" s="20"/>
      <c r="C22" s="20"/>
      <c r="D22" s="20"/>
      <c r="E22" s="20"/>
      <c r="F22" s="21"/>
      <c r="G22" s="21"/>
      <c r="H22" s="21"/>
    </row>
    <row r="23" spans="1:8" ht="17.149999999999999" customHeight="1" x14ac:dyDescent="0.35">
      <c r="A23" s="14" t="s">
        <v>686</v>
      </c>
      <c r="B23" s="14" t="s">
        <v>1418</v>
      </c>
      <c r="C23" s="14" t="s">
        <v>76</v>
      </c>
      <c r="D23" s="14" t="s">
        <v>78</v>
      </c>
      <c r="E23" s="14" t="s">
        <v>1486</v>
      </c>
      <c r="F23" s="15" t="s">
        <v>687</v>
      </c>
      <c r="G23" s="15" t="s">
        <v>1445</v>
      </c>
      <c r="H23" s="15" t="s">
        <v>1457</v>
      </c>
    </row>
    <row r="24" spans="1:8" ht="17.149999999999999" hidden="1" customHeight="1" x14ac:dyDescent="0.35">
      <c r="A24" s="14" t="s">
        <v>688</v>
      </c>
      <c r="B24" s="14" t="s">
        <v>1419</v>
      </c>
      <c r="C24" s="14" t="s">
        <v>76</v>
      </c>
      <c r="D24" s="14" t="s">
        <v>78</v>
      </c>
      <c r="E24" s="14" t="s">
        <v>1486</v>
      </c>
      <c r="F24" s="15" t="s">
        <v>689</v>
      </c>
      <c r="G24" s="15" t="s">
        <v>1445</v>
      </c>
      <c r="H24" s="15"/>
    </row>
    <row r="25" spans="1:8" ht="17.149999999999999" hidden="1" customHeight="1" x14ac:dyDescent="0.35">
      <c r="A25" s="14"/>
      <c r="B25" s="14"/>
      <c r="C25" s="14"/>
      <c r="D25" s="14"/>
      <c r="E25" s="14"/>
      <c r="F25" s="15"/>
      <c r="G25" s="15"/>
      <c r="H25" s="15"/>
    </row>
    <row r="26" spans="1:8" ht="17.149999999999999" hidden="1" customHeight="1" x14ac:dyDescent="0.35">
      <c r="A26" s="14" t="s">
        <v>690</v>
      </c>
      <c r="B26" s="14" t="s">
        <v>37</v>
      </c>
      <c r="C26" s="14" t="s">
        <v>76</v>
      </c>
      <c r="D26" s="14" t="s">
        <v>87</v>
      </c>
      <c r="E26" s="14" t="s">
        <v>1486</v>
      </c>
      <c r="F26" s="15" t="s">
        <v>691</v>
      </c>
      <c r="G26" s="15" t="s">
        <v>1445</v>
      </c>
      <c r="H26" s="15"/>
    </row>
    <row r="27" spans="1:8" ht="17.149999999999999" hidden="1" customHeight="1" x14ac:dyDescent="0.35">
      <c r="A27" s="14" t="s">
        <v>692</v>
      </c>
      <c r="B27" s="14" t="s">
        <v>38</v>
      </c>
      <c r="C27" s="14" t="s">
        <v>76</v>
      </c>
      <c r="D27" s="14" t="s">
        <v>87</v>
      </c>
      <c r="E27" s="14" t="s">
        <v>1486</v>
      </c>
      <c r="F27" s="15" t="s">
        <v>693</v>
      </c>
      <c r="G27" s="15" t="s">
        <v>1445</v>
      </c>
      <c r="H27" s="15"/>
    </row>
    <row r="28" spans="1:8" ht="17.149999999999999" hidden="1" customHeight="1" x14ac:dyDescent="0.35">
      <c r="A28" s="20"/>
      <c r="B28" s="20"/>
      <c r="C28" s="20"/>
      <c r="D28" s="20"/>
      <c r="E28" s="20"/>
      <c r="F28" s="21"/>
      <c r="G28" s="21"/>
      <c r="H28" s="21"/>
    </row>
    <row r="29" spans="1:8" ht="17.149999999999999" customHeight="1" x14ac:dyDescent="0.35">
      <c r="A29" s="14" t="s">
        <v>587</v>
      </c>
      <c r="B29" s="14" t="s">
        <v>1347</v>
      </c>
      <c r="C29" s="14" t="s">
        <v>76</v>
      </c>
      <c r="D29" s="14" t="s">
        <v>87</v>
      </c>
      <c r="E29" s="14" t="s">
        <v>1489</v>
      </c>
      <c r="F29" s="15" t="s">
        <v>107</v>
      </c>
      <c r="G29" s="15" t="s">
        <v>1448</v>
      </c>
      <c r="H29" s="15" t="s">
        <v>1458</v>
      </c>
    </row>
    <row r="30" spans="1:8" ht="17.149999999999999" hidden="1" customHeight="1" x14ac:dyDescent="0.35">
      <c r="A30" s="14" t="s">
        <v>588</v>
      </c>
      <c r="B30" s="14" t="s">
        <v>1347</v>
      </c>
      <c r="C30" s="14" t="s">
        <v>76</v>
      </c>
      <c r="D30" s="14" t="s">
        <v>87</v>
      </c>
      <c r="E30" s="14" t="s">
        <v>1489</v>
      </c>
      <c r="F30" s="15" t="s">
        <v>106</v>
      </c>
      <c r="G30" s="15" t="s">
        <v>1448</v>
      </c>
      <c r="H30" s="15"/>
    </row>
  </sheetData>
  <autoFilter ref="H1:H30" xr:uid="{2325DC7F-17E7-45FD-B161-F7C6A00E9BA0}">
    <filterColumn colId="0">
      <customFilters>
        <customFilter operator="notEqual" val=" "/>
      </customFilters>
    </filterColumn>
  </autoFilter>
  <sortState xmlns:xlrd2="http://schemas.microsoft.com/office/spreadsheetml/2017/richdata2" ref="A14:G21"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57EB-1A4C-41BB-88C1-BFFC54F7A90D}">
  <sheetPr>
    <tabColor rgb="FFB07BD7"/>
  </sheetPr>
  <dimension ref="A1:H391"/>
  <sheetViews>
    <sheetView showGridLines="0" topLeftCell="A359" workbookViewId="0">
      <selection activeCell="A44" sqref="A43:XFD44"/>
    </sheetView>
  </sheetViews>
  <sheetFormatPr defaultRowHeight="17.149999999999999" customHeight="1" x14ac:dyDescent="0.35"/>
  <cols>
    <col min="1" max="1" width="12" style="10" bestFit="1" customWidth="1"/>
    <col min="2" max="2" width="11.4531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2.26953125" style="10" bestFit="1" customWidth="1"/>
    <col min="7" max="7" width="14.54296875" bestFit="1" customWidth="1"/>
    <col min="8" max="8" width="15.7265625" bestFit="1" customWidth="1"/>
  </cols>
  <sheetData>
    <row r="1" spans="1:8" ht="18" customHeight="1" x14ac:dyDescent="0.35">
      <c r="A1" s="32" t="s">
        <v>22</v>
      </c>
      <c r="B1" s="32"/>
      <c r="C1" s="32"/>
      <c r="D1" s="32"/>
    </row>
    <row r="2" spans="1:8" ht="12" customHeight="1" x14ac:dyDescent="0.35">
      <c r="A2" s="33"/>
      <c r="B2" s="33"/>
      <c r="C2" s="33"/>
      <c r="D2" s="33"/>
    </row>
    <row r="3" spans="1:8" ht="12.75" customHeight="1" x14ac:dyDescent="0.35">
      <c r="A3" s="2" t="s">
        <v>1</v>
      </c>
      <c r="B3" s="29" t="s">
        <v>2</v>
      </c>
      <c r="C3" s="29"/>
      <c r="D3" s="29"/>
    </row>
    <row r="4" spans="1:8" ht="12" customHeight="1" x14ac:dyDescent="0.35">
      <c r="A4" s="2" t="s">
        <v>3</v>
      </c>
      <c r="B4" s="29" t="s">
        <v>4</v>
      </c>
      <c r="C4" s="29"/>
      <c r="D4" s="29"/>
    </row>
    <row r="5" spans="1:8" ht="12.75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2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2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707</v>
      </c>
      <c r="B14" s="14" t="s">
        <v>31</v>
      </c>
      <c r="C14" s="14" t="s">
        <v>76</v>
      </c>
      <c r="D14" s="14" t="s">
        <v>86</v>
      </c>
      <c r="E14" s="14" t="s">
        <v>1483</v>
      </c>
      <c r="F14" s="15" t="s">
        <v>708</v>
      </c>
      <c r="G14" s="15" t="s">
        <v>1445</v>
      </c>
      <c r="H14" s="15" t="s">
        <v>1490</v>
      </c>
    </row>
    <row r="15" spans="1:8" ht="17.149999999999999" customHeight="1" x14ac:dyDescent="0.35">
      <c r="A15" s="14"/>
      <c r="B15" s="14"/>
      <c r="C15" s="14"/>
      <c r="D15" s="14"/>
      <c r="E15" s="14"/>
      <c r="F15" s="15"/>
      <c r="G15" s="15"/>
      <c r="H15" s="15"/>
    </row>
    <row r="16" spans="1:8" ht="17.149999999999999" customHeight="1" x14ac:dyDescent="0.35">
      <c r="A16" s="14" t="s">
        <v>710</v>
      </c>
      <c r="B16" s="14" t="s">
        <v>36</v>
      </c>
      <c r="C16" s="14" t="s">
        <v>76</v>
      </c>
      <c r="D16" s="14" t="s">
        <v>87</v>
      </c>
      <c r="E16" s="14" t="s">
        <v>1479</v>
      </c>
      <c r="F16" s="15" t="s">
        <v>711</v>
      </c>
      <c r="G16" s="15" t="s">
        <v>1445</v>
      </c>
      <c r="H16" s="15"/>
    </row>
    <row r="17" spans="1:8" ht="17.149999999999999" customHeight="1" x14ac:dyDescent="0.35">
      <c r="A17" s="14" t="s">
        <v>712</v>
      </c>
      <c r="B17" s="14" t="s">
        <v>42</v>
      </c>
      <c r="C17" s="14" t="s">
        <v>76</v>
      </c>
      <c r="D17" s="14" t="s">
        <v>87</v>
      </c>
      <c r="E17" s="14" t="s">
        <v>1479</v>
      </c>
      <c r="F17" s="15" t="s">
        <v>713</v>
      </c>
      <c r="G17" s="15" t="s">
        <v>1445</v>
      </c>
      <c r="H17" s="15"/>
    </row>
    <row r="18" spans="1:8" ht="17.149999999999999" customHeight="1" x14ac:dyDescent="0.35">
      <c r="A18" s="14" t="s">
        <v>704</v>
      </c>
      <c r="B18" s="14" t="s">
        <v>43</v>
      </c>
      <c r="C18" s="14" t="s">
        <v>76</v>
      </c>
      <c r="D18" s="14" t="s">
        <v>87</v>
      </c>
      <c r="E18" s="14" t="s">
        <v>1484</v>
      </c>
      <c r="F18" s="15" t="s">
        <v>705</v>
      </c>
      <c r="G18" s="15" t="s">
        <v>1445</v>
      </c>
      <c r="H18" s="15"/>
    </row>
    <row r="19" spans="1:8" ht="17.149999999999999" customHeight="1" x14ac:dyDescent="0.35">
      <c r="A19" s="14" t="s">
        <v>704</v>
      </c>
      <c r="B19" s="14" t="s">
        <v>43</v>
      </c>
      <c r="C19" s="14" t="s">
        <v>76</v>
      </c>
      <c r="D19" s="14" t="s">
        <v>87</v>
      </c>
      <c r="E19" s="14" t="s">
        <v>1484</v>
      </c>
      <c r="F19" s="15" t="s">
        <v>699</v>
      </c>
      <c r="G19" s="15" t="s">
        <v>1445</v>
      </c>
      <c r="H19" s="15"/>
    </row>
    <row r="20" spans="1:8" ht="17.149999999999999" customHeight="1" x14ac:dyDescent="0.35">
      <c r="A20" s="14" t="s">
        <v>706</v>
      </c>
      <c r="B20" s="14" t="s">
        <v>43</v>
      </c>
      <c r="C20" s="14" t="s">
        <v>76</v>
      </c>
      <c r="D20" s="14" t="s">
        <v>87</v>
      </c>
      <c r="E20" s="14" t="s">
        <v>1484</v>
      </c>
      <c r="F20" s="15" t="s">
        <v>699</v>
      </c>
      <c r="G20" s="15" t="s">
        <v>1445</v>
      </c>
      <c r="H20" s="15"/>
    </row>
    <row r="21" spans="1:8" ht="17.149999999999999" customHeight="1" x14ac:dyDescent="0.35">
      <c r="A21" s="14" t="s">
        <v>709</v>
      </c>
      <c r="B21" s="14" t="s">
        <v>43</v>
      </c>
      <c r="C21" s="14" t="s">
        <v>76</v>
      </c>
      <c r="D21" s="14" t="s">
        <v>87</v>
      </c>
      <c r="E21" s="14" t="s">
        <v>1484</v>
      </c>
      <c r="F21" s="15" t="s">
        <v>700</v>
      </c>
      <c r="G21" s="15" t="s">
        <v>1445</v>
      </c>
      <c r="H21" s="15"/>
    </row>
    <row r="22" spans="1:8" ht="17.149999999999999" customHeight="1" x14ac:dyDescent="0.35">
      <c r="A22" s="14" t="s">
        <v>722</v>
      </c>
      <c r="B22" s="14" t="s">
        <v>43</v>
      </c>
      <c r="C22" s="14" t="s">
        <v>76</v>
      </c>
      <c r="D22" s="14" t="s">
        <v>87</v>
      </c>
      <c r="E22" s="14" t="s">
        <v>1484</v>
      </c>
      <c r="F22" s="15" t="s">
        <v>701</v>
      </c>
      <c r="G22" s="15" t="s">
        <v>1445</v>
      </c>
      <c r="H22" s="15"/>
    </row>
    <row r="23" spans="1:8" ht="17.149999999999999" customHeight="1" x14ac:dyDescent="0.35">
      <c r="A23" s="14" t="s">
        <v>726</v>
      </c>
      <c r="B23" s="14" t="s">
        <v>43</v>
      </c>
      <c r="C23" s="14" t="s">
        <v>76</v>
      </c>
      <c r="D23" s="14" t="s">
        <v>87</v>
      </c>
      <c r="E23" s="14" t="s">
        <v>1484</v>
      </c>
      <c r="F23" s="15" t="s">
        <v>701</v>
      </c>
      <c r="G23" s="15" t="s">
        <v>1445</v>
      </c>
      <c r="H23" s="15"/>
    </row>
    <row r="24" spans="1:8" ht="17.149999999999999" customHeight="1" x14ac:dyDescent="0.35">
      <c r="A24" s="14" t="s">
        <v>728</v>
      </c>
      <c r="B24" s="14" t="s">
        <v>43</v>
      </c>
      <c r="C24" s="14" t="s">
        <v>76</v>
      </c>
      <c r="D24" s="14" t="s">
        <v>87</v>
      </c>
      <c r="E24" s="14" t="s">
        <v>1479</v>
      </c>
      <c r="F24" s="15" t="s">
        <v>700</v>
      </c>
      <c r="G24" s="15" t="s">
        <v>1445</v>
      </c>
      <c r="H24" s="15"/>
    </row>
    <row r="25" spans="1:8" ht="17.149999999999999" customHeight="1" x14ac:dyDescent="0.35">
      <c r="A25" s="14" t="s">
        <v>729</v>
      </c>
      <c r="B25" s="14" t="s">
        <v>43</v>
      </c>
      <c r="C25" s="14" t="s">
        <v>76</v>
      </c>
      <c r="D25" s="14" t="s">
        <v>87</v>
      </c>
      <c r="E25" s="14" t="s">
        <v>1479</v>
      </c>
      <c r="F25" s="15" t="s">
        <v>701</v>
      </c>
      <c r="G25" s="15" t="s">
        <v>1445</v>
      </c>
      <c r="H25" s="15"/>
    </row>
    <row r="26" spans="1:8" ht="17.149999999999999" customHeight="1" x14ac:dyDescent="0.35">
      <c r="A26" s="14" t="s">
        <v>716</v>
      </c>
      <c r="B26" s="14" t="s">
        <v>55</v>
      </c>
      <c r="C26" s="14" t="s">
        <v>76</v>
      </c>
      <c r="D26" s="14" t="s">
        <v>87</v>
      </c>
      <c r="E26" s="14" t="s">
        <v>1479</v>
      </c>
      <c r="F26" s="15" t="s">
        <v>717</v>
      </c>
      <c r="G26" s="15" t="s">
        <v>1445</v>
      </c>
      <c r="H26" s="15"/>
    </row>
    <row r="27" spans="1:8" ht="17.149999999999999" customHeight="1" x14ac:dyDescent="0.35">
      <c r="A27" s="14" t="s">
        <v>718</v>
      </c>
      <c r="B27" s="14" t="s">
        <v>55</v>
      </c>
      <c r="C27" s="14" t="s">
        <v>76</v>
      </c>
      <c r="D27" s="14" t="s">
        <v>87</v>
      </c>
      <c r="E27" s="14" t="s">
        <v>1479</v>
      </c>
      <c r="F27" s="15" t="s">
        <v>719</v>
      </c>
      <c r="G27" s="15" t="s">
        <v>1445</v>
      </c>
      <c r="H27" s="15"/>
    </row>
    <row r="28" spans="1:8" ht="17.149999999999999" customHeight="1" x14ac:dyDescent="0.35">
      <c r="A28" s="14"/>
      <c r="B28" s="14"/>
      <c r="C28" s="14"/>
      <c r="D28" s="14"/>
      <c r="E28" s="14"/>
      <c r="F28" s="15"/>
      <c r="G28" s="15"/>
      <c r="H28" s="15"/>
    </row>
    <row r="29" spans="1:8" ht="17.149999999999999" customHeight="1" x14ac:dyDescent="0.35">
      <c r="A29" s="14" t="s">
        <v>714</v>
      </c>
      <c r="B29" s="14" t="s">
        <v>43</v>
      </c>
      <c r="C29" s="14" t="s">
        <v>76</v>
      </c>
      <c r="D29" s="14" t="s">
        <v>208</v>
      </c>
      <c r="E29" s="14" t="s">
        <v>1484</v>
      </c>
      <c r="F29" s="15" t="s">
        <v>699</v>
      </c>
      <c r="G29" s="15" t="s">
        <v>1445</v>
      </c>
      <c r="H29" s="15"/>
    </row>
    <row r="30" spans="1:8" ht="17.149999999999999" customHeight="1" x14ac:dyDescent="0.35">
      <c r="A30" s="14" t="s">
        <v>715</v>
      </c>
      <c r="B30" s="14" t="s">
        <v>44</v>
      </c>
      <c r="C30" s="14" t="s">
        <v>76</v>
      </c>
      <c r="D30" s="14" t="s">
        <v>208</v>
      </c>
      <c r="E30" s="14" t="s">
        <v>1484</v>
      </c>
      <c r="F30" s="15" t="s">
        <v>698</v>
      </c>
      <c r="G30" s="15" t="s">
        <v>1445</v>
      </c>
      <c r="H30" s="15"/>
    </row>
    <row r="31" spans="1:8" ht="17.149999999999999" customHeight="1" x14ac:dyDescent="0.35">
      <c r="A31" s="14" t="s">
        <v>723</v>
      </c>
      <c r="B31" s="14" t="s">
        <v>44</v>
      </c>
      <c r="C31" s="14" t="s">
        <v>76</v>
      </c>
      <c r="D31" s="14" t="s">
        <v>208</v>
      </c>
      <c r="E31" s="14" t="s">
        <v>1484</v>
      </c>
      <c r="F31" s="15" t="s">
        <v>518</v>
      </c>
      <c r="G31" s="15" t="s">
        <v>1445</v>
      </c>
      <c r="H31" s="15"/>
    </row>
    <row r="32" spans="1:8" ht="17.149999999999999" customHeight="1" x14ac:dyDescent="0.35">
      <c r="A32" s="22"/>
      <c r="B32" s="22"/>
      <c r="C32" s="22"/>
      <c r="D32" s="22"/>
      <c r="E32" s="22"/>
      <c r="F32" s="23"/>
      <c r="G32" s="23"/>
      <c r="H32" s="23"/>
    </row>
    <row r="33" spans="1:8" ht="17.149999999999999" customHeight="1" x14ac:dyDescent="0.35">
      <c r="A33" s="14" t="s">
        <v>730</v>
      </c>
      <c r="B33" s="14" t="s">
        <v>1420</v>
      </c>
      <c r="C33" s="14" t="s">
        <v>76</v>
      </c>
      <c r="D33" s="14" t="s">
        <v>78</v>
      </c>
      <c r="E33" s="14" t="s">
        <v>1505</v>
      </c>
      <c r="F33" s="15" t="s">
        <v>731</v>
      </c>
      <c r="G33" s="15" t="s">
        <v>1445</v>
      </c>
      <c r="H33" s="15" t="s">
        <v>1491</v>
      </c>
    </row>
    <row r="34" spans="1:8" ht="17.149999999999999" customHeight="1" x14ac:dyDescent="0.35">
      <c r="A34" s="14" t="s">
        <v>817</v>
      </c>
      <c r="B34" s="14" t="s">
        <v>213</v>
      </c>
      <c r="C34" s="14" t="s">
        <v>76</v>
      </c>
      <c r="D34" s="14" t="s">
        <v>78</v>
      </c>
      <c r="E34" s="14" t="s">
        <v>1484</v>
      </c>
      <c r="F34" s="15" t="s">
        <v>825</v>
      </c>
      <c r="G34" s="15" t="s">
        <v>1445</v>
      </c>
      <c r="H34" s="15"/>
    </row>
    <row r="35" spans="1:8" ht="17.149999999999999" customHeight="1" x14ac:dyDescent="0.35">
      <c r="A35" s="14" t="s">
        <v>825</v>
      </c>
      <c r="B35" s="14" t="s">
        <v>213</v>
      </c>
      <c r="C35" s="14" t="s">
        <v>76</v>
      </c>
      <c r="D35" s="14" t="s">
        <v>78</v>
      </c>
      <c r="E35" s="14" t="s">
        <v>1484</v>
      </c>
      <c r="F35" s="15" t="s">
        <v>843</v>
      </c>
      <c r="G35" s="15" t="s">
        <v>1445</v>
      </c>
      <c r="H35" s="15"/>
    </row>
    <row r="36" spans="1:8" ht="17.149999999999999" customHeight="1" x14ac:dyDescent="0.35">
      <c r="A36" s="14" t="s">
        <v>855</v>
      </c>
      <c r="B36" s="14" t="s">
        <v>213</v>
      </c>
      <c r="C36" s="14" t="s">
        <v>76</v>
      </c>
      <c r="D36" s="14" t="s">
        <v>78</v>
      </c>
      <c r="E36" s="14" t="s">
        <v>1484</v>
      </c>
      <c r="F36" s="15" t="s">
        <v>860</v>
      </c>
      <c r="G36" s="15" t="s">
        <v>1445</v>
      </c>
      <c r="H36" s="15"/>
    </row>
    <row r="37" spans="1:8" ht="17.149999999999999" customHeight="1" x14ac:dyDescent="0.35">
      <c r="A37" s="14" t="s">
        <v>738</v>
      </c>
      <c r="B37" s="14" t="s">
        <v>205</v>
      </c>
      <c r="C37" s="14" t="s">
        <v>76</v>
      </c>
      <c r="D37" s="14" t="s">
        <v>78</v>
      </c>
      <c r="E37" s="14" t="s">
        <v>1505</v>
      </c>
      <c r="F37" s="15" t="s">
        <v>739</v>
      </c>
      <c r="G37" s="15" t="s">
        <v>1445</v>
      </c>
      <c r="H37" s="15"/>
    </row>
    <row r="38" spans="1:8" ht="17.149999999999999" customHeight="1" x14ac:dyDescent="0.35">
      <c r="A38" s="14" t="s">
        <v>740</v>
      </c>
      <c r="B38" s="14" t="s">
        <v>205</v>
      </c>
      <c r="C38" s="14" t="s">
        <v>76</v>
      </c>
      <c r="D38" s="14" t="s">
        <v>78</v>
      </c>
      <c r="E38" s="14" t="s">
        <v>1484</v>
      </c>
      <c r="F38" s="15" t="s">
        <v>752</v>
      </c>
      <c r="G38" s="15" t="s">
        <v>1445</v>
      </c>
      <c r="H38" s="15"/>
    </row>
    <row r="39" spans="1:8" ht="17.149999999999999" customHeight="1" x14ac:dyDescent="0.35">
      <c r="A39" s="14" t="s">
        <v>778</v>
      </c>
      <c r="B39" s="14" t="s">
        <v>205</v>
      </c>
      <c r="C39" s="14" t="s">
        <v>76</v>
      </c>
      <c r="D39" s="14" t="s">
        <v>78</v>
      </c>
      <c r="E39" s="14" t="s">
        <v>1484</v>
      </c>
      <c r="F39" s="15" t="s">
        <v>779</v>
      </c>
      <c r="G39" s="15" t="s">
        <v>1445</v>
      </c>
      <c r="H39" s="15"/>
    </row>
    <row r="40" spans="1:8" ht="17.149999999999999" customHeight="1" x14ac:dyDescent="0.35">
      <c r="A40" s="14" t="s">
        <v>778</v>
      </c>
      <c r="B40" s="14" t="s">
        <v>205</v>
      </c>
      <c r="C40" s="14" t="s">
        <v>76</v>
      </c>
      <c r="D40" s="14" t="s">
        <v>78</v>
      </c>
      <c r="E40" s="14" t="s">
        <v>1484</v>
      </c>
      <c r="F40" s="15" t="s">
        <v>522</v>
      </c>
      <c r="G40" s="15" t="s">
        <v>1445</v>
      </c>
      <c r="H40" s="15"/>
    </row>
    <row r="41" spans="1:8" ht="17.149999999999999" customHeight="1" x14ac:dyDescent="0.35">
      <c r="A41" s="14" t="s">
        <v>836</v>
      </c>
      <c r="B41" s="14" t="s">
        <v>562</v>
      </c>
      <c r="C41" s="14" t="s">
        <v>76</v>
      </c>
      <c r="D41" s="14" t="s">
        <v>78</v>
      </c>
      <c r="E41" s="14" t="s">
        <v>1484</v>
      </c>
      <c r="F41" s="15" t="s">
        <v>838</v>
      </c>
      <c r="G41" s="15" t="s">
        <v>1445</v>
      </c>
      <c r="H41" s="15"/>
    </row>
    <row r="42" spans="1:8" ht="17.149999999999999" customHeight="1" x14ac:dyDescent="0.35">
      <c r="A42" s="14" t="s">
        <v>567</v>
      </c>
      <c r="B42" s="14" t="s">
        <v>566</v>
      </c>
      <c r="C42" s="14" t="s">
        <v>76</v>
      </c>
      <c r="D42" s="14" t="s">
        <v>78</v>
      </c>
      <c r="E42" s="14" t="s">
        <v>1484</v>
      </c>
      <c r="F42" s="15" t="s">
        <v>840</v>
      </c>
      <c r="G42" s="15" t="s">
        <v>1445</v>
      </c>
      <c r="H42" s="15"/>
    </row>
    <row r="43" spans="1:8" ht="17.149999999999999" customHeight="1" x14ac:dyDescent="0.35">
      <c r="A43" s="15" t="s">
        <v>851</v>
      </c>
      <c r="B43" s="14" t="s">
        <v>850</v>
      </c>
      <c r="C43" s="14" t="s">
        <v>76</v>
      </c>
      <c r="D43" s="14" t="s">
        <v>78</v>
      </c>
      <c r="E43" s="14" t="s">
        <v>1479</v>
      </c>
      <c r="F43" s="14" t="s">
        <v>849</v>
      </c>
      <c r="G43" s="15" t="s">
        <v>1445</v>
      </c>
      <c r="H43" s="15"/>
    </row>
    <row r="44" spans="1:8" ht="17.149999999999999" customHeight="1" x14ac:dyDescent="0.35">
      <c r="A44" s="15" t="s">
        <v>854</v>
      </c>
      <c r="B44" s="14" t="s">
        <v>853</v>
      </c>
      <c r="C44" s="14" t="s">
        <v>76</v>
      </c>
      <c r="D44" s="14" t="s">
        <v>78</v>
      </c>
      <c r="E44" s="14" t="s">
        <v>1479</v>
      </c>
      <c r="F44" s="14" t="s">
        <v>852</v>
      </c>
      <c r="G44" s="15" t="s">
        <v>1445</v>
      </c>
      <c r="H44" s="15"/>
    </row>
    <row r="45" spans="1:8" ht="17.149999999999999" customHeight="1" x14ac:dyDescent="0.35">
      <c r="A45" s="15" t="s">
        <v>859</v>
      </c>
      <c r="B45" s="14" t="s">
        <v>858</v>
      </c>
      <c r="C45" s="14" t="s">
        <v>76</v>
      </c>
      <c r="D45" s="14" t="s">
        <v>78</v>
      </c>
      <c r="E45" s="14" t="s">
        <v>1479</v>
      </c>
      <c r="F45" s="14" t="s">
        <v>857</v>
      </c>
      <c r="G45" s="15" t="s">
        <v>1445</v>
      </c>
      <c r="H45" s="15"/>
    </row>
    <row r="46" spans="1:8" ht="17.149999999999999" customHeight="1" x14ac:dyDescent="0.35">
      <c r="A46" s="14" t="s">
        <v>757</v>
      </c>
      <c r="B46" s="14" t="s">
        <v>758</v>
      </c>
      <c r="C46" s="14" t="s">
        <v>76</v>
      </c>
      <c r="D46" s="14" t="s">
        <v>78</v>
      </c>
      <c r="E46" s="14" t="s">
        <v>1479</v>
      </c>
      <c r="F46" s="15" t="s">
        <v>759</v>
      </c>
      <c r="G46" s="15" t="s">
        <v>1445</v>
      </c>
      <c r="H46" s="15"/>
    </row>
    <row r="47" spans="1:8" ht="17.149999999999999" customHeight="1" x14ac:dyDescent="0.35">
      <c r="A47" s="14" t="s">
        <v>883</v>
      </c>
      <c r="B47" s="14" t="s">
        <v>884</v>
      </c>
      <c r="C47" s="14" t="s">
        <v>76</v>
      </c>
      <c r="D47" s="14" t="s">
        <v>78</v>
      </c>
      <c r="E47" s="14" t="s">
        <v>1479</v>
      </c>
      <c r="F47" s="15" t="s">
        <v>885</v>
      </c>
      <c r="G47" s="15" t="s">
        <v>1445</v>
      </c>
      <c r="H47" s="15"/>
    </row>
    <row r="48" spans="1:8" ht="17.149999999999999" customHeight="1" x14ac:dyDescent="0.35">
      <c r="A48" s="14" t="s">
        <v>914</v>
      </c>
      <c r="B48" s="14" t="s">
        <v>915</v>
      </c>
      <c r="C48" s="14" t="s">
        <v>76</v>
      </c>
      <c r="D48" s="14" t="s">
        <v>78</v>
      </c>
      <c r="E48" s="14" t="s">
        <v>1479</v>
      </c>
      <c r="F48" s="15" t="s">
        <v>916</v>
      </c>
      <c r="G48" s="15" t="s">
        <v>1445</v>
      </c>
      <c r="H48" s="15"/>
    </row>
    <row r="49" spans="1:8" ht="17.149999999999999" customHeight="1" x14ac:dyDescent="0.35">
      <c r="A49" s="22"/>
      <c r="B49" s="22"/>
      <c r="C49" s="22"/>
      <c r="D49" s="22"/>
      <c r="E49" s="22"/>
      <c r="F49" s="23"/>
      <c r="G49" s="23"/>
      <c r="H49" s="23"/>
    </row>
    <row r="50" spans="1:8" ht="17.149999999999999" customHeight="1" x14ac:dyDescent="0.35">
      <c r="A50" s="14" t="s">
        <v>742</v>
      </c>
      <c r="B50" s="14" t="s">
        <v>1347</v>
      </c>
      <c r="C50" s="14" t="s">
        <v>76</v>
      </c>
      <c r="D50" s="14" t="s">
        <v>78</v>
      </c>
      <c r="E50" s="14" t="s">
        <v>1484</v>
      </c>
      <c r="F50" s="15" t="s">
        <v>753</v>
      </c>
      <c r="G50" s="15" t="s">
        <v>1445</v>
      </c>
      <c r="H50" s="15" t="s">
        <v>1492</v>
      </c>
    </row>
    <row r="51" spans="1:8" ht="17.149999999999999" customHeight="1" x14ac:dyDescent="0.35">
      <c r="A51" s="14" t="s">
        <v>754</v>
      </c>
      <c r="B51" s="14" t="s">
        <v>1347</v>
      </c>
      <c r="C51" s="14" t="s">
        <v>76</v>
      </c>
      <c r="D51" s="14" t="s">
        <v>78</v>
      </c>
      <c r="E51" s="14" t="s">
        <v>1484</v>
      </c>
      <c r="F51" s="15" t="s">
        <v>753</v>
      </c>
      <c r="G51" s="15" t="s">
        <v>1445</v>
      </c>
      <c r="H51" s="15"/>
    </row>
    <row r="52" spans="1:8" ht="17.149999999999999" customHeight="1" x14ac:dyDescent="0.35">
      <c r="A52" s="14" t="s">
        <v>755</v>
      </c>
      <c r="B52" s="14" t="s">
        <v>1347</v>
      </c>
      <c r="C52" s="14" t="s">
        <v>76</v>
      </c>
      <c r="D52" s="14" t="s">
        <v>78</v>
      </c>
      <c r="E52" s="14" t="s">
        <v>1484</v>
      </c>
      <c r="F52" s="15" t="s">
        <v>756</v>
      </c>
      <c r="G52" s="15" t="s">
        <v>1445</v>
      </c>
      <c r="H52" s="15"/>
    </row>
    <row r="53" spans="1:8" ht="17.149999999999999" customHeight="1" x14ac:dyDescent="0.35">
      <c r="A53" s="14" t="s">
        <v>771</v>
      </c>
      <c r="B53" s="14" t="s">
        <v>1347</v>
      </c>
      <c r="C53" s="14" t="s">
        <v>76</v>
      </c>
      <c r="D53" s="14" t="s">
        <v>78</v>
      </c>
      <c r="E53" s="14" t="s">
        <v>1484</v>
      </c>
      <c r="F53" s="15" t="s">
        <v>696</v>
      </c>
      <c r="G53" s="15" t="s">
        <v>1445</v>
      </c>
      <c r="H53" s="15"/>
    </row>
    <row r="54" spans="1:8" ht="17.149999999999999" customHeight="1" x14ac:dyDescent="0.35">
      <c r="A54" s="14" t="s">
        <v>818</v>
      </c>
      <c r="B54" s="14" t="s">
        <v>1347</v>
      </c>
      <c r="C54" s="14" t="s">
        <v>76</v>
      </c>
      <c r="D54" s="14" t="s">
        <v>78</v>
      </c>
      <c r="E54" s="14" t="s">
        <v>1484</v>
      </c>
      <c r="F54" s="15" t="s">
        <v>826</v>
      </c>
      <c r="G54" s="15" t="s">
        <v>1445</v>
      </c>
      <c r="H54" s="15"/>
    </row>
    <row r="55" spans="1:8" ht="17.149999999999999" customHeight="1" x14ac:dyDescent="0.35">
      <c r="A55" s="14" t="s">
        <v>828</v>
      </c>
      <c r="B55" s="14" t="s">
        <v>1347</v>
      </c>
      <c r="C55" s="14" t="s">
        <v>76</v>
      </c>
      <c r="D55" s="14" t="s">
        <v>78</v>
      </c>
      <c r="E55" s="14" t="s">
        <v>1484</v>
      </c>
      <c r="F55" s="15" t="s">
        <v>829</v>
      </c>
      <c r="G55" s="15" t="s">
        <v>1445</v>
      </c>
      <c r="H55" s="15"/>
    </row>
    <row r="56" spans="1:8" ht="17.149999999999999" customHeight="1" x14ac:dyDescent="0.35">
      <c r="A56" s="14" t="s">
        <v>837</v>
      </c>
      <c r="B56" s="14" t="s">
        <v>1347</v>
      </c>
      <c r="C56" s="14" t="s">
        <v>76</v>
      </c>
      <c r="D56" s="14" t="s">
        <v>78</v>
      </c>
      <c r="E56" s="14" t="s">
        <v>1484</v>
      </c>
      <c r="F56" s="15" t="s">
        <v>839</v>
      </c>
      <c r="G56" s="15" t="s">
        <v>1445</v>
      </c>
      <c r="H56" s="15"/>
    </row>
    <row r="57" spans="1:8" ht="17.149999999999999" customHeight="1" x14ac:dyDescent="0.35">
      <c r="A57" s="14" t="s">
        <v>841</v>
      </c>
      <c r="B57" s="14" t="s">
        <v>1347</v>
      </c>
      <c r="C57" s="14" t="s">
        <v>76</v>
      </c>
      <c r="D57" s="14" t="s">
        <v>78</v>
      </c>
      <c r="E57" s="14" t="s">
        <v>1484</v>
      </c>
      <c r="F57" s="15" t="s">
        <v>842</v>
      </c>
      <c r="G57" s="15" t="s">
        <v>1445</v>
      </c>
      <c r="H57" s="15"/>
    </row>
    <row r="58" spans="1:8" ht="17.149999999999999" customHeight="1" x14ac:dyDescent="0.35">
      <c r="A58" s="14" t="s">
        <v>841</v>
      </c>
      <c r="B58" s="14" t="s">
        <v>1347</v>
      </c>
      <c r="C58" s="14" t="s">
        <v>76</v>
      </c>
      <c r="D58" s="14" t="s">
        <v>78</v>
      </c>
      <c r="E58" s="14" t="s">
        <v>1484</v>
      </c>
      <c r="F58" s="15" t="s">
        <v>548</v>
      </c>
      <c r="G58" s="15" t="s">
        <v>1445</v>
      </c>
      <c r="H58" s="15"/>
    </row>
    <row r="59" spans="1:8" ht="17.149999999999999" customHeight="1" x14ac:dyDescent="0.35">
      <c r="A59" s="14" t="s">
        <v>826</v>
      </c>
      <c r="B59" s="14" t="s">
        <v>1347</v>
      </c>
      <c r="C59" s="14" t="s">
        <v>76</v>
      </c>
      <c r="D59" s="14" t="s">
        <v>78</v>
      </c>
      <c r="E59" s="14" t="s">
        <v>1484</v>
      </c>
      <c r="F59" s="15" t="s">
        <v>829</v>
      </c>
      <c r="G59" s="15" t="s">
        <v>1445</v>
      </c>
      <c r="H59" s="15"/>
    </row>
    <row r="60" spans="1:8" ht="17.149999999999999" customHeight="1" x14ac:dyDescent="0.35">
      <c r="A60" s="14" t="s">
        <v>847</v>
      </c>
      <c r="B60" s="14" t="s">
        <v>1347</v>
      </c>
      <c r="C60" s="14" t="s">
        <v>76</v>
      </c>
      <c r="D60" s="14" t="s">
        <v>78</v>
      </c>
      <c r="E60" s="14" t="s">
        <v>1484</v>
      </c>
      <c r="F60" s="15" t="s">
        <v>848</v>
      </c>
      <c r="G60" s="15" t="s">
        <v>1445</v>
      </c>
      <c r="H60" s="15"/>
    </row>
    <row r="61" spans="1:8" ht="17.149999999999999" customHeight="1" x14ac:dyDescent="0.35">
      <c r="A61" s="14" t="s">
        <v>856</v>
      </c>
      <c r="B61" s="14" t="s">
        <v>1347</v>
      </c>
      <c r="C61" s="14" t="s">
        <v>76</v>
      </c>
      <c r="D61" s="14" t="s">
        <v>78</v>
      </c>
      <c r="E61" s="14" t="s">
        <v>1484</v>
      </c>
      <c r="F61" s="15" t="s">
        <v>861</v>
      </c>
      <c r="G61" s="15" t="s">
        <v>1445</v>
      </c>
      <c r="H61" s="15"/>
    </row>
    <row r="62" spans="1:8" ht="17.149999999999999" customHeight="1" x14ac:dyDescent="0.35">
      <c r="A62" s="14" t="s">
        <v>798</v>
      </c>
      <c r="B62" s="14" t="s">
        <v>417</v>
      </c>
      <c r="C62" s="14" t="s">
        <v>76</v>
      </c>
      <c r="D62" s="14" t="s">
        <v>78</v>
      </c>
      <c r="E62" s="14" t="s">
        <v>1484</v>
      </c>
      <c r="F62" s="15" t="s">
        <v>802</v>
      </c>
      <c r="G62" s="15" t="s">
        <v>1445</v>
      </c>
      <c r="H62" s="15"/>
    </row>
    <row r="63" spans="1:8" ht="17.149999999999999" customHeight="1" x14ac:dyDescent="0.35">
      <c r="A63" s="14" t="s">
        <v>886</v>
      </c>
      <c r="B63" s="14" t="s">
        <v>887</v>
      </c>
      <c r="C63" s="14" t="s">
        <v>76</v>
      </c>
      <c r="D63" s="14" t="s">
        <v>78</v>
      </c>
      <c r="E63" s="14" t="s">
        <v>1479</v>
      </c>
      <c r="F63" s="15" t="s">
        <v>888</v>
      </c>
      <c r="G63" s="15" t="s">
        <v>1445</v>
      </c>
      <c r="H63" s="15"/>
    </row>
    <row r="64" spans="1:8" ht="17.149999999999999" customHeight="1" x14ac:dyDescent="0.35">
      <c r="A64" s="14" t="s">
        <v>917</v>
      </c>
      <c r="B64" s="14" t="s">
        <v>918</v>
      </c>
      <c r="C64" s="14" t="s">
        <v>76</v>
      </c>
      <c r="D64" s="14" t="s">
        <v>78</v>
      </c>
      <c r="E64" s="14" t="s">
        <v>1479</v>
      </c>
      <c r="F64" s="15" t="s">
        <v>919</v>
      </c>
      <c r="G64" s="15" t="s">
        <v>1445</v>
      </c>
      <c r="H64" s="15"/>
    </row>
    <row r="65" spans="1:8" ht="17.149999999999999" customHeight="1" x14ac:dyDescent="0.35">
      <c r="A65" s="14" t="s">
        <v>732</v>
      </c>
      <c r="B65" s="14" t="s">
        <v>733</v>
      </c>
      <c r="C65" s="14" t="s">
        <v>76</v>
      </c>
      <c r="D65" s="14" t="s">
        <v>78</v>
      </c>
      <c r="E65" s="14" t="s">
        <v>1479</v>
      </c>
      <c r="F65" s="15" t="s">
        <v>734</v>
      </c>
      <c r="G65" s="15" t="s">
        <v>1445</v>
      </c>
      <c r="H65" s="15"/>
    </row>
    <row r="66" spans="1:8" ht="17.149999999999999" customHeight="1" x14ac:dyDescent="0.35">
      <c r="A66" s="22"/>
      <c r="B66" s="22"/>
      <c r="C66" s="22"/>
      <c r="D66" s="22"/>
      <c r="E66" s="22"/>
      <c r="F66" s="23"/>
      <c r="G66" s="23"/>
      <c r="H66" s="23"/>
    </row>
    <row r="67" spans="1:8" ht="17.149999999999999" customHeight="1" x14ac:dyDescent="0.35">
      <c r="A67" s="14" t="s">
        <v>896</v>
      </c>
      <c r="B67" s="14" t="s">
        <v>897</v>
      </c>
      <c r="C67" s="14" t="s">
        <v>76</v>
      </c>
      <c r="D67" s="14" t="s">
        <v>78</v>
      </c>
      <c r="E67" s="14" t="s">
        <v>1479</v>
      </c>
      <c r="F67" s="15" t="s">
        <v>898</v>
      </c>
      <c r="G67" s="15" t="s">
        <v>1445</v>
      </c>
      <c r="H67" s="15" t="s">
        <v>1493</v>
      </c>
    </row>
    <row r="68" spans="1:8" ht="17.149999999999999" customHeight="1" x14ac:dyDescent="0.35">
      <c r="A68" s="14" t="s">
        <v>899</v>
      </c>
      <c r="B68" s="14" t="s">
        <v>900</v>
      </c>
      <c r="C68" s="14" t="s">
        <v>76</v>
      </c>
      <c r="D68" s="14" t="s">
        <v>78</v>
      </c>
      <c r="E68" s="14" t="s">
        <v>1479</v>
      </c>
      <c r="F68" s="15" t="s">
        <v>901</v>
      </c>
      <c r="G68" s="15" t="s">
        <v>1445</v>
      </c>
      <c r="H68" s="15"/>
    </row>
    <row r="69" spans="1:8" ht="17.149999999999999" customHeight="1" x14ac:dyDescent="0.35">
      <c r="A69" s="14" t="s">
        <v>902</v>
      </c>
      <c r="B69" s="14" t="s">
        <v>903</v>
      </c>
      <c r="C69" s="14" t="s">
        <v>76</v>
      </c>
      <c r="D69" s="14" t="s">
        <v>78</v>
      </c>
      <c r="E69" s="14" t="s">
        <v>1479</v>
      </c>
      <c r="F69" s="15" t="s">
        <v>904</v>
      </c>
      <c r="G69" s="15" t="s">
        <v>1445</v>
      </c>
      <c r="H69" s="15"/>
    </row>
    <row r="70" spans="1:8" ht="17.149999999999999" customHeight="1" x14ac:dyDescent="0.35">
      <c r="A70" s="14" t="s">
        <v>905</v>
      </c>
      <c r="B70" s="14" t="s">
        <v>906</v>
      </c>
      <c r="C70" s="14" t="s">
        <v>76</v>
      </c>
      <c r="D70" s="14" t="s">
        <v>78</v>
      </c>
      <c r="E70" s="14" t="s">
        <v>1479</v>
      </c>
      <c r="F70" s="15" t="s">
        <v>907</v>
      </c>
      <c r="G70" s="15" t="s">
        <v>1445</v>
      </c>
      <c r="H70" s="15"/>
    </row>
    <row r="71" spans="1:8" ht="17.149999999999999" customHeight="1" x14ac:dyDescent="0.35">
      <c r="A71" s="14" t="s">
        <v>908</v>
      </c>
      <c r="B71" s="14" t="s">
        <v>909</v>
      </c>
      <c r="C71" s="14" t="s">
        <v>76</v>
      </c>
      <c r="D71" s="14" t="s">
        <v>78</v>
      </c>
      <c r="E71" s="14" t="s">
        <v>1479</v>
      </c>
      <c r="F71" s="15" t="s">
        <v>910</v>
      </c>
      <c r="G71" s="15" t="s">
        <v>1445</v>
      </c>
      <c r="H71" s="15"/>
    </row>
    <row r="72" spans="1:8" ht="17.149999999999999" customHeight="1" x14ac:dyDescent="0.35">
      <c r="A72" s="14" t="s">
        <v>911</v>
      </c>
      <c r="B72" s="14" t="s">
        <v>912</v>
      </c>
      <c r="C72" s="14" t="s">
        <v>76</v>
      </c>
      <c r="D72" s="14" t="s">
        <v>78</v>
      </c>
      <c r="E72" s="14" t="s">
        <v>1479</v>
      </c>
      <c r="F72" s="15" t="s">
        <v>913</v>
      </c>
      <c r="G72" s="15" t="s">
        <v>1445</v>
      </c>
      <c r="H72" s="15"/>
    </row>
    <row r="73" spans="1:8" ht="17.149999999999999" customHeight="1" x14ac:dyDescent="0.35">
      <c r="A73" s="14" t="s">
        <v>799</v>
      </c>
      <c r="B73" s="14" t="s">
        <v>800</v>
      </c>
      <c r="C73" s="14" t="s">
        <v>76</v>
      </c>
      <c r="D73" s="14" t="s">
        <v>78</v>
      </c>
      <c r="E73" s="14" t="s">
        <v>1479</v>
      </c>
      <c r="F73" s="15" t="s">
        <v>801</v>
      </c>
      <c r="G73" s="15" t="s">
        <v>1445</v>
      </c>
      <c r="H73" s="15"/>
    </row>
    <row r="74" spans="1:8" ht="17.149999999999999" customHeight="1" x14ac:dyDescent="0.35">
      <c r="A74" s="14" t="s">
        <v>814</v>
      </c>
      <c r="B74" s="14" t="s">
        <v>815</v>
      </c>
      <c r="C74" s="24" t="s">
        <v>76</v>
      </c>
      <c r="D74" s="24" t="s">
        <v>78</v>
      </c>
      <c r="E74" s="14" t="s">
        <v>1479</v>
      </c>
      <c r="F74" s="15" t="s">
        <v>816</v>
      </c>
      <c r="G74" s="15" t="s">
        <v>1445</v>
      </c>
      <c r="H74" s="15"/>
    </row>
    <row r="75" spans="1:8" ht="17.149999999999999" customHeight="1" x14ac:dyDescent="0.35">
      <c r="A75" s="14" t="s">
        <v>765</v>
      </c>
      <c r="B75" s="14" t="s">
        <v>44</v>
      </c>
      <c r="C75" s="14" t="s">
        <v>76</v>
      </c>
      <c r="D75" s="14" t="s">
        <v>78</v>
      </c>
      <c r="E75" s="14" t="s">
        <v>1484</v>
      </c>
      <c r="F75" s="15" t="s">
        <v>766</v>
      </c>
      <c r="G75" s="15" t="s">
        <v>1445</v>
      </c>
      <c r="H75" s="15"/>
    </row>
    <row r="76" spans="1:8" ht="17.149999999999999" customHeight="1" x14ac:dyDescent="0.35">
      <c r="A76" s="14" t="s">
        <v>549</v>
      </c>
      <c r="B76" s="14" t="s">
        <v>44</v>
      </c>
      <c r="C76" s="14" t="s">
        <v>76</v>
      </c>
      <c r="D76" s="14" t="s">
        <v>78</v>
      </c>
      <c r="E76" s="14" t="s">
        <v>1484</v>
      </c>
      <c r="F76" s="15" t="s">
        <v>810</v>
      </c>
      <c r="G76" s="15" t="s">
        <v>1445</v>
      </c>
      <c r="H76" s="15"/>
    </row>
    <row r="77" spans="1:8" ht="17.149999999999999" customHeight="1" x14ac:dyDescent="0.35">
      <c r="A77" s="14" t="s">
        <v>721</v>
      </c>
      <c r="B77" s="14" t="s">
        <v>48</v>
      </c>
      <c r="C77" s="14" t="s">
        <v>76</v>
      </c>
      <c r="D77" s="14" t="s">
        <v>78</v>
      </c>
      <c r="E77" s="14" t="s">
        <v>1505</v>
      </c>
      <c r="F77" s="15" t="s">
        <v>720</v>
      </c>
      <c r="G77" s="15" t="s">
        <v>1445</v>
      </c>
      <c r="H77" s="15"/>
    </row>
    <row r="78" spans="1:8" ht="17.149999999999999" customHeight="1" x14ac:dyDescent="0.35">
      <c r="A78" s="14" t="s">
        <v>746</v>
      </c>
      <c r="B78" s="14" t="s">
        <v>747</v>
      </c>
      <c r="C78" s="14" t="s">
        <v>76</v>
      </c>
      <c r="D78" s="14" t="s">
        <v>78</v>
      </c>
      <c r="E78" s="14" t="s">
        <v>1484</v>
      </c>
      <c r="F78" s="15" t="s">
        <v>748</v>
      </c>
      <c r="G78" s="15" t="s">
        <v>1445</v>
      </c>
      <c r="H78" s="15"/>
    </row>
    <row r="79" spans="1:8" ht="17.149999999999999" customHeight="1" x14ac:dyDescent="0.35">
      <c r="A79" s="14" t="s">
        <v>749</v>
      </c>
      <c r="B79" s="14" t="s">
        <v>750</v>
      </c>
      <c r="C79" s="14" t="s">
        <v>76</v>
      </c>
      <c r="D79" s="14" t="s">
        <v>78</v>
      </c>
      <c r="E79" s="14" t="s">
        <v>1484</v>
      </c>
      <c r="F79" s="15" t="s">
        <v>751</v>
      </c>
      <c r="G79" s="15" t="s">
        <v>1445</v>
      </c>
      <c r="H79" s="15"/>
    </row>
    <row r="80" spans="1:8" ht="17.149999999999999" customHeight="1" x14ac:dyDescent="0.35">
      <c r="A80" s="14" t="s">
        <v>735</v>
      </c>
      <c r="B80" s="14" t="s">
        <v>736</v>
      </c>
      <c r="C80" s="14" t="s">
        <v>76</v>
      </c>
      <c r="D80" s="14" t="s">
        <v>78</v>
      </c>
      <c r="E80" s="14" t="s">
        <v>1484</v>
      </c>
      <c r="F80" s="15" t="s">
        <v>737</v>
      </c>
      <c r="G80" s="15" t="s">
        <v>1445</v>
      </c>
      <c r="H80" s="15"/>
    </row>
    <row r="81" spans="1:8" ht="17.149999999999999" customHeight="1" x14ac:dyDescent="0.35">
      <c r="A81" s="14" t="s">
        <v>767</v>
      </c>
      <c r="B81" s="14" t="s">
        <v>768</v>
      </c>
      <c r="C81" s="14" t="s">
        <v>76</v>
      </c>
      <c r="D81" s="14" t="s">
        <v>78</v>
      </c>
      <c r="E81" s="14" t="s">
        <v>1479</v>
      </c>
      <c r="F81" s="15" t="s">
        <v>770</v>
      </c>
      <c r="G81" s="15" t="s">
        <v>1445</v>
      </c>
      <c r="H81" s="15"/>
    </row>
    <row r="82" spans="1:8" ht="17.149999999999999" customHeight="1" x14ac:dyDescent="0.35">
      <c r="A82" s="14" t="s">
        <v>767</v>
      </c>
      <c r="B82" s="14" t="s">
        <v>768</v>
      </c>
      <c r="C82" s="14" t="s">
        <v>76</v>
      </c>
      <c r="D82" s="14" t="s">
        <v>78</v>
      </c>
      <c r="E82" s="14" t="s">
        <v>1484</v>
      </c>
      <c r="F82" s="15" t="s">
        <v>769</v>
      </c>
      <c r="G82" s="15" t="s">
        <v>1445</v>
      </c>
      <c r="H82" s="15"/>
    </row>
    <row r="83" spans="1:8" ht="17.149999999999999" customHeight="1" x14ac:dyDescent="0.35">
      <c r="A83" s="14" t="s">
        <v>772</v>
      </c>
      <c r="B83" s="14" t="s">
        <v>773</v>
      </c>
      <c r="C83" s="14" t="s">
        <v>76</v>
      </c>
      <c r="D83" s="14" t="s">
        <v>78</v>
      </c>
      <c r="E83" s="14" t="s">
        <v>1484</v>
      </c>
      <c r="F83" s="15" t="s">
        <v>774</v>
      </c>
      <c r="G83" s="15" t="s">
        <v>1445</v>
      </c>
      <c r="H83" s="15"/>
    </row>
    <row r="84" spans="1:8" ht="17.149999999999999" customHeight="1" x14ac:dyDescent="0.35">
      <c r="A84" s="14" t="s">
        <v>775</v>
      </c>
      <c r="B84" s="14" t="s">
        <v>776</v>
      </c>
      <c r="C84" s="14" t="s">
        <v>76</v>
      </c>
      <c r="D84" s="14" t="s">
        <v>78</v>
      </c>
      <c r="E84" s="14" t="s">
        <v>1484</v>
      </c>
      <c r="F84" s="15" t="s">
        <v>777</v>
      </c>
      <c r="G84" s="15" t="s">
        <v>1445</v>
      </c>
      <c r="H84" s="15"/>
    </row>
    <row r="85" spans="1:8" ht="17.149999999999999" customHeight="1" x14ac:dyDescent="0.35">
      <c r="A85" s="14" t="s">
        <v>785</v>
      </c>
      <c r="B85" s="14" t="s">
        <v>786</v>
      </c>
      <c r="C85" s="14" t="s">
        <v>76</v>
      </c>
      <c r="D85" s="14" t="s">
        <v>78</v>
      </c>
      <c r="E85" s="14" t="s">
        <v>1484</v>
      </c>
      <c r="F85" s="15" t="s">
        <v>787</v>
      </c>
      <c r="G85" s="15" t="s">
        <v>1445</v>
      </c>
      <c r="H85" s="15"/>
    </row>
    <row r="86" spans="1:8" ht="17.149999999999999" customHeight="1" x14ac:dyDescent="0.35">
      <c r="A86" s="14" t="s">
        <v>780</v>
      </c>
      <c r="B86" s="14" t="s">
        <v>205</v>
      </c>
      <c r="C86" s="14" t="s">
        <v>76</v>
      </c>
      <c r="D86" s="14" t="s">
        <v>78</v>
      </c>
      <c r="E86" s="14" t="s">
        <v>1484</v>
      </c>
      <c r="F86" s="15" t="s">
        <v>781</v>
      </c>
      <c r="G86" s="15" t="s">
        <v>1445</v>
      </c>
      <c r="H86" s="15"/>
    </row>
    <row r="87" spans="1:8" ht="17.149999999999999" customHeight="1" x14ac:dyDescent="0.35">
      <c r="A87" s="14" t="s">
        <v>780</v>
      </c>
      <c r="B87" s="14" t="s">
        <v>205</v>
      </c>
      <c r="C87" s="14" t="s">
        <v>76</v>
      </c>
      <c r="D87" s="14" t="s">
        <v>78</v>
      </c>
      <c r="E87" s="14" t="s">
        <v>1484</v>
      </c>
      <c r="F87" s="15" t="s">
        <v>739</v>
      </c>
      <c r="G87" s="15" t="s">
        <v>1445</v>
      </c>
      <c r="H87" s="15"/>
    </row>
    <row r="88" spans="1:8" ht="17.149999999999999" customHeight="1" x14ac:dyDescent="0.35">
      <c r="A88" s="14" t="s">
        <v>788</v>
      </c>
      <c r="B88" s="14" t="s">
        <v>789</v>
      </c>
      <c r="C88" s="14" t="s">
        <v>76</v>
      </c>
      <c r="D88" s="14" t="s">
        <v>78</v>
      </c>
      <c r="E88" s="14" t="s">
        <v>1484</v>
      </c>
      <c r="F88" s="15" t="s">
        <v>790</v>
      </c>
      <c r="G88" s="15" t="s">
        <v>1445</v>
      </c>
      <c r="H88" s="15"/>
    </row>
    <row r="89" spans="1:8" ht="17.149999999999999" customHeight="1" x14ac:dyDescent="0.35">
      <c r="A89" s="14" t="s">
        <v>788</v>
      </c>
      <c r="B89" s="14" t="s">
        <v>789</v>
      </c>
      <c r="C89" s="14" t="s">
        <v>76</v>
      </c>
      <c r="D89" s="14" t="s">
        <v>78</v>
      </c>
      <c r="E89" s="14" t="s">
        <v>1484</v>
      </c>
      <c r="F89" s="15" t="s">
        <v>791</v>
      </c>
      <c r="G89" s="15" t="s">
        <v>1445</v>
      </c>
      <c r="H89" s="15"/>
    </row>
    <row r="90" spans="1:8" ht="17.149999999999999" customHeight="1" x14ac:dyDescent="0.35">
      <c r="A90" s="14" t="s">
        <v>804</v>
      </c>
      <c r="B90" s="14" t="s">
        <v>805</v>
      </c>
      <c r="C90" s="14" t="s">
        <v>76</v>
      </c>
      <c r="D90" s="14" t="s">
        <v>78</v>
      </c>
      <c r="E90" s="14" t="s">
        <v>1484</v>
      </c>
      <c r="F90" s="15" t="s">
        <v>806</v>
      </c>
      <c r="G90" s="15" t="s">
        <v>1445</v>
      </c>
      <c r="H90" s="15"/>
    </row>
    <row r="91" spans="1:8" ht="17.149999999999999" customHeight="1" x14ac:dyDescent="0.35">
      <c r="A91" s="14" t="s">
        <v>806</v>
      </c>
      <c r="B91" s="14" t="s">
        <v>805</v>
      </c>
      <c r="C91" s="14" t="s">
        <v>76</v>
      </c>
      <c r="D91" s="14" t="s">
        <v>78</v>
      </c>
      <c r="E91" s="14" t="s">
        <v>1484</v>
      </c>
      <c r="F91" s="15" t="s">
        <v>827</v>
      </c>
      <c r="G91" s="15" t="s">
        <v>1445</v>
      </c>
      <c r="H91" s="15"/>
    </row>
    <row r="92" spans="1:8" ht="17.149999999999999" customHeight="1" x14ac:dyDescent="0.35">
      <c r="A92" s="14" t="s">
        <v>782</v>
      </c>
      <c r="B92" s="14" t="s">
        <v>783</v>
      </c>
      <c r="C92" s="14" t="s">
        <v>76</v>
      </c>
      <c r="D92" s="14" t="s">
        <v>78</v>
      </c>
      <c r="E92" s="14" t="s">
        <v>1484</v>
      </c>
      <c r="F92" s="15" t="s">
        <v>784</v>
      </c>
      <c r="G92" s="15" t="s">
        <v>1445</v>
      </c>
      <c r="H92" s="15"/>
    </row>
    <row r="93" spans="1:8" ht="17.149999999999999" customHeight="1" x14ac:dyDescent="0.35">
      <c r="A93" s="14" t="s">
        <v>833</v>
      </c>
      <c r="B93" s="14" t="s">
        <v>834</v>
      </c>
      <c r="C93" s="14" t="s">
        <v>76</v>
      </c>
      <c r="D93" s="14" t="s">
        <v>78</v>
      </c>
      <c r="E93" s="14" t="s">
        <v>1484</v>
      </c>
      <c r="F93" s="15" t="s">
        <v>835</v>
      </c>
      <c r="G93" s="15" t="s">
        <v>1445</v>
      </c>
      <c r="H93" s="15"/>
    </row>
    <row r="94" spans="1:8" ht="17.149999999999999" customHeight="1" x14ac:dyDescent="0.35">
      <c r="A94" s="14" t="s">
        <v>830</v>
      </c>
      <c r="B94" s="14" t="s">
        <v>831</v>
      </c>
      <c r="C94" s="14" t="s">
        <v>76</v>
      </c>
      <c r="D94" s="14" t="s">
        <v>78</v>
      </c>
      <c r="E94" s="14" t="s">
        <v>1484</v>
      </c>
      <c r="F94" s="15" t="s">
        <v>832</v>
      </c>
      <c r="G94" s="15" t="s">
        <v>1445</v>
      </c>
      <c r="H94" s="15"/>
    </row>
    <row r="95" spans="1:8" ht="17.149999999999999" customHeight="1" x14ac:dyDescent="0.35">
      <c r="A95" s="14" t="s">
        <v>862</v>
      </c>
      <c r="B95" s="14" t="s">
        <v>863</v>
      </c>
      <c r="C95" s="14" t="s">
        <v>76</v>
      </c>
      <c r="D95" s="14" t="s">
        <v>78</v>
      </c>
      <c r="E95" s="14" t="s">
        <v>1484</v>
      </c>
      <c r="F95" s="15" t="s">
        <v>864</v>
      </c>
      <c r="G95" s="15" t="s">
        <v>1445</v>
      </c>
      <c r="H95" s="15"/>
    </row>
    <row r="96" spans="1:8" ht="17.149999999999999" customHeight="1" x14ac:dyDescent="0.35">
      <c r="A96" s="14" t="s">
        <v>865</v>
      </c>
      <c r="B96" s="14" t="s">
        <v>866</v>
      </c>
      <c r="C96" s="14" t="s">
        <v>76</v>
      </c>
      <c r="D96" s="14" t="s">
        <v>78</v>
      </c>
      <c r="E96" s="14" t="s">
        <v>1484</v>
      </c>
      <c r="F96" s="15" t="s">
        <v>867</v>
      </c>
      <c r="G96" s="15" t="s">
        <v>1445</v>
      </c>
      <c r="H96" s="15"/>
    </row>
    <row r="97" spans="1:8" ht="17.149999999999999" customHeight="1" x14ac:dyDescent="0.35">
      <c r="A97" s="14" t="s">
        <v>871</v>
      </c>
      <c r="B97" s="14" t="s">
        <v>872</v>
      </c>
      <c r="C97" s="14" t="s">
        <v>76</v>
      </c>
      <c r="D97" s="14" t="s">
        <v>78</v>
      </c>
      <c r="E97" s="14" t="s">
        <v>1484</v>
      </c>
      <c r="F97" s="15" t="s">
        <v>873</v>
      </c>
      <c r="G97" s="15" t="s">
        <v>1445</v>
      </c>
      <c r="H97" s="15"/>
    </row>
    <row r="98" spans="1:8" ht="17.149999999999999" customHeight="1" x14ac:dyDescent="0.35">
      <c r="A98" s="14" t="s">
        <v>868</v>
      </c>
      <c r="B98" s="14" t="s">
        <v>869</v>
      </c>
      <c r="C98" s="14" t="s">
        <v>76</v>
      </c>
      <c r="D98" s="14" t="s">
        <v>78</v>
      </c>
      <c r="E98" s="14" t="s">
        <v>1484</v>
      </c>
      <c r="F98" s="15" t="s">
        <v>870</v>
      </c>
      <c r="G98" s="15" t="s">
        <v>1445</v>
      </c>
      <c r="H98" s="15"/>
    </row>
    <row r="99" spans="1:8" ht="17.149999999999999" customHeight="1" x14ac:dyDescent="0.35">
      <c r="A99" s="14" t="s">
        <v>762</v>
      </c>
      <c r="B99" s="14" t="s">
        <v>763</v>
      </c>
      <c r="C99" s="14" t="s">
        <v>76</v>
      </c>
      <c r="D99" s="14" t="s">
        <v>78</v>
      </c>
      <c r="E99" s="14" t="s">
        <v>1484</v>
      </c>
      <c r="F99" s="15" t="s">
        <v>764</v>
      </c>
      <c r="G99" s="15" t="s">
        <v>1445</v>
      </c>
      <c r="H99" s="15"/>
    </row>
    <row r="100" spans="1:8" ht="17.149999999999999" customHeight="1" x14ac:dyDescent="0.35">
      <c r="A100" s="14" t="s">
        <v>822</v>
      </c>
      <c r="B100" s="14" t="s">
        <v>823</v>
      </c>
      <c r="C100" s="14" t="s">
        <v>76</v>
      </c>
      <c r="D100" s="14" t="s">
        <v>78</v>
      </c>
      <c r="E100" s="14" t="s">
        <v>1505</v>
      </c>
      <c r="F100" s="15" t="s">
        <v>824</v>
      </c>
      <c r="G100" s="15" t="s">
        <v>1445</v>
      </c>
      <c r="H100" s="15"/>
    </row>
    <row r="101" spans="1:8" ht="17.149999999999999" customHeight="1" x14ac:dyDescent="0.35">
      <c r="A101" s="14" t="s">
        <v>795</v>
      </c>
      <c r="B101" s="14" t="s">
        <v>796</v>
      </c>
      <c r="C101" s="14" t="s">
        <v>76</v>
      </c>
      <c r="D101" s="14" t="s">
        <v>78</v>
      </c>
      <c r="E101" s="14" t="s">
        <v>1479</v>
      </c>
      <c r="F101" s="15" t="s">
        <v>797</v>
      </c>
      <c r="G101" s="15" t="s">
        <v>1445</v>
      </c>
      <c r="H101" s="15"/>
    </row>
    <row r="102" spans="1:8" ht="17.149999999999999" customHeight="1" x14ac:dyDescent="0.35">
      <c r="A102" s="14" t="s">
        <v>792</v>
      </c>
      <c r="B102" s="14" t="s">
        <v>793</v>
      </c>
      <c r="C102" s="14" t="s">
        <v>76</v>
      </c>
      <c r="D102" s="14" t="s">
        <v>78</v>
      </c>
      <c r="E102" s="14" t="s">
        <v>1479</v>
      </c>
      <c r="F102" s="15" t="s">
        <v>794</v>
      </c>
      <c r="G102" s="15" t="s">
        <v>1445</v>
      </c>
      <c r="H102" s="15"/>
    </row>
    <row r="103" spans="1:8" ht="17.149999999999999" customHeight="1" x14ac:dyDescent="0.35">
      <c r="A103" s="14" t="s">
        <v>807</v>
      </c>
      <c r="B103" s="14" t="s">
        <v>808</v>
      </c>
      <c r="C103" s="14" t="s">
        <v>76</v>
      </c>
      <c r="D103" s="14" t="s">
        <v>78</v>
      </c>
      <c r="E103" s="14" t="s">
        <v>1505</v>
      </c>
      <c r="F103" s="15" t="s">
        <v>809</v>
      </c>
      <c r="G103" s="15" t="s">
        <v>1445</v>
      </c>
      <c r="H103" s="15"/>
    </row>
    <row r="104" spans="1:8" ht="17.149999999999999" customHeight="1" x14ac:dyDescent="0.35">
      <c r="A104" s="14" t="s">
        <v>811</v>
      </c>
      <c r="B104" s="14" t="s">
        <v>812</v>
      </c>
      <c r="C104" s="14" t="s">
        <v>76</v>
      </c>
      <c r="D104" s="14" t="s">
        <v>78</v>
      </c>
      <c r="E104" s="14" t="s">
        <v>1505</v>
      </c>
      <c r="F104" s="15" t="s">
        <v>813</v>
      </c>
      <c r="G104" s="15" t="s">
        <v>1445</v>
      </c>
      <c r="H104" s="15"/>
    </row>
    <row r="105" spans="1:8" ht="17.149999999999999" customHeight="1" x14ac:dyDescent="0.35">
      <c r="A105" s="14" t="s">
        <v>844</v>
      </c>
      <c r="B105" s="14" t="s">
        <v>845</v>
      </c>
      <c r="C105" s="14" t="s">
        <v>76</v>
      </c>
      <c r="D105" s="14" t="s">
        <v>78</v>
      </c>
      <c r="E105" s="14" t="s">
        <v>1505</v>
      </c>
      <c r="F105" s="15" t="s">
        <v>846</v>
      </c>
      <c r="G105" s="15" t="s">
        <v>1445</v>
      </c>
      <c r="H105" s="15"/>
    </row>
    <row r="106" spans="1:8" ht="17.149999999999999" customHeight="1" x14ac:dyDescent="0.35">
      <c r="A106" s="14" t="s">
        <v>874</v>
      </c>
      <c r="B106" s="14" t="s">
        <v>875</v>
      </c>
      <c r="C106" s="14" t="s">
        <v>76</v>
      </c>
      <c r="D106" s="14" t="s">
        <v>78</v>
      </c>
      <c r="E106" s="14" t="s">
        <v>1479</v>
      </c>
      <c r="F106" s="15" t="s">
        <v>876</v>
      </c>
      <c r="G106" s="15" t="s">
        <v>1445</v>
      </c>
      <c r="H106" s="15"/>
    </row>
    <row r="107" spans="1:8" ht="17.149999999999999" customHeight="1" x14ac:dyDescent="0.35">
      <c r="A107" s="14" t="s">
        <v>880</v>
      </c>
      <c r="B107" s="14" t="s">
        <v>881</v>
      </c>
      <c r="C107" s="14" t="s">
        <v>76</v>
      </c>
      <c r="D107" s="14" t="s">
        <v>78</v>
      </c>
      <c r="E107" s="14" t="s">
        <v>1479</v>
      </c>
      <c r="F107" s="15" t="s">
        <v>882</v>
      </c>
      <c r="G107" s="15" t="s">
        <v>1445</v>
      </c>
      <c r="H107" s="15"/>
    </row>
    <row r="108" spans="1:8" ht="17.149999999999999" customHeight="1" x14ac:dyDescent="0.35">
      <c r="A108" s="14" t="s">
        <v>877</v>
      </c>
      <c r="B108" s="14" t="s">
        <v>878</v>
      </c>
      <c r="C108" s="14" t="s">
        <v>76</v>
      </c>
      <c r="D108" s="14" t="s">
        <v>78</v>
      </c>
      <c r="E108" s="14" t="s">
        <v>1479</v>
      </c>
      <c r="F108" s="15" t="s">
        <v>879</v>
      </c>
      <c r="G108" s="15" t="s">
        <v>1445</v>
      </c>
      <c r="H108" s="15"/>
    </row>
    <row r="109" spans="1:8" ht="17.149999999999999" customHeight="1" x14ac:dyDescent="0.35">
      <c r="A109" s="14" t="s">
        <v>512</v>
      </c>
      <c r="B109" s="14" t="s">
        <v>511</v>
      </c>
      <c r="C109" s="14" t="s">
        <v>76</v>
      </c>
      <c r="D109" s="14" t="s">
        <v>78</v>
      </c>
      <c r="E109" s="14" t="s">
        <v>1484</v>
      </c>
      <c r="F109" s="15" t="s">
        <v>803</v>
      </c>
      <c r="G109" s="15" t="s">
        <v>1445</v>
      </c>
      <c r="H109" s="15"/>
    </row>
    <row r="110" spans="1:8" ht="17.149999999999999" customHeight="1" x14ac:dyDescent="0.35">
      <c r="A110" s="14" t="s">
        <v>819</v>
      </c>
      <c r="B110" s="14" t="s">
        <v>820</v>
      </c>
      <c r="C110" s="14" t="s">
        <v>76</v>
      </c>
      <c r="D110" s="14" t="s">
        <v>78</v>
      </c>
      <c r="E110" s="14" t="s">
        <v>1479</v>
      </c>
      <c r="F110" s="15" t="s">
        <v>821</v>
      </c>
      <c r="G110" s="15" t="s">
        <v>1445</v>
      </c>
      <c r="H110" s="15"/>
    </row>
    <row r="111" spans="1:8" ht="17.149999999999999" customHeight="1" x14ac:dyDescent="0.35">
      <c r="A111" s="14"/>
      <c r="B111" s="14"/>
      <c r="C111" s="14"/>
      <c r="D111" s="14"/>
      <c r="E111" s="14"/>
      <c r="F111" s="15"/>
      <c r="G111" s="15"/>
      <c r="H111" s="15"/>
    </row>
    <row r="112" spans="1:8" ht="17.149999999999999" customHeight="1" x14ac:dyDescent="0.35">
      <c r="A112" s="14" t="s">
        <v>727</v>
      </c>
      <c r="B112" s="14" t="s">
        <v>54</v>
      </c>
      <c r="C112" s="14" t="s">
        <v>76</v>
      </c>
      <c r="D112" s="14" t="s">
        <v>86</v>
      </c>
      <c r="E112" s="14" t="s">
        <v>1505</v>
      </c>
      <c r="F112" s="15" t="s">
        <v>537</v>
      </c>
      <c r="G112" s="15" t="s">
        <v>1445</v>
      </c>
      <c r="H112" s="15"/>
    </row>
    <row r="113" spans="1:8" ht="17.149999999999999" customHeight="1" x14ac:dyDescent="0.35">
      <c r="A113" s="14"/>
      <c r="B113" s="14"/>
      <c r="C113" s="14"/>
      <c r="D113" s="14"/>
      <c r="E113" s="14"/>
      <c r="F113" s="15"/>
      <c r="G113" s="15"/>
      <c r="H113" s="15"/>
    </row>
    <row r="114" spans="1:8" ht="17.149999999999999" customHeight="1" x14ac:dyDescent="0.35">
      <c r="A114" s="14" t="s">
        <v>895</v>
      </c>
      <c r="B114" s="14" t="s">
        <v>1347</v>
      </c>
      <c r="C114" s="14" t="s">
        <v>76</v>
      </c>
      <c r="D114" s="14" t="s">
        <v>87</v>
      </c>
      <c r="E114" s="14" t="s">
        <v>1479</v>
      </c>
      <c r="F114" s="15" t="s">
        <v>694</v>
      </c>
      <c r="G114" s="15" t="s">
        <v>1445</v>
      </c>
      <c r="H114" s="15"/>
    </row>
    <row r="115" spans="1:8" ht="17.149999999999999" customHeight="1" x14ac:dyDescent="0.35">
      <c r="A115" s="14" t="s">
        <v>725</v>
      </c>
      <c r="B115" s="14" t="s">
        <v>53</v>
      </c>
      <c r="C115" s="14" t="s">
        <v>76</v>
      </c>
      <c r="D115" s="14" t="s">
        <v>87</v>
      </c>
      <c r="E115" s="14" t="s">
        <v>1479</v>
      </c>
      <c r="F115" s="15" t="s">
        <v>724</v>
      </c>
      <c r="G115" s="15" t="s">
        <v>1445</v>
      </c>
      <c r="H115" s="15"/>
    </row>
    <row r="116" spans="1:8" ht="17.149999999999999" customHeight="1" x14ac:dyDescent="0.35">
      <c r="A116" s="14" t="s">
        <v>892</v>
      </c>
      <c r="B116" s="14" t="s">
        <v>893</v>
      </c>
      <c r="C116" s="14" t="s">
        <v>76</v>
      </c>
      <c r="D116" s="14" t="s">
        <v>87</v>
      </c>
      <c r="E116" s="14" t="s">
        <v>1479</v>
      </c>
      <c r="F116" s="15" t="s">
        <v>894</v>
      </c>
      <c r="G116" s="15" t="s">
        <v>1445</v>
      </c>
      <c r="H116" s="15"/>
    </row>
    <row r="117" spans="1:8" ht="17.149999999999999" customHeight="1" x14ac:dyDescent="0.35">
      <c r="A117" s="14" t="s">
        <v>889</v>
      </c>
      <c r="B117" s="14" t="s">
        <v>890</v>
      </c>
      <c r="C117" s="14" t="s">
        <v>76</v>
      </c>
      <c r="D117" s="14" t="s">
        <v>87</v>
      </c>
      <c r="E117" s="14" t="s">
        <v>1479</v>
      </c>
      <c r="F117" s="15" t="s">
        <v>891</v>
      </c>
      <c r="G117" s="15" t="s">
        <v>1445</v>
      </c>
      <c r="H117" s="15"/>
    </row>
    <row r="118" spans="1:8" ht="17.149999999999999" customHeight="1" x14ac:dyDescent="0.35">
      <c r="A118" s="22"/>
      <c r="B118" s="22"/>
      <c r="C118" s="22"/>
      <c r="D118" s="22"/>
      <c r="E118" s="22"/>
      <c r="F118" s="23"/>
      <c r="G118" s="23"/>
      <c r="H118" s="23"/>
    </row>
    <row r="119" spans="1:8" ht="17.149999999999999" customHeight="1" x14ac:dyDescent="0.35">
      <c r="A119" s="14" t="s">
        <v>702</v>
      </c>
      <c r="B119" s="14" t="s">
        <v>920</v>
      </c>
      <c r="C119" s="14" t="s">
        <v>76</v>
      </c>
      <c r="D119" s="14" t="s">
        <v>78</v>
      </c>
      <c r="E119" s="14" t="s">
        <v>1484</v>
      </c>
      <c r="F119" s="15" t="s">
        <v>703</v>
      </c>
      <c r="G119" s="15" t="s">
        <v>1445</v>
      </c>
      <c r="H119" s="15" t="s">
        <v>1478</v>
      </c>
    </row>
    <row r="120" spans="1:8" ht="17.149999999999999" customHeight="1" x14ac:dyDescent="0.35">
      <c r="A120" s="14" t="s">
        <v>921</v>
      </c>
      <c r="B120" s="14" t="s">
        <v>922</v>
      </c>
      <c r="C120" s="14" t="s">
        <v>76</v>
      </c>
      <c r="D120" s="14" t="s">
        <v>78</v>
      </c>
      <c r="E120" s="14" t="s">
        <v>1484</v>
      </c>
      <c r="F120" s="15" t="s">
        <v>923</v>
      </c>
      <c r="G120" s="15" t="s">
        <v>1445</v>
      </c>
      <c r="H120" s="15"/>
    </row>
    <row r="121" spans="1:8" ht="17.149999999999999" customHeight="1" x14ac:dyDescent="0.35">
      <c r="A121" s="14"/>
      <c r="B121" s="14"/>
      <c r="C121" s="14"/>
      <c r="D121" s="14"/>
      <c r="E121" s="14"/>
      <c r="F121" s="15"/>
      <c r="G121" s="15"/>
      <c r="H121" s="15"/>
    </row>
    <row r="122" spans="1:8" ht="17.149999999999999" customHeight="1" x14ac:dyDescent="0.35">
      <c r="A122" s="14" t="s">
        <v>694</v>
      </c>
      <c r="B122" s="14" t="s">
        <v>1347</v>
      </c>
      <c r="C122" s="14" t="s">
        <v>76</v>
      </c>
      <c r="D122" s="14" t="s">
        <v>208</v>
      </c>
      <c r="E122" s="14" t="s">
        <v>1484</v>
      </c>
      <c r="F122" s="15" t="s">
        <v>668</v>
      </c>
      <c r="G122" s="15" t="s">
        <v>1445</v>
      </c>
      <c r="H122" s="15"/>
    </row>
    <row r="123" spans="1:8" ht="17.149999999999999" customHeight="1" x14ac:dyDescent="0.35">
      <c r="A123" s="20"/>
      <c r="B123" s="20"/>
      <c r="C123" s="20"/>
      <c r="D123" s="20"/>
      <c r="E123" s="20"/>
      <c r="F123" s="21"/>
      <c r="G123" s="21"/>
      <c r="H123" s="21"/>
    </row>
    <row r="124" spans="1:8" ht="17.149999999999999" customHeight="1" x14ac:dyDescent="0.35">
      <c r="A124" s="14" t="s">
        <v>696</v>
      </c>
      <c r="B124" s="14" t="s">
        <v>1347</v>
      </c>
      <c r="C124" s="14" t="s">
        <v>76</v>
      </c>
      <c r="D124" s="14" t="s">
        <v>86</v>
      </c>
      <c r="E124" s="14" t="s">
        <v>1485</v>
      </c>
      <c r="F124" s="15" t="s">
        <v>931</v>
      </c>
      <c r="G124" s="15" t="s">
        <v>1447</v>
      </c>
      <c r="H124" s="15" t="s">
        <v>1494</v>
      </c>
    </row>
    <row r="125" spans="1:8" ht="17.149999999999999" customHeight="1" x14ac:dyDescent="0.35">
      <c r="A125" s="14" t="s">
        <v>927</v>
      </c>
      <c r="B125" s="14" t="s">
        <v>928</v>
      </c>
      <c r="C125" s="14" t="s">
        <v>76</v>
      </c>
      <c r="D125" s="14" t="s">
        <v>86</v>
      </c>
      <c r="E125" s="14" t="s">
        <v>1485</v>
      </c>
      <c r="F125" s="15" t="s">
        <v>929</v>
      </c>
      <c r="G125" s="15" t="s">
        <v>1447</v>
      </c>
      <c r="H125" s="15"/>
    </row>
    <row r="126" spans="1:8" ht="17.149999999999999" customHeight="1" x14ac:dyDescent="0.35">
      <c r="A126" s="14"/>
      <c r="B126" s="14"/>
      <c r="C126" s="14"/>
      <c r="D126" s="14"/>
      <c r="E126" s="14"/>
      <c r="F126" s="15"/>
      <c r="G126" s="15"/>
      <c r="H126" s="15"/>
    </row>
    <row r="127" spans="1:8" ht="17.149999999999999" customHeight="1" x14ac:dyDescent="0.35">
      <c r="A127" s="14" t="s">
        <v>696</v>
      </c>
      <c r="B127" s="14" t="s">
        <v>1347</v>
      </c>
      <c r="C127" s="14" t="s">
        <v>76</v>
      </c>
      <c r="D127" s="14" t="s">
        <v>87</v>
      </c>
      <c r="E127" s="14" t="s">
        <v>1485</v>
      </c>
      <c r="F127" s="15" t="s">
        <v>930</v>
      </c>
      <c r="G127" s="15" t="s">
        <v>1447</v>
      </c>
      <c r="H127" s="15"/>
    </row>
    <row r="128" spans="1:8" ht="17.149999999999999" customHeight="1" x14ac:dyDescent="0.35">
      <c r="A128" s="14" t="s">
        <v>924</v>
      </c>
      <c r="B128" s="14" t="s">
        <v>925</v>
      </c>
      <c r="C128" s="14" t="s">
        <v>76</v>
      </c>
      <c r="D128" s="14" t="s">
        <v>87</v>
      </c>
      <c r="E128" s="14" t="s">
        <v>1485</v>
      </c>
      <c r="F128" s="15" t="s">
        <v>926</v>
      </c>
      <c r="G128" s="15" t="s">
        <v>1447</v>
      </c>
      <c r="H128" s="15"/>
    </row>
    <row r="129" spans="1:8" ht="17.149999999999999" customHeight="1" x14ac:dyDescent="0.35">
      <c r="A129" s="20"/>
      <c r="B129" s="20"/>
      <c r="C129" s="20"/>
      <c r="D129" s="20"/>
      <c r="E129" s="20"/>
      <c r="F129" s="21"/>
      <c r="G129" s="21"/>
      <c r="H129" s="21"/>
    </row>
    <row r="130" spans="1:8" ht="17.149999999999999" customHeight="1" x14ac:dyDescent="0.35">
      <c r="A130" s="14" t="s">
        <v>944</v>
      </c>
      <c r="B130" s="14" t="s">
        <v>39</v>
      </c>
      <c r="C130" s="14" t="s">
        <v>76</v>
      </c>
      <c r="D130" s="14" t="s">
        <v>86</v>
      </c>
      <c r="E130" s="14" t="s">
        <v>1480</v>
      </c>
      <c r="F130" s="15" t="s">
        <v>945</v>
      </c>
      <c r="G130" s="15" t="s">
        <v>1446</v>
      </c>
      <c r="H130" s="15" t="s">
        <v>1495</v>
      </c>
    </row>
    <row r="131" spans="1:8" ht="17.149999999999999" customHeight="1" x14ac:dyDescent="0.35">
      <c r="A131" s="14"/>
      <c r="B131" s="14"/>
      <c r="C131" s="14"/>
      <c r="D131" s="14"/>
      <c r="E131" s="14"/>
      <c r="F131" s="15"/>
      <c r="G131" s="15"/>
      <c r="H131" s="15"/>
    </row>
    <row r="132" spans="1:8" ht="17.149999999999999" customHeight="1" x14ac:dyDescent="0.35">
      <c r="A132" s="14" t="s">
        <v>932</v>
      </c>
      <c r="B132" s="14" t="s">
        <v>21</v>
      </c>
      <c r="C132" s="14" t="s">
        <v>76</v>
      </c>
      <c r="D132" s="14" t="s">
        <v>87</v>
      </c>
      <c r="E132" s="14" t="s">
        <v>1480</v>
      </c>
      <c r="F132" s="15" t="s">
        <v>933</v>
      </c>
      <c r="G132" s="15" t="s">
        <v>1446</v>
      </c>
      <c r="H132" s="15"/>
    </row>
    <row r="133" spans="1:8" ht="17.149999999999999" customHeight="1" x14ac:dyDescent="0.35">
      <c r="A133" s="14" t="s">
        <v>934</v>
      </c>
      <c r="B133" s="14" t="s">
        <v>30</v>
      </c>
      <c r="C133" s="14" t="s">
        <v>76</v>
      </c>
      <c r="D133" s="14" t="s">
        <v>87</v>
      </c>
      <c r="E133" s="14" t="s">
        <v>1480</v>
      </c>
      <c r="F133" s="15" t="s">
        <v>935</v>
      </c>
      <c r="G133" s="15" t="s">
        <v>1446</v>
      </c>
      <c r="H133" s="15"/>
    </row>
    <row r="134" spans="1:8" ht="17.149999999999999" customHeight="1" x14ac:dyDescent="0.35">
      <c r="A134" s="14" t="s">
        <v>936</v>
      </c>
      <c r="B134" s="14" t="s">
        <v>32</v>
      </c>
      <c r="C134" s="14" t="s">
        <v>76</v>
      </c>
      <c r="D134" s="14" t="s">
        <v>87</v>
      </c>
      <c r="E134" s="14" t="s">
        <v>1480</v>
      </c>
      <c r="F134" s="15" t="s">
        <v>937</v>
      </c>
      <c r="G134" s="15" t="s">
        <v>1446</v>
      </c>
      <c r="H134" s="15"/>
    </row>
    <row r="135" spans="1:8" ht="17.149999999999999" customHeight="1" x14ac:dyDescent="0.35">
      <c r="A135" s="14" t="s">
        <v>938</v>
      </c>
      <c r="B135" s="14" t="s">
        <v>33</v>
      </c>
      <c r="C135" s="14" t="s">
        <v>76</v>
      </c>
      <c r="D135" s="14" t="s">
        <v>87</v>
      </c>
      <c r="E135" s="14" t="s">
        <v>1480</v>
      </c>
      <c r="F135" s="15" t="s">
        <v>939</v>
      </c>
      <c r="G135" s="15" t="s">
        <v>1446</v>
      </c>
      <c r="H135" s="15"/>
    </row>
    <row r="136" spans="1:8" ht="17.149999999999999" customHeight="1" x14ac:dyDescent="0.35">
      <c r="A136" s="14" t="s">
        <v>940</v>
      </c>
      <c r="B136" s="14" t="s">
        <v>34</v>
      </c>
      <c r="C136" s="14" t="s">
        <v>76</v>
      </c>
      <c r="D136" s="14" t="s">
        <v>87</v>
      </c>
      <c r="E136" s="14" t="s">
        <v>1480</v>
      </c>
      <c r="F136" s="15" t="s">
        <v>941</v>
      </c>
      <c r="G136" s="15" t="s">
        <v>1446</v>
      </c>
      <c r="H136" s="15"/>
    </row>
    <row r="137" spans="1:8" ht="17.149999999999999" customHeight="1" x14ac:dyDescent="0.35">
      <c r="A137" s="14" t="s">
        <v>942</v>
      </c>
      <c r="B137" s="14" t="s">
        <v>35</v>
      </c>
      <c r="C137" s="14" t="s">
        <v>76</v>
      </c>
      <c r="D137" s="14" t="s">
        <v>87</v>
      </c>
      <c r="E137" s="14" t="s">
        <v>1480</v>
      </c>
      <c r="F137" s="15" t="s">
        <v>943</v>
      </c>
      <c r="G137" s="15" t="s">
        <v>1446</v>
      </c>
      <c r="H137" s="15"/>
    </row>
    <row r="138" spans="1:8" ht="17.149999999999999" customHeight="1" x14ac:dyDescent="0.35">
      <c r="A138" s="14" t="s">
        <v>946</v>
      </c>
      <c r="B138" s="14" t="s">
        <v>44</v>
      </c>
      <c r="C138" s="14" t="s">
        <v>76</v>
      </c>
      <c r="D138" s="14" t="s">
        <v>87</v>
      </c>
      <c r="E138" s="14" t="s">
        <v>1480</v>
      </c>
      <c r="F138" s="15" t="s">
        <v>277</v>
      </c>
      <c r="G138" s="15" t="s">
        <v>1446</v>
      </c>
      <c r="H138" s="15"/>
    </row>
    <row r="139" spans="1:8" ht="17.149999999999999" customHeight="1" x14ac:dyDescent="0.35">
      <c r="A139" s="22"/>
      <c r="B139" s="22"/>
      <c r="C139" s="22"/>
      <c r="D139" s="22"/>
      <c r="E139" s="22"/>
      <c r="F139" s="23"/>
      <c r="G139" s="23"/>
      <c r="H139" s="23"/>
    </row>
    <row r="140" spans="1:8" ht="17.149999999999999" customHeight="1" x14ac:dyDescent="0.35">
      <c r="A140" s="14" t="s">
        <v>730</v>
      </c>
      <c r="B140" s="14" t="s">
        <v>1420</v>
      </c>
      <c r="C140" s="14" t="s">
        <v>76</v>
      </c>
      <c r="D140" s="14" t="s">
        <v>78</v>
      </c>
      <c r="E140" s="14" t="s">
        <v>1480</v>
      </c>
      <c r="F140" s="15" t="s">
        <v>949</v>
      </c>
      <c r="G140" s="15" t="s">
        <v>1446</v>
      </c>
      <c r="H140" s="15" t="s">
        <v>1496</v>
      </c>
    </row>
    <row r="141" spans="1:8" ht="17.149999999999999" customHeight="1" x14ac:dyDescent="0.35">
      <c r="A141" s="14" t="s">
        <v>963</v>
      </c>
      <c r="B141" s="14" t="s">
        <v>964</v>
      </c>
      <c r="C141" s="14" t="s">
        <v>76</v>
      </c>
      <c r="D141" s="14" t="s">
        <v>78</v>
      </c>
      <c r="E141" s="14" t="s">
        <v>1480</v>
      </c>
      <c r="F141" s="15" t="s">
        <v>965</v>
      </c>
      <c r="G141" s="15" t="s">
        <v>1446</v>
      </c>
      <c r="H141" s="15"/>
    </row>
    <row r="142" spans="1:8" ht="17.149999999999999" customHeight="1" x14ac:dyDescent="0.35">
      <c r="A142" s="14" t="s">
        <v>387</v>
      </c>
      <c r="B142" s="14" t="s">
        <v>386</v>
      </c>
      <c r="C142" s="14" t="s">
        <v>76</v>
      </c>
      <c r="D142" s="14" t="s">
        <v>78</v>
      </c>
      <c r="E142" s="14" t="s">
        <v>1480</v>
      </c>
      <c r="F142" s="15" t="s">
        <v>966</v>
      </c>
      <c r="G142" s="15" t="s">
        <v>1446</v>
      </c>
      <c r="H142" s="15"/>
    </row>
    <row r="143" spans="1:8" ht="17.149999999999999" customHeight="1" x14ac:dyDescent="0.35">
      <c r="A143" s="14" t="s">
        <v>990</v>
      </c>
      <c r="B143" s="14" t="s">
        <v>951</v>
      </c>
      <c r="C143" s="14" t="s">
        <v>76</v>
      </c>
      <c r="D143" s="14" t="s">
        <v>78</v>
      </c>
      <c r="E143" s="14" t="s">
        <v>1480</v>
      </c>
      <c r="F143" s="15" t="s">
        <v>952</v>
      </c>
      <c r="G143" s="15" t="s">
        <v>1446</v>
      </c>
      <c r="H143" s="15"/>
    </row>
    <row r="144" spans="1:8" ht="17.149999999999999" customHeight="1" x14ac:dyDescent="0.35">
      <c r="A144" s="14" t="s">
        <v>978</v>
      </c>
      <c r="B144" s="14" t="s">
        <v>979</v>
      </c>
      <c r="C144" s="14" t="s">
        <v>76</v>
      </c>
      <c r="D144" s="14" t="s">
        <v>78</v>
      </c>
      <c r="E144" s="14" t="s">
        <v>1480</v>
      </c>
      <c r="F144" s="15" t="s">
        <v>980</v>
      </c>
      <c r="G144" s="15" t="s">
        <v>1446</v>
      </c>
      <c r="H144" s="15"/>
    </row>
    <row r="145" spans="1:8" ht="17.149999999999999" customHeight="1" x14ac:dyDescent="0.35">
      <c r="A145" s="14" t="s">
        <v>1042</v>
      </c>
      <c r="B145" s="14" t="s">
        <v>1043</v>
      </c>
      <c r="C145" s="14" t="s">
        <v>76</v>
      </c>
      <c r="D145" s="14" t="s">
        <v>78</v>
      </c>
      <c r="E145" s="14" t="s">
        <v>1480</v>
      </c>
      <c r="F145" s="15" t="s">
        <v>1044</v>
      </c>
      <c r="G145" s="15" t="s">
        <v>1446</v>
      </c>
      <c r="H145" s="15"/>
    </row>
    <row r="146" spans="1:8" ht="17.149999999999999" customHeight="1" x14ac:dyDescent="0.35">
      <c r="A146" s="14" t="s">
        <v>1045</v>
      </c>
      <c r="B146" s="14" t="s">
        <v>1046</v>
      </c>
      <c r="C146" s="14" t="s">
        <v>76</v>
      </c>
      <c r="D146" s="14" t="s">
        <v>78</v>
      </c>
      <c r="E146" s="14" t="s">
        <v>1480</v>
      </c>
      <c r="F146" s="15" t="s">
        <v>1047</v>
      </c>
      <c r="G146" s="15" t="s">
        <v>1446</v>
      </c>
      <c r="H146" s="15"/>
    </row>
    <row r="147" spans="1:8" ht="17.149999999999999" customHeight="1" x14ac:dyDescent="0.35">
      <c r="A147" s="14" t="s">
        <v>741</v>
      </c>
      <c r="B147" s="14" t="s">
        <v>1347</v>
      </c>
      <c r="C147" s="14" t="s">
        <v>76</v>
      </c>
      <c r="D147" s="14" t="s">
        <v>78</v>
      </c>
      <c r="E147" s="14" t="s">
        <v>1480</v>
      </c>
      <c r="F147" s="15" t="s">
        <v>956</v>
      </c>
      <c r="G147" s="15" t="s">
        <v>1446</v>
      </c>
      <c r="H147" s="15"/>
    </row>
    <row r="148" spans="1:8" ht="17.149999999999999" customHeight="1" x14ac:dyDescent="0.35">
      <c r="A148" s="14" t="s">
        <v>760</v>
      </c>
      <c r="B148" s="14" t="s">
        <v>1347</v>
      </c>
      <c r="C148" s="14" t="s">
        <v>76</v>
      </c>
      <c r="D148" s="14" t="s">
        <v>78</v>
      </c>
      <c r="E148" s="14" t="s">
        <v>1480</v>
      </c>
      <c r="F148" s="15" t="s">
        <v>976</v>
      </c>
      <c r="G148" s="15" t="s">
        <v>1446</v>
      </c>
      <c r="H148" s="15"/>
    </row>
    <row r="149" spans="1:8" ht="17.149999999999999" customHeight="1" x14ac:dyDescent="0.35">
      <c r="A149" s="14" t="s">
        <v>761</v>
      </c>
      <c r="B149" s="14" t="s">
        <v>1347</v>
      </c>
      <c r="C149" s="14" t="s">
        <v>76</v>
      </c>
      <c r="D149" s="14" t="s">
        <v>78</v>
      </c>
      <c r="E149" s="14" t="s">
        <v>1480</v>
      </c>
      <c r="F149" s="15" t="s">
        <v>981</v>
      </c>
      <c r="G149" s="15" t="s">
        <v>1446</v>
      </c>
      <c r="H149" s="15"/>
    </row>
    <row r="150" spans="1:8" ht="17.149999999999999" customHeight="1" x14ac:dyDescent="0.35">
      <c r="A150" s="14" t="s">
        <v>756</v>
      </c>
      <c r="B150" s="14" t="s">
        <v>1347</v>
      </c>
      <c r="C150" s="14" t="s">
        <v>76</v>
      </c>
      <c r="D150" s="14" t="s">
        <v>78</v>
      </c>
      <c r="E150" s="14" t="s">
        <v>1480</v>
      </c>
      <c r="F150" s="15" t="s">
        <v>976</v>
      </c>
      <c r="G150" s="15" t="s">
        <v>1446</v>
      </c>
      <c r="H150" s="15"/>
    </row>
    <row r="151" spans="1:8" ht="17.149999999999999" customHeight="1" x14ac:dyDescent="0.35">
      <c r="A151" s="22"/>
      <c r="B151" s="22"/>
      <c r="C151" s="22"/>
      <c r="D151" s="22"/>
      <c r="E151" s="22"/>
      <c r="F151" s="23"/>
      <c r="G151" s="23"/>
      <c r="H151" s="23"/>
    </row>
    <row r="152" spans="1:8" ht="17.149999999999999" customHeight="1" x14ac:dyDescent="0.35">
      <c r="A152" s="14" t="s">
        <v>947</v>
      </c>
      <c r="B152" s="14" t="s">
        <v>1421</v>
      </c>
      <c r="C152" s="14" t="s">
        <v>76</v>
      </c>
      <c r="D152" s="14" t="s">
        <v>78</v>
      </c>
      <c r="E152" s="14" t="s">
        <v>1480</v>
      </c>
      <c r="F152" s="15" t="s">
        <v>948</v>
      </c>
      <c r="G152" s="15" t="s">
        <v>1446</v>
      </c>
      <c r="H152" s="15" t="s">
        <v>1497</v>
      </c>
    </row>
    <row r="153" spans="1:8" ht="17.149999999999999" customHeight="1" x14ac:dyDescent="0.35">
      <c r="A153" s="14" t="s">
        <v>1038</v>
      </c>
      <c r="B153" s="14" t="s">
        <v>1425</v>
      </c>
      <c r="C153" s="14" t="s">
        <v>76</v>
      </c>
      <c r="D153" s="14" t="s">
        <v>78</v>
      </c>
      <c r="E153" s="14" t="s">
        <v>1480</v>
      </c>
      <c r="F153" s="15" t="s">
        <v>1039</v>
      </c>
      <c r="G153" s="15" t="s">
        <v>1446</v>
      </c>
      <c r="H153" s="15"/>
    </row>
    <row r="154" spans="1:8" ht="17.149999999999999" customHeight="1" x14ac:dyDescent="0.35">
      <c r="A154" s="14" t="s">
        <v>1040</v>
      </c>
      <c r="B154" s="14" t="s">
        <v>1426</v>
      </c>
      <c r="C154" s="14" t="s">
        <v>76</v>
      </c>
      <c r="D154" s="14" t="s">
        <v>78</v>
      </c>
      <c r="E154" s="14" t="s">
        <v>1480</v>
      </c>
      <c r="F154" s="15" t="s">
        <v>1041</v>
      </c>
      <c r="G154" s="15" t="s">
        <v>1446</v>
      </c>
      <c r="H154" s="15"/>
    </row>
    <row r="155" spans="1:8" ht="17.149999999999999" customHeight="1" x14ac:dyDescent="0.35">
      <c r="A155" s="14" t="s">
        <v>994</v>
      </c>
      <c r="B155" s="14" t="s">
        <v>1422</v>
      </c>
      <c r="C155" s="14" t="s">
        <v>76</v>
      </c>
      <c r="D155" s="14" t="s">
        <v>78</v>
      </c>
      <c r="E155" s="14" t="s">
        <v>1480</v>
      </c>
      <c r="F155" s="15" t="s">
        <v>995</v>
      </c>
      <c r="G155" s="15" t="s">
        <v>1446</v>
      </c>
      <c r="H155" s="15"/>
    </row>
    <row r="156" spans="1:8" ht="17.149999999999999" customHeight="1" x14ac:dyDescent="0.35">
      <c r="A156" s="14" t="s">
        <v>999</v>
      </c>
      <c r="B156" s="14" t="s">
        <v>1423</v>
      </c>
      <c r="C156" s="14" t="s">
        <v>76</v>
      </c>
      <c r="D156" s="14" t="s">
        <v>78</v>
      </c>
      <c r="E156" s="14" t="s">
        <v>1480</v>
      </c>
      <c r="F156" s="15" t="s">
        <v>1000</v>
      </c>
      <c r="G156" s="15" t="s">
        <v>1446</v>
      </c>
      <c r="H156" s="15"/>
    </row>
    <row r="157" spans="1:8" ht="17.149999999999999" customHeight="1" x14ac:dyDescent="0.35">
      <c r="A157" s="14" t="s">
        <v>1001</v>
      </c>
      <c r="B157" s="14" t="s">
        <v>1424</v>
      </c>
      <c r="C157" s="14" t="s">
        <v>76</v>
      </c>
      <c r="D157" s="14" t="s">
        <v>78</v>
      </c>
      <c r="E157" s="14" t="s">
        <v>1480</v>
      </c>
      <c r="F157" s="15" t="s">
        <v>1002</v>
      </c>
      <c r="G157" s="15" t="s">
        <v>1446</v>
      </c>
      <c r="H157" s="15"/>
    </row>
    <row r="158" spans="1:8" ht="17.149999999999999" customHeight="1" x14ac:dyDescent="0.35">
      <c r="A158" s="14" t="s">
        <v>743</v>
      </c>
      <c r="B158" s="14" t="s">
        <v>44</v>
      </c>
      <c r="C158" s="14" t="s">
        <v>76</v>
      </c>
      <c r="D158" s="14" t="s">
        <v>78</v>
      </c>
      <c r="E158" s="14" t="s">
        <v>1480</v>
      </c>
      <c r="F158" s="15" t="s">
        <v>957</v>
      </c>
      <c r="G158" s="15" t="s">
        <v>1446</v>
      </c>
      <c r="H158" s="15"/>
    </row>
    <row r="159" spans="1:8" ht="17.149999999999999" customHeight="1" x14ac:dyDescent="0.35">
      <c r="A159" s="14" t="s">
        <v>765</v>
      </c>
      <c r="B159" s="14" t="s">
        <v>44</v>
      </c>
      <c r="C159" s="14" t="s">
        <v>76</v>
      </c>
      <c r="D159" s="14" t="s">
        <v>78</v>
      </c>
      <c r="E159" s="14" t="s">
        <v>1480</v>
      </c>
      <c r="F159" s="15" t="s">
        <v>989</v>
      </c>
      <c r="G159" s="15" t="s">
        <v>1446</v>
      </c>
      <c r="H159" s="15"/>
    </row>
    <row r="160" spans="1:8" ht="17.149999999999999" customHeight="1" x14ac:dyDescent="0.35">
      <c r="A160" s="14" t="s">
        <v>953</v>
      </c>
      <c r="B160" s="14" t="s">
        <v>954</v>
      </c>
      <c r="C160" s="14" t="s">
        <v>76</v>
      </c>
      <c r="D160" s="14" t="s">
        <v>78</v>
      </c>
      <c r="E160" s="14" t="s">
        <v>1480</v>
      </c>
      <c r="F160" s="15" t="s">
        <v>955</v>
      </c>
      <c r="G160" s="15" t="s">
        <v>1446</v>
      </c>
      <c r="H160" s="15"/>
    </row>
    <row r="161" spans="1:8" ht="17.149999999999999" customHeight="1" x14ac:dyDescent="0.35">
      <c r="A161" s="14" t="s">
        <v>746</v>
      </c>
      <c r="B161" s="14" t="s">
        <v>747</v>
      </c>
      <c r="C161" s="14" t="s">
        <v>76</v>
      </c>
      <c r="D161" s="14" t="s">
        <v>78</v>
      </c>
      <c r="E161" s="14" t="s">
        <v>1480</v>
      </c>
      <c r="F161" s="15" t="s">
        <v>962</v>
      </c>
      <c r="G161" s="15" t="s">
        <v>1446</v>
      </c>
      <c r="H161" s="15"/>
    </row>
    <row r="162" spans="1:8" ht="17.149999999999999" customHeight="1" x14ac:dyDescent="0.35">
      <c r="A162" s="14" t="s">
        <v>950</v>
      </c>
      <c r="B162" s="14" t="s">
        <v>951</v>
      </c>
      <c r="C162" s="14" t="s">
        <v>76</v>
      </c>
      <c r="D162" s="14" t="s">
        <v>78</v>
      </c>
      <c r="E162" s="14" t="s">
        <v>1480</v>
      </c>
      <c r="F162" s="15" t="s">
        <v>952</v>
      </c>
      <c r="G162" s="15" t="s">
        <v>1446</v>
      </c>
      <c r="H162" s="15"/>
    </row>
    <row r="163" spans="1:8" ht="17.149999999999999" customHeight="1" x14ac:dyDescent="0.35">
      <c r="A163" s="14" t="s">
        <v>970</v>
      </c>
      <c r="B163" s="14" t="s">
        <v>971</v>
      </c>
      <c r="C163" s="14" t="s">
        <v>76</v>
      </c>
      <c r="D163" s="14" t="s">
        <v>78</v>
      </c>
      <c r="E163" s="14" t="s">
        <v>1480</v>
      </c>
      <c r="F163" s="15" t="s">
        <v>972</v>
      </c>
      <c r="G163" s="15" t="s">
        <v>1446</v>
      </c>
      <c r="H163" s="15"/>
    </row>
    <row r="164" spans="1:8" ht="17.149999999999999" customHeight="1" x14ac:dyDescent="0.35">
      <c r="A164" s="14" t="s">
        <v>973</v>
      </c>
      <c r="B164" s="14" t="s">
        <v>974</v>
      </c>
      <c r="C164" s="14" t="s">
        <v>76</v>
      </c>
      <c r="D164" s="14" t="s">
        <v>78</v>
      </c>
      <c r="E164" s="14" t="s">
        <v>1480</v>
      </c>
      <c r="F164" s="15" t="s">
        <v>975</v>
      </c>
      <c r="G164" s="15" t="s">
        <v>1446</v>
      </c>
      <c r="H164" s="15"/>
    </row>
    <row r="165" spans="1:8" ht="17.149999999999999" customHeight="1" x14ac:dyDescent="0.35">
      <c r="A165" s="14" t="s">
        <v>737</v>
      </c>
      <c r="B165" s="14" t="s">
        <v>736</v>
      </c>
      <c r="C165" s="14" t="s">
        <v>76</v>
      </c>
      <c r="D165" s="14" t="s">
        <v>78</v>
      </c>
      <c r="E165" s="14" t="s">
        <v>1480</v>
      </c>
      <c r="F165" s="15" t="s">
        <v>977</v>
      </c>
      <c r="G165" s="15" t="s">
        <v>1446</v>
      </c>
      <c r="H165" s="15"/>
    </row>
    <row r="166" spans="1:8" ht="17.149999999999999" customHeight="1" x14ac:dyDescent="0.35">
      <c r="A166" s="14" t="s">
        <v>967</v>
      </c>
      <c r="B166" s="14" t="s">
        <v>968</v>
      </c>
      <c r="C166" s="14" t="s">
        <v>76</v>
      </c>
      <c r="D166" s="14" t="s">
        <v>78</v>
      </c>
      <c r="E166" s="14" t="s">
        <v>1480</v>
      </c>
      <c r="F166" s="15" t="s">
        <v>969</v>
      </c>
      <c r="G166" s="15" t="s">
        <v>1446</v>
      </c>
      <c r="H166" s="15"/>
    </row>
    <row r="167" spans="1:8" ht="17.149999999999999" customHeight="1" x14ac:dyDescent="0.35">
      <c r="A167" s="14" t="s">
        <v>959</v>
      </c>
      <c r="B167" s="14" t="s">
        <v>960</v>
      </c>
      <c r="C167" s="14" t="s">
        <v>76</v>
      </c>
      <c r="D167" s="14" t="s">
        <v>78</v>
      </c>
      <c r="E167" s="14" t="s">
        <v>1480</v>
      </c>
      <c r="F167" s="15" t="s">
        <v>961</v>
      </c>
      <c r="G167" s="15" t="s">
        <v>1446</v>
      </c>
      <c r="H167" s="15"/>
    </row>
    <row r="168" spans="1:8" ht="17.149999999999999" customHeight="1" x14ac:dyDescent="0.35">
      <c r="A168" s="14" t="s">
        <v>982</v>
      </c>
      <c r="B168" s="14" t="s">
        <v>983</v>
      </c>
      <c r="C168" s="14" t="s">
        <v>76</v>
      </c>
      <c r="D168" s="14" t="s">
        <v>78</v>
      </c>
      <c r="E168" s="14" t="s">
        <v>1480</v>
      </c>
      <c r="F168" s="15" t="s">
        <v>984</v>
      </c>
      <c r="G168" s="15" t="s">
        <v>1446</v>
      </c>
      <c r="H168" s="15"/>
    </row>
    <row r="169" spans="1:8" ht="17.149999999999999" customHeight="1" x14ac:dyDescent="0.35">
      <c r="A169" s="14" t="s">
        <v>985</v>
      </c>
      <c r="B169" s="14" t="s">
        <v>986</v>
      </c>
      <c r="C169" s="14" t="s">
        <v>76</v>
      </c>
      <c r="D169" s="14" t="s">
        <v>78</v>
      </c>
      <c r="E169" s="14" t="s">
        <v>1480</v>
      </c>
      <c r="F169" s="15" t="s">
        <v>987</v>
      </c>
      <c r="G169" s="15" t="s">
        <v>1446</v>
      </c>
      <c r="H169" s="15"/>
    </row>
    <row r="170" spans="1:8" ht="17.149999999999999" customHeight="1" x14ac:dyDescent="0.35">
      <c r="A170" s="14" t="s">
        <v>991</v>
      </c>
      <c r="B170" s="14" t="s">
        <v>992</v>
      </c>
      <c r="C170" s="14" t="s">
        <v>76</v>
      </c>
      <c r="D170" s="14" t="s">
        <v>78</v>
      </c>
      <c r="E170" s="14" t="s">
        <v>1480</v>
      </c>
      <c r="F170" s="15" t="s">
        <v>993</v>
      </c>
      <c r="G170" s="15" t="s">
        <v>1446</v>
      </c>
      <c r="H170" s="15"/>
    </row>
    <row r="171" spans="1:8" ht="17.149999999999999" customHeight="1" x14ac:dyDescent="0.35">
      <c r="A171" s="14" t="s">
        <v>1027</v>
      </c>
      <c r="B171" s="14" t="s">
        <v>992</v>
      </c>
      <c r="C171" s="14" t="s">
        <v>76</v>
      </c>
      <c r="D171" s="14" t="s">
        <v>78</v>
      </c>
      <c r="E171" s="14" t="s">
        <v>1480</v>
      </c>
      <c r="F171" s="15" t="s">
        <v>993</v>
      </c>
      <c r="G171" s="15" t="s">
        <v>1446</v>
      </c>
      <c r="H171" s="15"/>
    </row>
    <row r="172" spans="1:8" ht="17.149999999999999" customHeight="1" x14ac:dyDescent="0.35">
      <c r="A172" s="14" t="s">
        <v>996</v>
      </c>
      <c r="B172" s="14" t="s">
        <v>997</v>
      </c>
      <c r="C172" s="14" t="s">
        <v>76</v>
      </c>
      <c r="D172" s="14" t="s">
        <v>78</v>
      </c>
      <c r="E172" s="14" t="s">
        <v>1480</v>
      </c>
      <c r="F172" s="15" t="s">
        <v>998</v>
      </c>
      <c r="G172" s="15" t="s">
        <v>1446</v>
      </c>
      <c r="H172" s="15"/>
    </row>
    <row r="173" spans="1:8" ht="17.149999999999999" customHeight="1" x14ac:dyDescent="0.35">
      <c r="A173" s="14" t="s">
        <v>1031</v>
      </c>
      <c r="B173" s="14" t="s">
        <v>997</v>
      </c>
      <c r="C173" s="14" t="s">
        <v>76</v>
      </c>
      <c r="D173" s="14" t="s">
        <v>78</v>
      </c>
      <c r="E173" s="14" t="s">
        <v>1480</v>
      </c>
      <c r="F173" s="15" t="s">
        <v>998</v>
      </c>
      <c r="G173" s="15" t="s">
        <v>1446</v>
      </c>
      <c r="H173" s="15"/>
    </row>
    <row r="174" spans="1:8" ht="17.149999999999999" customHeight="1" x14ac:dyDescent="0.35">
      <c r="A174" s="14" t="s">
        <v>1004</v>
      </c>
      <c r="B174" s="14" t="s">
        <v>1005</v>
      </c>
      <c r="C174" s="14" t="s">
        <v>76</v>
      </c>
      <c r="D174" s="14" t="s">
        <v>78</v>
      </c>
      <c r="E174" s="14" t="s">
        <v>1480</v>
      </c>
      <c r="F174" s="15" t="s">
        <v>1006</v>
      </c>
      <c r="G174" s="15" t="s">
        <v>1446</v>
      </c>
      <c r="H174" s="15"/>
    </row>
    <row r="175" spans="1:8" ht="17.149999999999999" customHeight="1" x14ac:dyDescent="0.35">
      <c r="A175" s="14" t="s">
        <v>1007</v>
      </c>
      <c r="B175" s="14" t="s">
        <v>1008</v>
      </c>
      <c r="C175" s="14" t="s">
        <v>76</v>
      </c>
      <c r="D175" s="14" t="s">
        <v>78</v>
      </c>
      <c r="E175" s="14" t="s">
        <v>1480</v>
      </c>
      <c r="F175" s="15" t="s">
        <v>1009</v>
      </c>
      <c r="G175" s="15" t="s">
        <v>1446</v>
      </c>
      <c r="H175" s="15"/>
    </row>
    <row r="176" spans="1:8" ht="17.149999999999999" customHeight="1" x14ac:dyDescent="0.35">
      <c r="A176" s="14" t="s">
        <v>782</v>
      </c>
      <c r="B176" s="14" t="s">
        <v>783</v>
      </c>
      <c r="C176" s="14" t="s">
        <v>76</v>
      </c>
      <c r="D176" s="14" t="s">
        <v>78</v>
      </c>
      <c r="E176" s="14" t="s">
        <v>1480</v>
      </c>
      <c r="F176" s="15" t="s">
        <v>1003</v>
      </c>
      <c r="G176" s="15" t="s">
        <v>1446</v>
      </c>
      <c r="H176" s="15"/>
    </row>
    <row r="177" spans="1:8" ht="17.149999999999999" customHeight="1" x14ac:dyDescent="0.35">
      <c r="A177" s="14" t="s">
        <v>784</v>
      </c>
      <c r="B177" s="14" t="s">
        <v>783</v>
      </c>
      <c r="C177" s="14" t="s">
        <v>76</v>
      </c>
      <c r="D177" s="14" t="s">
        <v>78</v>
      </c>
      <c r="E177" s="14" t="s">
        <v>1480</v>
      </c>
      <c r="F177" s="15" t="s">
        <v>1011</v>
      </c>
      <c r="G177" s="15" t="s">
        <v>1446</v>
      </c>
      <c r="H177" s="15"/>
    </row>
    <row r="178" spans="1:8" ht="17.149999999999999" customHeight="1" x14ac:dyDescent="0.35">
      <c r="A178" s="14" t="s">
        <v>1012</v>
      </c>
      <c r="B178" s="14" t="s">
        <v>1013</v>
      </c>
      <c r="C178" s="14" t="s">
        <v>76</v>
      </c>
      <c r="D178" s="14" t="s">
        <v>78</v>
      </c>
      <c r="E178" s="14" t="s">
        <v>1480</v>
      </c>
      <c r="F178" s="15" t="s">
        <v>1014</v>
      </c>
      <c r="G178" s="15" t="s">
        <v>1446</v>
      </c>
      <c r="H178" s="15"/>
    </row>
    <row r="179" spans="1:8" ht="17.149999999999999" customHeight="1" x14ac:dyDescent="0.35">
      <c r="A179" s="14" t="s">
        <v>1015</v>
      </c>
      <c r="B179" s="14" t="s">
        <v>1016</v>
      </c>
      <c r="C179" s="14" t="s">
        <v>76</v>
      </c>
      <c r="D179" s="14" t="s">
        <v>78</v>
      </c>
      <c r="E179" s="14" t="s">
        <v>1480</v>
      </c>
      <c r="F179" s="15" t="s">
        <v>1017</v>
      </c>
      <c r="G179" s="15" t="s">
        <v>1446</v>
      </c>
      <c r="H179" s="15"/>
    </row>
    <row r="180" spans="1:8" ht="17.149999999999999" customHeight="1" x14ac:dyDescent="0.35">
      <c r="A180" s="14" t="s">
        <v>1018</v>
      </c>
      <c r="B180" s="14" t="s">
        <v>1019</v>
      </c>
      <c r="C180" s="14" t="s">
        <v>76</v>
      </c>
      <c r="D180" s="14" t="s">
        <v>78</v>
      </c>
      <c r="E180" s="14" t="s">
        <v>1480</v>
      </c>
      <c r="F180" s="15" t="s">
        <v>1020</v>
      </c>
      <c r="G180" s="15" t="s">
        <v>1446</v>
      </c>
      <c r="H180" s="15"/>
    </row>
    <row r="181" spans="1:8" ht="17.149999999999999" customHeight="1" x14ac:dyDescent="0.35">
      <c r="A181" s="14" t="s">
        <v>1021</v>
      </c>
      <c r="B181" s="14" t="s">
        <v>1022</v>
      </c>
      <c r="C181" s="14" t="s">
        <v>76</v>
      </c>
      <c r="D181" s="14" t="s">
        <v>78</v>
      </c>
      <c r="E181" s="14" t="s">
        <v>1480</v>
      </c>
      <c r="F181" s="15" t="s">
        <v>1023</v>
      </c>
      <c r="G181" s="15" t="s">
        <v>1446</v>
      </c>
      <c r="H181" s="15"/>
    </row>
    <row r="182" spans="1:8" ht="17.149999999999999" customHeight="1" x14ac:dyDescent="0.35">
      <c r="A182" s="14" t="s">
        <v>1024</v>
      </c>
      <c r="B182" s="14" t="s">
        <v>1025</v>
      </c>
      <c r="C182" s="14" t="s">
        <v>76</v>
      </c>
      <c r="D182" s="14" t="s">
        <v>78</v>
      </c>
      <c r="E182" s="14" t="s">
        <v>1480</v>
      </c>
      <c r="F182" s="15" t="s">
        <v>1026</v>
      </c>
      <c r="G182" s="15" t="s">
        <v>1446</v>
      </c>
      <c r="H182" s="15"/>
    </row>
    <row r="183" spans="1:8" ht="17.149999999999999" customHeight="1" x14ac:dyDescent="0.35">
      <c r="A183" s="14" t="s">
        <v>1035</v>
      </c>
      <c r="B183" s="14" t="s">
        <v>1036</v>
      </c>
      <c r="C183" s="14" t="s">
        <v>76</v>
      </c>
      <c r="D183" s="14" t="s">
        <v>78</v>
      </c>
      <c r="E183" s="14" t="s">
        <v>1480</v>
      </c>
      <c r="F183" s="15" t="s">
        <v>1037</v>
      </c>
      <c r="G183" s="15" t="s">
        <v>1446</v>
      </c>
      <c r="H183" s="15"/>
    </row>
    <row r="184" spans="1:8" ht="17.149999999999999" customHeight="1" x14ac:dyDescent="0.35">
      <c r="A184" s="14" t="s">
        <v>1028</v>
      </c>
      <c r="B184" s="14" t="s">
        <v>1029</v>
      </c>
      <c r="C184" s="14" t="s">
        <v>76</v>
      </c>
      <c r="D184" s="14" t="s">
        <v>78</v>
      </c>
      <c r="E184" s="14" t="s">
        <v>1480</v>
      </c>
      <c r="F184" s="15" t="s">
        <v>1030</v>
      </c>
      <c r="G184" s="15" t="s">
        <v>1446</v>
      </c>
      <c r="H184" s="15"/>
    </row>
    <row r="185" spans="1:8" ht="17.149999999999999" customHeight="1" x14ac:dyDescent="0.35">
      <c r="A185" s="14" t="s">
        <v>1032</v>
      </c>
      <c r="B185" s="14" t="s">
        <v>1033</v>
      </c>
      <c r="C185" s="14" t="s">
        <v>76</v>
      </c>
      <c r="D185" s="14" t="s">
        <v>78</v>
      </c>
      <c r="E185" s="14" t="s">
        <v>1480</v>
      </c>
      <c r="F185" s="15" t="s">
        <v>1034</v>
      </c>
      <c r="G185" s="15" t="s">
        <v>1446</v>
      </c>
      <c r="H185" s="15"/>
    </row>
    <row r="186" spans="1:8" ht="17.149999999999999" customHeight="1" x14ac:dyDescent="0.35">
      <c r="A186" s="14" t="s">
        <v>744</v>
      </c>
      <c r="B186" s="14" t="s">
        <v>745</v>
      </c>
      <c r="C186" s="14" t="s">
        <v>76</v>
      </c>
      <c r="D186" s="14" t="s">
        <v>78</v>
      </c>
      <c r="E186" s="14" t="s">
        <v>1480</v>
      </c>
      <c r="F186" s="15" t="s">
        <v>958</v>
      </c>
      <c r="G186" s="15" t="s">
        <v>1446</v>
      </c>
      <c r="H186" s="15"/>
    </row>
    <row r="187" spans="1:8" ht="17.149999999999999" customHeight="1" x14ac:dyDescent="0.35">
      <c r="A187" s="14" t="s">
        <v>762</v>
      </c>
      <c r="B187" s="14" t="s">
        <v>763</v>
      </c>
      <c r="C187" s="14" t="s">
        <v>76</v>
      </c>
      <c r="D187" s="14" t="s">
        <v>78</v>
      </c>
      <c r="E187" s="14" t="s">
        <v>1480</v>
      </c>
      <c r="F187" s="15" t="s">
        <v>988</v>
      </c>
      <c r="G187" s="15" t="s">
        <v>1446</v>
      </c>
      <c r="H187" s="15"/>
    </row>
    <row r="188" spans="1:8" ht="17.149999999999999" customHeight="1" x14ac:dyDescent="0.35">
      <c r="A188" s="14" t="s">
        <v>803</v>
      </c>
      <c r="B188" s="14" t="s">
        <v>511</v>
      </c>
      <c r="C188" s="14" t="s">
        <v>76</v>
      </c>
      <c r="D188" s="14" t="s">
        <v>78</v>
      </c>
      <c r="E188" s="14" t="s">
        <v>1480</v>
      </c>
      <c r="F188" s="15" t="s">
        <v>1010</v>
      </c>
      <c r="G188" s="15" t="s">
        <v>1446</v>
      </c>
      <c r="H188" s="15"/>
    </row>
    <row r="189" spans="1:8" ht="17.149999999999999" customHeight="1" x14ac:dyDescent="0.35">
      <c r="A189" s="22"/>
      <c r="B189" s="22"/>
      <c r="C189" s="22"/>
      <c r="D189" s="22"/>
      <c r="E189" s="22"/>
      <c r="F189" s="23"/>
      <c r="G189" s="23"/>
      <c r="H189" s="23"/>
    </row>
    <row r="190" spans="1:8" ht="17.149999999999999" customHeight="1" x14ac:dyDescent="0.35">
      <c r="A190" s="14" t="s">
        <v>697</v>
      </c>
      <c r="B190" s="14" t="s">
        <v>1347</v>
      </c>
      <c r="C190" s="14" t="s">
        <v>76</v>
      </c>
      <c r="D190" s="14" t="s">
        <v>78</v>
      </c>
      <c r="E190" s="14" t="s">
        <v>1480</v>
      </c>
      <c r="F190" s="15" t="s">
        <v>1051</v>
      </c>
      <c r="G190" s="15" t="s">
        <v>1446</v>
      </c>
      <c r="H190" s="15" t="s">
        <v>1451</v>
      </c>
    </row>
    <row r="191" spans="1:8" ht="17.149999999999999" customHeight="1" x14ac:dyDescent="0.35">
      <c r="A191" s="14" t="s">
        <v>697</v>
      </c>
      <c r="B191" s="14" t="s">
        <v>1347</v>
      </c>
      <c r="C191" s="14" t="s">
        <v>76</v>
      </c>
      <c r="D191" s="14" t="s">
        <v>78</v>
      </c>
      <c r="E191" s="14" t="s">
        <v>1480</v>
      </c>
      <c r="F191" s="15" t="s">
        <v>1052</v>
      </c>
      <c r="G191" s="15" t="s">
        <v>1446</v>
      </c>
      <c r="H191" s="15"/>
    </row>
    <row r="192" spans="1:8" ht="17.149999999999999" customHeight="1" x14ac:dyDescent="0.35">
      <c r="A192" s="14"/>
      <c r="B192" s="14"/>
      <c r="C192" s="14"/>
      <c r="D192" s="14"/>
      <c r="E192" s="14"/>
      <c r="F192" s="15"/>
      <c r="G192" s="15"/>
      <c r="H192" s="15"/>
    </row>
    <row r="193" spans="1:8" ht="17.149999999999999" customHeight="1" x14ac:dyDescent="0.35">
      <c r="A193" s="14" t="s">
        <v>694</v>
      </c>
      <c r="B193" s="14" t="s">
        <v>1347</v>
      </c>
      <c r="C193" s="14" t="s">
        <v>76</v>
      </c>
      <c r="D193" s="14" t="s">
        <v>87</v>
      </c>
      <c r="E193" s="14" t="s">
        <v>1480</v>
      </c>
      <c r="F193" s="15" t="s">
        <v>276</v>
      </c>
      <c r="G193" s="15" t="s">
        <v>1446</v>
      </c>
      <c r="H193" s="15"/>
    </row>
    <row r="194" spans="1:8" ht="17.149999999999999" customHeight="1" x14ac:dyDescent="0.35">
      <c r="A194" s="14" t="s">
        <v>694</v>
      </c>
      <c r="B194" s="14" t="s">
        <v>1347</v>
      </c>
      <c r="C194" s="14" t="s">
        <v>76</v>
      </c>
      <c r="D194" s="14" t="s">
        <v>87</v>
      </c>
      <c r="E194" s="14" t="s">
        <v>1480</v>
      </c>
      <c r="F194" s="15" t="s">
        <v>1048</v>
      </c>
      <c r="G194" s="15" t="s">
        <v>1446</v>
      </c>
      <c r="H194" s="15"/>
    </row>
    <row r="195" spans="1:8" ht="17.149999999999999" customHeight="1" x14ac:dyDescent="0.35">
      <c r="A195" s="14" t="s">
        <v>695</v>
      </c>
      <c r="B195" s="14" t="s">
        <v>1347</v>
      </c>
      <c r="C195" s="14" t="s">
        <v>76</v>
      </c>
      <c r="D195" s="14" t="s">
        <v>87</v>
      </c>
      <c r="E195" s="14" t="s">
        <v>1480</v>
      </c>
      <c r="F195" s="15" t="s">
        <v>1049</v>
      </c>
      <c r="G195" s="15" t="s">
        <v>1446</v>
      </c>
      <c r="H195" s="15"/>
    </row>
    <row r="196" spans="1:8" ht="17.149999999999999" customHeight="1" x14ac:dyDescent="0.35">
      <c r="A196" s="14" t="s">
        <v>695</v>
      </c>
      <c r="B196" s="14" t="s">
        <v>1347</v>
      </c>
      <c r="C196" s="14" t="s">
        <v>76</v>
      </c>
      <c r="D196" s="14" t="s">
        <v>87</v>
      </c>
      <c r="E196" s="14" t="s">
        <v>1480</v>
      </c>
      <c r="F196" s="15" t="s">
        <v>1050</v>
      </c>
      <c r="G196" s="15" t="s">
        <v>1446</v>
      </c>
      <c r="H196" s="15"/>
    </row>
    <row r="197" spans="1:8" ht="17.149999999999999" customHeight="1" x14ac:dyDescent="0.35">
      <c r="A197" s="22"/>
      <c r="B197" s="22"/>
      <c r="C197" s="22"/>
      <c r="D197" s="22"/>
      <c r="E197" s="22"/>
      <c r="F197" s="23"/>
      <c r="G197" s="23"/>
      <c r="H197" s="23"/>
    </row>
    <row r="198" spans="1:8" ht="17.149999999999999" customHeight="1" x14ac:dyDescent="0.35">
      <c r="A198" s="14" t="s">
        <v>1128</v>
      </c>
      <c r="B198" s="14" t="s">
        <v>1129</v>
      </c>
      <c r="C198" s="14" t="s">
        <v>76</v>
      </c>
      <c r="D198" s="14" t="s">
        <v>78</v>
      </c>
      <c r="E198" s="14" t="s">
        <v>1480</v>
      </c>
      <c r="F198" s="15" t="s">
        <v>1130</v>
      </c>
      <c r="G198" s="15" t="s">
        <v>1446</v>
      </c>
      <c r="H198" s="15" t="s">
        <v>1498</v>
      </c>
    </row>
    <row r="199" spans="1:8" ht="17.149999999999999" customHeight="1" x14ac:dyDescent="0.35">
      <c r="A199" s="14" t="s">
        <v>1131</v>
      </c>
      <c r="B199" s="14" t="s">
        <v>1132</v>
      </c>
      <c r="C199" s="14" t="s">
        <v>76</v>
      </c>
      <c r="D199" s="14" t="s">
        <v>78</v>
      </c>
      <c r="E199" s="14" t="s">
        <v>1480</v>
      </c>
      <c r="F199" s="15" t="s">
        <v>1133</v>
      </c>
      <c r="G199" s="15" t="s">
        <v>1446</v>
      </c>
      <c r="H199" s="15"/>
    </row>
    <row r="200" spans="1:8" ht="17.149999999999999" customHeight="1" x14ac:dyDescent="0.35">
      <c r="A200" s="14" t="s">
        <v>1134</v>
      </c>
      <c r="B200" s="14" t="s">
        <v>1135</v>
      </c>
      <c r="C200" s="14" t="s">
        <v>76</v>
      </c>
      <c r="D200" s="14" t="s">
        <v>78</v>
      </c>
      <c r="E200" s="14" t="s">
        <v>1480</v>
      </c>
      <c r="F200" s="15" t="s">
        <v>1136</v>
      </c>
      <c r="G200" s="15" t="s">
        <v>1446</v>
      </c>
      <c r="H200" s="15"/>
    </row>
    <row r="201" spans="1:8" ht="17.149999999999999" customHeight="1" x14ac:dyDescent="0.35">
      <c r="A201" s="14" t="s">
        <v>1137</v>
      </c>
      <c r="B201" s="14" t="s">
        <v>1138</v>
      </c>
      <c r="C201" s="14" t="s">
        <v>76</v>
      </c>
      <c r="D201" s="14" t="s">
        <v>78</v>
      </c>
      <c r="E201" s="14" t="s">
        <v>1480</v>
      </c>
      <c r="F201" s="15" t="s">
        <v>1139</v>
      </c>
      <c r="G201" s="15" t="s">
        <v>1446</v>
      </c>
      <c r="H201" s="15"/>
    </row>
    <row r="202" spans="1:8" ht="17.149999999999999" customHeight="1" x14ac:dyDescent="0.35">
      <c r="A202" s="14" t="s">
        <v>1140</v>
      </c>
      <c r="B202" s="14" t="s">
        <v>44</v>
      </c>
      <c r="C202" s="14" t="s">
        <v>76</v>
      </c>
      <c r="D202" s="14" t="s">
        <v>78</v>
      </c>
      <c r="E202" s="14" t="s">
        <v>1480</v>
      </c>
      <c r="F202" s="15" t="s">
        <v>277</v>
      </c>
      <c r="G202" s="15" t="s">
        <v>1446</v>
      </c>
      <c r="H202" s="15"/>
    </row>
    <row r="203" spans="1:8" ht="17.149999999999999" customHeight="1" x14ac:dyDescent="0.35">
      <c r="A203" s="14" t="s">
        <v>1116</v>
      </c>
      <c r="B203" s="14" t="s">
        <v>1117</v>
      </c>
      <c r="C203" s="14" t="s">
        <v>76</v>
      </c>
      <c r="D203" s="14" t="s">
        <v>78</v>
      </c>
      <c r="E203" s="14" t="s">
        <v>1480</v>
      </c>
      <c r="F203" s="15" t="s">
        <v>1118</v>
      </c>
      <c r="G203" s="15" t="s">
        <v>1446</v>
      </c>
      <c r="H203" s="15"/>
    </row>
    <row r="204" spans="1:8" ht="17.149999999999999" customHeight="1" x14ac:dyDescent="0.35">
      <c r="A204" s="14" t="s">
        <v>1119</v>
      </c>
      <c r="B204" s="14" t="s">
        <v>1120</v>
      </c>
      <c r="C204" s="14" t="s">
        <v>76</v>
      </c>
      <c r="D204" s="14" t="s">
        <v>78</v>
      </c>
      <c r="E204" s="14" t="s">
        <v>1480</v>
      </c>
      <c r="F204" s="15" t="s">
        <v>1121</v>
      </c>
      <c r="G204" s="15" t="s">
        <v>1446</v>
      </c>
      <c r="H204" s="15"/>
    </row>
    <row r="205" spans="1:8" ht="17.149999999999999" customHeight="1" x14ac:dyDescent="0.35">
      <c r="A205" s="14" t="s">
        <v>1056</v>
      </c>
      <c r="B205" s="14" t="s">
        <v>1057</v>
      </c>
      <c r="C205" s="14" t="s">
        <v>76</v>
      </c>
      <c r="D205" s="14" t="s">
        <v>78</v>
      </c>
      <c r="E205" s="14" t="s">
        <v>1480</v>
      </c>
      <c r="F205" s="15" t="s">
        <v>1058</v>
      </c>
      <c r="G205" s="15" t="s">
        <v>1446</v>
      </c>
      <c r="H205" s="15"/>
    </row>
    <row r="206" spans="1:8" ht="17.149999999999999" customHeight="1" x14ac:dyDescent="0.35">
      <c r="A206" s="14" t="s">
        <v>1059</v>
      </c>
      <c r="B206" s="14" t="s">
        <v>1060</v>
      </c>
      <c r="C206" s="14" t="s">
        <v>76</v>
      </c>
      <c r="D206" s="14" t="s">
        <v>78</v>
      </c>
      <c r="E206" s="14" t="s">
        <v>1480</v>
      </c>
      <c r="F206" s="15" t="s">
        <v>1061</v>
      </c>
      <c r="G206" s="15" t="s">
        <v>1446</v>
      </c>
      <c r="H206" s="15"/>
    </row>
    <row r="207" spans="1:8" ht="17.149999999999999" customHeight="1" x14ac:dyDescent="0.35">
      <c r="A207" s="14" t="s">
        <v>1101</v>
      </c>
      <c r="B207" s="14" t="s">
        <v>1102</v>
      </c>
      <c r="C207" s="14" t="s">
        <v>76</v>
      </c>
      <c r="D207" s="14" t="s">
        <v>78</v>
      </c>
      <c r="E207" s="14" t="s">
        <v>1480</v>
      </c>
      <c r="F207" s="15" t="s">
        <v>1103</v>
      </c>
      <c r="G207" s="15" t="s">
        <v>1446</v>
      </c>
      <c r="H207" s="15"/>
    </row>
    <row r="208" spans="1:8" ht="17.149999999999999" customHeight="1" x14ac:dyDescent="0.35">
      <c r="A208" s="14" t="s">
        <v>1053</v>
      </c>
      <c r="B208" s="14" t="s">
        <v>1054</v>
      </c>
      <c r="C208" s="14" t="s">
        <v>76</v>
      </c>
      <c r="D208" s="14" t="s">
        <v>78</v>
      </c>
      <c r="E208" s="14" t="s">
        <v>1480</v>
      </c>
      <c r="F208" s="15" t="s">
        <v>1055</v>
      </c>
      <c r="G208" s="15" t="s">
        <v>1446</v>
      </c>
      <c r="H208" s="15"/>
    </row>
    <row r="209" spans="1:8" ht="17.149999999999999" customHeight="1" x14ac:dyDescent="0.35">
      <c r="A209" s="14" t="s">
        <v>1095</v>
      </c>
      <c r="B209" s="14" t="s">
        <v>1096</v>
      </c>
      <c r="C209" s="14" t="s">
        <v>76</v>
      </c>
      <c r="D209" s="14" t="s">
        <v>78</v>
      </c>
      <c r="E209" s="14" t="s">
        <v>1480</v>
      </c>
      <c r="F209" s="15" t="s">
        <v>1097</v>
      </c>
      <c r="G209" s="15" t="s">
        <v>1446</v>
      </c>
      <c r="H209" s="15"/>
    </row>
    <row r="210" spans="1:8" ht="17.149999999999999" customHeight="1" x14ac:dyDescent="0.35">
      <c r="A210" s="14" t="s">
        <v>1098</v>
      </c>
      <c r="B210" s="14" t="s">
        <v>1099</v>
      </c>
      <c r="C210" s="14" t="s">
        <v>76</v>
      </c>
      <c r="D210" s="14" t="s">
        <v>78</v>
      </c>
      <c r="E210" s="14" t="s">
        <v>1480</v>
      </c>
      <c r="F210" s="15" t="s">
        <v>1100</v>
      </c>
      <c r="G210" s="15" t="s">
        <v>1446</v>
      </c>
      <c r="H210" s="15"/>
    </row>
    <row r="211" spans="1:8" ht="17.149999999999999" customHeight="1" x14ac:dyDescent="0.35">
      <c r="A211" s="14" t="s">
        <v>1089</v>
      </c>
      <c r="B211" s="14" t="s">
        <v>1090</v>
      </c>
      <c r="C211" s="14" t="s">
        <v>76</v>
      </c>
      <c r="D211" s="14" t="s">
        <v>78</v>
      </c>
      <c r="E211" s="14" t="s">
        <v>1480</v>
      </c>
      <c r="F211" s="15" t="s">
        <v>1091</v>
      </c>
      <c r="G211" s="15" t="s">
        <v>1446</v>
      </c>
      <c r="H211" s="15"/>
    </row>
    <row r="212" spans="1:8" ht="17.149999999999999" customHeight="1" x14ac:dyDescent="0.35">
      <c r="A212" s="14" t="s">
        <v>1092</v>
      </c>
      <c r="B212" s="14" t="s">
        <v>1093</v>
      </c>
      <c r="C212" s="14" t="s">
        <v>76</v>
      </c>
      <c r="D212" s="14" t="s">
        <v>78</v>
      </c>
      <c r="E212" s="14" t="s">
        <v>1480</v>
      </c>
      <c r="F212" s="15" t="s">
        <v>1094</v>
      </c>
      <c r="G212" s="15" t="s">
        <v>1446</v>
      </c>
      <c r="H212" s="15"/>
    </row>
    <row r="213" spans="1:8" ht="17.149999999999999" customHeight="1" x14ac:dyDescent="0.35">
      <c r="A213" s="14" t="s">
        <v>1083</v>
      </c>
      <c r="B213" s="14" t="s">
        <v>1084</v>
      </c>
      <c r="C213" s="14" t="s">
        <v>76</v>
      </c>
      <c r="D213" s="14" t="s">
        <v>78</v>
      </c>
      <c r="E213" s="14" t="s">
        <v>1480</v>
      </c>
      <c r="F213" s="15" t="s">
        <v>1085</v>
      </c>
      <c r="G213" s="15" t="s">
        <v>1446</v>
      </c>
      <c r="H213" s="15"/>
    </row>
    <row r="214" spans="1:8" ht="17.149999999999999" customHeight="1" x14ac:dyDescent="0.35">
      <c r="A214" s="14" t="s">
        <v>1086</v>
      </c>
      <c r="B214" s="14" t="s">
        <v>1087</v>
      </c>
      <c r="C214" s="14" t="s">
        <v>76</v>
      </c>
      <c r="D214" s="14" t="s">
        <v>78</v>
      </c>
      <c r="E214" s="14" t="s">
        <v>1480</v>
      </c>
      <c r="F214" s="15" t="s">
        <v>1088</v>
      </c>
      <c r="G214" s="15" t="s">
        <v>1446</v>
      </c>
      <c r="H214" s="15"/>
    </row>
    <row r="215" spans="1:8" ht="17.149999999999999" customHeight="1" x14ac:dyDescent="0.35">
      <c r="A215" s="14" t="s">
        <v>1071</v>
      </c>
      <c r="B215" s="14" t="s">
        <v>1072</v>
      </c>
      <c r="C215" s="14" t="s">
        <v>76</v>
      </c>
      <c r="D215" s="14" t="s">
        <v>78</v>
      </c>
      <c r="E215" s="14" t="s">
        <v>1480</v>
      </c>
      <c r="F215" s="15" t="s">
        <v>1073</v>
      </c>
      <c r="G215" s="15" t="s">
        <v>1446</v>
      </c>
      <c r="H215" s="15"/>
    </row>
    <row r="216" spans="1:8" ht="17.149999999999999" customHeight="1" x14ac:dyDescent="0.35">
      <c r="A216" s="14" t="s">
        <v>1074</v>
      </c>
      <c r="B216" s="14" t="s">
        <v>1075</v>
      </c>
      <c r="C216" s="14" t="s">
        <v>76</v>
      </c>
      <c r="D216" s="14" t="s">
        <v>78</v>
      </c>
      <c r="E216" s="14" t="s">
        <v>1480</v>
      </c>
      <c r="F216" s="15" t="s">
        <v>1076</v>
      </c>
      <c r="G216" s="15" t="s">
        <v>1446</v>
      </c>
      <c r="H216" s="15"/>
    </row>
    <row r="217" spans="1:8" ht="17.149999999999999" customHeight="1" x14ac:dyDescent="0.35">
      <c r="A217" s="14" t="s">
        <v>1077</v>
      </c>
      <c r="B217" s="14" t="s">
        <v>1078</v>
      </c>
      <c r="C217" s="14" t="s">
        <v>76</v>
      </c>
      <c r="D217" s="14" t="s">
        <v>78</v>
      </c>
      <c r="E217" s="14" t="s">
        <v>1480</v>
      </c>
      <c r="F217" s="15" t="s">
        <v>1079</v>
      </c>
      <c r="G217" s="15" t="s">
        <v>1446</v>
      </c>
      <c r="H217" s="15"/>
    </row>
    <row r="218" spans="1:8" ht="17.149999999999999" customHeight="1" x14ac:dyDescent="0.35">
      <c r="A218" s="14" t="s">
        <v>1080</v>
      </c>
      <c r="B218" s="14" t="s">
        <v>1081</v>
      </c>
      <c r="C218" s="14" t="s">
        <v>76</v>
      </c>
      <c r="D218" s="14" t="s">
        <v>78</v>
      </c>
      <c r="E218" s="14" t="s">
        <v>1480</v>
      </c>
      <c r="F218" s="15" t="s">
        <v>1082</v>
      </c>
      <c r="G218" s="15" t="s">
        <v>1446</v>
      </c>
      <c r="H218" s="15"/>
    </row>
    <row r="219" spans="1:8" ht="17.149999999999999" customHeight="1" x14ac:dyDescent="0.35">
      <c r="A219" s="14" t="s">
        <v>1113</v>
      </c>
      <c r="B219" s="14" t="s">
        <v>1114</v>
      </c>
      <c r="C219" s="14" t="s">
        <v>76</v>
      </c>
      <c r="D219" s="14" t="s">
        <v>78</v>
      </c>
      <c r="E219" s="14" t="s">
        <v>1480</v>
      </c>
      <c r="F219" s="15" t="s">
        <v>1115</v>
      </c>
      <c r="G219" s="15" t="s">
        <v>1446</v>
      </c>
      <c r="H219" s="15"/>
    </row>
    <row r="220" spans="1:8" ht="17.149999999999999" customHeight="1" x14ac:dyDescent="0.35">
      <c r="A220" s="14" t="s">
        <v>1110</v>
      </c>
      <c r="B220" s="14" t="s">
        <v>1111</v>
      </c>
      <c r="C220" s="14" t="s">
        <v>76</v>
      </c>
      <c r="D220" s="14" t="s">
        <v>78</v>
      </c>
      <c r="E220" s="14" t="s">
        <v>1480</v>
      </c>
      <c r="F220" s="15" t="s">
        <v>1112</v>
      </c>
      <c r="G220" s="15" t="s">
        <v>1446</v>
      </c>
      <c r="H220" s="15"/>
    </row>
    <row r="221" spans="1:8" ht="17.149999999999999" customHeight="1" x14ac:dyDescent="0.35">
      <c r="A221" s="14" t="s">
        <v>1104</v>
      </c>
      <c r="B221" s="14" t="s">
        <v>1105</v>
      </c>
      <c r="C221" s="14" t="s">
        <v>76</v>
      </c>
      <c r="D221" s="14" t="s">
        <v>78</v>
      </c>
      <c r="E221" s="14" t="s">
        <v>1480</v>
      </c>
      <c r="F221" s="15" t="s">
        <v>1106</v>
      </c>
      <c r="G221" s="15" t="s">
        <v>1446</v>
      </c>
      <c r="H221" s="15"/>
    </row>
    <row r="222" spans="1:8" ht="17.149999999999999" customHeight="1" x14ac:dyDescent="0.35">
      <c r="A222" s="14" t="s">
        <v>1107</v>
      </c>
      <c r="B222" s="14" t="s">
        <v>1108</v>
      </c>
      <c r="C222" s="14" t="s">
        <v>76</v>
      </c>
      <c r="D222" s="14" t="s">
        <v>78</v>
      </c>
      <c r="E222" s="14" t="s">
        <v>1480</v>
      </c>
      <c r="F222" s="15" t="s">
        <v>1109</v>
      </c>
      <c r="G222" s="15" t="s">
        <v>1446</v>
      </c>
      <c r="H222" s="15"/>
    </row>
    <row r="223" spans="1:8" ht="17.149999999999999" customHeight="1" x14ac:dyDescent="0.35">
      <c r="A223" s="14" t="s">
        <v>1068</v>
      </c>
      <c r="B223" s="14" t="s">
        <v>1069</v>
      </c>
      <c r="C223" s="14" t="s">
        <v>76</v>
      </c>
      <c r="D223" s="14" t="s">
        <v>78</v>
      </c>
      <c r="E223" s="14" t="s">
        <v>1480</v>
      </c>
      <c r="F223" s="15" t="s">
        <v>1070</v>
      </c>
      <c r="G223" s="15" t="s">
        <v>1446</v>
      </c>
      <c r="H223" s="15"/>
    </row>
    <row r="224" spans="1:8" ht="17.149999999999999" customHeight="1" x14ac:dyDescent="0.35">
      <c r="A224" s="14"/>
      <c r="B224" s="14"/>
      <c r="C224" s="14"/>
      <c r="D224" s="14"/>
      <c r="E224" s="14"/>
      <c r="F224" s="15"/>
      <c r="G224" s="15"/>
      <c r="H224" s="15"/>
    </row>
    <row r="225" spans="1:8" ht="17.149999999999999" customHeight="1" x14ac:dyDescent="0.35">
      <c r="A225" s="14" t="s">
        <v>1141</v>
      </c>
      <c r="B225" s="14" t="s">
        <v>1347</v>
      </c>
      <c r="C225" s="14" t="s">
        <v>76</v>
      </c>
      <c r="D225" s="14" t="s">
        <v>86</v>
      </c>
      <c r="E225" s="14" t="s">
        <v>1480</v>
      </c>
      <c r="F225" s="15" t="s">
        <v>1142</v>
      </c>
      <c r="G225" s="15" t="s">
        <v>1446</v>
      </c>
      <c r="H225" s="15"/>
    </row>
    <row r="226" spans="1:8" ht="17.149999999999999" customHeight="1" x14ac:dyDescent="0.35">
      <c r="A226" s="14" t="s">
        <v>1125</v>
      </c>
      <c r="B226" s="14" t="s">
        <v>1126</v>
      </c>
      <c r="C226" s="14" t="s">
        <v>76</v>
      </c>
      <c r="D226" s="14" t="s">
        <v>86</v>
      </c>
      <c r="E226" s="14" t="s">
        <v>1480</v>
      </c>
      <c r="F226" s="15" t="s">
        <v>1127</v>
      </c>
      <c r="G226" s="15" t="s">
        <v>1446</v>
      </c>
      <c r="H226" s="15"/>
    </row>
    <row r="227" spans="1:8" ht="17.149999999999999" customHeight="1" x14ac:dyDescent="0.35">
      <c r="A227" s="14" t="s">
        <v>1122</v>
      </c>
      <c r="B227" s="14" t="s">
        <v>1123</v>
      </c>
      <c r="C227" s="14" t="s">
        <v>76</v>
      </c>
      <c r="D227" s="14" t="s">
        <v>86</v>
      </c>
      <c r="E227" s="14" t="s">
        <v>1480</v>
      </c>
      <c r="F227" s="15" t="s">
        <v>1124</v>
      </c>
      <c r="G227" s="15" t="s">
        <v>1446</v>
      </c>
      <c r="H227" s="15"/>
    </row>
    <row r="228" spans="1:8" ht="17.149999999999999" customHeight="1" x14ac:dyDescent="0.35">
      <c r="A228" s="20"/>
      <c r="B228" s="20"/>
      <c r="C228" s="20"/>
      <c r="D228" s="20"/>
      <c r="E228" s="20"/>
      <c r="F228" s="21"/>
      <c r="G228" s="21"/>
      <c r="H228" s="21"/>
    </row>
    <row r="229" spans="1:8" ht="17.149999999999999" customHeight="1" x14ac:dyDescent="0.35">
      <c r="A229" s="14" t="s">
        <v>378</v>
      </c>
      <c r="B229" s="14" t="s">
        <v>26</v>
      </c>
      <c r="C229" s="14" t="s">
        <v>76</v>
      </c>
      <c r="D229" s="14" t="s">
        <v>86</v>
      </c>
      <c r="E229" s="14" t="s">
        <v>1506</v>
      </c>
      <c r="F229" s="15" t="s">
        <v>377</v>
      </c>
      <c r="G229" s="15" t="s">
        <v>1448</v>
      </c>
      <c r="H229" s="15" t="s">
        <v>1499</v>
      </c>
    </row>
    <row r="230" spans="1:8" ht="17.149999999999999" customHeight="1" x14ac:dyDescent="0.35">
      <c r="A230" s="14" t="s">
        <v>395</v>
      </c>
      <c r="B230" s="14" t="s">
        <v>27</v>
      </c>
      <c r="C230" s="14" t="s">
        <v>76</v>
      </c>
      <c r="D230" s="14" t="s">
        <v>86</v>
      </c>
      <c r="E230" s="14" t="s">
        <v>1506</v>
      </c>
      <c r="F230" s="15" t="s">
        <v>394</v>
      </c>
      <c r="G230" s="15" t="s">
        <v>1448</v>
      </c>
      <c r="H230" s="15"/>
    </row>
    <row r="231" spans="1:8" ht="17.149999999999999" customHeight="1" x14ac:dyDescent="0.35">
      <c r="A231" s="14" t="s">
        <v>506</v>
      </c>
      <c r="B231" s="14" t="s">
        <v>28</v>
      </c>
      <c r="C231" s="14" t="s">
        <v>76</v>
      </c>
      <c r="D231" s="14" t="s">
        <v>86</v>
      </c>
      <c r="E231" s="14" t="s">
        <v>1506</v>
      </c>
      <c r="F231" s="15" t="s">
        <v>145</v>
      </c>
      <c r="G231" s="15" t="s">
        <v>1448</v>
      </c>
      <c r="H231" s="15"/>
    </row>
    <row r="232" spans="1:8" ht="17.149999999999999" customHeight="1" x14ac:dyDescent="0.35">
      <c r="A232" s="14" t="s">
        <v>420</v>
      </c>
      <c r="B232" s="14" t="s">
        <v>29</v>
      </c>
      <c r="C232" s="14" t="s">
        <v>76</v>
      </c>
      <c r="D232" s="14" t="s">
        <v>86</v>
      </c>
      <c r="E232" s="14" t="s">
        <v>1506</v>
      </c>
      <c r="F232" s="15" t="s">
        <v>419</v>
      </c>
      <c r="G232" s="15" t="s">
        <v>1448</v>
      </c>
      <c r="H232" s="15"/>
    </row>
    <row r="233" spans="1:8" ht="17.149999999999999" customHeight="1" x14ac:dyDescent="0.35">
      <c r="A233" s="14" t="s">
        <v>537</v>
      </c>
      <c r="B233" s="14" t="s">
        <v>54</v>
      </c>
      <c r="C233" s="14" t="s">
        <v>76</v>
      </c>
      <c r="D233" s="14" t="s">
        <v>86</v>
      </c>
      <c r="E233" s="14" t="s">
        <v>1506</v>
      </c>
      <c r="F233" s="15" t="s">
        <v>536</v>
      </c>
      <c r="G233" s="15" t="s">
        <v>1448</v>
      </c>
      <c r="H233" s="15"/>
    </row>
    <row r="234" spans="1:8" ht="17.149999999999999" customHeight="1" x14ac:dyDescent="0.35">
      <c r="A234" s="14"/>
      <c r="B234" s="14"/>
      <c r="C234" s="14"/>
      <c r="D234" s="14"/>
      <c r="E234" s="14"/>
      <c r="F234" s="15"/>
      <c r="G234" s="15"/>
      <c r="H234" s="15"/>
    </row>
    <row r="235" spans="1:8" ht="17.149999999999999" customHeight="1" x14ac:dyDescent="0.35">
      <c r="A235" s="14" t="s">
        <v>505</v>
      </c>
      <c r="B235" s="14" t="s">
        <v>23</v>
      </c>
      <c r="C235" s="14" t="s">
        <v>76</v>
      </c>
      <c r="D235" s="14" t="s">
        <v>87</v>
      </c>
      <c r="E235" s="14" t="s">
        <v>1506</v>
      </c>
      <c r="F235" s="15" t="s">
        <v>135</v>
      </c>
      <c r="G235" s="15" t="s">
        <v>1448</v>
      </c>
      <c r="H235" s="15"/>
    </row>
    <row r="236" spans="1:8" ht="17.149999999999999" customHeight="1" x14ac:dyDescent="0.35">
      <c r="A236" s="14" t="s">
        <v>312</v>
      </c>
      <c r="B236" s="14" t="s">
        <v>24</v>
      </c>
      <c r="C236" s="14" t="s">
        <v>76</v>
      </c>
      <c r="D236" s="14" t="s">
        <v>87</v>
      </c>
      <c r="E236" s="14" t="s">
        <v>1506</v>
      </c>
      <c r="F236" s="15" t="s">
        <v>311</v>
      </c>
      <c r="G236" s="15" t="s">
        <v>1448</v>
      </c>
      <c r="H236" s="15"/>
    </row>
    <row r="237" spans="1:8" ht="17.149999999999999" customHeight="1" x14ac:dyDescent="0.35">
      <c r="A237" s="14" t="s">
        <v>340</v>
      </c>
      <c r="B237" s="14" t="s">
        <v>25</v>
      </c>
      <c r="C237" s="14" t="s">
        <v>76</v>
      </c>
      <c r="D237" s="14" t="s">
        <v>87</v>
      </c>
      <c r="E237" s="14" t="s">
        <v>1506</v>
      </c>
      <c r="F237" s="15" t="s">
        <v>339</v>
      </c>
      <c r="G237" s="15" t="s">
        <v>1448</v>
      </c>
      <c r="H237" s="15"/>
    </row>
    <row r="238" spans="1:8" ht="17.149999999999999" customHeight="1" x14ac:dyDescent="0.35">
      <c r="A238" s="14" t="s">
        <v>509</v>
      </c>
      <c r="B238" s="14" t="s">
        <v>40</v>
      </c>
      <c r="C238" s="14" t="s">
        <v>76</v>
      </c>
      <c r="D238" s="14" t="s">
        <v>87</v>
      </c>
      <c r="E238" s="14" t="s">
        <v>1506</v>
      </c>
      <c r="F238" s="15" t="s">
        <v>199</v>
      </c>
      <c r="G238" s="15" t="s">
        <v>1448</v>
      </c>
      <c r="H238" s="15"/>
    </row>
    <row r="239" spans="1:8" ht="17.149999999999999" customHeight="1" x14ac:dyDescent="0.35">
      <c r="A239" s="14" t="s">
        <v>504</v>
      </c>
      <c r="B239" s="14" t="s">
        <v>41</v>
      </c>
      <c r="C239" s="14" t="s">
        <v>76</v>
      </c>
      <c r="D239" s="14" t="s">
        <v>87</v>
      </c>
      <c r="E239" s="14" t="s">
        <v>1506</v>
      </c>
      <c r="F239" s="15" t="s">
        <v>503</v>
      </c>
      <c r="G239" s="15" t="s">
        <v>1448</v>
      </c>
      <c r="H239" s="15"/>
    </row>
    <row r="240" spans="1:8" ht="17.149999999999999" customHeight="1" x14ac:dyDescent="0.35">
      <c r="A240" s="14" t="s">
        <v>517</v>
      </c>
      <c r="B240" s="14" t="s">
        <v>44</v>
      </c>
      <c r="C240" s="14" t="s">
        <v>76</v>
      </c>
      <c r="D240" s="14" t="s">
        <v>87</v>
      </c>
      <c r="E240" s="14" t="s">
        <v>1506</v>
      </c>
      <c r="F240" s="15" t="s">
        <v>200</v>
      </c>
      <c r="G240" s="15" t="s">
        <v>1448</v>
      </c>
      <c r="H240" s="15"/>
    </row>
    <row r="241" spans="1:8" ht="17.149999999999999" customHeight="1" x14ac:dyDescent="0.35">
      <c r="A241" s="14" t="s">
        <v>516</v>
      </c>
      <c r="B241" s="14" t="s">
        <v>44</v>
      </c>
      <c r="C241" s="14" t="s">
        <v>76</v>
      </c>
      <c r="D241" s="14" t="s">
        <v>87</v>
      </c>
      <c r="E241" s="14" t="s">
        <v>1506</v>
      </c>
      <c r="F241" s="15" t="s">
        <v>200</v>
      </c>
      <c r="G241" s="15" t="s">
        <v>1448</v>
      </c>
      <c r="H241" s="15"/>
    </row>
    <row r="242" spans="1:8" ht="17.149999999999999" customHeight="1" x14ac:dyDescent="0.35">
      <c r="A242" s="14" t="s">
        <v>523</v>
      </c>
      <c r="B242" s="14" t="s">
        <v>44</v>
      </c>
      <c r="C242" s="14" t="s">
        <v>76</v>
      </c>
      <c r="D242" s="14" t="s">
        <v>87</v>
      </c>
      <c r="E242" s="14" t="s">
        <v>1506</v>
      </c>
      <c r="F242" s="15" t="s">
        <v>201</v>
      </c>
      <c r="G242" s="15" t="s">
        <v>1448</v>
      </c>
      <c r="H242" s="15"/>
    </row>
    <row r="243" spans="1:8" ht="17.149999999999999" customHeight="1" x14ac:dyDescent="0.35">
      <c r="A243" s="14" t="s">
        <v>526</v>
      </c>
      <c r="B243" s="14" t="s">
        <v>44</v>
      </c>
      <c r="C243" s="14" t="s">
        <v>76</v>
      </c>
      <c r="D243" s="14" t="s">
        <v>87</v>
      </c>
      <c r="E243" s="14" t="s">
        <v>1506</v>
      </c>
      <c r="F243" s="15" t="s">
        <v>207</v>
      </c>
      <c r="G243" s="15" t="s">
        <v>1448</v>
      </c>
      <c r="H243" s="15"/>
    </row>
    <row r="244" spans="1:8" ht="17.149999999999999" customHeight="1" x14ac:dyDescent="0.35">
      <c r="A244" s="14" t="s">
        <v>507</v>
      </c>
      <c r="B244" s="14" t="s">
        <v>45</v>
      </c>
      <c r="C244" s="14" t="s">
        <v>76</v>
      </c>
      <c r="D244" s="14" t="s">
        <v>87</v>
      </c>
      <c r="E244" s="14" t="s">
        <v>1506</v>
      </c>
      <c r="F244" s="15" t="s">
        <v>171</v>
      </c>
      <c r="G244" s="15" t="s">
        <v>1448</v>
      </c>
      <c r="H244" s="15"/>
    </row>
    <row r="245" spans="1:8" ht="17.149999999999999" customHeight="1" x14ac:dyDescent="0.35">
      <c r="A245" s="14" t="s">
        <v>448</v>
      </c>
      <c r="B245" s="14" t="s">
        <v>46</v>
      </c>
      <c r="C245" s="14" t="s">
        <v>76</v>
      </c>
      <c r="D245" s="14" t="s">
        <v>87</v>
      </c>
      <c r="E245" s="14" t="s">
        <v>1506</v>
      </c>
      <c r="F245" s="15" t="s">
        <v>447</v>
      </c>
      <c r="G245" s="15" t="s">
        <v>1448</v>
      </c>
      <c r="H245" s="15"/>
    </row>
    <row r="246" spans="1:8" ht="17.149999999999999" customHeight="1" x14ac:dyDescent="0.35">
      <c r="A246" s="14" t="s">
        <v>456</v>
      </c>
      <c r="B246" s="14" t="s">
        <v>47</v>
      </c>
      <c r="C246" s="14" t="s">
        <v>76</v>
      </c>
      <c r="D246" s="14" t="s">
        <v>87</v>
      </c>
      <c r="E246" s="14" t="s">
        <v>1506</v>
      </c>
      <c r="F246" s="15" t="s">
        <v>530</v>
      </c>
      <c r="G246" s="15" t="s">
        <v>1448</v>
      </c>
      <c r="H246" s="15"/>
    </row>
    <row r="247" spans="1:8" ht="17.149999999999999" customHeight="1" x14ac:dyDescent="0.35">
      <c r="A247" s="14" t="s">
        <v>456</v>
      </c>
      <c r="B247" s="14" t="s">
        <v>47</v>
      </c>
      <c r="C247" s="14" t="s">
        <v>76</v>
      </c>
      <c r="D247" s="14" t="s">
        <v>87</v>
      </c>
      <c r="E247" s="14" t="s">
        <v>1506</v>
      </c>
      <c r="F247" s="15" t="s">
        <v>455</v>
      </c>
      <c r="G247" s="15" t="s">
        <v>1448</v>
      </c>
      <c r="H247" s="15"/>
    </row>
    <row r="248" spans="1:8" ht="17.149999999999999" customHeight="1" x14ac:dyDescent="0.35">
      <c r="A248" s="14" t="s">
        <v>508</v>
      </c>
      <c r="B248" s="14" t="s">
        <v>49</v>
      </c>
      <c r="C248" s="14" t="s">
        <v>76</v>
      </c>
      <c r="D248" s="14" t="s">
        <v>87</v>
      </c>
      <c r="E248" s="14" t="s">
        <v>1506</v>
      </c>
      <c r="F248" s="15" t="s">
        <v>181</v>
      </c>
      <c r="G248" s="15" t="s">
        <v>1448</v>
      </c>
      <c r="H248" s="15"/>
    </row>
    <row r="249" spans="1:8" ht="17.149999999999999" customHeight="1" x14ac:dyDescent="0.35">
      <c r="A249" s="14" t="s">
        <v>470</v>
      </c>
      <c r="B249" s="14" t="s">
        <v>50</v>
      </c>
      <c r="C249" s="14" t="s">
        <v>76</v>
      </c>
      <c r="D249" s="14" t="s">
        <v>87</v>
      </c>
      <c r="E249" s="14" t="s">
        <v>1506</v>
      </c>
      <c r="F249" s="15" t="s">
        <v>469</v>
      </c>
      <c r="G249" s="15" t="s">
        <v>1448</v>
      </c>
      <c r="H249" s="15"/>
    </row>
    <row r="250" spans="1:8" ht="17.149999999999999" customHeight="1" x14ac:dyDescent="0.35">
      <c r="A250" s="14" t="s">
        <v>502</v>
      </c>
      <c r="B250" s="14" t="s">
        <v>51</v>
      </c>
      <c r="C250" s="14" t="s">
        <v>76</v>
      </c>
      <c r="D250" s="14" t="s">
        <v>87</v>
      </c>
      <c r="E250" s="14" t="s">
        <v>1506</v>
      </c>
      <c r="F250" s="15" t="s">
        <v>501</v>
      </c>
      <c r="G250" s="15" t="s">
        <v>1448</v>
      </c>
      <c r="H250" s="15"/>
    </row>
    <row r="251" spans="1:8" ht="17.149999999999999" customHeight="1" x14ac:dyDescent="0.35">
      <c r="A251" s="14" t="s">
        <v>534</v>
      </c>
      <c r="B251" s="14" t="s">
        <v>52</v>
      </c>
      <c r="C251" s="14" t="s">
        <v>76</v>
      </c>
      <c r="D251" s="14" t="s">
        <v>87</v>
      </c>
      <c r="E251" s="14" t="s">
        <v>1506</v>
      </c>
      <c r="F251" s="15" t="s">
        <v>116</v>
      </c>
      <c r="G251" s="15" t="s">
        <v>1448</v>
      </c>
      <c r="H251" s="15"/>
    </row>
    <row r="252" spans="1:8" ht="17.149999999999999" customHeight="1" x14ac:dyDescent="0.35">
      <c r="A252" s="14" t="s">
        <v>535</v>
      </c>
      <c r="B252" s="14" t="s">
        <v>52</v>
      </c>
      <c r="C252" s="14" t="s">
        <v>76</v>
      </c>
      <c r="D252" s="14" t="s">
        <v>87</v>
      </c>
      <c r="E252" s="14" t="s">
        <v>1506</v>
      </c>
      <c r="F252" s="15" t="s">
        <v>117</v>
      </c>
      <c r="G252" s="15" t="s">
        <v>1448</v>
      </c>
      <c r="H252" s="15"/>
    </row>
    <row r="253" spans="1:8" ht="17.149999999999999" customHeight="1" x14ac:dyDescent="0.35">
      <c r="A253" s="14" t="s">
        <v>533</v>
      </c>
      <c r="B253" s="14" t="s">
        <v>52</v>
      </c>
      <c r="C253" s="14" t="s">
        <v>76</v>
      </c>
      <c r="D253" s="14" t="s">
        <v>87</v>
      </c>
      <c r="E253" s="14" t="s">
        <v>1506</v>
      </c>
      <c r="F253" s="15" t="s">
        <v>116</v>
      </c>
      <c r="G253" s="15" t="s">
        <v>1448</v>
      </c>
      <c r="H253" s="15"/>
    </row>
    <row r="254" spans="1:8" ht="17.149999999999999" customHeight="1" x14ac:dyDescent="0.35">
      <c r="A254" s="14"/>
      <c r="B254" s="14"/>
      <c r="C254" s="14"/>
      <c r="D254" s="14"/>
      <c r="E254" s="14"/>
      <c r="F254" s="15"/>
      <c r="G254" s="15"/>
      <c r="H254" s="15"/>
    </row>
    <row r="255" spans="1:8" ht="17.149999999999999" customHeight="1" x14ac:dyDescent="0.35">
      <c r="A255" s="14" t="s">
        <v>532</v>
      </c>
      <c r="B255" s="14" t="s">
        <v>52</v>
      </c>
      <c r="C255" s="14" t="s">
        <v>76</v>
      </c>
      <c r="D255" s="14" t="s">
        <v>208</v>
      </c>
      <c r="E255" s="14" t="s">
        <v>1506</v>
      </c>
      <c r="F255" s="15" t="s">
        <v>116</v>
      </c>
      <c r="G255" s="15" t="s">
        <v>1448</v>
      </c>
      <c r="H255" s="15"/>
    </row>
    <row r="256" spans="1:8" ht="17.149999999999999" customHeight="1" x14ac:dyDescent="0.35">
      <c r="A256" s="22"/>
      <c r="B256" s="22"/>
      <c r="C256" s="22"/>
      <c r="D256" s="22"/>
      <c r="E256" s="22"/>
      <c r="F256" s="23"/>
      <c r="G256" s="23"/>
      <c r="H256" s="23"/>
    </row>
    <row r="257" spans="1:8" ht="17.149999999999999" customHeight="1" x14ac:dyDescent="0.35">
      <c r="A257" s="14" t="s">
        <v>291</v>
      </c>
      <c r="B257" s="14" t="s">
        <v>1374</v>
      </c>
      <c r="C257" s="14" t="s">
        <v>76</v>
      </c>
      <c r="D257" s="14" t="s">
        <v>78</v>
      </c>
      <c r="E257" s="14" t="s">
        <v>1506</v>
      </c>
      <c r="F257" s="15" t="s">
        <v>290</v>
      </c>
      <c r="G257" s="15" t="s">
        <v>1448</v>
      </c>
      <c r="H257" s="15" t="s">
        <v>1500</v>
      </c>
    </row>
    <row r="258" spans="1:8" ht="17.149999999999999" customHeight="1" x14ac:dyDescent="0.35">
      <c r="A258" s="14" t="s">
        <v>397</v>
      </c>
      <c r="B258" s="14" t="s">
        <v>1381</v>
      </c>
      <c r="C258" s="14" t="s">
        <v>76</v>
      </c>
      <c r="D258" s="14" t="s">
        <v>78</v>
      </c>
      <c r="E258" s="14" t="s">
        <v>1506</v>
      </c>
      <c r="F258" s="15" t="s">
        <v>396</v>
      </c>
      <c r="G258" s="15" t="s">
        <v>1448</v>
      </c>
      <c r="H258" s="15"/>
    </row>
    <row r="259" spans="1:8" ht="17.149999999999999" customHeight="1" x14ac:dyDescent="0.35">
      <c r="A259" s="14" t="s">
        <v>399</v>
      </c>
      <c r="B259" s="14" t="s">
        <v>1382</v>
      </c>
      <c r="C259" s="14" t="s">
        <v>76</v>
      </c>
      <c r="D259" s="14" t="s">
        <v>78</v>
      </c>
      <c r="E259" s="14" t="s">
        <v>1506</v>
      </c>
      <c r="F259" s="15" t="s">
        <v>398</v>
      </c>
      <c r="G259" s="15" t="s">
        <v>1448</v>
      </c>
      <c r="H259" s="15"/>
    </row>
    <row r="260" spans="1:8" ht="17.149999999999999" customHeight="1" x14ac:dyDescent="0.35">
      <c r="A260" s="14" t="s">
        <v>403</v>
      </c>
      <c r="B260" s="14" t="s">
        <v>1384</v>
      </c>
      <c r="C260" s="14" t="s">
        <v>76</v>
      </c>
      <c r="D260" s="14" t="s">
        <v>78</v>
      </c>
      <c r="E260" s="14" t="s">
        <v>1506</v>
      </c>
      <c r="F260" s="15" t="s">
        <v>402</v>
      </c>
      <c r="G260" s="15" t="s">
        <v>1448</v>
      </c>
      <c r="H260" s="15"/>
    </row>
    <row r="261" spans="1:8" ht="17.149999999999999" customHeight="1" x14ac:dyDescent="0.35">
      <c r="A261" s="14" t="s">
        <v>458</v>
      </c>
      <c r="B261" s="14" t="s">
        <v>1392</v>
      </c>
      <c r="C261" s="14" t="s">
        <v>76</v>
      </c>
      <c r="D261" s="14" t="s">
        <v>78</v>
      </c>
      <c r="E261" s="14" t="s">
        <v>1506</v>
      </c>
      <c r="F261" s="15" t="s">
        <v>457</v>
      </c>
      <c r="G261" s="15" t="s">
        <v>1448</v>
      </c>
      <c r="H261" s="15"/>
    </row>
    <row r="262" spans="1:8" ht="17.149999999999999" customHeight="1" x14ac:dyDescent="0.35">
      <c r="A262" s="14" t="s">
        <v>460</v>
      </c>
      <c r="B262" s="14" t="s">
        <v>1393</v>
      </c>
      <c r="C262" s="14" t="s">
        <v>76</v>
      </c>
      <c r="D262" s="14" t="s">
        <v>78</v>
      </c>
      <c r="E262" s="14" t="s">
        <v>1506</v>
      </c>
      <c r="F262" s="15" t="s">
        <v>459</v>
      </c>
      <c r="G262" s="15" t="s">
        <v>1448</v>
      </c>
      <c r="H262" s="15"/>
    </row>
    <row r="263" spans="1:8" ht="17.149999999999999" customHeight="1" x14ac:dyDescent="0.35">
      <c r="A263" s="14" t="s">
        <v>462</v>
      </c>
      <c r="B263" s="14" t="s">
        <v>1394</v>
      </c>
      <c r="C263" s="14" t="s">
        <v>76</v>
      </c>
      <c r="D263" s="14" t="s">
        <v>78</v>
      </c>
      <c r="E263" s="14" t="s">
        <v>1506</v>
      </c>
      <c r="F263" s="15" t="s">
        <v>461</v>
      </c>
      <c r="G263" s="15" t="s">
        <v>1448</v>
      </c>
      <c r="H263" s="15"/>
    </row>
    <row r="264" spans="1:8" ht="17.149999999999999" customHeight="1" x14ac:dyDescent="0.35">
      <c r="A264" s="14" t="s">
        <v>486</v>
      </c>
      <c r="B264" s="14" t="s">
        <v>1400</v>
      </c>
      <c r="C264" s="14" t="s">
        <v>76</v>
      </c>
      <c r="D264" s="14" t="s">
        <v>78</v>
      </c>
      <c r="E264" s="14" t="s">
        <v>1506</v>
      </c>
      <c r="F264" s="15" t="s">
        <v>485</v>
      </c>
      <c r="G264" s="15" t="s">
        <v>1448</v>
      </c>
      <c r="H264" s="15"/>
    </row>
    <row r="265" spans="1:8" ht="17.149999999999999" customHeight="1" x14ac:dyDescent="0.35">
      <c r="A265" s="14" t="s">
        <v>488</v>
      </c>
      <c r="B265" s="14" t="s">
        <v>1401</v>
      </c>
      <c r="C265" s="14" t="s">
        <v>76</v>
      </c>
      <c r="D265" s="14" t="s">
        <v>78</v>
      </c>
      <c r="E265" s="14" t="s">
        <v>1506</v>
      </c>
      <c r="F265" s="15" t="s">
        <v>487</v>
      </c>
      <c r="G265" s="15" t="s">
        <v>1448</v>
      </c>
      <c r="H265" s="15"/>
    </row>
    <row r="266" spans="1:8" ht="17.149999999999999" customHeight="1" x14ac:dyDescent="0.35">
      <c r="A266" s="14" t="s">
        <v>490</v>
      </c>
      <c r="B266" s="14" t="s">
        <v>1402</v>
      </c>
      <c r="C266" s="14" t="s">
        <v>76</v>
      </c>
      <c r="D266" s="14" t="s">
        <v>78</v>
      </c>
      <c r="E266" s="14" t="s">
        <v>1506</v>
      </c>
      <c r="F266" s="15" t="s">
        <v>489</v>
      </c>
      <c r="G266" s="15" t="s">
        <v>1448</v>
      </c>
      <c r="H266" s="15"/>
    </row>
    <row r="267" spans="1:8" ht="17.149999999999999" customHeight="1" x14ac:dyDescent="0.35">
      <c r="A267" s="14" t="s">
        <v>492</v>
      </c>
      <c r="B267" s="14" t="s">
        <v>1403</v>
      </c>
      <c r="C267" s="14" t="s">
        <v>76</v>
      </c>
      <c r="D267" s="14" t="s">
        <v>78</v>
      </c>
      <c r="E267" s="14" t="s">
        <v>1506</v>
      </c>
      <c r="F267" s="15" t="s">
        <v>491</v>
      </c>
      <c r="G267" s="15" t="s">
        <v>1448</v>
      </c>
      <c r="H267" s="15"/>
    </row>
    <row r="268" spans="1:8" ht="17.149999999999999" customHeight="1" x14ac:dyDescent="0.35">
      <c r="A268" s="14" t="s">
        <v>557</v>
      </c>
      <c r="B268" s="14" t="s">
        <v>213</v>
      </c>
      <c r="C268" s="14" t="s">
        <v>76</v>
      </c>
      <c r="D268" s="14" t="s">
        <v>78</v>
      </c>
      <c r="E268" s="14" t="s">
        <v>1506</v>
      </c>
      <c r="F268" s="15" t="s">
        <v>212</v>
      </c>
      <c r="G268" s="15" t="s">
        <v>1448</v>
      </c>
      <c r="H268" s="15"/>
    </row>
    <row r="269" spans="1:8" ht="17.149999999999999" customHeight="1" x14ac:dyDescent="0.35">
      <c r="A269" s="14" t="s">
        <v>529</v>
      </c>
      <c r="B269" s="14" t="s">
        <v>213</v>
      </c>
      <c r="C269" s="14" t="s">
        <v>76</v>
      </c>
      <c r="D269" s="14" t="s">
        <v>78</v>
      </c>
      <c r="E269" s="14" t="s">
        <v>1506</v>
      </c>
      <c r="F269" s="15" t="s">
        <v>214</v>
      </c>
      <c r="G269" s="15" t="s">
        <v>1448</v>
      </c>
      <c r="H269" s="15"/>
    </row>
    <row r="270" spans="1:8" ht="17.149999999999999" customHeight="1" x14ac:dyDescent="0.35">
      <c r="A270" s="14" t="s">
        <v>387</v>
      </c>
      <c r="B270" s="14" t="s">
        <v>386</v>
      </c>
      <c r="C270" s="14" t="s">
        <v>76</v>
      </c>
      <c r="D270" s="14" t="s">
        <v>78</v>
      </c>
      <c r="E270" s="14" t="s">
        <v>1506</v>
      </c>
      <c r="F270" s="15" t="s">
        <v>385</v>
      </c>
      <c r="G270" s="15" t="s">
        <v>1448</v>
      </c>
      <c r="H270" s="15"/>
    </row>
    <row r="271" spans="1:8" ht="17.149999999999999" customHeight="1" x14ac:dyDescent="0.35">
      <c r="A271" s="14" t="s">
        <v>528</v>
      </c>
      <c r="B271" s="14" t="s">
        <v>205</v>
      </c>
      <c r="C271" s="14" t="s">
        <v>76</v>
      </c>
      <c r="D271" s="14" t="s">
        <v>78</v>
      </c>
      <c r="E271" s="14" t="s">
        <v>1506</v>
      </c>
      <c r="F271" s="15" t="s">
        <v>217</v>
      </c>
      <c r="G271" s="15" t="s">
        <v>1448</v>
      </c>
      <c r="H271" s="15"/>
    </row>
    <row r="272" spans="1:8" ht="17.149999999999999" customHeight="1" x14ac:dyDescent="0.35">
      <c r="A272" s="14" t="s">
        <v>560</v>
      </c>
      <c r="B272" s="14" t="s">
        <v>90</v>
      </c>
      <c r="C272" s="14" t="s">
        <v>76</v>
      </c>
      <c r="D272" s="14" t="s">
        <v>78</v>
      </c>
      <c r="E272" s="14" t="s">
        <v>1506</v>
      </c>
      <c r="F272" s="15" t="s">
        <v>559</v>
      </c>
      <c r="G272" s="15" t="s">
        <v>1448</v>
      </c>
      <c r="H272" s="15"/>
    </row>
    <row r="273" spans="1:8" ht="17.149999999999999" customHeight="1" x14ac:dyDescent="0.35">
      <c r="A273" s="14" t="s">
        <v>563</v>
      </c>
      <c r="B273" s="14" t="s">
        <v>562</v>
      </c>
      <c r="C273" s="14" t="s">
        <v>76</v>
      </c>
      <c r="D273" s="14" t="s">
        <v>78</v>
      </c>
      <c r="E273" s="14" t="s">
        <v>1506</v>
      </c>
      <c r="F273" s="15" t="s">
        <v>561</v>
      </c>
      <c r="G273" s="15" t="s">
        <v>1448</v>
      </c>
      <c r="H273" s="15"/>
    </row>
    <row r="274" spans="1:8" ht="17.149999999999999" customHeight="1" x14ac:dyDescent="0.35">
      <c r="A274" s="14" t="s">
        <v>567</v>
      </c>
      <c r="B274" s="14" t="s">
        <v>566</v>
      </c>
      <c r="C274" s="14" t="s">
        <v>76</v>
      </c>
      <c r="D274" s="14" t="s">
        <v>78</v>
      </c>
      <c r="E274" s="14" t="s">
        <v>1506</v>
      </c>
      <c r="F274" s="15" t="s">
        <v>565</v>
      </c>
      <c r="G274" s="15" t="s">
        <v>1448</v>
      </c>
      <c r="H274" s="15"/>
    </row>
    <row r="275" spans="1:8" ht="17.149999999999999" customHeight="1" x14ac:dyDescent="0.35">
      <c r="A275" s="14"/>
      <c r="B275" s="14"/>
      <c r="C275" s="14"/>
      <c r="D275" s="14"/>
      <c r="E275" s="14"/>
      <c r="F275" s="15"/>
      <c r="G275" s="15"/>
      <c r="H275" s="15"/>
    </row>
    <row r="276" spans="1:8" ht="17.149999999999999" customHeight="1" x14ac:dyDescent="0.35">
      <c r="A276" s="14" t="s">
        <v>525</v>
      </c>
      <c r="B276" s="14" t="s">
        <v>205</v>
      </c>
      <c r="C276" s="14" t="s">
        <v>76</v>
      </c>
      <c r="D276" s="14" t="s">
        <v>87</v>
      </c>
      <c r="E276" s="14" t="s">
        <v>1506</v>
      </c>
      <c r="F276" s="15" t="s">
        <v>204</v>
      </c>
      <c r="G276" s="15" t="s">
        <v>1448</v>
      </c>
      <c r="H276" s="15"/>
    </row>
    <row r="277" spans="1:8" ht="17.149999999999999" customHeight="1" x14ac:dyDescent="0.35">
      <c r="A277" s="22"/>
      <c r="B277" s="22"/>
      <c r="C277" s="22"/>
      <c r="D277" s="22"/>
      <c r="E277" s="22"/>
      <c r="F277" s="23"/>
      <c r="G277" s="23"/>
      <c r="H277" s="23"/>
    </row>
    <row r="278" spans="1:8" ht="17.149999999999999" customHeight="1" x14ac:dyDescent="0.35">
      <c r="A278" s="14" t="s">
        <v>301</v>
      </c>
      <c r="B278" s="14" t="s">
        <v>1376</v>
      </c>
      <c r="C278" s="14" t="s">
        <v>76</v>
      </c>
      <c r="D278" s="14" t="s">
        <v>78</v>
      </c>
      <c r="E278" s="14" t="s">
        <v>1506</v>
      </c>
      <c r="F278" s="15" t="s">
        <v>300</v>
      </c>
      <c r="G278" s="15" t="s">
        <v>1448</v>
      </c>
      <c r="H278" s="15" t="s">
        <v>1501</v>
      </c>
    </row>
    <row r="279" spans="1:8" ht="17.149999999999999" customHeight="1" x14ac:dyDescent="0.35">
      <c r="A279" s="14" t="s">
        <v>408</v>
      </c>
      <c r="B279" s="14" t="s">
        <v>1385</v>
      </c>
      <c r="C279" s="14" t="s">
        <v>76</v>
      </c>
      <c r="D279" s="14" t="s">
        <v>78</v>
      </c>
      <c r="E279" s="14" t="s">
        <v>1506</v>
      </c>
      <c r="F279" s="15" t="s">
        <v>407</v>
      </c>
      <c r="G279" s="15" t="s">
        <v>1448</v>
      </c>
      <c r="H279" s="15"/>
    </row>
    <row r="280" spans="1:8" ht="17.149999999999999" customHeight="1" x14ac:dyDescent="0.35">
      <c r="A280" s="14" t="s">
        <v>410</v>
      </c>
      <c r="B280" s="14" t="s">
        <v>1386</v>
      </c>
      <c r="C280" s="14" t="s">
        <v>76</v>
      </c>
      <c r="D280" s="14" t="s">
        <v>78</v>
      </c>
      <c r="E280" s="14" t="s">
        <v>1506</v>
      </c>
      <c r="F280" s="15" t="s">
        <v>409</v>
      </c>
      <c r="G280" s="15" t="s">
        <v>1448</v>
      </c>
      <c r="H280" s="15"/>
    </row>
    <row r="281" spans="1:8" ht="17.149999999999999" customHeight="1" x14ac:dyDescent="0.35">
      <c r="A281" s="14" t="s">
        <v>415</v>
      </c>
      <c r="B281" s="14" t="s">
        <v>1387</v>
      </c>
      <c r="C281" s="14" t="s">
        <v>76</v>
      </c>
      <c r="D281" s="14" t="s">
        <v>78</v>
      </c>
      <c r="E281" s="14" t="s">
        <v>1506</v>
      </c>
      <c r="F281" s="15" t="s">
        <v>414</v>
      </c>
      <c r="G281" s="15" t="s">
        <v>1448</v>
      </c>
      <c r="H281" s="15"/>
    </row>
    <row r="282" spans="1:8" ht="17.149999999999999" customHeight="1" x14ac:dyDescent="0.35">
      <c r="A282" s="14" t="s">
        <v>464</v>
      </c>
      <c r="B282" s="14" t="s">
        <v>1395</v>
      </c>
      <c r="C282" s="14" t="s">
        <v>76</v>
      </c>
      <c r="D282" s="14" t="s">
        <v>78</v>
      </c>
      <c r="E282" s="14" t="s">
        <v>1506</v>
      </c>
      <c r="F282" s="15" t="s">
        <v>463</v>
      </c>
      <c r="G282" s="15" t="s">
        <v>1448</v>
      </c>
      <c r="H282" s="15"/>
    </row>
    <row r="283" spans="1:8" ht="17.149999999999999" customHeight="1" x14ac:dyDescent="0.35">
      <c r="A283" s="14" t="s">
        <v>466</v>
      </c>
      <c r="B283" s="14" t="s">
        <v>1396</v>
      </c>
      <c r="C283" s="14" t="s">
        <v>76</v>
      </c>
      <c r="D283" s="14" t="s">
        <v>78</v>
      </c>
      <c r="E283" s="14" t="s">
        <v>1506</v>
      </c>
      <c r="F283" s="15" t="s">
        <v>465</v>
      </c>
      <c r="G283" s="15" t="s">
        <v>1448</v>
      </c>
      <c r="H283" s="15"/>
    </row>
    <row r="284" spans="1:8" ht="17.149999999999999" customHeight="1" x14ac:dyDescent="0.35">
      <c r="A284" s="14" t="s">
        <v>468</v>
      </c>
      <c r="B284" s="14" t="s">
        <v>1397</v>
      </c>
      <c r="C284" s="14" t="s">
        <v>76</v>
      </c>
      <c r="D284" s="14" t="s">
        <v>78</v>
      </c>
      <c r="E284" s="14" t="s">
        <v>1506</v>
      </c>
      <c r="F284" s="15" t="s">
        <v>467</v>
      </c>
      <c r="G284" s="15" t="s">
        <v>1448</v>
      </c>
      <c r="H284" s="15"/>
    </row>
    <row r="285" spans="1:8" ht="17.149999999999999" customHeight="1" x14ac:dyDescent="0.35">
      <c r="A285" s="14" t="s">
        <v>494</v>
      </c>
      <c r="B285" s="14" t="s">
        <v>1404</v>
      </c>
      <c r="C285" s="14" t="s">
        <v>76</v>
      </c>
      <c r="D285" s="14" t="s">
        <v>78</v>
      </c>
      <c r="E285" s="14" t="s">
        <v>1506</v>
      </c>
      <c r="F285" s="15" t="s">
        <v>493</v>
      </c>
      <c r="G285" s="15" t="s">
        <v>1448</v>
      </c>
      <c r="H285" s="15"/>
    </row>
    <row r="286" spans="1:8" ht="17.149999999999999" customHeight="1" x14ac:dyDescent="0.35">
      <c r="A286" s="14" t="s">
        <v>496</v>
      </c>
      <c r="B286" s="14" t="s">
        <v>1405</v>
      </c>
      <c r="C286" s="14" t="s">
        <v>76</v>
      </c>
      <c r="D286" s="14" t="s">
        <v>78</v>
      </c>
      <c r="E286" s="14" t="s">
        <v>1506</v>
      </c>
      <c r="F286" s="15" t="s">
        <v>495</v>
      </c>
      <c r="G286" s="15" t="s">
        <v>1448</v>
      </c>
      <c r="H286" s="15"/>
    </row>
    <row r="287" spans="1:8" ht="17.149999999999999" customHeight="1" x14ac:dyDescent="0.35">
      <c r="A287" s="14" t="s">
        <v>498</v>
      </c>
      <c r="B287" s="14" t="s">
        <v>1406</v>
      </c>
      <c r="C287" s="14" t="s">
        <v>76</v>
      </c>
      <c r="D287" s="14" t="s">
        <v>78</v>
      </c>
      <c r="E287" s="14" t="s">
        <v>1506</v>
      </c>
      <c r="F287" s="15" t="s">
        <v>497</v>
      </c>
      <c r="G287" s="15" t="s">
        <v>1448</v>
      </c>
      <c r="H287" s="15"/>
    </row>
    <row r="288" spans="1:8" ht="17.149999999999999" customHeight="1" x14ac:dyDescent="0.35">
      <c r="A288" s="14" t="s">
        <v>500</v>
      </c>
      <c r="B288" s="14" t="s">
        <v>1407</v>
      </c>
      <c r="C288" s="14" t="s">
        <v>76</v>
      </c>
      <c r="D288" s="14" t="s">
        <v>78</v>
      </c>
      <c r="E288" s="14" t="s">
        <v>1506</v>
      </c>
      <c r="F288" s="15" t="s">
        <v>499</v>
      </c>
      <c r="G288" s="15" t="s">
        <v>1448</v>
      </c>
      <c r="H288" s="15"/>
    </row>
    <row r="289" spans="1:8" ht="17.149999999999999" customHeight="1" x14ac:dyDescent="0.35">
      <c r="A289" s="14" t="s">
        <v>548</v>
      </c>
      <c r="B289" s="14" t="s">
        <v>1347</v>
      </c>
      <c r="C289" s="14" t="s">
        <v>76</v>
      </c>
      <c r="D289" s="14" t="s">
        <v>78</v>
      </c>
      <c r="E289" s="14" t="s">
        <v>1506</v>
      </c>
      <c r="F289" s="15" t="s">
        <v>124</v>
      </c>
      <c r="G289" s="15" t="s">
        <v>1448</v>
      </c>
      <c r="H289" s="15"/>
    </row>
    <row r="290" spans="1:8" ht="17.149999999999999" customHeight="1" x14ac:dyDescent="0.35">
      <c r="A290" s="14" t="s">
        <v>527</v>
      </c>
      <c r="B290" s="14" t="s">
        <v>1347</v>
      </c>
      <c r="C290" s="14" t="s">
        <v>76</v>
      </c>
      <c r="D290" s="14" t="s">
        <v>78</v>
      </c>
      <c r="E290" s="14" t="s">
        <v>1506</v>
      </c>
      <c r="F290" s="15" t="s">
        <v>113</v>
      </c>
      <c r="G290" s="15" t="s">
        <v>1448</v>
      </c>
      <c r="H290" s="15"/>
    </row>
    <row r="291" spans="1:8" ht="17.149999999999999" customHeight="1" x14ac:dyDescent="0.35">
      <c r="A291" s="14" t="s">
        <v>418</v>
      </c>
      <c r="B291" s="14" t="s">
        <v>417</v>
      </c>
      <c r="C291" s="14" t="s">
        <v>76</v>
      </c>
      <c r="D291" s="14" t="s">
        <v>78</v>
      </c>
      <c r="E291" s="14" t="s">
        <v>1506</v>
      </c>
      <c r="F291" s="15" t="s">
        <v>416</v>
      </c>
      <c r="G291" s="15" t="s">
        <v>1448</v>
      </c>
      <c r="H291" s="15"/>
    </row>
    <row r="292" spans="1:8" ht="17.149999999999999" customHeight="1" x14ac:dyDescent="0.35">
      <c r="A292" s="14" t="s">
        <v>571</v>
      </c>
      <c r="B292" s="14" t="s">
        <v>155</v>
      </c>
      <c r="C292" s="14" t="s">
        <v>76</v>
      </c>
      <c r="D292" s="14" t="s">
        <v>78</v>
      </c>
      <c r="E292" s="14" t="s">
        <v>1506</v>
      </c>
      <c r="F292" s="15" t="s">
        <v>156</v>
      </c>
      <c r="G292" s="15" t="s">
        <v>1448</v>
      </c>
      <c r="H292" s="15"/>
    </row>
    <row r="293" spans="1:8" ht="17.149999999999999" customHeight="1" x14ac:dyDescent="0.35">
      <c r="A293" s="14" t="s">
        <v>573</v>
      </c>
      <c r="B293" s="14" t="s">
        <v>158</v>
      </c>
      <c r="C293" s="14" t="s">
        <v>76</v>
      </c>
      <c r="D293" s="14" t="s">
        <v>78</v>
      </c>
      <c r="E293" s="14" t="s">
        <v>1506</v>
      </c>
      <c r="F293" s="15" t="s">
        <v>159</v>
      </c>
      <c r="G293" s="15" t="s">
        <v>1448</v>
      </c>
      <c r="H293" s="15"/>
    </row>
    <row r="294" spans="1:8" ht="17.149999999999999" customHeight="1" x14ac:dyDescent="0.35">
      <c r="A294" s="14" t="s">
        <v>569</v>
      </c>
      <c r="B294" s="14" t="s">
        <v>161</v>
      </c>
      <c r="C294" s="14" t="s">
        <v>76</v>
      </c>
      <c r="D294" s="14" t="s">
        <v>78</v>
      </c>
      <c r="E294" s="14" t="s">
        <v>1506</v>
      </c>
      <c r="F294" s="15" t="s">
        <v>162</v>
      </c>
      <c r="G294" s="15" t="s">
        <v>1448</v>
      </c>
      <c r="H294" s="15"/>
    </row>
    <row r="295" spans="1:8" ht="17.149999999999999" customHeight="1" x14ac:dyDescent="0.35">
      <c r="A295" s="14"/>
      <c r="B295" s="14"/>
      <c r="C295" s="14"/>
      <c r="D295" s="14"/>
      <c r="E295" s="14"/>
      <c r="F295" s="15"/>
      <c r="G295" s="15"/>
      <c r="H295" s="15"/>
    </row>
    <row r="296" spans="1:8" ht="17.149999999999999" customHeight="1" x14ac:dyDescent="0.35">
      <c r="A296" s="14" t="s">
        <v>524</v>
      </c>
      <c r="B296" s="14" t="s">
        <v>1347</v>
      </c>
      <c r="C296" s="14" t="s">
        <v>76</v>
      </c>
      <c r="D296" s="14" t="s">
        <v>87</v>
      </c>
      <c r="E296" s="14" t="s">
        <v>1506</v>
      </c>
      <c r="F296" s="15" t="s">
        <v>108</v>
      </c>
      <c r="G296" s="15" t="s">
        <v>1448</v>
      </c>
      <c r="H296" s="15"/>
    </row>
    <row r="297" spans="1:8" ht="17.149999999999999" customHeight="1" x14ac:dyDescent="0.35">
      <c r="A297" s="14" t="s">
        <v>521</v>
      </c>
      <c r="B297" s="14" t="s">
        <v>1347</v>
      </c>
      <c r="C297" s="14" t="s">
        <v>76</v>
      </c>
      <c r="D297" s="14" t="s">
        <v>87</v>
      </c>
      <c r="E297" s="14" t="s">
        <v>1506</v>
      </c>
      <c r="F297" s="15" t="s">
        <v>106</v>
      </c>
      <c r="G297" s="15" t="s">
        <v>1448</v>
      </c>
      <c r="H297" s="15"/>
    </row>
    <row r="298" spans="1:8" ht="17.149999999999999" customHeight="1" x14ac:dyDescent="0.35">
      <c r="A298" s="14" t="s">
        <v>520</v>
      </c>
      <c r="B298" s="14" t="s">
        <v>1347</v>
      </c>
      <c r="C298" s="14" t="s">
        <v>76</v>
      </c>
      <c r="D298" s="14" t="s">
        <v>87</v>
      </c>
      <c r="E298" s="14" t="s">
        <v>1506</v>
      </c>
      <c r="F298" s="15" t="s">
        <v>106</v>
      </c>
      <c r="G298" s="15" t="s">
        <v>1448</v>
      </c>
      <c r="H298" s="15"/>
    </row>
    <row r="299" spans="1:8" ht="17.149999999999999" customHeight="1" x14ac:dyDescent="0.35">
      <c r="A299" s="22"/>
      <c r="B299" s="22"/>
      <c r="C299" s="22"/>
      <c r="D299" s="22"/>
      <c r="E299" s="22"/>
      <c r="F299" s="23"/>
      <c r="G299" s="23"/>
      <c r="H299" s="23"/>
    </row>
    <row r="300" spans="1:8" ht="17.149999999999999" customHeight="1" x14ac:dyDescent="0.35">
      <c r="A300" s="14" t="s">
        <v>299</v>
      </c>
      <c r="B300" s="14" t="s">
        <v>1375</v>
      </c>
      <c r="C300" s="14" t="s">
        <v>76</v>
      </c>
      <c r="D300" s="14" t="s">
        <v>78</v>
      </c>
      <c r="E300" s="14" t="s">
        <v>1506</v>
      </c>
      <c r="F300" s="15" t="s">
        <v>298</v>
      </c>
      <c r="G300" s="15" t="s">
        <v>1448</v>
      </c>
      <c r="H300" s="15" t="s">
        <v>1502</v>
      </c>
    </row>
    <row r="301" spans="1:8" ht="17.149999999999999" customHeight="1" x14ac:dyDescent="0.35">
      <c r="A301" s="14" t="s">
        <v>314</v>
      </c>
      <c r="B301" s="14" t="s">
        <v>1377</v>
      </c>
      <c r="C301" s="14" t="s">
        <v>76</v>
      </c>
      <c r="D301" s="14" t="s">
        <v>78</v>
      </c>
      <c r="E301" s="14" t="s">
        <v>1506</v>
      </c>
      <c r="F301" s="15" t="s">
        <v>313</v>
      </c>
      <c r="G301" s="15" t="s">
        <v>1448</v>
      </c>
      <c r="H301" s="15"/>
    </row>
    <row r="302" spans="1:8" ht="17.149999999999999" customHeight="1" x14ac:dyDescent="0.35">
      <c r="A302" s="14" t="s">
        <v>316</v>
      </c>
      <c r="B302" s="14" t="s">
        <v>1378</v>
      </c>
      <c r="C302" s="14" t="s">
        <v>76</v>
      </c>
      <c r="D302" s="14" t="s">
        <v>78</v>
      </c>
      <c r="E302" s="14" t="s">
        <v>1506</v>
      </c>
      <c r="F302" s="15" t="s">
        <v>315</v>
      </c>
      <c r="G302" s="15" t="s">
        <v>1448</v>
      </c>
      <c r="H302" s="15"/>
    </row>
    <row r="303" spans="1:8" ht="17.149999999999999" customHeight="1" x14ac:dyDescent="0.35">
      <c r="A303" s="14" t="s">
        <v>324</v>
      </c>
      <c r="B303" s="14" t="s">
        <v>1379</v>
      </c>
      <c r="C303" s="14" t="s">
        <v>76</v>
      </c>
      <c r="D303" s="14" t="s">
        <v>78</v>
      </c>
      <c r="E303" s="14" t="s">
        <v>1506</v>
      </c>
      <c r="F303" s="15" t="s">
        <v>323</v>
      </c>
      <c r="G303" s="15" t="s">
        <v>1448</v>
      </c>
      <c r="H303" s="15"/>
    </row>
    <row r="304" spans="1:8" ht="17.149999999999999" customHeight="1" x14ac:dyDescent="0.35">
      <c r="A304" s="14" t="s">
        <v>338</v>
      </c>
      <c r="B304" s="14" t="s">
        <v>1380</v>
      </c>
      <c r="C304" s="14" t="s">
        <v>76</v>
      </c>
      <c r="D304" s="14" t="s">
        <v>78</v>
      </c>
      <c r="E304" s="14" t="s">
        <v>1506</v>
      </c>
      <c r="F304" s="15" t="s">
        <v>337</v>
      </c>
      <c r="G304" s="15" t="s">
        <v>1448</v>
      </c>
      <c r="H304" s="15"/>
    </row>
    <row r="305" spans="1:8" ht="17.149999999999999" customHeight="1" x14ac:dyDescent="0.35">
      <c r="A305" s="14" t="s">
        <v>401</v>
      </c>
      <c r="B305" s="14" t="s">
        <v>1383</v>
      </c>
      <c r="C305" s="14" t="s">
        <v>76</v>
      </c>
      <c r="D305" s="14" t="s">
        <v>78</v>
      </c>
      <c r="E305" s="14" t="s">
        <v>1506</v>
      </c>
      <c r="F305" s="15" t="s">
        <v>400</v>
      </c>
      <c r="G305" s="15" t="s">
        <v>1448</v>
      </c>
      <c r="H305" s="15"/>
    </row>
    <row r="306" spans="1:8" ht="17.149999999999999" customHeight="1" x14ac:dyDescent="0.35">
      <c r="A306" s="14" t="s">
        <v>425</v>
      </c>
      <c r="B306" s="14" t="s">
        <v>1388</v>
      </c>
      <c r="C306" s="14" t="s">
        <v>76</v>
      </c>
      <c r="D306" s="14" t="s">
        <v>78</v>
      </c>
      <c r="E306" s="14" t="s">
        <v>1506</v>
      </c>
      <c r="F306" s="15" t="s">
        <v>424</v>
      </c>
      <c r="G306" s="15" t="s">
        <v>1448</v>
      </c>
      <c r="H306" s="15"/>
    </row>
    <row r="307" spans="1:8" ht="17.149999999999999" customHeight="1" x14ac:dyDescent="0.35">
      <c r="A307" s="14" t="s">
        <v>433</v>
      </c>
      <c r="B307" s="14" t="s">
        <v>1389</v>
      </c>
      <c r="C307" s="14" t="s">
        <v>76</v>
      </c>
      <c r="D307" s="14" t="s">
        <v>78</v>
      </c>
      <c r="E307" s="14" t="s">
        <v>1506</v>
      </c>
      <c r="F307" s="15" t="s">
        <v>432</v>
      </c>
      <c r="G307" s="15" t="s">
        <v>1448</v>
      </c>
      <c r="H307" s="15"/>
    </row>
    <row r="308" spans="1:8" ht="17.149999999999999" customHeight="1" x14ac:dyDescent="0.35">
      <c r="A308" s="14" t="s">
        <v>444</v>
      </c>
      <c r="B308" s="14" t="s">
        <v>1390</v>
      </c>
      <c r="C308" s="14" t="s">
        <v>76</v>
      </c>
      <c r="D308" s="14" t="s">
        <v>78</v>
      </c>
      <c r="E308" s="14" t="s">
        <v>1506</v>
      </c>
      <c r="F308" s="15" t="s">
        <v>443</v>
      </c>
      <c r="G308" s="15" t="s">
        <v>1448</v>
      </c>
      <c r="H308" s="15"/>
    </row>
    <row r="309" spans="1:8" ht="17.149999999999999" customHeight="1" x14ac:dyDescent="0.35">
      <c r="A309" s="14" t="s">
        <v>446</v>
      </c>
      <c r="B309" s="14" t="s">
        <v>1391</v>
      </c>
      <c r="C309" s="14" t="s">
        <v>76</v>
      </c>
      <c r="D309" s="14" t="s">
        <v>78</v>
      </c>
      <c r="E309" s="14" t="s">
        <v>1506</v>
      </c>
      <c r="F309" s="15" t="s">
        <v>445</v>
      </c>
      <c r="G309" s="15" t="s">
        <v>1448</v>
      </c>
      <c r="H309" s="15"/>
    </row>
    <row r="310" spans="1:8" ht="17.149999999999999" customHeight="1" x14ac:dyDescent="0.35">
      <c r="A310" s="14" t="s">
        <v>477</v>
      </c>
      <c r="B310" s="14" t="s">
        <v>1398</v>
      </c>
      <c r="C310" s="14" t="s">
        <v>76</v>
      </c>
      <c r="D310" s="14" t="s">
        <v>78</v>
      </c>
      <c r="E310" s="14" t="s">
        <v>1506</v>
      </c>
      <c r="F310" s="15" t="s">
        <v>150</v>
      </c>
      <c r="G310" s="15" t="s">
        <v>1448</v>
      </c>
      <c r="H310" s="15"/>
    </row>
    <row r="311" spans="1:8" ht="17.149999999999999" customHeight="1" x14ac:dyDescent="0.35">
      <c r="A311" s="14" t="s">
        <v>484</v>
      </c>
      <c r="B311" s="14" t="s">
        <v>1399</v>
      </c>
      <c r="C311" s="14" t="s">
        <v>76</v>
      </c>
      <c r="D311" s="14" t="s">
        <v>78</v>
      </c>
      <c r="E311" s="14" t="s">
        <v>1506</v>
      </c>
      <c r="F311" s="15" t="s">
        <v>151</v>
      </c>
      <c r="G311" s="15" t="s">
        <v>1448</v>
      </c>
      <c r="H311" s="15"/>
    </row>
    <row r="312" spans="1:8" ht="17.149999999999999" customHeight="1" x14ac:dyDescent="0.35">
      <c r="A312" s="14" t="s">
        <v>544</v>
      </c>
      <c r="B312" s="14" t="s">
        <v>1408</v>
      </c>
      <c r="C312" s="14" t="s">
        <v>76</v>
      </c>
      <c r="D312" s="14" t="s">
        <v>78</v>
      </c>
      <c r="E312" s="14" t="s">
        <v>1506</v>
      </c>
      <c r="F312" s="15" t="s">
        <v>543</v>
      </c>
      <c r="G312" s="15" t="s">
        <v>1448</v>
      </c>
      <c r="H312" s="15"/>
    </row>
    <row r="313" spans="1:8" ht="17.149999999999999" customHeight="1" x14ac:dyDescent="0.35">
      <c r="A313" s="14" t="s">
        <v>554</v>
      </c>
      <c r="B313" s="14" t="s">
        <v>93</v>
      </c>
      <c r="C313" s="14" t="s">
        <v>76</v>
      </c>
      <c r="D313" s="14" t="s">
        <v>78</v>
      </c>
      <c r="E313" s="14" t="s">
        <v>1506</v>
      </c>
      <c r="F313" s="15" t="s">
        <v>152</v>
      </c>
      <c r="G313" s="15" t="s">
        <v>1448</v>
      </c>
      <c r="H313" s="15"/>
    </row>
    <row r="314" spans="1:8" ht="17.149999999999999" customHeight="1" x14ac:dyDescent="0.35">
      <c r="A314" s="14" t="s">
        <v>546</v>
      </c>
      <c r="B314" s="14" t="s">
        <v>545</v>
      </c>
      <c r="C314" s="14" t="s">
        <v>76</v>
      </c>
      <c r="D314" s="14" t="s">
        <v>78</v>
      </c>
      <c r="E314" s="14" t="s">
        <v>1506</v>
      </c>
      <c r="F314" s="15" t="s">
        <v>153</v>
      </c>
      <c r="G314" s="15" t="s">
        <v>1448</v>
      </c>
      <c r="H314" s="15"/>
    </row>
    <row r="315" spans="1:8" ht="17.149999999999999" customHeight="1" x14ac:dyDescent="0.35">
      <c r="A315" s="14" t="s">
        <v>547</v>
      </c>
      <c r="B315" s="14" t="s">
        <v>545</v>
      </c>
      <c r="C315" s="14" t="s">
        <v>76</v>
      </c>
      <c r="D315" s="14" t="s">
        <v>78</v>
      </c>
      <c r="E315" s="14" t="s">
        <v>1506</v>
      </c>
      <c r="F315" s="15" t="s">
        <v>153</v>
      </c>
      <c r="G315" s="15" t="s">
        <v>1448</v>
      </c>
      <c r="H315" s="15"/>
    </row>
    <row r="316" spans="1:8" ht="17.149999999999999" customHeight="1" x14ac:dyDescent="0.35">
      <c r="A316" s="14" t="s">
        <v>549</v>
      </c>
      <c r="B316" s="14" t="s">
        <v>44</v>
      </c>
      <c r="C316" s="14" t="s">
        <v>76</v>
      </c>
      <c r="D316" s="14" t="s">
        <v>78</v>
      </c>
      <c r="E316" s="14" t="s">
        <v>1506</v>
      </c>
      <c r="F316" s="15" t="s">
        <v>122</v>
      </c>
      <c r="G316" s="15" t="s">
        <v>1448</v>
      </c>
      <c r="H316" s="15"/>
    </row>
    <row r="317" spans="1:8" ht="17.149999999999999" customHeight="1" x14ac:dyDescent="0.35">
      <c r="A317" s="14" t="s">
        <v>551</v>
      </c>
      <c r="B317" s="14" t="s">
        <v>44</v>
      </c>
      <c r="C317" s="14" t="s">
        <v>76</v>
      </c>
      <c r="D317" s="14" t="s">
        <v>78</v>
      </c>
      <c r="E317" s="14" t="s">
        <v>1506</v>
      </c>
      <c r="F317" s="15" t="s">
        <v>122</v>
      </c>
      <c r="G317" s="15" t="s">
        <v>1448</v>
      </c>
      <c r="H317" s="15"/>
    </row>
    <row r="318" spans="1:8" ht="17.149999999999999" customHeight="1" x14ac:dyDescent="0.35">
      <c r="A318" s="14" t="s">
        <v>550</v>
      </c>
      <c r="B318" s="14" t="s">
        <v>44</v>
      </c>
      <c r="C318" s="14" t="s">
        <v>76</v>
      </c>
      <c r="D318" s="14" t="s">
        <v>78</v>
      </c>
      <c r="E318" s="14" t="s">
        <v>1506</v>
      </c>
      <c r="F318" s="15" t="s">
        <v>122</v>
      </c>
      <c r="G318" s="15" t="s">
        <v>1448</v>
      </c>
      <c r="H318" s="15"/>
    </row>
    <row r="319" spans="1:8" ht="17.149999999999999" customHeight="1" x14ac:dyDescent="0.35">
      <c r="A319" s="14" t="s">
        <v>553</v>
      </c>
      <c r="B319" s="14" t="s">
        <v>102</v>
      </c>
      <c r="C319" s="14" t="s">
        <v>76</v>
      </c>
      <c r="D319" s="14" t="s">
        <v>78</v>
      </c>
      <c r="E319" s="14" t="s">
        <v>1506</v>
      </c>
      <c r="F319" s="15" t="s">
        <v>552</v>
      </c>
      <c r="G319" s="15" t="s">
        <v>1448</v>
      </c>
      <c r="H319" s="15"/>
    </row>
    <row r="320" spans="1:8" ht="17.149999999999999" customHeight="1" x14ac:dyDescent="0.35">
      <c r="A320" s="14" t="s">
        <v>564</v>
      </c>
      <c r="B320" s="14" t="s">
        <v>562</v>
      </c>
      <c r="C320" s="14" t="s">
        <v>76</v>
      </c>
      <c r="D320" s="14" t="s">
        <v>78</v>
      </c>
      <c r="E320" s="14" t="s">
        <v>1506</v>
      </c>
      <c r="F320" s="15" t="s">
        <v>561</v>
      </c>
      <c r="G320" s="15" t="s">
        <v>1448</v>
      </c>
      <c r="H320" s="15"/>
    </row>
    <row r="321" spans="1:8" ht="17.149999999999999" customHeight="1" x14ac:dyDescent="0.35">
      <c r="A321" s="14" t="s">
        <v>568</v>
      </c>
      <c r="B321" s="14" t="s">
        <v>566</v>
      </c>
      <c r="C321" s="14" t="s">
        <v>76</v>
      </c>
      <c r="D321" s="14" t="s">
        <v>78</v>
      </c>
      <c r="E321" s="14" t="s">
        <v>1506</v>
      </c>
      <c r="F321" s="15" t="s">
        <v>565</v>
      </c>
      <c r="G321" s="15" t="s">
        <v>1448</v>
      </c>
      <c r="H321" s="15"/>
    </row>
    <row r="322" spans="1:8" ht="17.149999999999999" customHeight="1" x14ac:dyDescent="0.35">
      <c r="A322" s="14" t="s">
        <v>423</v>
      </c>
      <c r="B322" s="14" t="s">
        <v>422</v>
      </c>
      <c r="C322" s="14" t="s">
        <v>76</v>
      </c>
      <c r="D322" s="14" t="s">
        <v>78</v>
      </c>
      <c r="E322" s="14" t="s">
        <v>1506</v>
      </c>
      <c r="F322" s="15" t="s">
        <v>421</v>
      </c>
      <c r="G322" s="15" t="s">
        <v>1448</v>
      </c>
      <c r="H322" s="15"/>
    </row>
    <row r="323" spans="1:8" ht="17.149999999999999" customHeight="1" x14ac:dyDescent="0.35">
      <c r="A323" s="14" t="s">
        <v>428</v>
      </c>
      <c r="B323" s="14" t="s">
        <v>427</v>
      </c>
      <c r="C323" s="14" t="s">
        <v>76</v>
      </c>
      <c r="D323" s="14" t="s">
        <v>78</v>
      </c>
      <c r="E323" s="14" t="s">
        <v>1506</v>
      </c>
      <c r="F323" s="15" t="s">
        <v>426</v>
      </c>
      <c r="G323" s="15" t="s">
        <v>1448</v>
      </c>
      <c r="H323" s="15"/>
    </row>
    <row r="324" spans="1:8" ht="17.149999999999999" customHeight="1" x14ac:dyDescent="0.35">
      <c r="A324" s="14" t="s">
        <v>580</v>
      </c>
      <c r="B324" s="14" t="s">
        <v>579</v>
      </c>
      <c r="C324" s="14" t="s">
        <v>76</v>
      </c>
      <c r="D324" s="14" t="s">
        <v>78</v>
      </c>
      <c r="E324" s="14" t="s">
        <v>1506</v>
      </c>
      <c r="F324" s="15" t="s">
        <v>578</v>
      </c>
      <c r="G324" s="15" t="s">
        <v>1448</v>
      </c>
      <c r="H324" s="15"/>
    </row>
    <row r="325" spans="1:8" ht="17.149999999999999" customHeight="1" x14ac:dyDescent="0.35">
      <c r="A325" s="14" t="s">
        <v>583</v>
      </c>
      <c r="B325" s="14" t="s">
        <v>582</v>
      </c>
      <c r="C325" s="14" t="s">
        <v>76</v>
      </c>
      <c r="D325" s="14" t="s">
        <v>78</v>
      </c>
      <c r="E325" s="14" t="s">
        <v>1506</v>
      </c>
      <c r="F325" s="15" t="s">
        <v>581</v>
      </c>
      <c r="G325" s="15" t="s">
        <v>1448</v>
      </c>
      <c r="H325" s="15"/>
    </row>
    <row r="326" spans="1:8" ht="17.149999999999999" customHeight="1" x14ac:dyDescent="0.35">
      <c r="A326" s="14" t="s">
        <v>442</v>
      </c>
      <c r="B326" s="14" t="s">
        <v>441</v>
      </c>
      <c r="C326" s="14" t="s">
        <v>76</v>
      </c>
      <c r="D326" s="14" t="s">
        <v>78</v>
      </c>
      <c r="E326" s="14" t="s">
        <v>1506</v>
      </c>
      <c r="F326" s="15" t="s">
        <v>440</v>
      </c>
      <c r="G326" s="15" t="s">
        <v>1448</v>
      </c>
      <c r="H326" s="15"/>
    </row>
    <row r="327" spans="1:8" ht="17.149999999999999" customHeight="1" x14ac:dyDescent="0.35">
      <c r="A327" s="14" t="s">
        <v>431</v>
      </c>
      <c r="B327" s="14" t="s">
        <v>430</v>
      </c>
      <c r="C327" s="14" t="s">
        <v>76</v>
      </c>
      <c r="D327" s="14" t="s">
        <v>78</v>
      </c>
      <c r="E327" s="14" t="s">
        <v>1506</v>
      </c>
      <c r="F327" s="15" t="s">
        <v>429</v>
      </c>
      <c r="G327" s="15" t="s">
        <v>1448</v>
      </c>
      <c r="H327" s="15"/>
    </row>
    <row r="328" spans="1:8" ht="17.149999999999999" customHeight="1" x14ac:dyDescent="0.35">
      <c r="A328" s="14" t="s">
        <v>512</v>
      </c>
      <c r="B328" s="14" t="s">
        <v>511</v>
      </c>
      <c r="C328" s="14" t="s">
        <v>76</v>
      </c>
      <c r="D328" s="14" t="s">
        <v>78</v>
      </c>
      <c r="E328" s="14" t="s">
        <v>1506</v>
      </c>
      <c r="F328" s="15" t="s">
        <v>510</v>
      </c>
      <c r="G328" s="15" t="s">
        <v>1448</v>
      </c>
      <c r="H328" s="15"/>
    </row>
    <row r="329" spans="1:8" ht="17.149999999999999" customHeight="1" x14ac:dyDescent="0.35">
      <c r="A329" s="14" t="s">
        <v>586</v>
      </c>
      <c r="B329" s="14" t="s">
        <v>585</v>
      </c>
      <c r="C329" s="14" t="s">
        <v>76</v>
      </c>
      <c r="D329" s="14" t="s">
        <v>78</v>
      </c>
      <c r="E329" s="14" t="s">
        <v>1506</v>
      </c>
      <c r="F329" s="15" t="s">
        <v>584</v>
      </c>
      <c r="G329" s="15" t="s">
        <v>1448</v>
      </c>
      <c r="H329" s="15"/>
    </row>
    <row r="330" spans="1:8" ht="17.149999999999999" customHeight="1" x14ac:dyDescent="0.35">
      <c r="A330" s="14"/>
      <c r="B330" s="14"/>
      <c r="C330" s="14"/>
      <c r="D330" s="14"/>
      <c r="E330" s="14"/>
      <c r="F330" s="15"/>
      <c r="G330" s="15"/>
      <c r="H330" s="15"/>
    </row>
    <row r="331" spans="1:8" ht="17.149999999999999" customHeight="1" x14ac:dyDescent="0.35">
      <c r="A331" s="14" t="s">
        <v>531</v>
      </c>
      <c r="B331" s="14" t="s">
        <v>47</v>
      </c>
      <c r="C331" s="14" t="s">
        <v>76</v>
      </c>
      <c r="D331" s="14" t="s">
        <v>87</v>
      </c>
      <c r="E331" s="14" t="s">
        <v>1506</v>
      </c>
      <c r="F331" s="15" t="s">
        <v>530</v>
      </c>
      <c r="G331" s="15" t="s">
        <v>1448</v>
      </c>
      <c r="H331" s="15"/>
    </row>
    <row r="332" spans="1:8" ht="17.149999999999999" customHeight="1" x14ac:dyDescent="0.35">
      <c r="A332" s="22"/>
      <c r="B332" s="22"/>
      <c r="C332" s="22"/>
      <c r="D332" s="22"/>
      <c r="E332" s="22"/>
      <c r="F332" s="23"/>
      <c r="G332" s="23"/>
      <c r="H332" s="23"/>
    </row>
    <row r="333" spans="1:8" ht="17.149999999999999" customHeight="1" x14ac:dyDescent="0.35">
      <c r="A333" s="14" t="s">
        <v>522</v>
      </c>
      <c r="B333" s="14" t="s">
        <v>205</v>
      </c>
      <c r="C333" s="14" t="s">
        <v>76</v>
      </c>
      <c r="D333" s="14" t="s">
        <v>86</v>
      </c>
      <c r="E333" s="14" t="s">
        <v>1488</v>
      </c>
      <c r="F333" s="15" t="s">
        <v>206</v>
      </c>
      <c r="G333" s="15" t="s">
        <v>1448</v>
      </c>
      <c r="H333" s="15" t="s">
        <v>1503</v>
      </c>
    </row>
    <row r="334" spans="1:8" ht="17.149999999999999" customHeight="1" x14ac:dyDescent="0.35">
      <c r="A334" s="14"/>
      <c r="B334" s="14"/>
      <c r="C334" s="14"/>
      <c r="D334" s="14"/>
      <c r="E334" s="14"/>
      <c r="F334" s="15"/>
      <c r="G334" s="15"/>
      <c r="H334" s="15"/>
    </row>
    <row r="335" spans="1:8" ht="17.149999999999999" customHeight="1" x14ac:dyDescent="0.35">
      <c r="A335" s="14" t="s">
        <v>519</v>
      </c>
      <c r="B335" s="14" t="s">
        <v>1347</v>
      </c>
      <c r="C335" s="14" t="s">
        <v>76</v>
      </c>
      <c r="D335" s="14" t="s">
        <v>87</v>
      </c>
      <c r="E335" s="14" t="s">
        <v>1488</v>
      </c>
      <c r="F335" s="15" t="s">
        <v>107</v>
      </c>
      <c r="G335" s="15" t="s">
        <v>1448</v>
      </c>
      <c r="H335" s="15"/>
    </row>
    <row r="336" spans="1:8" ht="17.149999999999999" customHeight="1" x14ac:dyDescent="0.35">
      <c r="A336" s="14" t="s">
        <v>518</v>
      </c>
      <c r="B336" s="14" t="s">
        <v>44</v>
      </c>
      <c r="C336" s="14" t="s">
        <v>76</v>
      </c>
      <c r="D336" s="14" t="s">
        <v>87</v>
      </c>
      <c r="E336" s="14" t="s">
        <v>1488</v>
      </c>
      <c r="F336" s="15" t="s">
        <v>200</v>
      </c>
      <c r="G336" s="15" t="s">
        <v>1448</v>
      </c>
      <c r="H336" s="15"/>
    </row>
    <row r="337" spans="1:8" ht="17.149999999999999" customHeight="1" x14ac:dyDescent="0.35">
      <c r="A337" s="14"/>
      <c r="B337" s="14"/>
      <c r="C337" s="14"/>
      <c r="D337" s="14"/>
      <c r="E337" s="14"/>
      <c r="F337" s="15"/>
      <c r="G337" s="15"/>
      <c r="H337" s="15"/>
    </row>
    <row r="338" spans="1:8" ht="17.149999999999999" customHeight="1" x14ac:dyDescent="0.35">
      <c r="A338" s="14" t="s">
        <v>519</v>
      </c>
      <c r="B338" s="14" t="s">
        <v>1347</v>
      </c>
      <c r="C338" s="14" t="s">
        <v>76</v>
      </c>
      <c r="D338" s="14" t="s">
        <v>208</v>
      </c>
      <c r="E338" s="14" t="s">
        <v>1488</v>
      </c>
      <c r="F338" s="15" t="s">
        <v>119</v>
      </c>
      <c r="G338" s="15" t="s">
        <v>1448</v>
      </c>
      <c r="H338" s="15"/>
    </row>
    <row r="339" spans="1:8" ht="17.149999999999999" customHeight="1" x14ac:dyDescent="0.35">
      <c r="A339" s="22"/>
      <c r="B339" s="22"/>
      <c r="C339" s="22"/>
      <c r="D339" s="22"/>
      <c r="E339" s="22"/>
      <c r="F339" s="23"/>
      <c r="G339" s="23"/>
      <c r="H339" s="23"/>
    </row>
    <row r="340" spans="1:8" ht="17.149999999999999" customHeight="1" x14ac:dyDescent="0.35">
      <c r="A340" s="14" t="s">
        <v>539</v>
      </c>
      <c r="B340" s="14" t="s">
        <v>1347</v>
      </c>
      <c r="C340" s="14" t="s">
        <v>76</v>
      </c>
      <c r="D340" s="14" t="s">
        <v>78</v>
      </c>
      <c r="E340" s="14" t="s">
        <v>1488</v>
      </c>
      <c r="F340" s="15" t="s">
        <v>211</v>
      </c>
      <c r="G340" s="15" t="s">
        <v>1448</v>
      </c>
      <c r="H340" s="15" t="s">
        <v>1504</v>
      </c>
    </row>
    <row r="341" spans="1:8" ht="17.149999999999999" customHeight="1" x14ac:dyDescent="0.35">
      <c r="A341" s="14" t="s">
        <v>558</v>
      </c>
      <c r="B341" s="14" t="s">
        <v>213</v>
      </c>
      <c r="C341" s="14" t="s">
        <v>76</v>
      </c>
      <c r="D341" s="14" t="s">
        <v>78</v>
      </c>
      <c r="E341" s="14" t="s">
        <v>1488</v>
      </c>
      <c r="F341" s="15" t="s">
        <v>212</v>
      </c>
      <c r="G341" s="15" t="s">
        <v>1448</v>
      </c>
      <c r="H341" s="15"/>
    </row>
    <row r="342" spans="1:8" ht="17.149999999999999" customHeight="1" x14ac:dyDescent="0.35">
      <c r="A342" s="14" t="s">
        <v>556</v>
      </c>
      <c r="B342" s="14" t="s">
        <v>95</v>
      </c>
      <c r="C342" s="14" t="s">
        <v>76</v>
      </c>
      <c r="D342" s="14" t="s">
        <v>78</v>
      </c>
      <c r="E342" s="14" t="s">
        <v>1488</v>
      </c>
      <c r="F342" s="15" t="s">
        <v>555</v>
      </c>
      <c r="G342" s="15" t="s">
        <v>1448</v>
      </c>
      <c r="H342" s="15"/>
    </row>
    <row r="343" spans="1:8" ht="17.149999999999999" customHeight="1" x14ac:dyDescent="0.35">
      <c r="A343" s="14" t="s">
        <v>307</v>
      </c>
      <c r="B343" s="14" t="s">
        <v>306</v>
      </c>
      <c r="C343" s="14" t="s">
        <v>76</v>
      </c>
      <c r="D343" s="14" t="s">
        <v>78</v>
      </c>
      <c r="E343" s="14" t="s">
        <v>1488</v>
      </c>
      <c r="F343" s="15" t="s">
        <v>305</v>
      </c>
      <c r="G343" s="15" t="s">
        <v>1448</v>
      </c>
      <c r="H343" s="15"/>
    </row>
    <row r="344" spans="1:8" ht="17.149999999999999" customHeight="1" x14ac:dyDescent="0.35">
      <c r="A344" s="14" t="s">
        <v>370</v>
      </c>
      <c r="B344" s="14" t="s">
        <v>369</v>
      </c>
      <c r="C344" s="14" t="s">
        <v>76</v>
      </c>
      <c r="D344" s="14" t="s">
        <v>78</v>
      </c>
      <c r="E344" s="14" t="s">
        <v>1488</v>
      </c>
      <c r="F344" s="15" t="s">
        <v>368</v>
      </c>
      <c r="G344" s="15" t="s">
        <v>1448</v>
      </c>
      <c r="H344" s="15"/>
    </row>
    <row r="345" spans="1:8" ht="17.149999999999999" customHeight="1" x14ac:dyDescent="0.35">
      <c r="A345" s="14" t="s">
        <v>352</v>
      </c>
      <c r="B345" s="14" t="s">
        <v>351</v>
      </c>
      <c r="C345" s="14" t="s">
        <v>76</v>
      </c>
      <c r="D345" s="14" t="s">
        <v>78</v>
      </c>
      <c r="E345" s="14" t="s">
        <v>1488</v>
      </c>
      <c r="F345" s="15" t="s">
        <v>350</v>
      </c>
      <c r="G345" s="15" t="s">
        <v>1448</v>
      </c>
      <c r="H345" s="15"/>
    </row>
    <row r="346" spans="1:8" ht="17.149999999999999" customHeight="1" x14ac:dyDescent="0.35">
      <c r="A346" s="14" t="s">
        <v>367</v>
      </c>
      <c r="B346" s="14" t="s">
        <v>366</v>
      </c>
      <c r="C346" s="14" t="s">
        <v>76</v>
      </c>
      <c r="D346" s="14" t="s">
        <v>78</v>
      </c>
      <c r="E346" s="14" t="s">
        <v>1488</v>
      </c>
      <c r="F346" s="15" t="s">
        <v>365</v>
      </c>
      <c r="G346" s="15" t="s">
        <v>1448</v>
      </c>
      <c r="H346" s="15"/>
    </row>
    <row r="347" spans="1:8" ht="17.149999999999999" customHeight="1" x14ac:dyDescent="0.35">
      <c r="A347" s="14" t="s">
        <v>349</v>
      </c>
      <c r="B347" s="14" t="s">
        <v>348</v>
      </c>
      <c r="C347" s="14" t="s">
        <v>76</v>
      </c>
      <c r="D347" s="14" t="s">
        <v>78</v>
      </c>
      <c r="E347" s="14" t="s">
        <v>1488</v>
      </c>
      <c r="F347" s="15" t="s">
        <v>347</v>
      </c>
      <c r="G347" s="15" t="s">
        <v>1448</v>
      </c>
      <c r="H347" s="15"/>
    </row>
    <row r="348" spans="1:8" ht="17.149999999999999" customHeight="1" x14ac:dyDescent="0.35">
      <c r="A348" s="14" t="s">
        <v>310</v>
      </c>
      <c r="B348" s="14" t="s">
        <v>309</v>
      </c>
      <c r="C348" s="14" t="s">
        <v>76</v>
      </c>
      <c r="D348" s="14" t="s">
        <v>78</v>
      </c>
      <c r="E348" s="14" t="s">
        <v>1488</v>
      </c>
      <c r="F348" s="15" t="s">
        <v>308</v>
      </c>
      <c r="G348" s="15" t="s">
        <v>1448</v>
      </c>
      <c r="H348" s="15"/>
    </row>
    <row r="349" spans="1:8" ht="17.149999999999999" customHeight="1" x14ac:dyDescent="0.35">
      <c r="A349" s="14" t="s">
        <v>297</v>
      </c>
      <c r="B349" s="14" t="s">
        <v>296</v>
      </c>
      <c r="C349" s="14" t="s">
        <v>76</v>
      </c>
      <c r="D349" s="14" t="s">
        <v>78</v>
      </c>
      <c r="E349" s="14" t="s">
        <v>1488</v>
      </c>
      <c r="F349" s="15" t="s">
        <v>295</v>
      </c>
      <c r="G349" s="15" t="s">
        <v>1448</v>
      </c>
      <c r="H349" s="15"/>
    </row>
    <row r="350" spans="1:8" ht="17.149999999999999" customHeight="1" x14ac:dyDescent="0.35">
      <c r="A350" s="14" t="s">
        <v>304</v>
      </c>
      <c r="B350" s="14" t="s">
        <v>303</v>
      </c>
      <c r="C350" s="14" t="s">
        <v>76</v>
      </c>
      <c r="D350" s="14" t="s">
        <v>78</v>
      </c>
      <c r="E350" s="14" t="s">
        <v>1488</v>
      </c>
      <c r="F350" s="15" t="s">
        <v>302</v>
      </c>
      <c r="G350" s="15" t="s">
        <v>1448</v>
      </c>
      <c r="H350" s="15"/>
    </row>
    <row r="351" spans="1:8" ht="17.149999999999999" customHeight="1" x14ac:dyDescent="0.35">
      <c r="A351" s="14" t="s">
        <v>364</v>
      </c>
      <c r="B351" s="14" t="s">
        <v>363</v>
      </c>
      <c r="C351" s="14" t="s">
        <v>76</v>
      </c>
      <c r="D351" s="14" t="s">
        <v>78</v>
      </c>
      <c r="E351" s="14" t="s">
        <v>1488</v>
      </c>
      <c r="F351" s="15" t="s">
        <v>362</v>
      </c>
      <c r="G351" s="15" t="s">
        <v>1448</v>
      </c>
      <c r="H351" s="15"/>
    </row>
    <row r="352" spans="1:8" ht="17.149999999999999" customHeight="1" x14ac:dyDescent="0.35">
      <c r="A352" s="14" t="s">
        <v>346</v>
      </c>
      <c r="B352" s="14" t="s">
        <v>345</v>
      </c>
      <c r="C352" s="14" t="s">
        <v>76</v>
      </c>
      <c r="D352" s="14" t="s">
        <v>78</v>
      </c>
      <c r="E352" s="14" t="s">
        <v>1488</v>
      </c>
      <c r="F352" s="15" t="s">
        <v>344</v>
      </c>
      <c r="G352" s="15" t="s">
        <v>1448</v>
      </c>
      <c r="H352" s="15"/>
    </row>
    <row r="353" spans="1:8" ht="17.149999999999999" customHeight="1" x14ac:dyDescent="0.35">
      <c r="A353" s="14" t="s">
        <v>361</v>
      </c>
      <c r="B353" s="14" t="s">
        <v>360</v>
      </c>
      <c r="C353" s="14" t="s">
        <v>76</v>
      </c>
      <c r="D353" s="14" t="s">
        <v>78</v>
      </c>
      <c r="E353" s="14" t="s">
        <v>1488</v>
      </c>
      <c r="F353" s="15" t="s">
        <v>359</v>
      </c>
      <c r="G353" s="15" t="s">
        <v>1448</v>
      </c>
      <c r="H353" s="15"/>
    </row>
    <row r="354" spans="1:8" ht="17.149999999999999" customHeight="1" x14ac:dyDescent="0.35">
      <c r="A354" s="14" t="s">
        <v>343</v>
      </c>
      <c r="B354" s="14" t="s">
        <v>342</v>
      </c>
      <c r="C354" s="14" t="s">
        <v>76</v>
      </c>
      <c r="D354" s="14" t="s">
        <v>78</v>
      </c>
      <c r="E354" s="14" t="s">
        <v>1488</v>
      </c>
      <c r="F354" s="15" t="s">
        <v>341</v>
      </c>
      <c r="G354" s="15" t="s">
        <v>1448</v>
      </c>
      <c r="H354" s="15"/>
    </row>
    <row r="355" spans="1:8" ht="17.149999999999999" customHeight="1" x14ac:dyDescent="0.35">
      <c r="A355" s="14" t="s">
        <v>413</v>
      </c>
      <c r="B355" s="14" t="s">
        <v>412</v>
      </c>
      <c r="C355" s="14" t="s">
        <v>76</v>
      </c>
      <c r="D355" s="14" t="s">
        <v>78</v>
      </c>
      <c r="E355" s="14" t="s">
        <v>1488</v>
      </c>
      <c r="F355" s="15" t="s">
        <v>411</v>
      </c>
      <c r="G355" s="15" t="s">
        <v>1448</v>
      </c>
      <c r="H355" s="15"/>
    </row>
    <row r="356" spans="1:8" ht="17.149999999999999" customHeight="1" x14ac:dyDescent="0.35">
      <c r="A356" s="14" t="s">
        <v>294</v>
      </c>
      <c r="B356" s="14" t="s">
        <v>293</v>
      </c>
      <c r="C356" s="14" t="s">
        <v>76</v>
      </c>
      <c r="D356" s="14" t="s">
        <v>78</v>
      </c>
      <c r="E356" s="14" t="s">
        <v>1488</v>
      </c>
      <c r="F356" s="15" t="s">
        <v>292</v>
      </c>
      <c r="G356" s="15" t="s">
        <v>1448</v>
      </c>
      <c r="H356" s="15"/>
    </row>
    <row r="357" spans="1:8" ht="17.149999999999999" customHeight="1" x14ac:dyDescent="0.35">
      <c r="A357" s="14" t="s">
        <v>538</v>
      </c>
      <c r="B357" s="14" t="s">
        <v>54</v>
      </c>
      <c r="C357" s="14" t="s">
        <v>76</v>
      </c>
      <c r="D357" s="14" t="s">
        <v>78</v>
      </c>
      <c r="E357" s="14" t="s">
        <v>1488</v>
      </c>
      <c r="F357" s="15" t="s">
        <v>536</v>
      </c>
      <c r="G357" s="15" t="s">
        <v>1448</v>
      </c>
      <c r="H357" s="15"/>
    </row>
    <row r="358" spans="1:8" ht="17.149999999999999" customHeight="1" x14ac:dyDescent="0.35">
      <c r="A358" s="14" t="s">
        <v>480</v>
      </c>
      <c r="B358" s="14" t="s">
        <v>479</v>
      </c>
      <c r="C358" s="14" t="s">
        <v>76</v>
      </c>
      <c r="D358" s="14" t="s">
        <v>78</v>
      </c>
      <c r="E358" s="14" t="s">
        <v>1488</v>
      </c>
      <c r="F358" s="15" t="s">
        <v>478</v>
      </c>
      <c r="G358" s="15" t="s">
        <v>1448</v>
      </c>
      <c r="H358" s="15"/>
    </row>
    <row r="359" spans="1:8" ht="17.149999999999999" customHeight="1" x14ac:dyDescent="0.35">
      <c r="A359" s="14" t="s">
        <v>473</v>
      </c>
      <c r="B359" s="14" t="s">
        <v>472</v>
      </c>
      <c r="C359" s="14" t="s">
        <v>76</v>
      </c>
      <c r="D359" s="14" t="s">
        <v>78</v>
      </c>
      <c r="E359" s="14" t="s">
        <v>1488</v>
      </c>
      <c r="F359" s="15" t="s">
        <v>471</v>
      </c>
      <c r="G359" s="15" t="s">
        <v>1448</v>
      </c>
      <c r="H359" s="15"/>
    </row>
    <row r="360" spans="1:8" ht="17.149999999999999" customHeight="1" x14ac:dyDescent="0.35">
      <c r="A360" s="14" t="s">
        <v>483</v>
      </c>
      <c r="B360" s="14" t="s">
        <v>482</v>
      </c>
      <c r="C360" s="14" t="s">
        <v>76</v>
      </c>
      <c r="D360" s="14" t="s">
        <v>78</v>
      </c>
      <c r="E360" s="14" t="s">
        <v>1488</v>
      </c>
      <c r="F360" s="15" t="s">
        <v>481</v>
      </c>
      <c r="G360" s="15" t="s">
        <v>1448</v>
      </c>
      <c r="H360" s="15"/>
    </row>
    <row r="361" spans="1:8" ht="17.149999999999999" customHeight="1" x14ac:dyDescent="0.35">
      <c r="A361" s="14" t="s">
        <v>476</v>
      </c>
      <c r="B361" s="14" t="s">
        <v>475</v>
      </c>
      <c r="C361" s="14" t="s">
        <v>76</v>
      </c>
      <c r="D361" s="14" t="s">
        <v>78</v>
      </c>
      <c r="E361" s="14" t="s">
        <v>1488</v>
      </c>
      <c r="F361" s="15" t="s">
        <v>474</v>
      </c>
      <c r="G361" s="15" t="s">
        <v>1448</v>
      </c>
      <c r="H361" s="15"/>
    </row>
    <row r="362" spans="1:8" ht="17.149999999999999" customHeight="1" x14ac:dyDescent="0.35">
      <c r="A362" s="14" t="s">
        <v>336</v>
      </c>
      <c r="B362" s="14" t="s">
        <v>335</v>
      </c>
      <c r="C362" s="14" t="s">
        <v>76</v>
      </c>
      <c r="D362" s="14" t="s">
        <v>78</v>
      </c>
      <c r="E362" s="14" t="s">
        <v>1488</v>
      </c>
      <c r="F362" s="15" t="s">
        <v>334</v>
      </c>
      <c r="G362" s="15" t="s">
        <v>1448</v>
      </c>
      <c r="H362" s="15"/>
    </row>
    <row r="363" spans="1:8" ht="17.149999999999999" customHeight="1" x14ac:dyDescent="0.35">
      <c r="A363" s="14" t="s">
        <v>327</v>
      </c>
      <c r="B363" s="14" t="s">
        <v>326</v>
      </c>
      <c r="C363" s="14" t="s">
        <v>76</v>
      </c>
      <c r="D363" s="14" t="s">
        <v>78</v>
      </c>
      <c r="E363" s="14" t="s">
        <v>1488</v>
      </c>
      <c r="F363" s="15" t="s">
        <v>325</v>
      </c>
      <c r="G363" s="15" t="s">
        <v>1448</v>
      </c>
      <c r="H363" s="15"/>
    </row>
    <row r="364" spans="1:8" ht="17.149999999999999" customHeight="1" x14ac:dyDescent="0.35">
      <c r="A364" s="14" t="s">
        <v>384</v>
      </c>
      <c r="B364" s="14" t="s">
        <v>383</v>
      </c>
      <c r="C364" s="14" t="s">
        <v>76</v>
      </c>
      <c r="D364" s="14" t="s">
        <v>78</v>
      </c>
      <c r="E364" s="14" t="s">
        <v>1488</v>
      </c>
      <c r="F364" s="15" t="s">
        <v>382</v>
      </c>
      <c r="G364" s="15" t="s">
        <v>1448</v>
      </c>
      <c r="H364" s="15"/>
    </row>
    <row r="365" spans="1:8" ht="17.149999999999999" customHeight="1" x14ac:dyDescent="0.35">
      <c r="A365" s="14" t="s">
        <v>393</v>
      </c>
      <c r="B365" s="14" t="s">
        <v>392</v>
      </c>
      <c r="C365" s="14" t="s">
        <v>76</v>
      </c>
      <c r="D365" s="14" t="s">
        <v>78</v>
      </c>
      <c r="E365" s="14" t="s">
        <v>1488</v>
      </c>
      <c r="F365" s="15" t="s">
        <v>391</v>
      </c>
      <c r="G365" s="15" t="s">
        <v>1448</v>
      </c>
      <c r="H365" s="15"/>
    </row>
    <row r="366" spans="1:8" ht="17.149999999999999" customHeight="1" x14ac:dyDescent="0.35">
      <c r="A366" s="14" t="s">
        <v>381</v>
      </c>
      <c r="B366" s="14" t="s">
        <v>380</v>
      </c>
      <c r="C366" s="14" t="s">
        <v>76</v>
      </c>
      <c r="D366" s="14" t="s">
        <v>78</v>
      </c>
      <c r="E366" s="14" t="s">
        <v>1488</v>
      </c>
      <c r="F366" s="15" t="s">
        <v>379</v>
      </c>
      <c r="G366" s="15" t="s">
        <v>1448</v>
      </c>
      <c r="H366" s="15"/>
    </row>
    <row r="367" spans="1:8" ht="17.149999999999999" customHeight="1" x14ac:dyDescent="0.35">
      <c r="A367" s="14" t="s">
        <v>390</v>
      </c>
      <c r="B367" s="14" t="s">
        <v>389</v>
      </c>
      <c r="C367" s="14" t="s">
        <v>76</v>
      </c>
      <c r="D367" s="14" t="s">
        <v>78</v>
      </c>
      <c r="E367" s="14" t="s">
        <v>1488</v>
      </c>
      <c r="F367" s="15" t="s">
        <v>388</v>
      </c>
      <c r="G367" s="15" t="s">
        <v>1448</v>
      </c>
      <c r="H367" s="15"/>
    </row>
    <row r="368" spans="1:8" ht="17.149999999999999" customHeight="1" x14ac:dyDescent="0.35">
      <c r="A368" s="14" t="s">
        <v>514</v>
      </c>
      <c r="B368" s="14" t="s">
        <v>273</v>
      </c>
      <c r="C368" s="14" t="s">
        <v>76</v>
      </c>
      <c r="D368" s="14" t="s">
        <v>78</v>
      </c>
      <c r="E368" s="14" t="s">
        <v>1488</v>
      </c>
      <c r="F368" s="15" t="s">
        <v>272</v>
      </c>
      <c r="G368" s="15" t="s">
        <v>1448</v>
      </c>
      <c r="H368" s="15"/>
    </row>
    <row r="369" spans="1:8" ht="17.149999999999999" customHeight="1" x14ac:dyDescent="0.35">
      <c r="A369" s="14" t="s">
        <v>319</v>
      </c>
      <c r="B369" s="14" t="s">
        <v>318</v>
      </c>
      <c r="C369" s="14" t="s">
        <v>76</v>
      </c>
      <c r="D369" s="14" t="s">
        <v>78</v>
      </c>
      <c r="E369" s="14" t="s">
        <v>1488</v>
      </c>
      <c r="F369" s="15" t="s">
        <v>317</v>
      </c>
      <c r="G369" s="15" t="s">
        <v>1448</v>
      </c>
      <c r="H369" s="15"/>
    </row>
    <row r="370" spans="1:8" ht="17.149999999999999" customHeight="1" x14ac:dyDescent="0.35">
      <c r="A370" s="14" t="s">
        <v>330</v>
      </c>
      <c r="B370" s="14" t="s">
        <v>329</v>
      </c>
      <c r="C370" s="14" t="s">
        <v>76</v>
      </c>
      <c r="D370" s="14" t="s">
        <v>78</v>
      </c>
      <c r="E370" s="14" t="s">
        <v>1488</v>
      </c>
      <c r="F370" s="15" t="s">
        <v>328</v>
      </c>
      <c r="G370" s="15" t="s">
        <v>1448</v>
      </c>
      <c r="H370" s="15"/>
    </row>
    <row r="371" spans="1:8" ht="17.149999999999999" customHeight="1" x14ac:dyDescent="0.35">
      <c r="A371" s="14" t="s">
        <v>515</v>
      </c>
      <c r="B371" s="14" t="s">
        <v>127</v>
      </c>
      <c r="C371" s="14" t="s">
        <v>76</v>
      </c>
      <c r="D371" s="14" t="s">
        <v>78</v>
      </c>
      <c r="E371" s="14" t="s">
        <v>1488</v>
      </c>
      <c r="F371" s="15" t="s">
        <v>128</v>
      </c>
      <c r="G371" s="15" t="s">
        <v>1448</v>
      </c>
      <c r="H371" s="15"/>
    </row>
    <row r="372" spans="1:8" ht="17.149999999999999" customHeight="1" x14ac:dyDescent="0.35">
      <c r="A372" s="14" t="s">
        <v>322</v>
      </c>
      <c r="B372" s="14" t="s">
        <v>321</v>
      </c>
      <c r="C372" s="14" t="s">
        <v>76</v>
      </c>
      <c r="D372" s="14" t="s">
        <v>78</v>
      </c>
      <c r="E372" s="14" t="s">
        <v>1488</v>
      </c>
      <c r="F372" s="15" t="s">
        <v>320</v>
      </c>
      <c r="G372" s="15" t="s">
        <v>1448</v>
      </c>
      <c r="H372" s="15"/>
    </row>
    <row r="373" spans="1:8" ht="17.149999999999999" customHeight="1" x14ac:dyDescent="0.35">
      <c r="A373" s="14" t="s">
        <v>333</v>
      </c>
      <c r="B373" s="14" t="s">
        <v>332</v>
      </c>
      <c r="C373" s="14" t="s">
        <v>76</v>
      </c>
      <c r="D373" s="14" t="s">
        <v>78</v>
      </c>
      <c r="E373" s="14" t="s">
        <v>1488</v>
      </c>
      <c r="F373" s="15" t="s">
        <v>331</v>
      </c>
      <c r="G373" s="15" t="s">
        <v>1448</v>
      </c>
      <c r="H373" s="15"/>
    </row>
    <row r="374" spans="1:8" ht="17.149999999999999" customHeight="1" x14ac:dyDescent="0.35">
      <c r="A374" s="14" t="s">
        <v>577</v>
      </c>
      <c r="B374" s="14" t="s">
        <v>576</v>
      </c>
      <c r="C374" s="14" t="s">
        <v>76</v>
      </c>
      <c r="D374" s="14" t="s">
        <v>78</v>
      </c>
      <c r="E374" s="14" t="s">
        <v>1488</v>
      </c>
      <c r="F374" s="15" t="s">
        <v>575</v>
      </c>
      <c r="G374" s="15" t="s">
        <v>1448</v>
      </c>
      <c r="H374" s="15"/>
    </row>
    <row r="375" spans="1:8" ht="17.149999999999999" customHeight="1" x14ac:dyDescent="0.35">
      <c r="A375" s="14" t="s">
        <v>436</v>
      </c>
      <c r="B375" s="14" t="s">
        <v>435</v>
      </c>
      <c r="C375" s="14" t="s">
        <v>76</v>
      </c>
      <c r="D375" s="14" t="s">
        <v>78</v>
      </c>
      <c r="E375" s="14" t="s">
        <v>1488</v>
      </c>
      <c r="F375" s="15" t="s">
        <v>434</v>
      </c>
      <c r="G375" s="15" t="s">
        <v>1448</v>
      </c>
      <c r="H375" s="15"/>
    </row>
    <row r="376" spans="1:8" ht="17.149999999999999" customHeight="1" x14ac:dyDescent="0.35">
      <c r="A376" s="14" t="s">
        <v>439</v>
      </c>
      <c r="B376" s="14" t="s">
        <v>438</v>
      </c>
      <c r="C376" s="14" t="s">
        <v>76</v>
      </c>
      <c r="D376" s="14" t="s">
        <v>78</v>
      </c>
      <c r="E376" s="14" t="s">
        <v>1488</v>
      </c>
      <c r="F376" s="15" t="s">
        <v>437</v>
      </c>
      <c r="G376" s="15" t="s">
        <v>1448</v>
      </c>
      <c r="H376" s="15"/>
    </row>
    <row r="377" spans="1:8" ht="17.149999999999999" customHeight="1" x14ac:dyDescent="0.35">
      <c r="A377" s="14" t="s">
        <v>572</v>
      </c>
      <c r="B377" s="14" t="s">
        <v>155</v>
      </c>
      <c r="C377" s="14" t="s">
        <v>76</v>
      </c>
      <c r="D377" s="14" t="s">
        <v>78</v>
      </c>
      <c r="E377" s="14" t="s">
        <v>1488</v>
      </c>
      <c r="F377" s="15" t="s">
        <v>156</v>
      </c>
      <c r="G377" s="15" t="s">
        <v>1448</v>
      </c>
      <c r="H377" s="15"/>
    </row>
    <row r="378" spans="1:8" ht="17.149999999999999" customHeight="1" x14ac:dyDescent="0.35">
      <c r="A378" s="14" t="s">
        <v>451</v>
      </c>
      <c r="B378" s="14" t="s">
        <v>450</v>
      </c>
      <c r="C378" s="14" t="s">
        <v>76</v>
      </c>
      <c r="D378" s="14" t="s">
        <v>78</v>
      </c>
      <c r="E378" s="14" t="s">
        <v>1488</v>
      </c>
      <c r="F378" s="15" t="s">
        <v>449</v>
      </c>
      <c r="G378" s="15" t="s">
        <v>1448</v>
      </c>
      <c r="H378" s="15"/>
    </row>
    <row r="379" spans="1:8" ht="17.149999999999999" customHeight="1" x14ac:dyDescent="0.35">
      <c r="A379" s="14" t="s">
        <v>454</v>
      </c>
      <c r="B379" s="14" t="s">
        <v>453</v>
      </c>
      <c r="C379" s="14" t="s">
        <v>76</v>
      </c>
      <c r="D379" s="14" t="s">
        <v>78</v>
      </c>
      <c r="E379" s="14" t="s">
        <v>1488</v>
      </c>
      <c r="F379" s="15" t="s">
        <v>452</v>
      </c>
      <c r="G379" s="15" t="s">
        <v>1448</v>
      </c>
      <c r="H379" s="15"/>
    </row>
    <row r="380" spans="1:8" ht="17.149999999999999" customHeight="1" x14ac:dyDescent="0.35">
      <c r="A380" s="14" t="s">
        <v>574</v>
      </c>
      <c r="B380" s="14" t="s">
        <v>158</v>
      </c>
      <c r="C380" s="14" t="s">
        <v>76</v>
      </c>
      <c r="D380" s="14" t="s">
        <v>78</v>
      </c>
      <c r="E380" s="14" t="s">
        <v>1488</v>
      </c>
      <c r="F380" s="15" t="s">
        <v>159</v>
      </c>
      <c r="G380" s="15" t="s">
        <v>1448</v>
      </c>
      <c r="H380" s="15"/>
    </row>
    <row r="381" spans="1:8" ht="17.149999999999999" customHeight="1" x14ac:dyDescent="0.35">
      <c r="A381" s="14" t="s">
        <v>570</v>
      </c>
      <c r="B381" s="14" t="s">
        <v>161</v>
      </c>
      <c r="C381" s="14" t="s">
        <v>76</v>
      </c>
      <c r="D381" s="14" t="s">
        <v>78</v>
      </c>
      <c r="E381" s="14" t="s">
        <v>1488</v>
      </c>
      <c r="F381" s="15" t="s">
        <v>162</v>
      </c>
      <c r="G381" s="15" t="s">
        <v>1448</v>
      </c>
      <c r="H381" s="15"/>
    </row>
    <row r="382" spans="1:8" ht="17.149999999999999" customHeight="1" x14ac:dyDescent="0.35">
      <c r="A382" s="14" t="s">
        <v>406</v>
      </c>
      <c r="B382" s="14" t="s">
        <v>405</v>
      </c>
      <c r="C382" s="14" t="s">
        <v>76</v>
      </c>
      <c r="D382" s="14" t="s">
        <v>78</v>
      </c>
      <c r="E382" s="14" t="s">
        <v>1488</v>
      </c>
      <c r="F382" s="15" t="s">
        <v>404</v>
      </c>
      <c r="G382" s="15" t="s">
        <v>1448</v>
      </c>
      <c r="H382" s="15"/>
    </row>
    <row r="383" spans="1:8" ht="17.149999999999999" customHeight="1" x14ac:dyDescent="0.35">
      <c r="A383" s="14" t="s">
        <v>542</v>
      </c>
      <c r="B383" s="14" t="s">
        <v>541</v>
      </c>
      <c r="C383" s="14" t="s">
        <v>76</v>
      </c>
      <c r="D383" s="14" t="s">
        <v>78</v>
      </c>
      <c r="E383" s="14" t="s">
        <v>1488</v>
      </c>
      <c r="F383" s="15" t="s">
        <v>540</v>
      </c>
      <c r="G383" s="15" t="s">
        <v>1448</v>
      </c>
      <c r="H383" s="15"/>
    </row>
    <row r="384" spans="1:8" ht="17.149999999999999" customHeight="1" x14ac:dyDescent="0.35">
      <c r="A384" s="14" t="s">
        <v>513</v>
      </c>
      <c r="B384" s="14" t="s">
        <v>511</v>
      </c>
      <c r="C384" s="14" t="s">
        <v>76</v>
      </c>
      <c r="D384" s="14" t="s">
        <v>78</v>
      </c>
      <c r="E384" s="14" t="s">
        <v>1488</v>
      </c>
      <c r="F384" s="15" t="s">
        <v>510</v>
      </c>
      <c r="G384" s="15" t="s">
        <v>1448</v>
      </c>
      <c r="H384" s="15"/>
    </row>
    <row r="385" spans="1:8" ht="17.149999999999999" customHeight="1" x14ac:dyDescent="0.35">
      <c r="A385" s="14" t="s">
        <v>373</v>
      </c>
      <c r="B385" s="14" t="s">
        <v>372</v>
      </c>
      <c r="C385" s="14" t="s">
        <v>76</v>
      </c>
      <c r="D385" s="14" t="s">
        <v>78</v>
      </c>
      <c r="E385" s="14" t="s">
        <v>1488</v>
      </c>
      <c r="F385" s="15" t="s">
        <v>371</v>
      </c>
      <c r="G385" s="15" t="s">
        <v>1448</v>
      </c>
      <c r="H385" s="15"/>
    </row>
    <row r="386" spans="1:8" ht="17.149999999999999" customHeight="1" x14ac:dyDescent="0.35">
      <c r="A386" s="14" t="s">
        <v>355</v>
      </c>
      <c r="B386" s="14" t="s">
        <v>354</v>
      </c>
      <c r="C386" s="14" t="s">
        <v>76</v>
      </c>
      <c r="D386" s="14" t="s">
        <v>78</v>
      </c>
      <c r="E386" s="14" t="s">
        <v>1488</v>
      </c>
      <c r="F386" s="15" t="s">
        <v>353</v>
      </c>
      <c r="G386" s="15" t="s">
        <v>1448</v>
      </c>
      <c r="H386" s="15"/>
    </row>
    <row r="387" spans="1:8" ht="17.149999999999999" customHeight="1" x14ac:dyDescent="0.35">
      <c r="A387" s="14" t="s">
        <v>376</v>
      </c>
      <c r="B387" s="14" t="s">
        <v>375</v>
      </c>
      <c r="C387" s="14" t="s">
        <v>76</v>
      </c>
      <c r="D387" s="14" t="s">
        <v>78</v>
      </c>
      <c r="E387" s="14" t="s">
        <v>1488</v>
      </c>
      <c r="F387" s="15" t="s">
        <v>374</v>
      </c>
      <c r="G387" s="15" t="s">
        <v>1448</v>
      </c>
      <c r="H387" s="15"/>
    </row>
    <row r="388" spans="1:8" ht="17.149999999999999" customHeight="1" x14ac:dyDescent="0.35">
      <c r="A388" s="14" t="s">
        <v>358</v>
      </c>
      <c r="B388" s="14" t="s">
        <v>357</v>
      </c>
      <c r="C388" s="14" t="s">
        <v>76</v>
      </c>
      <c r="D388" s="14" t="s">
        <v>78</v>
      </c>
      <c r="E388" s="14" t="s">
        <v>1488</v>
      </c>
      <c r="F388" s="15" t="s">
        <v>356</v>
      </c>
      <c r="G388" s="15" t="s">
        <v>1448</v>
      </c>
      <c r="H388" s="15"/>
    </row>
    <row r="389" spans="1:8" ht="17.149999999999999" customHeight="1" x14ac:dyDescent="0.35">
      <c r="A389" s="20"/>
      <c r="B389" s="20"/>
      <c r="C389" s="20"/>
      <c r="D389" s="20"/>
      <c r="E389" s="20"/>
      <c r="F389" s="21"/>
      <c r="G389" s="21"/>
      <c r="H389" s="21"/>
    </row>
    <row r="390" spans="1:8" ht="17.149999999999999" customHeight="1" x14ac:dyDescent="0.35">
      <c r="A390" s="14" t="s">
        <v>1062</v>
      </c>
      <c r="B390" s="14" t="s">
        <v>1063</v>
      </c>
      <c r="C390" s="24" t="s">
        <v>1510</v>
      </c>
      <c r="D390" s="24" t="s">
        <v>86</v>
      </c>
      <c r="E390" s="14" t="s">
        <v>1480</v>
      </c>
      <c r="F390" s="15" t="s">
        <v>1064</v>
      </c>
      <c r="G390" s="15" t="s">
        <v>1446</v>
      </c>
      <c r="H390" s="15"/>
    </row>
    <row r="391" spans="1:8" ht="17.149999999999999" customHeight="1" x14ac:dyDescent="0.35">
      <c r="A391" s="14" t="s">
        <v>1065</v>
      </c>
      <c r="B391" s="14" t="s">
        <v>1066</v>
      </c>
      <c r="C391" s="24" t="s">
        <v>1510</v>
      </c>
      <c r="D391" s="24" t="s">
        <v>86</v>
      </c>
      <c r="E391" s="14" t="s">
        <v>1480</v>
      </c>
      <c r="F391" s="15" t="s">
        <v>1067</v>
      </c>
      <c r="G391" s="15" t="s">
        <v>1446</v>
      </c>
      <c r="H391" s="15"/>
    </row>
  </sheetData>
  <sortState xmlns:xlrd2="http://schemas.microsoft.com/office/spreadsheetml/2017/richdata2" ref="A33:G48">
    <sortCondition ref="B33:B4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57:D274 F257:H274 A275:H275 A276:D276 F276:H276 A278:D294 F278:H294 A295:H295 A296:D298 F296:H298 A300:D329 F300:H329 A330:H330 A331:D331 F331:H331">
    <cfRule type="containsText" dxfId="34" priority="11" operator="containsText" text=":A2">
      <formula>NOT(ISERROR(SEARCH(":A2",A257)))</formula>
    </cfRule>
    <cfRule type="containsText" dxfId="33" priority="12" operator="containsText" text=":A1">
      <formula>NOT(ISERROR(SEARCH(":A1",A257)))</formula>
    </cfRule>
  </conditionalFormatting>
  <conditionalFormatting sqref="A33:G48 A50:G65 A67:G117 E390:E391">
    <cfRule type="containsText" dxfId="32" priority="15" operator="containsText" text=":A2">
      <formula>NOT(ISERROR(SEARCH(":A2",A33)))</formula>
    </cfRule>
    <cfRule type="containsText" dxfId="31" priority="16" operator="containsText" text=":A1">
      <formula>NOT(ISERROR(SEARCH(":A1",A33)))</formula>
    </cfRule>
  </conditionalFormatting>
  <conditionalFormatting sqref="A140:H150 A152:H188">
    <cfRule type="containsText" dxfId="30" priority="13" operator="containsText" text=":A2">
      <formula>NOT(ISERROR(SEARCH(":A2",A140)))</formula>
    </cfRule>
    <cfRule type="containsText" dxfId="29" priority="14" operator="containsText" text=":A1">
      <formula>NOT(ISERROR(SEARCH(":A1",A140)))</formula>
    </cfRule>
  </conditionalFormatting>
  <conditionalFormatting sqref="E190:E191">
    <cfRule type="containsText" dxfId="28" priority="9" operator="containsText" text=":A2">
      <formula>NOT(ISERROR(SEARCH(":A2",E190)))</formula>
    </cfRule>
    <cfRule type="containsText" dxfId="27" priority="10" operator="containsText" text=":A1">
      <formula>NOT(ISERROR(SEARCH(":A1",E190)))</formula>
    </cfRule>
  </conditionalFormatting>
  <conditionalFormatting sqref="E193:E196">
    <cfRule type="containsText" dxfId="26" priority="7" operator="containsText" text=":A2">
      <formula>NOT(ISERROR(SEARCH(":A2",E193)))</formula>
    </cfRule>
    <cfRule type="containsText" dxfId="25" priority="8" operator="containsText" text=":A1">
      <formula>NOT(ISERROR(SEARCH(":A1",E193)))</formula>
    </cfRule>
  </conditionalFormatting>
  <conditionalFormatting sqref="E198:E223">
    <cfRule type="containsText" dxfId="24" priority="5" operator="containsText" text=":A2">
      <formula>NOT(ISERROR(SEARCH(":A2",E198)))</formula>
    </cfRule>
    <cfRule type="containsText" dxfId="23" priority="6" operator="containsText" text=":A1">
      <formula>NOT(ISERROR(SEARCH(":A1",E198)))</formula>
    </cfRule>
  </conditionalFormatting>
  <conditionalFormatting sqref="E225:E227">
    <cfRule type="containsText" dxfId="22" priority="3" operator="containsText" text=":A2">
      <formula>NOT(ISERROR(SEARCH(":A2",E225)))</formula>
    </cfRule>
    <cfRule type="containsText" dxfId="21" priority="4" operator="containsText" text=":A1">
      <formula>NOT(ISERROR(SEARCH(":A1",E225)))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3B5-9B99-4BC1-8479-AB95FD8CBD4D}">
  <sheetPr>
    <tabColor rgb="FFB07BD7"/>
  </sheetPr>
  <dimension ref="A1:H92"/>
  <sheetViews>
    <sheetView showGridLines="0" topLeftCell="A48" workbookViewId="0">
      <selection activeCell="A44" sqref="A43:XFD44"/>
    </sheetView>
  </sheetViews>
  <sheetFormatPr defaultRowHeight="17.149999999999999" customHeight="1" x14ac:dyDescent="0.35"/>
  <cols>
    <col min="1" max="1" width="13.453125" style="10" bestFit="1" customWidth="1"/>
    <col min="2" max="2" width="11.269531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3.453125" style="10" bestFit="1" customWidth="1"/>
    <col min="7" max="7" width="14.54296875" bestFit="1" customWidth="1"/>
    <col min="8" max="8" width="13.1796875" bestFit="1" customWidth="1"/>
  </cols>
  <sheetData>
    <row r="1" spans="1:8" ht="18" customHeight="1" x14ac:dyDescent="0.35">
      <c r="A1" s="32" t="s">
        <v>20</v>
      </c>
      <c r="B1" s="32"/>
      <c r="C1" s="32"/>
      <c r="D1" s="32"/>
    </row>
    <row r="2" spans="1:8" ht="12" customHeight="1" x14ac:dyDescent="0.35">
      <c r="A2" s="33"/>
      <c r="B2" s="33"/>
      <c r="C2" s="33"/>
      <c r="D2" s="33"/>
    </row>
    <row r="3" spans="1:8" ht="12.75" customHeight="1" x14ac:dyDescent="0.35">
      <c r="A3" s="2" t="s">
        <v>1</v>
      </c>
      <c r="B3" s="29" t="s">
        <v>2</v>
      </c>
      <c r="C3" s="29"/>
      <c r="D3" s="29"/>
    </row>
    <row r="4" spans="1:8" ht="12" customHeight="1" x14ac:dyDescent="0.35">
      <c r="A4" s="2" t="s">
        <v>3</v>
      </c>
      <c r="B4" s="29" t="s">
        <v>4</v>
      </c>
      <c r="C4" s="29"/>
      <c r="D4" s="29"/>
    </row>
    <row r="5" spans="1:8" ht="12.75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2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2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5" t="s">
        <v>1162</v>
      </c>
      <c r="B14" s="14" t="s">
        <v>1429</v>
      </c>
      <c r="C14" s="14" t="s">
        <v>76</v>
      </c>
      <c r="D14" s="14" t="s">
        <v>78</v>
      </c>
      <c r="E14" s="14" t="s">
        <v>1484</v>
      </c>
      <c r="F14" s="14" t="s">
        <v>1161</v>
      </c>
      <c r="G14" s="15" t="s">
        <v>1446</v>
      </c>
      <c r="H14" s="15" t="s">
        <v>1466</v>
      </c>
    </row>
    <row r="15" spans="1:8" ht="17.149999999999999" customHeight="1" x14ac:dyDescent="0.35">
      <c r="A15" s="15" t="s">
        <v>1168</v>
      </c>
      <c r="B15" s="14" t="s">
        <v>1430</v>
      </c>
      <c r="C15" s="14" t="s">
        <v>76</v>
      </c>
      <c r="D15" s="14" t="s">
        <v>78</v>
      </c>
      <c r="E15" s="14" t="s">
        <v>1484</v>
      </c>
      <c r="F15" s="14" t="s">
        <v>1167</v>
      </c>
      <c r="G15" s="15" t="s">
        <v>1446</v>
      </c>
      <c r="H15" s="15"/>
    </row>
    <row r="16" spans="1:8" ht="17.149999999999999" customHeight="1" x14ac:dyDescent="0.35">
      <c r="A16" s="15" t="s">
        <v>1170</v>
      </c>
      <c r="B16" s="14" t="s">
        <v>1431</v>
      </c>
      <c r="C16" s="14" t="s">
        <v>76</v>
      </c>
      <c r="D16" s="14" t="s">
        <v>78</v>
      </c>
      <c r="E16" s="14" t="s">
        <v>1484</v>
      </c>
      <c r="F16" s="14" t="s">
        <v>1169</v>
      </c>
      <c r="G16" s="15" t="s">
        <v>1446</v>
      </c>
      <c r="H16" s="15"/>
    </row>
    <row r="17" spans="1:8" ht="17.149999999999999" customHeight="1" x14ac:dyDescent="0.35">
      <c r="A17" s="22"/>
      <c r="B17" s="22"/>
      <c r="C17" s="22"/>
      <c r="D17" s="22"/>
      <c r="E17" s="22"/>
      <c r="F17" s="23"/>
      <c r="G17" s="23"/>
      <c r="H17" s="23"/>
    </row>
    <row r="18" spans="1:8" ht="17.149999999999999" customHeight="1" x14ac:dyDescent="0.35">
      <c r="A18" s="14" t="s">
        <v>1157</v>
      </c>
      <c r="B18" s="14" t="s">
        <v>1427</v>
      </c>
      <c r="C18" s="14" t="s">
        <v>76</v>
      </c>
      <c r="D18" s="14" t="s">
        <v>78</v>
      </c>
      <c r="E18" s="14" t="s">
        <v>1484</v>
      </c>
      <c r="F18" s="15" t="s">
        <v>1158</v>
      </c>
      <c r="G18" s="15" t="s">
        <v>1446</v>
      </c>
      <c r="H18" s="15" t="s">
        <v>1469</v>
      </c>
    </row>
    <row r="19" spans="1:8" ht="17.149999999999999" customHeight="1" x14ac:dyDescent="0.35">
      <c r="A19" s="14" t="s">
        <v>1159</v>
      </c>
      <c r="B19" s="14" t="s">
        <v>1428</v>
      </c>
      <c r="C19" s="14" t="s">
        <v>76</v>
      </c>
      <c r="D19" s="14" t="s">
        <v>78</v>
      </c>
      <c r="E19" s="14" t="s">
        <v>1484</v>
      </c>
      <c r="F19" s="15" t="s">
        <v>1160</v>
      </c>
      <c r="G19" s="15" t="s">
        <v>1446</v>
      </c>
      <c r="H19" s="15"/>
    </row>
    <row r="20" spans="1:8" ht="17.149999999999999" customHeight="1" x14ac:dyDescent="0.35">
      <c r="A20" s="14" t="s">
        <v>1172</v>
      </c>
      <c r="B20" s="14" t="s">
        <v>1432</v>
      </c>
      <c r="C20" s="14" t="s">
        <v>76</v>
      </c>
      <c r="D20" s="14" t="s">
        <v>78</v>
      </c>
      <c r="E20" s="14" t="s">
        <v>1484</v>
      </c>
      <c r="F20" s="15" t="s">
        <v>1173</v>
      </c>
      <c r="G20" s="15" t="s">
        <v>1446</v>
      </c>
      <c r="H20" s="15"/>
    </row>
    <row r="21" spans="1:8" ht="17.149999999999999" customHeight="1" x14ac:dyDescent="0.35">
      <c r="A21" s="14"/>
      <c r="B21" s="14"/>
      <c r="C21" s="14"/>
      <c r="D21" s="14"/>
      <c r="E21" s="14"/>
      <c r="F21" s="15"/>
      <c r="G21" s="15"/>
      <c r="H21" s="15"/>
    </row>
    <row r="22" spans="1:8" ht="17.149999999999999" customHeight="1" x14ac:dyDescent="0.35">
      <c r="A22" s="14" t="s">
        <v>1145</v>
      </c>
      <c r="B22" s="14" t="s">
        <v>1146</v>
      </c>
      <c r="C22" s="14" t="s">
        <v>76</v>
      </c>
      <c r="D22" s="14" t="s">
        <v>86</v>
      </c>
      <c r="E22" s="14" t="s">
        <v>1484</v>
      </c>
      <c r="F22" s="15" t="s">
        <v>1147</v>
      </c>
      <c r="G22" s="15" t="s">
        <v>1446</v>
      </c>
      <c r="H22" s="15"/>
    </row>
    <row r="23" spans="1:8" ht="17.149999999999999" customHeight="1" x14ac:dyDescent="0.35">
      <c r="A23" s="14"/>
      <c r="B23" s="14"/>
      <c r="C23" s="14"/>
      <c r="D23" s="14"/>
      <c r="E23" s="14"/>
      <c r="F23" s="15"/>
      <c r="G23" s="15"/>
      <c r="H23" s="15"/>
    </row>
    <row r="24" spans="1:8" ht="17.149999999999999" customHeight="1" x14ac:dyDescent="0.35">
      <c r="A24" s="14" t="s">
        <v>1156</v>
      </c>
      <c r="B24" s="14" t="s">
        <v>1347</v>
      </c>
      <c r="C24" s="14" t="s">
        <v>76</v>
      </c>
      <c r="D24" s="14" t="s">
        <v>87</v>
      </c>
      <c r="E24" s="14" t="s">
        <v>1484</v>
      </c>
      <c r="F24" s="15" t="s">
        <v>1049</v>
      </c>
      <c r="G24" s="15" t="s">
        <v>1446</v>
      </c>
      <c r="H24" s="15"/>
    </row>
    <row r="25" spans="1:8" ht="17.149999999999999" customHeight="1" x14ac:dyDescent="0.35">
      <c r="A25" s="14" t="s">
        <v>1171</v>
      </c>
      <c r="B25" s="14" t="s">
        <v>1347</v>
      </c>
      <c r="C25" s="14" t="s">
        <v>76</v>
      </c>
      <c r="D25" s="14" t="s">
        <v>87</v>
      </c>
      <c r="E25" s="14" t="s">
        <v>1484</v>
      </c>
      <c r="F25" s="15" t="s">
        <v>1143</v>
      </c>
      <c r="G25" s="15" t="s">
        <v>1446</v>
      </c>
      <c r="H25" s="15"/>
    </row>
    <row r="26" spans="1:8" ht="17.149999999999999" customHeight="1" x14ac:dyDescent="0.35">
      <c r="A26" s="14" t="s">
        <v>1179</v>
      </c>
      <c r="B26" s="14" t="s">
        <v>1347</v>
      </c>
      <c r="C26" s="14" t="s">
        <v>76</v>
      </c>
      <c r="D26" s="14" t="s">
        <v>87</v>
      </c>
      <c r="E26" s="14" t="s">
        <v>1484</v>
      </c>
      <c r="F26" s="15" t="s">
        <v>1143</v>
      </c>
      <c r="G26" s="15" t="s">
        <v>1446</v>
      </c>
      <c r="H26" s="15"/>
    </row>
    <row r="27" spans="1:8" ht="17.149999999999999" customHeight="1" x14ac:dyDescent="0.35">
      <c r="A27" s="14" t="s">
        <v>1148</v>
      </c>
      <c r="B27" s="14" t="s">
        <v>1347</v>
      </c>
      <c r="C27" s="14" t="s">
        <v>76</v>
      </c>
      <c r="D27" s="14" t="s">
        <v>87</v>
      </c>
      <c r="E27" s="14" t="s">
        <v>1484</v>
      </c>
      <c r="F27" s="15" t="s">
        <v>1049</v>
      </c>
      <c r="G27" s="15" t="s">
        <v>1446</v>
      </c>
      <c r="H27" s="15"/>
    </row>
    <row r="28" spans="1:8" ht="17.149999999999999" customHeight="1" x14ac:dyDescent="0.35">
      <c r="A28" s="14" t="s">
        <v>1144</v>
      </c>
      <c r="B28" s="14" t="s">
        <v>1347</v>
      </c>
      <c r="C28" s="14" t="s">
        <v>76</v>
      </c>
      <c r="D28" s="14" t="s">
        <v>87</v>
      </c>
      <c r="E28" s="14" t="s">
        <v>1484</v>
      </c>
      <c r="F28" s="15" t="s">
        <v>1050</v>
      </c>
      <c r="G28" s="15" t="s">
        <v>1446</v>
      </c>
      <c r="H28" s="15"/>
    </row>
    <row r="29" spans="1:8" ht="17.149999999999999" customHeight="1" x14ac:dyDescent="0.35">
      <c r="A29" s="14" t="s">
        <v>1149</v>
      </c>
      <c r="B29" s="14" t="s">
        <v>1150</v>
      </c>
      <c r="C29" s="14" t="s">
        <v>76</v>
      </c>
      <c r="D29" s="14" t="s">
        <v>87</v>
      </c>
      <c r="E29" s="14" t="s">
        <v>1484</v>
      </c>
      <c r="F29" s="15" t="s">
        <v>1151</v>
      </c>
      <c r="G29" s="15" t="s">
        <v>1446</v>
      </c>
      <c r="H29" s="15"/>
    </row>
    <row r="30" spans="1:8" ht="17.149999999999999" customHeight="1" x14ac:dyDescent="0.35">
      <c r="A30" s="14" t="s">
        <v>1147</v>
      </c>
      <c r="B30" s="14" t="s">
        <v>1175</v>
      </c>
      <c r="C30" s="14" t="s">
        <v>76</v>
      </c>
      <c r="D30" s="14" t="s">
        <v>87</v>
      </c>
      <c r="E30" s="14" t="s">
        <v>1484</v>
      </c>
      <c r="F30" s="15" t="s">
        <v>1176</v>
      </c>
      <c r="G30" s="15" t="s">
        <v>1446</v>
      </c>
      <c r="H30" s="15"/>
    </row>
    <row r="31" spans="1:8" ht="17.149999999999999" customHeight="1" x14ac:dyDescent="0.35">
      <c r="A31" s="14" t="s">
        <v>1151</v>
      </c>
      <c r="B31" s="14" t="s">
        <v>1177</v>
      </c>
      <c r="C31" s="14" t="s">
        <v>76</v>
      </c>
      <c r="D31" s="14" t="s">
        <v>87</v>
      </c>
      <c r="E31" s="14" t="s">
        <v>1484</v>
      </c>
      <c r="F31" s="15" t="s">
        <v>1178</v>
      </c>
      <c r="G31" s="15" t="s">
        <v>1446</v>
      </c>
      <c r="H31" s="15"/>
    </row>
    <row r="32" spans="1:8" ht="17.149999999999999" customHeight="1" x14ac:dyDescent="0.35">
      <c r="A32" s="14"/>
      <c r="B32" s="14"/>
      <c r="C32" s="14"/>
      <c r="D32" s="14"/>
      <c r="E32" s="14"/>
      <c r="F32" s="15"/>
      <c r="G32" s="15"/>
      <c r="H32" s="15"/>
    </row>
    <row r="33" spans="1:8" ht="17.149999999999999" customHeight="1" x14ac:dyDescent="0.35">
      <c r="A33" s="14" t="s">
        <v>1174</v>
      </c>
      <c r="B33" s="14" t="s">
        <v>1347</v>
      </c>
      <c r="C33" s="14" t="s">
        <v>76</v>
      </c>
      <c r="D33" s="14" t="s">
        <v>208</v>
      </c>
      <c r="E33" s="14" t="s">
        <v>1484</v>
      </c>
      <c r="F33" s="15" t="s">
        <v>666</v>
      </c>
      <c r="G33" s="15" t="s">
        <v>1446</v>
      </c>
      <c r="H33" s="15"/>
    </row>
    <row r="34" spans="1:8" ht="17.149999999999999" customHeight="1" x14ac:dyDescent="0.35">
      <c r="A34" s="22"/>
      <c r="B34" s="22"/>
      <c r="C34" s="22"/>
      <c r="D34" s="22"/>
      <c r="E34" s="22"/>
      <c r="F34" s="23"/>
      <c r="G34" s="23"/>
      <c r="H34" s="23"/>
    </row>
    <row r="35" spans="1:8" ht="17.149999999999999" customHeight="1" x14ac:dyDescent="0.35">
      <c r="A35" s="14" t="s">
        <v>1153</v>
      </c>
      <c r="B35" s="14" t="s">
        <v>1433</v>
      </c>
      <c r="C35" s="14" t="s">
        <v>76</v>
      </c>
      <c r="D35" s="14" t="s">
        <v>78</v>
      </c>
      <c r="E35" s="14" t="s">
        <v>1479</v>
      </c>
      <c r="F35" s="15" t="s">
        <v>1152</v>
      </c>
      <c r="G35" s="15" t="s">
        <v>1446</v>
      </c>
      <c r="H35" s="15" t="s">
        <v>1468</v>
      </c>
    </row>
    <row r="36" spans="1:8" ht="17.149999999999999" customHeight="1" x14ac:dyDescent="0.35">
      <c r="A36" s="14"/>
      <c r="B36" s="14"/>
      <c r="C36" s="14"/>
      <c r="D36" s="14"/>
      <c r="E36" s="14"/>
      <c r="F36" s="15"/>
      <c r="G36" s="15"/>
      <c r="H36" s="15"/>
    </row>
    <row r="37" spans="1:8" ht="17.149999999999999" customHeight="1" x14ac:dyDescent="0.35">
      <c r="A37" s="14" t="s">
        <v>1155</v>
      </c>
      <c r="B37" s="14" t="s">
        <v>1434</v>
      </c>
      <c r="C37" s="14" t="s">
        <v>76</v>
      </c>
      <c r="D37" s="14" t="s">
        <v>78</v>
      </c>
      <c r="E37" s="14" t="s">
        <v>1479</v>
      </c>
      <c r="F37" s="15" t="s">
        <v>1154</v>
      </c>
      <c r="G37" s="15" t="s">
        <v>1446</v>
      </c>
      <c r="H37" s="15"/>
    </row>
    <row r="38" spans="1:8" ht="17.149999999999999" customHeight="1" x14ac:dyDescent="0.35">
      <c r="A38" s="14" t="s">
        <v>1164</v>
      </c>
      <c r="B38" s="14" t="s">
        <v>1435</v>
      </c>
      <c r="C38" s="14" t="s">
        <v>76</v>
      </c>
      <c r="D38" s="14" t="s">
        <v>78</v>
      </c>
      <c r="E38" s="14" t="s">
        <v>1479</v>
      </c>
      <c r="F38" s="15" t="s">
        <v>1163</v>
      </c>
      <c r="G38" s="15" t="s">
        <v>1446</v>
      </c>
      <c r="H38" s="15"/>
    </row>
    <row r="39" spans="1:8" ht="17.149999999999999" customHeight="1" x14ac:dyDescent="0.35">
      <c r="A39" s="14" t="s">
        <v>1166</v>
      </c>
      <c r="B39" s="14" t="s">
        <v>1436</v>
      </c>
      <c r="C39" s="14" t="s">
        <v>76</v>
      </c>
      <c r="D39" s="14" t="s">
        <v>78</v>
      </c>
      <c r="E39" s="14" t="s">
        <v>1479</v>
      </c>
      <c r="F39" s="15" t="s">
        <v>1165</v>
      </c>
      <c r="G39" s="15" t="s">
        <v>1446</v>
      </c>
      <c r="H39" s="15"/>
    </row>
    <row r="40" spans="1:8" ht="17.149999999999999" customHeight="1" x14ac:dyDescent="0.35">
      <c r="A40" s="22"/>
      <c r="B40" s="22"/>
      <c r="C40" s="22"/>
      <c r="D40" s="22"/>
      <c r="E40" s="22"/>
      <c r="F40" s="23"/>
      <c r="G40" s="23"/>
      <c r="H40" s="23"/>
    </row>
    <row r="41" spans="1:8" ht="17.149999999999999" customHeight="1" x14ac:dyDescent="0.35">
      <c r="A41" s="14" t="s">
        <v>1186</v>
      </c>
      <c r="B41" s="14" t="s">
        <v>39</v>
      </c>
      <c r="C41" s="14" t="s">
        <v>254</v>
      </c>
      <c r="D41" s="14" t="s">
        <v>1463</v>
      </c>
      <c r="E41" s="14" t="s">
        <v>1484</v>
      </c>
      <c r="F41" s="15" t="s">
        <v>945</v>
      </c>
      <c r="G41" s="15" t="s">
        <v>1446</v>
      </c>
      <c r="H41" s="15" t="s">
        <v>1467</v>
      </c>
    </row>
    <row r="42" spans="1:8" ht="17.149999999999999" customHeight="1" x14ac:dyDescent="0.35">
      <c r="A42" s="14" t="s">
        <v>1196</v>
      </c>
      <c r="B42" s="14" t="s">
        <v>1197</v>
      </c>
      <c r="C42" s="14" t="s">
        <v>254</v>
      </c>
      <c r="D42" s="14" t="s">
        <v>1463</v>
      </c>
      <c r="E42" s="14" t="s">
        <v>1484</v>
      </c>
      <c r="F42" s="15" t="s">
        <v>1198</v>
      </c>
      <c r="G42" s="15" t="s">
        <v>1446</v>
      </c>
      <c r="H42" s="15"/>
    </row>
    <row r="43" spans="1:8" ht="17.149999999999999" customHeight="1" x14ac:dyDescent="0.35">
      <c r="A43" s="14" t="s">
        <v>1193</v>
      </c>
      <c r="B43" s="14" t="s">
        <v>1194</v>
      </c>
      <c r="C43" s="14" t="s">
        <v>254</v>
      </c>
      <c r="D43" s="14" t="s">
        <v>1463</v>
      </c>
      <c r="E43" s="14" t="s">
        <v>1484</v>
      </c>
      <c r="F43" s="15" t="s">
        <v>1195</v>
      </c>
      <c r="G43" s="15" t="s">
        <v>1446</v>
      </c>
      <c r="H43" s="15"/>
    </row>
    <row r="44" spans="1:8" ht="17.149999999999999" customHeight="1" x14ac:dyDescent="0.35">
      <c r="A44" s="14" t="s">
        <v>1180</v>
      </c>
      <c r="B44" s="14" t="s">
        <v>1181</v>
      </c>
      <c r="C44" s="14" t="s">
        <v>254</v>
      </c>
      <c r="D44" s="14" t="s">
        <v>1463</v>
      </c>
      <c r="E44" s="14" t="s">
        <v>1484</v>
      </c>
      <c r="F44" s="15" t="s">
        <v>1182</v>
      </c>
      <c r="G44" s="15" t="s">
        <v>1446</v>
      </c>
      <c r="H44" s="15"/>
    </row>
    <row r="45" spans="1:8" ht="17.149999999999999" customHeight="1" x14ac:dyDescent="0.35">
      <c r="A45" s="14" t="s">
        <v>1183</v>
      </c>
      <c r="B45" s="14" t="s">
        <v>1184</v>
      </c>
      <c r="C45" s="14" t="s">
        <v>254</v>
      </c>
      <c r="D45" s="14" t="s">
        <v>1463</v>
      </c>
      <c r="E45" s="14" t="s">
        <v>1484</v>
      </c>
      <c r="F45" s="15" t="s">
        <v>1185</v>
      </c>
      <c r="G45" s="15" t="s">
        <v>1446</v>
      </c>
      <c r="H45" s="15"/>
    </row>
    <row r="46" spans="1:8" ht="17.149999999999999" customHeight="1" x14ac:dyDescent="0.35">
      <c r="A46" s="14" t="s">
        <v>1199</v>
      </c>
      <c r="B46" s="14" t="s">
        <v>1200</v>
      </c>
      <c r="C46" s="14" t="s">
        <v>254</v>
      </c>
      <c r="D46" s="14" t="s">
        <v>1463</v>
      </c>
      <c r="E46" s="14" t="s">
        <v>1484</v>
      </c>
      <c r="F46" s="15" t="s">
        <v>1201</v>
      </c>
      <c r="G46" s="15" t="s">
        <v>1446</v>
      </c>
      <c r="H46" s="15"/>
    </row>
    <row r="47" spans="1:8" ht="17.149999999999999" customHeight="1" x14ac:dyDescent="0.35">
      <c r="A47" s="14" t="s">
        <v>1202</v>
      </c>
      <c r="B47" s="14" t="s">
        <v>1203</v>
      </c>
      <c r="C47" s="14" t="s">
        <v>254</v>
      </c>
      <c r="D47" s="14" t="s">
        <v>1463</v>
      </c>
      <c r="E47" s="14" t="s">
        <v>1484</v>
      </c>
      <c r="F47" s="15" t="s">
        <v>1204</v>
      </c>
      <c r="G47" s="15" t="s">
        <v>1446</v>
      </c>
      <c r="H47" s="15"/>
    </row>
    <row r="48" spans="1:8" ht="17.149999999999999" customHeight="1" x14ac:dyDescent="0.35">
      <c r="A48" s="14" t="s">
        <v>1205</v>
      </c>
      <c r="B48" s="14" t="s">
        <v>1206</v>
      </c>
      <c r="C48" s="14" t="s">
        <v>254</v>
      </c>
      <c r="D48" s="14" t="s">
        <v>1463</v>
      </c>
      <c r="E48" s="14" t="s">
        <v>1484</v>
      </c>
      <c r="F48" s="15" t="s">
        <v>1207</v>
      </c>
      <c r="G48" s="15" t="s">
        <v>1446</v>
      </c>
      <c r="H48" s="15"/>
    </row>
    <row r="49" spans="1:8" ht="17.149999999999999" customHeight="1" x14ac:dyDescent="0.35">
      <c r="A49" s="14" t="s">
        <v>1208</v>
      </c>
      <c r="B49" s="14" t="s">
        <v>1209</v>
      </c>
      <c r="C49" s="14" t="s">
        <v>254</v>
      </c>
      <c r="D49" s="14" t="s">
        <v>1463</v>
      </c>
      <c r="E49" s="14" t="s">
        <v>1484</v>
      </c>
      <c r="F49" s="15" t="s">
        <v>1210</v>
      </c>
      <c r="G49" s="15" t="s">
        <v>1446</v>
      </c>
      <c r="H49" s="15"/>
    </row>
    <row r="50" spans="1:8" ht="17.149999999999999" customHeight="1" x14ac:dyDescent="0.35">
      <c r="A50" s="14" t="s">
        <v>1187</v>
      </c>
      <c r="B50" s="14" t="s">
        <v>1188</v>
      </c>
      <c r="C50" s="14" t="s">
        <v>254</v>
      </c>
      <c r="D50" s="14" t="s">
        <v>1463</v>
      </c>
      <c r="E50" s="14" t="s">
        <v>1484</v>
      </c>
      <c r="F50" s="15" t="s">
        <v>1189</v>
      </c>
      <c r="G50" s="15" t="s">
        <v>1446</v>
      </c>
      <c r="H50" s="15"/>
    </row>
    <row r="51" spans="1:8" ht="17.149999999999999" customHeight="1" x14ac:dyDescent="0.35">
      <c r="A51" s="22"/>
      <c r="B51" s="22"/>
      <c r="C51" s="22"/>
      <c r="D51" s="22"/>
      <c r="E51" s="22"/>
      <c r="F51" s="23"/>
      <c r="G51" s="23"/>
      <c r="H51" s="23"/>
    </row>
    <row r="52" spans="1:8" ht="17.149999999999999" customHeight="1" x14ac:dyDescent="0.35">
      <c r="A52" s="14" t="s">
        <v>1222</v>
      </c>
      <c r="B52" s="14" t="s">
        <v>1347</v>
      </c>
      <c r="C52" s="14" t="s">
        <v>76</v>
      </c>
      <c r="D52" s="14" t="s">
        <v>78</v>
      </c>
      <c r="E52" s="14" t="s">
        <v>1484</v>
      </c>
      <c r="F52" s="15" t="s">
        <v>276</v>
      </c>
      <c r="G52" s="15" t="s">
        <v>1446</v>
      </c>
      <c r="H52" s="15" t="s">
        <v>1464</v>
      </c>
    </row>
    <row r="53" spans="1:8" ht="17.149999999999999" customHeight="1" x14ac:dyDescent="0.35">
      <c r="A53" s="14" t="s">
        <v>962</v>
      </c>
      <c r="B53" s="14" t="s">
        <v>747</v>
      </c>
      <c r="C53" s="14" t="s">
        <v>76</v>
      </c>
      <c r="D53" s="14" t="s">
        <v>78</v>
      </c>
      <c r="E53" s="14" t="s">
        <v>1484</v>
      </c>
      <c r="F53" s="15" t="s">
        <v>1223</v>
      </c>
      <c r="G53" s="15" t="s">
        <v>1446</v>
      </c>
      <c r="H53" s="15"/>
    </row>
    <row r="54" spans="1:8" ht="17.149999999999999" customHeight="1" x14ac:dyDescent="0.35">
      <c r="A54" s="14" t="s">
        <v>980</v>
      </c>
      <c r="B54" s="14" t="s">
        <v>979</v>
      </c>
      <c r="C54" s="14" t="s">
        <v>76</v>
      </c>
      <c r="D54" s="14" t="s">
        <v>78</v>
      </c>
      <c r="E54" s="14" t="s">
        <v>1484</v>
      </c>
      <c r="F54" s="15" t="s">
        <v>1227</v>
      </c>
      <c r="G54" s="15" t="s">
        <v>1446</v>
      </c>
      <c r="H54" s="15"/>
    </row>
    <row r="55" spans="1:8" ht="17.149999999999999" customHeight="1" x14ac:dyDescent="0.35">
      <c r="A55" s="14" t="s">
        <v>1213</v>
      </c>
      <c r="B55" s="14" t="s">
        <v>1214</v>
      </c>
      <c r="C55" s="14" t="s">
        <v>76</v>
      </c>
      <c r="D55" s="14" t="s">
        <v>78</v>
      </c>
      <c r="E55" s="14" t="s">
        <v>1484</v>
      </c>
      <c r="F55" s="15" t="s">
        <v>1215</v>
      </c>
      <c r="G55" s="15" t="s">
        <v>1446</v>
      </c>
      <c r="H55" s="15"/>
    </row>
    <row r="56" spans="1:8" ht="17.149999999999999" customHeight="1" x14ac:dyDescent="0.35">
      <c r="A56" s="14" t="s">
        <v>1216</v>
      </c>
      <c r="B56" s="14" t="s">
        <v>1217</v>
      </c>
      <c r="C56" s="14" t="s">
        <v>76</v>
      </c>
      <c r="D56" s="14" t="s">
        <v>78</v>
      </c>
      <c r="E56" s="14" t="s">
        <v>1505</v>
      </c>
      <c r="F56" s="15" t="s">
        <v>1218</v>
      </c>
      <c r="G56" s="15" t="s">
        <v>1446</v>
      </c>
      <c r="H56" s="15"/>
    </row>
    <row r="57" spans="1:8" ht="17.149999999999999" customHeight="1" x14ac:dyDescent="0.35">
      <c r="A57" s="22"/>
      <c r="B57" s="22"/>
      <c r="C57" s="22"/>
      <c r="D57" s="22"/>
      <c r="E57" s="22"/>
      <c r="F57" s="23"/>
      <c r="G57" s="23"/>
      <c r="H57" s="23"/>
    </row>
    <row r="58" spans="1:8" ht="17.149999999999999" customHeight="1" x14ac:dyDescent="0.35">
      <c r="A58" s="14" t="s">
        <v>1211</v>
      </c>
      <c r="B58" s="14" t="s">
        <v>44</v>
      </c>
      <c r="C58" s="14" t="s">
        <v>76</v>
      </c>
      <c r="D58" s="14" t="s">
        <v>78</v>
      </c>
      <c r="E58" s="14" t="s">
        <v>1484</v>
      </c>
      <c r="F58" s="15" t="s">
        <v>1212</v>
      </c>
      <c r="G58" s="15" t="s">
        <v>1446</v>
      </c>
      <c r="H58" s="15" t="s">
        <v>1465</v>
      </c>
    </row>
    <row r="59" spans="1:8" ht="17.149999999999999" customHeight="1" x14ac:dyDescent="0.35">
      <c r="A59" s="14" t="s">
        <v>1211</v>
      </c>
      <c r="B59" s="14" t="s">
        <v>44</v>
      </c>
      <c r="C59" s="14" t="s">
        <v>76</v>
      </c>
      <c r="D59" s="14" t="s">
        <v>78</v>
      </c>
      <c r="E59" s="14" t="s">
        <v>1484</v>
      </c>
      <c r="F59" s="15" t="s">
        <v>989</v>
      </c>
      <c r="G59" s="15" t="s">
        <v>1446</v>
      </c>
      <c r="H59" s="15"/>
    </row>
    <row r="60" spans="1:8" ht="17.149999999999999" customHeight="1" x14ac:dyDescent="0.35">
      <c r="A60" s="14" t="s">
        <v>1212</v>
      </c>
      <c r="B60" s="14" t="s">
        <v>44</v>
      </c>
      <c r="C60" s="14" t="s">
        <v>76</v>
      </c>
      <c r="D60" s="14" t="s">
        <v>78</v>
      </c>
      <c r="E60" s="14" t="s">
        <v>1484</v>
      </c>
      <c r="F60" s="15" t="s">
        <v>1226</v>
      </c>
      <c r="G60" s="15" t="s">
        <v>1446</v>
      </c>
      <c r="H60" s="15"/>
    </row>
    <row r="61" spans="1:8" ht="17.149999999999999" customHeight="1" x14ac:dyDescent="0.35">
      <c r="A61" s="14" t="s">
        <v>1228</v>
      </c>
      <c r="B61" s="14" t="s">
        <v>1036</v>
      </c>
      <c r="C61" s="14" t="s">
        <v>76</v>
      </c>
      <c r="D61" s="14" t="s">
        <v>78</v>
      </c>
      <c r="E61" s="14" t="s">
        <v>1484</v>
      </c>
      <c r="F61" s="15" t="s">
        <v>1229</v>
      </c>
      <c r="G61" s="15" t="s">
        <v>1446</v>
      </c>
      <c r="H61" s="15"/>
    </row>
    <row r="62" spans="1:8" ht="17.149999999999999" customHeight="1" x14ac:dyDescent="0.35">
      <c r="A62" s="14" t="s">
        <v>1219</v>
      </c>
      <c r="B62" s="14" t="s">
        <v>1220</v>
      </c>
      <c r="C62" s="14" t="s">
        <v>76</v>
      </c>
      <c r="D62" s="14" t="s">
        <v>78</v>
      </c>
      <c r="E62" s="14" t="s">
        <v>1505</v>
      </c>
      <c r="F62" s="15" t="s">
        <v>1221</v>
      </c>
      <c r="G62" s="15" t="s">
        <v>1446</v>
      </c>
      <c r="H62" s="15"/>
    </row>
    <row r="63" spans="1:8" ht="17.149999999999999" customHeight="1" x14ac:dyDescent="0.35">
      <c r="A63" s="14" t="s">
        <v>1224</v>
      </c>
      <c r="B63" s="14" t="s">
        <v>745</v>
      </c>
      <c r="C63" s="14" t="s">
        <v>76</v>
      </c>
      <c r="D63" s="14" t="s">
        <v>78</v>
      </c>
      <c r="E63" s="14" t="s">
        <v>1484</v>
      </c>
      <c r="F63" s="15" t="s">
        <v>1225</v>
      </c>
      <c r="G63" s="15" t="s">
        <v>1446</v>
      </c>
      <c r="H63" s="15"/>
    </row>
    <row r="64" spans="1:8" ht="17.149999999999999" customHeight="1" x14ac:dyDescent="0.35">
      <c r="A64" s="14" t="s">
        <v>1192</v>
      </c>
      <c r="B64" s="14" t="s">
        <v>1191</v>
      </c>
      <c r="C64" s="14" t="s">
        <v>76</v>
      </c>
      <c r="D64" s="14" t="s">
        <v>78</v>
      </c>
      <c r="E64" s="14" t="s">
        <v>1483</v>
      </c>
      <c r="F64" s="15" t="s">
        <v>1190</v>
      </c>
      <c r="G64" s="15" t="s">
        <v>1446</v>
      </c>
      <c r="H64" s="15"/>
    </row>
    <row r="65" spans="1:8" ht="17.149999999999999" customHeight="1" x14ac:dyDescent="0.35">
      <c r="A65" s="20"/>
      <c r="B65" s="20"/>
      <c r="C65" s="20" t="s">
        <v>1511</v>
      </c>
      <c r="D65" s="20"/>
      <c r="E65" s="20"/>
      <c r="F65" s="21"/>
      <c r="G65" s="21"/>
      <c r="H65" s="21"/>
    </row>
    <row r="66" spans="1:8" ht="17.149999999999999" customHeight="1" x14ac:dyDescent="0.35">
      <c r="A66" s="14" t="s">
        <v>1231</v>
      </c>
      <c r="B66" s="14" t="s">
        <v>1437</v>
      </c>
      <c r="C66" s="14" t="s">
        <v>76</v>
      </c>
      <c r="D66" s="14" t="s">
        <v>78</v>
      </c>
      <c r="E66" s="14" t="s">
        <v>1481</v>
      </c>
      <c r="F66" s="15" t="s">
        <v>1232</v>
      </c>
      <c r="G66" s="15" t="s">
        <v>1447</v>
      </c>
      <c r="H66" s="15" t="s">
        <v>1462</v>
      </c>
    </row>
    <row r="67" spans="1:8" ht="17.149999999999999" customHeight="1" x14ac:dyDescent="0.35">
      <c r="A67" s="14" t="s">
        <v>1233</v>
      </c>
      <c r="B67" s="14" t="s">
        <v>1438</v>
      </c>
      <c r="C67" s="14" t="s">
        <v>76</v>
      </c>
      <c r="D67" s="14" t="s">
        <v>78</v>
      </c>
      <c r="E67" s="14" t="s">
        <v>1481</v>
      </c>
      <c r="F67" s="15" t="s">
        <v>1234</v>
      </c>
      <c r="G67" s="15" t="s">
        <v>1447</v>
      </c>
      <c r="H67" s="15"/>
    </row>
    <row r="68" spans="1:8" ht="17.149999999999999" customHeight="1" x14ac:dyDescent="0.35">
      <c r="A68" s="20"/>
      <c r="B68" s="20"/>
      <c r="C68" s="20"/>
      <c r="D68" s="20"/>
      <c r="E68" s="20"/>
      <c r="F68" s="21"/>
      <c r="G68" s="21"/>
      <c r="H68" s="21"/>
    </row>
    <row r="69" spans="1:8" ht="17.149999999999999" customHeight="1" x14ac:dyDescent="0.35">
      <c r="A69" s="14" t="s">
        <v>265</v>
      </c>
      <c r="B69" s="14" t="s">
        <v>1370</v>
      </c>
      <c r="C69" s="14" t="s">
        <v>76</v>
      </c>
      <c r="D69" s="14" t="s">
        <v>78</v>
      </c>
      <c r="E69" s="14" t="s">
        <v>1487</v>
      </c>
      <c r="F69" s="15" t="s">
        <v>264</v>
      </c>
      <c r="G69" s="15" t="s">
        <v>1448</v>
      </c>
      <c r="H69" s="15" t="s">
        <v>1460</v>
      </c>
    </row>
    <row r="70" spans="1:8" ht="17.149999999999999" customHeight="1" x14ac:dyDescent="0.35">
      <c r="A70" s="14" t="s">
        <v>267</v>
      </c>
      <c r="B70" s="14" t="s">
        <v>1371</v>
      </c>
      <c r="C70" s="14" t="s">
        <v>76</v>
      </c>
      <c r="D70" s="14" t="s">
        <v>78</v>
      </c>
      <c r="E70" s="14" t="s">
        <v>1487</v>
      </c>
      <c r="F70" s="15" t="s">
        <v>266</v>
      </c>
      <c r="G70" s="15" t="s">
        <v>1448</v>
      </c>
      <c r="H70" s="15"/>
    </row>
    <row r="71" spans="1:8" ht="17.149999999999999" customHeight="1" x14ac:dyDescent="0.35">
      <c r="A71" s="14" t="s">
        <v>269</v>
      </c>
      <c r="B71" s="14" t="s">
        <v>1372</v>
      </c>
      <c r="C71" s="14" t="s">
        <v>76</v>
      </c>
      <c r="D71" s="14" t="s">
        <v>78</v>
      </c>
      <c r="E71" s="14" t="s">
        <v>1487</v>
      </c>
      <c r="F71" s="15" t="s">
        <v>268</v>
      </c>
      <c r="G71" s="15" t="s">
        <v>1448</v>
      </c>
      <c r="H71" s="15"/>
    </row>
    <row r="72" spans="1:8" ht="17.149999999999999" customHeight="1" x14ac:dyDescent="0.35">
      <c r="A72" s="14" t="s">
        <v>271</v>
      </c>
      <c r="B72" s="14" t="s">
        <v>1373</v>
      </c>
      <c r="C72" s="14" t="s">
        <v>76</v>
      </c>
      <c r="D72" s="14" t="s">
        <v>78</v>
      </c>
      <c r="E72" s="14" t="s">
        <v>1487</v>
      </c>
      <c r="F72" s="15" t="s">
        <v>270</v>
      </c>
      <c r="G72" s="15" t="s">
        <v>1448</v>
      </c>
      <c r="H72" s="15"/>
    </row>
    <row r="73" spans="1:8" ht="17.149999999999999" customHeight="1" x14ac:dyDescent="0.35">
      <c r="A73" s="14" t="s">
        <v>263</v>
      </c>
      <c r="B73" s="14" t="s">
        <v>262</v>
      </c>
      <c r="C73" s="14" t="s">
        <v>76</v>
      </c>
      <c r="D73" s="14" t="s">
        <v>78</v>
      </c>
      <c r="E73" s="14" t="s">
        <v>1487</v>
      </c>
      <c r="F73" s="15" t="s">
        <v>261</v>
      </c>
      <c r="G73" s="15" t="s">
        <v>1448</v>
      </c>
      <c r="H73" s="15"/>
    </row>
    <row r="74" spans="1:8" ht="17.149999999999999" customHeight="1" x14ac:dyDescent="0.35">
      <c r="A74" s="22"/>
      <c r="B74" s="22"/>
      <c r="C74" s="22"/>
      <c r="D74" s="22"/>
      <c r="E74" s="22"/>
      <c r="F74" s="23"/>
      <c r="G74" s="23"/>
      <c r="H74" s="23"/>
    </row>
    <row r="75" spans="1:8" ht="17.149999999999999" customHeight="1" x14ac:dyDescent="0.35">
      <c r="A75" s="14" t="s">
        <v>278</v>
      </c>
      <c r="B75" s="14" t="s">
        <v>1350</v>
      </c>
      <c r="C75" s="14" t="s">
        <v>76</v>
      </c>
      <c r="D75" s="14" t="s">
        <v>78</v>
      </c>
      <c r="E75" s="14" t="s">
        <v>1487</v>
      </c>
      <c r="F75" s="15" t="s">
        <v>165</v>
      </c>
      <c r="G75" s="15" t="s">
        <v>1448</v>
      </c>
      <c r="H75" s="15" t="s">
        <v>1461</v>
      </c>
    </row>
    <row r="76" spans="1:8" ht="17.149999999999999" customHeight="1" x14ac:dyDescent="0.35">
      <c r="A76" s="14" t="s">
        <v>279</v>
      </c>
      <c r="B76" s="14" t="s">
        <v>1351</v>
      </c>
      <c r="C76" s="14" t="s">
        <v>76</v>
      </c>
      <c r="D76" s="14" t="s">
        <v>78</v>
      </c>
      <c r="E76" s="14" t="s">
        <v>1487</v>
      </c>
      <c r="F76" s="15" t="s">
        <v>183</v>
      </c>
      <c r="G76" s="15" t="s">
        <v>1448</v>
      </c>
      <c r="H76" s="15"/>
    </row>
    <row r="77" spans="1:8" ht="17.149999999999999" customHeight="1" x14ac:dyDescent="0.35">
      <c r="A77" s="14" t="s">
        <v>280</v>
      </c>
      <c r="B77" s="14" t="s">
        <v>1352</v>
      </c>
      <c r="C77" s="14" t="s">
        <v>76</v>
      </c>
      <c r="D77" s="14" t="s">
        <v>78</v>
      </c>
      <c r="E77" s="14" t="s">
        <v>1487</v>
      </c>
      <c r="F77" s="15" t="s">
        <v>185</v>
      </c>
      <c r="G77" s="15" t="s">
        <v>1448</v>
      </c>
      <c r="H77" s="15"/>
    </row>
    <row r="78" spans="1:8" ht="17.149999999999999" customHeight="1" x14ac:dyDescent="0.35">
      <c r="A78" s="14" t="s">
        <v>281</v>
      </c>
      <c r="B78" s="14" t="s">
        <v>1353</v>
      </c>
      <c r="C78" s="14" t="s">
        <v>76</v>
      </c>
      <c r="D78" s="14" t="s">
        <v>78</v>
      </c>
      <c r="E78" s="14" t="s">
        <v>1487</v>
      </c>
      <c r="F78" s="15" t="s">
        <v>187</v>
      </c>
      <c r="G78" s="15" t="s">
        <v>1448</v>
      </c>
      <c r="H78" s="15"/>
    </row>
    <row r="79" spans="1:8" ht="17.149999999999999" customHeight="1" x14ac:dyDescent="0.35">
      <c r="A79" s="14" t="s">
        <v>257</v>
      </c>
      <c r="B79" s="14" t="s">
        <v>256</v>
      </c>
      <c r="C79" s="14" t="s">
        <v>76</v>
      </c>
      <c r="D79" s="14" t="s">
        <v>78</v>
      </c>
      <c r="E79" s="14" t="s">
        <v>1487</v>
      </c>
      <c r="F79" s="15" t="s">
        <v>255</v>
      </c>
      <c r="G79" s="15" t="s">
        <v>1448</v>
      </c>
      <c r="H79" s="15"/>
    </row>
    <row r="80" spans="1:8" ht="17.149999999999999" customHeight="1" x14ac:dyDescent="0.35">
      <c r="A80" s="14" t="s">
        <v>260</v>
      </c>
      <c r="B80" s="14" t="s">
        <v>259</v>
      </c>
      <c r="C80" s="14" t="s">
        <v>76</v>
      </c>
      <c r="D80" s="14" t="s">
        <v>78</v>
      </c>
      <c r="E80" s="14" t="s">
        <v>1487</v>
      </c>
      <c r="F80" s="15" t="s">
        <v>258</v>
      </c>
      <c r="G80" s="15" t="s">
        <v>1448</v>
      </c>
      <c r="H80" s="15"/>
    </row>
    <row r="81" spans="1:8" ht="17.149999999999999" customHeight="1" x14ac:dyDescent="0.35">
      <c r="A81" s="14" t="s">
        <v>284</v>
      </c>
      <c r="B81" s="14" t="s">
        <v>283</v>
      </c>
      <c r="C81" s="14" t="s">
        <v>76</v>
      </c>
      <c r="D81" s="14" t="s">
        <v>78</v>
      </c>
      <c r="E81" s="14" t="s">
        <v>1487</v>
      </c>
      <c r="F81" s="15" t="s">
        <v>282</v>
      </c>
      <c r="G81" s="15" t="s">
        <v>1448</v>
      </c>
      <c r="H81" s="15"/>
    </row>
    <row r="82" spans="1:8" ht="17.149999999999999" customHeight="1" x14ac:dyDescent="0.35">
      <c r="A82" s="14" t="s">
        <v>289</v>
      </c>
      <c r="B82" s="14" t="s">
        <v>286</v>
      </c>
      <c r="C82" s="14" t="s">
        <v>76</v>
      </c>
      <c r="D82" s="14" t="s">
        <v>78</v>
      </c>
      <c r="E82" s="14" t="s">
        <v>1487</v>
      </c>
      <c r="F82" s="15" t="s">
        <v>288</v>
      </c>
      <c r="G82" s="15" t="s">
        <v>1448</v>
      </c>
      <c r="H82" s="15"/>
    </row>
    <row r="83" spans="1:8" ht="17.149999999999999" customHeight="1" x14ac:dyDescent="0.35">
      <c r="A83" s="14" t="s">
        <v>287</v>
      </c>
      <c r="B83" s="14" t="s">
        <v>286</v>
      </c>
      <c r="C83" s="14" t="s">
        <v>76</v>
      </c>
      <c r="D83" s="14" t="s">
        <v>78</v>
      </c>
      <c r="E83" s="14" t="s">
        <v>1487</v>
      </c>
      <c r="F83" s="15" t="s">
        <v>285</v>
      </c>
      <c r="G83" s="15" t="s">
        <v>1448</v>
      </c>
      <c r="H83" s="15"/>
    </row>
    <row r="84" spans="1:8" ht="17.149999999999999" customHeight="1" x14ac:dyDescent="0.35">
      <c r="A84" s="22"/>
      <c r="B84" s="22"/>
      <c r="C84" s="22"/>
      <c r="D84" s="22"/>
      <c r="E84" s="22"/>
      <c r="F84" s="23"/>
      <c r="G84" s="23"/>
      <c r="H84" s="23"/>
    </row>
    <row r="85" spans="1:8" ht="17.149999999999999" customHeight="1" x14ac:dyDescent="0.35">
      <c r="A85" s="14" t="s">
        <v>276</v>
      </c>
      <c r="B85" s="14" t="s">
        <v>1347</v>
      </c>
      <c r="C85" s="14" t="s">
        <v>76</v>
      </c>
      <c r="D85" s="14" t="s">
        <v>78</v>
      </c>
      <c r="E85" s="14" t="s">
        <v>1487</v>
      </c>
      <c r="F85" s="15" t="s">
        <v>124</v>
      </c>
      <c r="G85" s="15" t="s">
        <v>1448</v>
      </c>
      <c r="H85" s="15" t="s">
        <v>1459</v>
      </c>
    </row>
    <row r="86" spans="1:8" ht="17.149999999999999" customHeight="1" x14ac:dyDescent="0.35">
      <c r="A86" s="14" t="s">
        <v>277</v>
      </c>
      <c r="B86" s="14" t="s">
        <v>44</v>
      </c>
      <c r="C86" s="14" t="s">
        <v>76</v>
      </c>
      <c r="D86" s="14" t="s">
        <v>78</v>
      </c>
      <c r="E86" s="14" t="s">
        <v>1487</v>
      </c>
      <c r="F86" s="15" t="s">
        <v>122</v>
      </c>
      <c r="G86" s="15" t="s">
        <v>1448</v>
      </c>
      <c r="H86" s="15"/>
    </row>
    <row r="87" spans="1:8" ht="17.149999999999999" customHeight="1" x14ac:dyDescent="0.35">
      <c r="A87" s="14"/>
      <c r="B87" s="14"/>
      <c r="C87" s="14"/>
      <c r="D87" s="14"/>
      <c r="E87" s="14"/>
      <c r="F87" s="15"/>
      <c r="G87" s="15"/>
      <c r="H87" s="15"/>
    </row>
    <row r="88" spans="1:8" ht="17.149999999999999" customHeight="1" x14ac:dyDescent="0.35">
      <c r="A88" s="14" t="s">
        <v>274</v>
      </c>
      <c r="B88" s="14" t="s">
        <v>273</v>
      </c>
      <c r="C88" s="14" t="s">
        <v>76</v>
      </c>
      <c r="D88" s="14" t="s">
        <v>78</v>
      </c>
      <c r="E88" s="14" t="s">
        <v>1487</v>
      </c>
      <c r="F88" s="15" t="s">
        <v>272</v>
      </c>
      <c r="G88" s="15" t="s">
        <v>1448</v>
      </c>
      <c r="H88" s="15"/>
    </row>
    <row r="89" spans="1:8" ht="17.149999999999999" customHeight="1" x14ac:dyDescent="0.35">
      <c r="A89" s="14"/>
      <c r="B89" s="14"/>
      <c r="C89" s="14"/>
      <c r="D89" s="14"/>
      <c r="E89" s="14"/>
      <c r="F89" s="15"/>
      <c r="G89" s="15"/>
      <c r="H89" s="15"/>
    </row>
    <row r="90" spans="1:8" ht="17.149999999999999" customHeight="1" x14ac:dyDescent="0.35">
      <c r="A90" s="14" t="s">
        <v>275</v>
      </c>
      <c r="B90" s="14" t="s">
        <v>1347</v>
      </c>
      <c r="C90" s="14" t="s">
        <v>76</v>
      </c>
      <c r="D90" s="14" t="s">
        <v>87</v>
      </c>
      <c r="E90" s="14" t="s">
        <v>1487</v>
      </c>
      <c r="F90" s="15" t="s">
        <v>107</v>
      </c>
      <c r="G90" s="15" t="s">
        <v>1448</v>
      </c>
      <c r="H90" s="15"/>
    </row>
    <row r="91" spans="1:8" ht="17.149999999999999" customHeight="1" x14ac:dyDescent="0.35">
      <c r="A91" s="20"/>
      <c r="B91" s="20"/>
      <c r="C91" s="20"/>
      <c r="D91" s="20"/>
      <c r="E91" s="20"/>
      <c r="F91" s="21"/>
      <c r="G91" s="21"/>
      <c r="H91" s="21"/>
    </row>
    <row r="92" spans="1:8" ht="16.5" customHeight="1" x14ac:dyDescent="0.35">
      <c r="A92" s="14" t="s">
        <v>1189</v>
      </c>
      <c r="B92" s="14" t="s">
        <v>1188</v>
      </c>
      <c r="C92" s="24" t="s">
        <v>76</v>
      </c>
      <c r="D92" s="24" t="s">
        <v>78</v>
      </c>
      <c r="E92" s="14"/>
      <c r="F92" s="15" t="s">
        <v>1230</v>
      </c>
      <c r="G92" s="15" t="s">
        <v>1446</v>
      </c>
      <c r="H92" s="15"/>
    </row>
  </sheetData>
  <sortState xmlns:xlrd2="http://schemas.microsoft.com/office/spreadsheetml/2017/richdata2" ref="A52:H64">
    <sortCondition sortBy="cellColor" ref="A52:A64" dxfId="35"/>
    <sortCondition descending="1" ref="D52:D64"/>
    <sortCondition ref="B52:B6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5:G39 A41:G50">
    <cfRule type="containsText" dxfId="20" priority="10" operator="containsText" text=":A2">
      <formula>NOT(ISERROR(SEARCH(":A2",A35)))</formula>
    </cfRule>
    <cfRule type="containsText" dxfId="19" priority="11" operator="containsText" text=":A1">
      <formula>NOT(ISERROR(SEARCH(":A1",A35)))</formula>
    </cfRule>
  </conditionalFormatting>
  <conditionalFormatting sqref="A52:H64">
    <cfRule type="containsText" dxfId="18" priority="7" operator="containsText" text=":18">
      <formula>NOT(ISERROR(SEARCH(":18",A52)))</formula>
    </cfRule>
    <cfRule type="containsText" dxfId="17" priority="8" operator="containsText" text=":16">
      <formula>NOT(ISERROR(SEARCH(":16",A52)))</formula>
    </cfRule>
    <cfRule type="containsText" dxfId="16" priority="9" operator="containsText" text=":A2">
      <formula>NOT(ISERROR(SEARCH(":A2",A52)))</formula>
    </cfRule>
  </conditionalFormatting>
  <conditionalFormatting sqref="A69:H83">
    <cfRule type="containsText" dxfId="15" priority="13" operator="containsText" text=":A8">
      <formula>NOT(ISERROR(SEARCH(":A8",A69)))</formula>
    </cfRule>
    <cfRule type="containsText" dxfId="14" priority="14" operator="containsText" text=":A6">
      <formula>NOT(ISERROR(SEARCH(":A6",A69)))</formula>
    </cfRule>
    <cfRule type="containsText" dxfId="13" priority="15" operator="containsText" text=":A2">
      <formula>NOT(ISERROR(SEARCH(":A2",A69)))</formula>
    </cfRule>
  </conditionalFormatting>
  <conditionalFormatting sqref="C1:C1048576">
    <cfRule type="containsText" dxfId="12" priority="12" operator="containsText" text="RED">
      <formula>NOT(ISERROR(SEARCH("RED",C1)))</formula>
    </cfRule>
  </conditionalFormatting>
  <conditionalFormatting sqref="E85:E88">
    <cfRule type="containsText" dxfId="11" priority="4" operator="containsText" text=":A8">
      <formula>NOT(ISERROR(SEARCH(":A8",E85)))</formula>
    </cfRule>
    <cfRule type="containsText" dxfId="10" priority="5" operator="containsText" text=":A6">
      <formula>NOT(ISERROR(SEARCH(":A6",E85)))</formula>
    </cfRule>
    <cfRule type="containsText" dxfId="9" priority="6" operator="containsText" text=":A2">
      <formula>NOT(ISERROR(SEARCH(":A2",E85)))</formula>
    </cfRule>
  </conditionalFormatting>
  <conditionalFormatting sqref="E90:E92">
    <cfRule type="containsText" dxfId="8" priority="1" operator="containsText" text=":A8">
      <formula>NOT(ISERROR(SEARCH(":A8",E90)))</formula>
    </cfRule>
    <cfRule type="containsText" dxfId="7" priority="2" operator="containsText" text=":A6">
      <formula>NOT(ISERROR(SEARCH(":A6",E90)))</formula>
    </cfRule>
    <cfRule type="containsText" dxfId="6" priority="3" operator="containsText" text=":A2">
      <formula>NOT(ISERROR(SEARCH(":A2",E90)))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0519-933C-4905-8434-82A2D77315B6}">
  <sheetPr>
    <tabColor rgb="FF7030A0"/>
  </sheetPr>
  <dimension ref="A1:H61"/>
  <sheetViews>
    <sheetView showGridLines="0" topLeftCell="A20" workbookViewId="0">
      <selection activeCell="A44" sqref="A43:XFD44"/>
    </sheetView>
  </sheetViews>
  <sheetFormatPr defaultRowHeight="17.149999999999999" customHeight="1" x14ac:dyDescent="0.35"/>
  <cols>
    <col min="1" max="1" width="12" style="10" bestFit="1" customWidth="1"/>
    <col min="2" max="2" width="10.179687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2.453125" style="10" bestFit="1" customWidth="1"/>
    <col min="7" max="7" width="11.54296875" bestFit="1" customWidth="1"/>
    <col min="8" max="8" width="10.81640625" bestFit="1" customWidth="1"/>
  </cols>
  <sheetData>
    <row r="1" spans="1:8" ht="18" customHeight="1" x14ac:dyDescent="0.35">
      <c r="A1" s="32" t="s">
        <v>15</v>
      </c>
      <c r="B1" s="32"/>
      <c r="C1" s="32"/>
      <c r="D1" s="32"/>
    </row>
    <row r="2" spans="1:8" ht="12" customHeight="1" x14ac:dyDescent="0.35">
      <c r="A2" s="33"/>
      <c r="B2" s="33"/>
      <c r="C2" s="33"/>
      <c r="D2" s="33"/>
    </row>
    <row r="3" spans="1:8" ht="12.75" customHeight="1" x14ac:dyDescent="0.35">
      <c r="A3" s="2" t="s">
        <v>1</v>
      </c>
      <c r="B3" s="29" t="s">
        <v>2</v>
      </c>
      <c r="C3" s="29"/>
      <c r="D3" s="29"/>
    </row>
    <row r="4" spans="1:8" ht="12" customHeight="1" x14ac:dyDescent="0.35">
      <c r="A4" s="2" t="s">
        <v>3</v>
      </c>
      <c r="B4" s="29" t="s">
        <v>4</v>
      </c>
      <c r="C4" s="29"/>
      <c r="D4" s="29"/>
    </row>
    <row r="5" spans="1:8" ht="12.75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2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2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1267</v>
      </c>
      <c r="B14" s="14" t="s">
        <v>1268</v>
      </c>
      <c r="C14" s="14" t="s">
        <v>76</v>
      </c>
      <c r="D14" s="14" t="s">
        <v>78</v>
      </c>
      <c r="E14" s="14" t="s">
        <v>1482</v>
      </c>
      <c r="F14" s="15" t="s">
        <v>1269</v>
      </c>
      <c r="G14" s="15" t="s">
        <v>1447</v>
      </c>
      <c r="H14" s="15" t="s">
        <v>1470</v>
      </c>
    </row>
    <row r="15" spans="1:8" ht="17.149999999999999" customHeight="1" x14ac:dyDescent="0.35">
      <c r="A15" s="14" t="s">
        <v>1270</v>
      </c>
      <c r="B15" s="14" t="s">
        <v>1271</v>
      </c>
      <c r="C15" s="14" t="s">
        <v>76</v>
      </c>
      <c r="D15" s="14" t="s">
        <v>78</v>
      </c>
      <c r="E15" s="14" t="s">
        <v>1482</v>
      </c>
      <c r="F15" s="15" t="s">
        <v>1272</v>
      </c>
      <c r="G15" s="15" t="s">
        <v>1447</v>
      </c>
      <c r="H15" s="15"/>
    </row>
    <row r="16" spans="1:8" ht="17.149999999999999" customHeight="1" x14ac:dyDescent="0.35">
      <c r="A16" s="14" t="s">
        <v>1279</v>
      </c>
      <c r="B16" s="14" t="s">
        <v>1280</v>
      </c>
      <c r="C16" s="14" t="s">
        <v>76</v>
      </c>
      <c r="D16" s="14" t="s">
        <v>78</v>
      </c>
      <c r="E16" s="14" t="s">
        <v>1482</v>
      </c>
      <c r="F16" s="15" t="s">
        <v>1281</v>
      </c>
      <c r="G16" s="15" t="s">
        <v>1447</v>
      </c>
      <c r="H16" s="15"/>
    </row>
    <row r="17" spans="1:8" ht="17.149999999999999" customHeight="1" x14ac:dyDescent="0.35">
      <c r="A17" s="14" t="s">
        <v>1282</v>
      </c>
      <c r="B17" s="14" t="s">
        <v>1283</v>
      </c>
      <c r="C17" s="14" t="s">
        <v>76</v>
      </c>
      <c r="D17" s="14" t="s">
        <v>78</v>
      </c>
      <c r="E17" s="14" t="s">
        <v>1482</v>
      </c>
      <c r="F17" s="15" t="s">
        <v>1284</v>
      </c>
      <c r="G17" s="15" t="s">
        <v>1447</v>
      </c>
      <c r="H17" s="15"/>
    </row>
    <row r="18" spans="1:8" ht="17.149999999999999" customHeight="1" x14ac:dyDescent="0.35">
      <c r="A18" s="14" t="s">
        <v>1291</v>
      </c>
      <c r="B18" s="14" t="s">
        <v>1292</v>
      </c>
      <c r="C18" s="14" t="s">
        <v>76</v>
      </c>
      <c r="D18" s="14" t="s">
        <v>78</v>
      </c>
      <c r="E18" s="14" t="s">
        <v>1482</v>
      </c>
      <c r="F18" s="15" t="s">
        <v>1293</v>
      </c>
      <c r="G18" s="15" t="s">
        <v>1447</v>
      </c>
      <c r="H18" s="15"/>
    </row>
    <row r="19" spans="1:8" ht="17.149999999999999" customHeight="1" x14ac:dyDescent="0.35">
      <c r="A19" s="14" t="s">
        <v>1294</v>
      </c>
      <c r="B19" s="14" t="s">
        <v>1295</v>
      </c>
      <c r="C19" s="14" t="s">
        <v>76</v>
      </c>
      <c r="D19" s="14" t="s">
        <v>78</v>
      </c>
      <c r="E19" s="14" t="s">
        <v>1482</v>
      </c>
      <c r="F19" s="15" t="s">
        <v>1296</v>
      </c>
      <c r="G19" s="15" t="s">
        <v>1447</v>
      </c>
      <c r="H19" s="15"/>
    </row>
    <row r="20" spans="1:8" ht="17.149999999999999" customHeight="1" x14ac:dyDescent="0.35">
      <c r="A20" s="14" t="s">
        <v>1303</v>
      </c>
      <c r="B20" s="14" t="s">
        <v>1304</v>
      </c>
      <c r="C20" s="14" t="s">
        <v>76</v>
      </c>
      <c r="D20" s="14" t="s">
        <v>78</v>
      </c>
      <c r="E20" s="14" t="s">
        <v>1482</v>
      </c>
      <c r="F20" s="15" t="s">
        <v>1305</v>
      </c>
      <c r="G20" s="15" t="s">
        <v>1447</v>
      </c>
      <c r="H20" s="15"/>
    </row>
    <row r="21" spans="1:8" ht="17.149999999999999" customHeight="1" x14ac:dyDescent="0.35">
      <c r="A21" s="14" t="s">
        <v>1306</v>
      </c>
      <c r="B21" s="14" t="s">
        <v>1307</v>
      </c>
      <c r="C21" s="14" t="s">
        <v>76</v>
      </c>
      <c r="D21" s="14" t="s">
        <v>78</v>
      </c>
      <c r="E21" s="14" t="s">
        <v>1482</v>
      </c>
      <c r="F21" s="15" t="s">
        <v>1308</v>
      </c>
      <c r="G21" s="15" t="s">
        <v>1447</v>
      </c>
      <c r="H21" s="15"/>
    </row>
    <row r="22" spans="1:8" ht="17.149999999999999" customHeight="1" x14ac:dyDescent="0.35">
      <c r="A22" s="14" t="s">
        <v>1315</v>
      </c>
      <c r="B22" s="14" t="s">
        <v>1316</v>
      </c>
      <c r="C22" s="14" t="s">
        <v>76</v>
      </c>
      <c r="D22" s="14" t="s">
        <v>78</v>
      </c>
      <c r="E22" s="14" t="s">
        <v>1482</v>
      </c>
      <c r="F22" s="15" t="s">
        <v>1317</v>
      </c>
      <c r="G22" s="15" t="s">
        <v>1447</v>
      </c>
      <c r="H22" s="15"/>
    </row>
    <row r="23" spans="1:8" ht="17.149999999999999" customHeight="1" x14ac:dyDescent="0.35">
      <c r="A23" s="14" t="s">
        <v>1318</v>
      </c>
      <c r="B23" s="14" t="s">
        <v>1319</v>
      </c>
      <c r="C23" s="14" t="s">
        <v>76</v>
      </c>
      <c r="D23" s="14" t="s">
        <v>78</v>
      </c>
      <c r="E23" s="14" t="s">
        <v>1482</v>
      </c>
      <c r="F23" s="15" t="s">
        <v>1320</v>
      </c>
      <c r="G23" s="15" t="s">
        <v>1447</v>
      </c>
      <c r="H23" s="15"/>
    </row>
    <row r="24" spans="1:8" ht="17.149999999999999" customHeight="1" x14ac:dyDescent="0.35">
      <c r="A24" s="14" t="s">
        <v>1327</v>
      </c>
      <c r="B24" s="14" t="s">
        <v>1328</v>
      </c>
      <c r="C24" s="14" t="s">
        <v>76</v>
      </c>
      <c r="D24" s="14" t="s">
        <v>78</v>
      </c>
      <c r="E24" s="14" t="s">
        <v>1482</v>
      </c>
      <c r="F24" s="15" t="s">
        <v>1329</v>
      </c>
      <c r="G24" s="15" t="s">
        <v>1447</v>
      </c>
      <c r="H24" s="15"/>
    </row>
    <row r="25" spans="1:8" ht="17.149999999999999" customHeight="1" x14ac:dyDescent="0.35">
      <c r="A25" s="14" t="s">
        <v>1330</v>
      </c>
      <c r="B25" s="14" t="s">
        <v>1331</v>
      </c>
      <c r="C25" s="14" t="s">
        <v>76</v>
      </c>
      <c r="D25" s="14" t="s">
        <v>78</v>
      </c>
      <c r="E25" s="14" t="s">
        <v>1482</v>
      </c>
      <c r="F25" s="15" t="s">
        <v>1332</v>
      </c>
      <c r="G25" s="15" t="s">
        <v>1447</v>
      </c>
      <c r="H25" s="15"/>
    </row>
    <row r="26" spans="1:8" ht="17.149999999999999" customHeight="1" x14ac:dyDescent="0.35">
      <c r="A26" s="14" t="s">
        <v>1273</v>
      </c>
      <c r="B26" s="14" t="s">
        <v>1274</v>
      </c>
      <c r="C26" s="14" t="s">
        <v>76</v>
      </c>
      <c r="D26" s="14" t="s">
        <v>78</v>
      </c>
      <c r="E26" s="14" t="s">
        <v>1482</v>
      </c>
      <c r="F26" s="15" t="s">
        <v>1275</v>
      </c>
      <c r="G26" s="15" t="s">
        <v>1447</v>
      </c>
      <c r="H26" s="15"/>
    </row>
    <row r="27" spans="1:8" ht="17.149999999999999" customHeight="1" x14ac:dyDescent="0.35">
      <c r="A27" s="14" t="s">
        <v>1276</v>
      </c>
      <c r="B27" s="14" t="s">
        <v>1277</v>
      </c>
      <c r="C27" s="14" t="s">
        <v>76</v>
      </c>
      <c r="D27" s="14" t="s">
        <v>78</v>
      </c>
      <c r="E27" s="14" t="s">
        <v>1482</v>
      </c>
      <c r="F27" s="15" t="s">
        <v>1278</v>
      </c>
      <c r="G27" s="15" t="s">
        <v>1447</v>
      </c>
      <c r="H27" s="15"/>
    </row>
    <row r="28" spans="1:8" ht="17.149999999999999" customHeight="1" x14ac:dyDescent="0.35">
      <c r="A28" s="14" t="s">
        <v>1285</v>
      </c>
      <c r="B28" s="14" t="s">
        <v>1286</v>
      </c>
      <c r="C28" s="14" t="s">
        <v>76</v>
      </c>
      <c r="D28" s="14" t="s">
        <v>78</v>
      </c>
      <c r="E28" s="14" t="s">
        <v>1482</v>
      </c>
      <c r="F28" s="15" t="s">
        <v>1287</v>
      </c>
      <c r="G28" s="15" t="s">
        <v>1447</v>
      </c>
      <c r="H28" s="15"/>
    </row>
    <row r="29" spans="1:8" ht="17.149999999999999" customHeight="1" x14ac:dyDescent="0.35">
      <c r="A29" s="14" t="s">
        <v>1288</v>
      </c>
      <c r="B29" s="14" t="s">
        <v>1289</v>
      </c>
      <c r="C29" s="14" t="s">
        <v>76</v>
      </c>
      <c r="D29" s="14" t="s">
        <v>78</v>
      </c>
      <c r="E29" s="14" t="s">
        <v>1482</v>
      </c>
      <c r="F29" s="15" t="s">
        <v>1290</v>
      </c>
      <c r="G29" s="15" t="s">
        <v>1447</v>
      </c>
      <c r="H29" s="15"/>
    </row>
    <row r="30" spans="1:8" ht="17.149999999999999" customHeight="1" x14ac:dyDescent="0.35">
      <c r="A30" s="14" t="s">
        <v>1297</v>
      </c>
      <c r="B30" s="14" t="s">
        <v>1298</v>
      </c>
      <c r="C30" s="14" t="s">
        <v>76</v>
      </c>
      <c r="D30" s="14" t="s">
        <v>78</v>
      </c>
      <c r="E30" s="14" t="s">
        <v>1482</v>
      </c>
      <c r="F30" s="15" t="s">
        <v>1299</v>
      </c>
      <c r="G30" s="15" t="s">
        <v>1447</v>
      </c>
      <c r="H30" s="15"/>
    </row>
    <row r="31" spans="1:8" ht="17.149999999999999" customHeight="1" x14ac:dyDescent="0.35">
      <c r="A31" s="14" t="s">
        <v>1300</v>
      </c>
      <c r="B31" s="14" t="s">
        <v>1301</v>
      </c>
      <c r="C31" s="14" t="s">
        <v>76</v>
      </c>
      <c r="D31" s="14" t="s">
        <v>78</v>
      </c>
      <c r="E31" s="14" t="s">
        <v>1482</v>
      </c>
      <c r="F31" s="15" t="s">
        <v>1302</v>
      </c>
      <c r="G31" s="15" t="s">
        <v>1447</v>
      </c>
      <c r="H31" s="15"/>
    </row>
    <row r="32" spans="1:8" ht="17.149999999999999" customHeight="1" x14ac:dyDescent="0.35">
      <c r="A32" s="14" t="s">
        <v>1309</v>
      </c>
      <c r="B32" s="14" t="s">
        <v>1310</v>
      </c>
      <c r="C32" s="14" t="s">
        <v>76</v>
      </c>
      <c r="D32" s="14" t="s">
        <v>78</v>
      </c>
      <c r="E32" s="14" t="s">
        <v>1482</v>
      </c>
      <c r="F32" s="15" t="s">
        <v>1311</v>
      </c>
      <c r="G32" s="15" t="s">
        <v>1447</v>
      </c>
      <c r="H32" s="15"/>
    </row>
    <row r="33" spans="1:8" ht="17.149999999999999" customHeight="1" x14ac:dyDescent="0.35">
      <c r="A33" s="14" t="s">
        <v>1312</v>
      </c>
      <c r="B33" s="14" t="s">
        <v>1313</v>
      </c>
      <c r="C33" s="14" t="s">
        <v>76</v>
      </c>
      <c r="D33" s="14" t="s">
        <v>78</v>
      </c>
      <c r="E33" s="14" t="s">
        <v>1482</v>
      </c>
      <c r="F33" s="15" t="s">
        <v>1314</v>
      </c>
      <c r="G33" s="15" t="s">
        <v>1447</v>
      </c>
      <c r="H33" s="15"/>
    </row>
    <row r="34" spans="1:8" ht="17.149999999999999" customHeight="1" x14ac:dyDescent="0.35">
      <c r="A34" s="14" t="s">
        <v>1321</v>
      </c>
      <c r="B34" s="14" t="s">
        <v>1322</v>
      </c>
      <c r="C34" s="14" t="s">
        <v>76</v>
      </c>
      <c r="D34" s="14" t="s">
        <v>78</v>
      </c>
      <c r="E34" s="14" t="s">
        <v>1482</v>
      </c>
      <c r="F34" s="15" t="s">
        <v>1323</v>
      </c>
      <c r="G34" s="15" t="s">
        <v>1447</v>
      </c>
      <c r="H34" s="15"/>
    </row>
    <row r="35" spans="1:8" ht="17.149999999999999" customHeight="1" x14ac:dyDescent="0.35">
      <c r="A35" s="14" t="s">
        <v>1324</v>
      </c>
      <c r="B35" s="14" t="s">
        <v>1325</v>
      </c>
      <c r="C35" s="14" t="s">
        <v>76</v>
      </c>
      <c r="D35" s="14" t="s">
        <v>78</v>
      </c>
      <c r="E35" s="14" t="s">
        <v>1482</v>
      </c>
      <c r="F35" s="15" t="s">
        <v>1326</v>
      </c>
      <c r="G35" s="15" t="s">
        <v>1447</v>
      </c>
      <c r="H35" s="15"/>
    </row>
    <row r="36" spans="1:8" ht="17.149999999999999" customHeight="1" x14ac:dyDescent="0.35">
      <c r="A36" s="22"/>
      <c r="B36" s="22"/>
      <c r="C36" s="22"/>
      <c r="D36" s="22"/>
      <c r="E36" s="22"/>
      <c r="F36" s="23"/>
      <c r="G36" s="23"/>
      <c r="H36" s="23"/>
    </row>
    <row r="37" spans="1:8" ht="17.149999999999999" customHeight="1" x14ac:dyDescent="0.35">
      <c r="A37" s="14" t="s">
        <v>1333</v>
      </c>
      <c r="B37" s="14" t="s">
        <v>1334</v>
      </c>
      <c r="C37" s="14" t="s">
        <v>76</v>
      </c>
      <c r="D37" s="14" t="s">
        <v>86</v>
      </c>
      <c r="E37" s="14" t="s">
        <v>1484</v>
      </c>
      <c r="F37" s="15" t="s">
        <v>1335</v>
      </c>
      <c r="G37" s="15" t="s">
        <v>1447</v>
      </c>
      <c r="H37" s="15" t="s">
        <v>1471</v>
      </c>
    </row>
    <row r="38" spans="1:8" ht="17.149999999999999" customHeight="1" x14ac:dyDescent="0.35">
      <c r="A38" s="14" t="s">
        <v>1336</v>
      </c>
      <c r="B38" s="14" t="s">
        <v>1337</v>
      </c>
      <c r="C38" s="14" t="s">
        <v>76</v>
      </c>
      <c r="D38" s="14" t="s">
        <v>86</v>
      </c>
      <c r="E38" s="14" t="s">
        <v>1484</v>
      </c>
      <c r="F38" s="15" t="s">
        <v>1338</v>
      </c>
      <c r="G38" s="15" t="s">
        <v>1447</v>
      </c>
      <c r="H38" s="15"/>
    </row>
    <row r="39" spans="1:8" ht="17.149999999999999" customHeight="1" x14ac:dyDescent="0.35">
      <c r="A39" s="14" t="s">
        <v>1339</v>
      </c>
      <c r="B39" s="14" t="s">
        <v>1340</v>
      </c>
      <c r="C39" s="14" t="s">
        <v>76</v>
      </c>
      <c r="D39" s="14" t="s">
        <v>86</v>
      </c>
      <c r="E39" s="14" t="s">
        <v>1508</v>
      </c>
      <c r="F39" s="15" t="s">
        <v>1341</v>
      </c>
      <c r="G39" s="15" t="s">
        <v>1447</v>
      </c>
      <c r="H39" s="15"/>
    </row>
    <row r="40" spans="1:8" ht="17.149999999999999" customHeight="1" x14ac:dyDescent="0.35">
      <c r="A40" s="14" t="s">
        <v>1342</v>
      </c>
      <c r="B40" s="14" t="s">
        <v>1343</v>
      </c>
      <c r="C40" s="14" t="s">
        <v>76</v>
      </c>
      <c r="D40" s="14" t="s">
        <v>86</v>
      </c>
      <c r="E40" s="14" t="s">
        <v>1508</v>
      </c>
      <c r="F40" s="15" t="s">
        <v>1344</v>
      </c>
      <c r="G40" s="15" t="s">
        <v>1447</v>
      </c>
      <c r="H40" s="15"/>
    </row>
    <row r="41" spans="1:8" ht="17.149999999999999" customHeight="1" x14ac:dyDescent="0.35">
      <c r="A41" s="20"/>
      <c r="B41" s="20"/>
      <c r="C41" s="20"/>
      <c r="D41" s="20"/>
      <c r="E41" s="20"/>
      <c r="F41" s="21"/>
      <c r="G41" s="21"/>
      <c r="H41" s="21"/>
    </row>
    <row r="42" spans="1:8" ht="17.149999999999999" customHeight="1" x14ac:dyDescent="0.35">
      <c r="A42" s="14" t="s">
        <v>219</v>
      </c>
      <c r="B42" s="14" t="s">
        <v>1354</v>
      </c>
      <c r="C42" s="14" t="s">
        <v>76</v>
      </c>
      <c r="D42" s="14" t="s">
        <v>78</v>
      </c>
      <c r="E42" s="14" t="s">
        <v>1507</v>
      </c>
      <c r="F42" s="15" t="s">
        <v>218</v>
      </c>
      <c r="G42" s="15" t="s">
        <v>1448</v>
      </c>
      <c r="H42" s="15" t="s">
        <v>1472</v>
      </c>
    </row>
    <row r="43" spans="1:8" ht="17.149999999999999" customHeight="1" x14ac:dyDescent="0.35">
      <c r="A43" s="14" t="s">
        <v>221</v>
      </c>
      <c r="B43" s="14" t="s">
        <v>1355</v>
      </c>
      <c r="C43" s="14" t="s">
        <v>76</v>
      </c>
      <c r="D43" s="14" t="s">
        <v>78</v>
      </c>
      <c r="E43" s="14" t="s">
        <v>1507</v>
      </c>
      <c r="F43" s="15" t="s">
        <v>220</v>
      </c>
      <c r="G43" s="15" t="s">
        <v>1448</v>
      </c>
      <c r="H43" s="15"/>
    </row>
    <row r="44" spans="1:8" ht="17.149999999999999" customHeight="1" x14ac:dyDescent="0.35">
      <c r="A44" s="14" t="s">
        <v>250</v>
      </c>
      <c r="B44" s="14" t="s">
        <v>1350</v>
      </c>
      <c r="C44" s="14" t="s">
        <v>76</v>
      </c>
      <c r="D44" s="14" t="s">
        <v>78</v>
      </c>
      <c r="E44" s="14" t="s">
        <v>1507</v>
      </c>
      <c r="F44" s="15" t="s">
        <v>165</v>
      </c>
      <c r="G44" s="15" t="s">
        <v>1448</v>
      </c>
      <c r="H44" s="15"/>
    </row>
    <row r="45" spans="1:8" ht="17.149999999999999" customHeight="1" x14ac:dyDescent="0.35">
      <c r="A45" s="14" t="s">
        <v>223</v>
      </c>
      <c r="B45" s="14" t="s">
        <v>1356</v>
      </c>
      <c r="C45" s="14" t="s">
        <v>76</v>
      </c>
      <c r="D45" s="14" t="s">
        <v>78</v>
      </c>
      <c r="E45" s="14" t="s">
        <v>1507</v>
      </c>
      <c r="F45" s="15" t="s">
        <v>222</v>
      </c>
      <c r="G45" s="15" t="s">
        <v>1448</v>
      </c>
      <c r="H45" s="15"/>
    </row>
    <row r="46" spans="1:8" ht="17.149999999999999" customHeight="1" x14ac:dyDescent="0.35">
      <c r="A46" s="14" t="s">
        <v>225</v>
      </c>
      <c r="B46" s="14" t="s">
        <v>1357</v>
      </c>
      <c r="C46" s="14" t="s">
        <v>76</v>
      </c>
      <c r="D46" s="14" t="s">
        <v>78</v>
      </c>
      <c r="E46" s="14" t="s">
        <v>1507</v>
      </c>
      <c r="F46" s="15" t="s">
        <v>224</v>
      </c>
      <c r="G46" s="15" t="s">
        <v>1448</v>
      </c>
      <c r="H46" s="15"/>
    </row>
    <row r="47" spans="1:8" ht="17.149999999999999" customHeight="1" x14ac:dyDescent="0.35">
      <c r="A47" s="14" t="s">
        <v>227</v>
      </c>
      <c r="B47" s="14" t="s">
        <v>1358</v>
      </c>
      <c r="C47" s="14" t="s">
        <v>76</v>
      </c>
      <c r="D47" s="14" t="s">
        <v>78</v>
      </c>
      <c r="E47" s="14" t="s">
        <v>1507</v>
      </c>
      <c r="F47" s="15" t="s">
        <v>226</v>
      </c>
      <c r="G47" s="15" t="s">
        <v>1448</v>
      </c>
      <c r="H47" s="15"/>
    </row>
    <row r="48" spans="1:8" ht="17.149999999999999" customHeight="1" x14ac:dyDescent="0.35">
      <c r="A48" s="14" t="s">
        <v>229</v>
      </c>
      <c r="B48" s="14" t="s">
        <v>1359</v>
      </c>
      <c r="C48" s="14" t="s">
        <v>76</v>
      </c>
      <c r="D48" s="14" t="s">
        <v>78</v>
      </c>
      <c r="E48" s="14" t="s">
        <v>1507</v>
      </c>
      <c r="F48" s="15" t="s">
        <v>228</v>
      </c>
      <c r="G48" s="15" t="s">
        <v>1448</v>
      </c>
      <c r="H48" s="15"/>
    </row>
    <row r="49" spans="1:8" ht="17.149999999999999" customHeight="1" x14ac:dyDescent="0.35">
      <c r="A49" s="14" t="s">
        <v>231</v>
      </c>
      <c r="B49" s="14" t="s">
        <v>1360</v>
      </c>
      <c r="C49" s="14" t="s">
        <v>76</v>
      </c>
      <c r="D49" s="14" t="s">
        <v>78</v>
      </c>
      <c r="E49" s="14" t="s">
        <v>1507</v>
      </c>
      <c r="F49" s="15" t="s">
        <v>230</v>
      </c>
      <c r="G49" s="15" t="s">
        <v>1448</v>
      </c>
      <c r="H49" s="15"/>
    </row>
    <row r="50" spans="1:8" ht="17.149999999999999" customHeight="1" x14ac:dyDescent="0.35">
      <c r="A50" s="14" t="s">
        <v>233</v>
      </c>
      <c r="B50" s="14" t="s">
        <v>1361</v>
      </c>
      <c r="C50" s="14" t="s">
        <v>76</v>
      </c>
      <c r="D50" s="14" t="s">
        <v>78</v>
      </c>
      <c r="E50" s="14" t="s">
        <v>1507</v>
      </c>
      <c r="F50" s="15" t="s">
        <v>232</v>
      </c>
      <c r="G50" s="15" t="s">
        <v>1448</v>
      </c>
      <c r="H50" s="15"/>
    </row>
    <row r="51" spans="1:8" ht="17.149999999999999" customHeight="1" x14ac:dyDescent="0.35">
      <c r="A51" s="14" t="s">
        <v>235</v>
      </c>
      <c r="B51" s="14" t="s">
        <v>1362</v>
      </c>
      <c r="C51" s="14" t="s">
        <v>76</v>
      </c>
      <c r="D51" s="14" t="s">
        <v>78</v>
      </c>
      <c r="E51" s="14" t="s">
        <v>1507</v>
      </c>
      <c r="F51" s="15" t="s">
        <v>234</v>
      </c>
      <c r="G51" s="15" t="s">
        <v>1448</v>
      </c>
      <c r="H51" s="15"/>
    </row>
    <row r="52" spans="1:8" ht="17.149999999999999" customHeight="1" x14ac:dyDescent="0.35">
      <c r="A52" s="14" t="s">
        <v>237</v>
      </c>
      <c r="B52" s="14" t="s">
        <v>1363</v>
      </c>
      <c r="C52" s="14" t="s">
        <v>76</v>
      </c>
      <c r="D52" s="14" t="s">
        <v>78</v>
      </c>
      <c r="E52" s="14" t="s">
        <v>1507</v>
      </c>
      <c r="F52" s="15" t="s">
        <v>236</v>
      </c>
      <c r="G52" s="15" t="s">
        <v>1448</v>
      </c>
      <c r="H52" s="15"/>
    </row>
    <row r="53" spans="1:8" ht="17.149999999999999" customHeight="1" x14ac:dyDescent="0.35">
      <c r="A53" s="14" t="s">
        <v>239</v>
      </c>
      <c r="B53" s="14" t="s">
        <v>1364</v>
      </c>
      <c r="C53" s="14" t="s">
        <v>76</v>
      </c>
      <c r="D53" s="14" t="s">
        <v>78</v>
      </c>
      <c r="E53" s="14" t="s">
        <v>1507</v>
      </c>
      <c r="F53" s="15" t="s">
        <v>238</v>
      </c>
      <c r="G53" s="15" t="s">
        <v>1448</v>
      </c>
      <c r="H53" s="15"/>
    </row>
    <row r="54" spans="1:8" ht="17.149999999999999" customHeight="1" x14ac:dyDescent="0.35">
      <c r="A54" s="14" t="s">
        <v>241</v>
      </c>
      <c r="B54" s="14" t="s">
        <v>1365</v>
      </c>
      <c r="C54" s="14" t="s">
        <v>76</v>
      </c>
      <c r="D54" s="14" t="s">
        <v>78</v>
      </c>
      <c r="E54" s="14" t="s">
        <v>1507</v>
      </c>
      <c r="F54" s="15" t="s">
        <v>240</v>
      </c>
      <c r="G54" s="15" t="s">
        <v>1448</v>
      </c>
      <c r="H54" s="15"/>
    </row>
    <row r="55" spans="1:8" ht="17.149999999999999" customHeight="1" x14ac:dyDescent="0.35">
      <c r="A55" s="14" t="s">
        <v>243</v>
      </c>
      <c r="B55" s="14" t="s">
        <v>1366</v>
      </c>
      <c r="C55" s="14" t="s">
        <v>76</v>
      </c>
      <c r="D55" s="14" t="s">
        <v>78</v>
      </c>
      <c r="E55" s="14" t="s">
        <v>1507</v>
      </c>
      <c r="F55" s="15" t="s">
        <v>242</v>
      </c>
      <c r="G55" s="15" t="s">
        <v>1448</v>
      </c>
      <c r="H55" s="15"/>
    </row>
    <row r="56" spans="1:8" ht="17.149999999999999" customHeight="1" x14ac:dyDescent="0.35">
      <c r="A56" s="14" t="s">
        <v>251</v>
      </c>
      <c r="B56" s="14" t="s">
        <v>1351</v>
      </c>
      <c r="C56" s="14" t="s">
        <v>76</v>
      </c>
      <c r="D56" s="14" t="s">
        <v>78</v>
      </c>
      <c r="E56" s="14" t="s">
        <v>1507</v>
      </c>
      <c r="F56" s="15" t="s">
        <v>183</v>
      </c>
      <c r="G56" s="15" t="s">
        <v>1448</v>
      </c>
      <c r="H56" s="15"/>
    </row>
    <row r="57" spans="1:8" ht="17.149999999999999" customHeight="1" x14ac:dyDescent="0.35">
      <c r="A57" s="14" t="s">
        <v>252</v>
      </c>
      <c r="B57" s="14" t="s">
        <v>1352</v>
      </c>
      <c r="C57" s="14" t="s">
        <v>76</v>
      </c>
      <c r="D57" s="14" t="s">
        <v>78</v>
      </c>
      <c r="E57" s="14" t="s">
        <v>1507</v>
      </c>
      <c r="F57" s="15" t="s">
        <v>185</v>
      </c>
      <c r="G57" s="15" t="s">
        <v>1448</v>
      </c>
      <c r="H57" s="15"/>
    </row>
    <row r="58" spans="1:8" ht="17.149999999999999" customHeight="1" x14ac:dyDescent="0.35">
      <c r="A58" s="14" t="s">
        <v>253</v>
      </c>
      <c r="B58" s="14" t="s">
        <v>1353</v>
      </c>
      <c r="C58" s="14" t="s">
        <v>76</v>
      </c>
      <c r="D58" s="14" t="s">
        <v>78</v>
      </c>
      <c r="E58" s="14" t="s">
        <v>1507</v>
      </c>
      <c r="F58" s="15" t="s">
        <v>187</v>
      </c>
      <c r="G58" s="15" t="s">
        <v>1448</v>
      </c>
      <c r="H58" s="15"/>
    </row>
    <row r="59" spans="1:8" ht="17.149999999999999" customHeight="1" x14ac:dyDescent="0.35">
      <c r="A59" s="14" t="s">
        <v>245</v>
      </c>
      <c r="B59" s="14" t="s">
        <v>1367</v>
      </c>
      <c r="C59" s="14" t="s">
        <v>76</v>
      </c>
      <c r="D59" s="14" t="s">
        <v>78</v>
      </c>
      <c r="E59" s="14" t="s">
        <v>1507</v>
      </c>
      <c r="F59" s="15" t="s">
        <v>244</v>
      </c>
      <c r="G59" s="15" t="s">
        <v>1448</v>
      </c>
      <c r="H59" s="15"/>
    </row>
    <row r="60" spans="1:8" ht="17.149999999999999" customHeight="1" x14ac:dyDescent="0.35">
      <c r="A60" s="14" t="s">
        <v>247</v>
      </c>
      <c r="B60" s="14" t="s">
        <v>1368</v>
      </c>
      <c r="C60" s="14" t="s">
        <v>76</v>
      </c>
      <c r="D60" s="14" t="s">
        <v>78</v>
      </c>
      <c r="E60" s="14" t="s">
        <v>1507</v>
      </c>
      <c r="F60" s="15" t="s">
        <v>246</v>
      </c>
      <c r="G60" s="15" t="s">
        <v>1448</v>
      </c>
      <c r="H60" s="15"/>
    </row>
    <row r="61" spans="1:8" ht="17.149999999999999" customHeight="1" x14ac:dyDescent="0.35">
      <c r="A61" s="14" t="s">
        <v>249</v>
      </c>
      <c r="B61" s="14" t="s">
        <v>1369</v>
      </c>
      <c r="C61" s="14" t="s">
        <v>76</v>
      </c>
      <c r="D61" s="14" t="s">
        <v>78</v>
      </c>
      <c r="E61" s="14" t="s">
        <v>1507</v>
      </c>
      <c r="F61" s="15" t="s">
        <v>248</v>
      </c>
      <c r="G61" s="15" t="s">
        <v>1448</v>
      </c>
      <c r="H61" s="15"/>
    </row>
  </sheetData>
  <sortState xmlns:xlrd2="http://schemas.microsoft.com/office/spreadsheetml/2017/richdata2" ref="A14:H35">
    <sortCondition ref="B14:B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H40">
    <cfRule type="containsText" dxfId="5" priority="1" operator="containsText" text="uai6211">
      <formula>NOT(ISERROR(SEARCH("uai6211",A14)))</formula>
    </cfRule>
    <cfRule type="containsText" dxfId="4" priority="2" operator="containsText" text="uai6194">
      <formula>NOT(ISERROR(SEARCH("uai6194",A14)))</formula>
    </cfRule>
    <cfRule type="containsText" dxfId="3" priority="3" operator="containsText" text="uai6193">
      <formula>NOT(ISERROR(SEARCH("uai6193",A14)))</formula>
    </cfRule>
    <cfRule type="containsText" dxfId="2" priority="4" operator="containsText" text="uai6192">
      <formula>NOT(ISERROR(SEARCH("uai6192",A14)))</formula>
    </cfRule>
    <cfRule type="containsText" dxfId="1" priority="5" operator="containsText" text="uai6191">
      <formula>NOT(ISERROR(SEARCH("uai6191",A14)))</formula>
    </cfRule>
    <cfRule type="containsText" dxfId="0" priority="6" operator="containsText" text="uv0273">
      <formula>NOT(ISERROR(SEARCH("uv0273",A14)))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E618-6D95-4F39-9AA3-7EA369B2C3B5}">
  <sheetPr>
    <tabColor rgb="FF7030A0"/>
  </sheetPr>
  <dimension ref="A1:H78"/>
  <sheetViews>
    <sheetView showGridLines="0" workbookViewId="0">
      <selection activeCell="A44" sqref="A43:XFD44"/>
    </sheetView>
  </sheetViews>
  <sheetFormatPr defaultRowHeight="17.149999999999999" customHeight="1" x14ac:dyDescent="0.35"/>
  <cols>
    <col min="1" max="1" width="12.453125" style="10" bestFit="1" customWidth="1"/>
    <col min="2" max="2" width="10.269531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2.453125" style="10" bestFit="1" customWidth="1"/>
    <col min="7" max="8" width="11.54296875" bestFit="1" customWidth="1"/>
  </cols>
  <sheetData>
    <row r="1" spans="1:8" ht="18" customHeight="1" x14ac:dyDescent="0.35">
      <c r="A1" s="32" t="s">
        <v>1519</v>
      </c>
      <c r="B1" s="32"/>
      <c r="C1" s="32"/>
      <c r="D1" s="32"/>
    </row>
    <row r="2" spans="1:8" ht="12" customHeight="1" x14ac:dyDescent="0.35">
      <c r="A2" s="33"/>
      <c r="B2" s="33"/>
      <c r="C2" s="33"/>
      <c r="D2" s="33"/>
    </row>
    <row r="3" spans="1:8" ht="12.75" customHeight="1" x14ac:dyDescent="0.35">
      <c r="A3" s="2" t="s">
        <v>1</v>
      </c>
      <c r="B3" s="29" t="s">
        <v>2</v>
      </c>
      <c r="C3" s="29"/>
      <c r="D3" s="29"/>
    </row>
    <row r="4" spans="1:8" ht="12" customHeight="1" x14ac:dyDescent="0.35">
      <c r="A4" s="2" t="s">
        <v>3</v>
      </c>
      <c r="B4" s="29" t="s">
        <v>4</v>
      </c>
      <c r="C4" s="29"/>
      <c r="D4" s="29"/>
    </row>
    <row r="5" spans="1:8" ht="12.75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2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2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43.5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126</v>
      </c>
      <c r="B14" s="14" t="s">
        <v>127</v>
      </c>
      <c r="C14" s="14" t="s">
        <v>76</v>
      </c>
      <c r="D14" s="14" t="s">
        <v>78</v>
      </c>
      <c r="E14" s="14" t="s">
        <v>1508</v>
      </c>
      <c r="F14" s="15" t="s">
        <v>128</v>
      </c>
      <c r="G14" s="15" t="s">
        <v>1448</v>
      </c>
      <c r="H14" s="15" t="s">
        <v>1477</v>
      </c>
    </row>
    <row r="15" spans="1:8" ht="17.149999999999999" customHeight="1" x14ac:dyDescent="0.35">
      <c r="A15" s="14"/>
      <c r="B15" s="14"/>
      <c r="C15" s="14"/>
      <c r="D15" s="14"/>
      <c r="E15" s="14"/>
      <c r="F15" s="15"/>
      <c r="G15" s="15"/>
      <c r="H15" s="15"/>
    </row>
    <row r="16" spans="1:8" ht="17.149999999999999" customHeight="1" x14ac:dyDescent="0.35">
      <c r="A16" s="14" t="s">
        <v>136</v>
      </c>
      <c r="B16" s="14" t="s">
        <v>138</v>
      </c>
      <c r="C16" s="14" t="s">
        <v>76</v>
      </c>
      <c r="D16" s="14" t="s">
        <v>86</v>
      </c>
      <c r="E16" s="14" t="s">
        <v>1484</v>
      </c>
      <c r="F16" s="15" t="s">
        <v>139</v>
      </c>
      <c r="G16" s="15" t="s">
        <v>1448</v>
      </c>
      <c r="H16" s="15"/>
    </row>
    <row r="17" spans="1:8" ht="17.149999999999999" customHeight="1" x14ac:dyDescent="0.35">
      <c r="A17" s="14" t="s">
        <v>137</v>
      </c>
      <c r="B17" s="14" t="s">
        <v>140</v>
      </c>
      <c r="C17" s="14" t="s">
        <v>76</v>
      </c>
      <c r="D17" s="14" t="s">
        <v>86</v>
      </c>
      <c r="E17" s="14" t="s">
        <v>1484</v>
      </c>
      <c r="F17" s="15" t="s">
        <v>141</v>
      </c>
      <c r="G17" s="15" t="s">
        <v>1448</v>
      </c>
      <c r="H17" s="15"/>
    </row>
    <row r="18" spans="1:8" ht="17.149999999999999" customHeight="1" x14ac:dyDescent="0.35">
      <c r="A18" s="14" t="s">
        <v>130</v>
      </c>
      <c r="B18" s="14" t="s">
        <v>131</v>
      </c>
      <c r="C18" s="14" t="s">
        <v>76</v>
      </c>
      <c r="D18" s="14" t="s">
        <v>86</v>
      </c>
      <c r="E18" s="14" t="s">
        <v>1484</v>
      </c>
      <c r="F18" s="15" t="s">
        <v>132</v>
      </c>
      <c r="G18" s="15" t="s">
        <v>1448</v>
      </c>
      <c r="H18" s="15"/>
    </row>
    <row r="19" spans="1:8" ht="17.149999999999999" customHeight="1" x14ac:dyDescent="0.35">
      <c r="A19" s="14" t="s">
        <v>133</v>
      </c>
      <c r="B19" s="14" t="s">
        <v>134</v>
      </c>
      <c r="C19" s="14" t="s">
        <v>76</v>
      </c>
      <c r="D19" s="14" t="s">
        <v>86</v>
      </c>
      <c r="E19" s="14" t="s">
        <v>1484</v>
      </c>
      <c r="F19" s="15" t="s">
        <v>135</v>
      </c>
      <c r="G19" s="15" t="s">
        <v>1448</v>
      </c>
      <c r="H19" s="15"/>
    </row>
    <row r="20" spans="1:8" ht="17.149999999999999" customHeight="1" x14ac:dyDescent="0.35">
      <c r="A20" s="14"/>
      <c r="B20" s="14"/>
      <c r="C20" s="14"/>
      <c r="D20" s="14"/>
      <c r="E20" s="14"/>
      <c r="F20" s="15"/>
      <c r="G20" s="15"/>
      <c r="H20" s="15"/>
    </row>
    <row r="21" spans="1:8" ht="17.149999999999999" customHeight="1" x14ac:dyDescent="0.35">
      <c r="A21" s="14" t="s">
        <v>125</v>
      </c>
      <c r="B21" s="14" t="s">
        <v>1347</v>
      </c>
      <c r="C21" s="14" t="s">
        <v>76</v>
      </c>
      <c r="D21" s="14" t="s">
        <v>87</v>
      </c>
      <c r="E21" s="14" t="s">
        <v>1508</v>
      </c>
      <c r="F21" s="15" t="s">
        <v>105</v>
      </c>
      <c r="G21" s="15" t="s">
        <v>1448</v>
      </c>
      <c r="H21" s="15"/>
    </row>
    <row r="22" spans="1:8" ht="17.149999999999999" customHeight="1" x14ac:dyDescent="0.35">
      <c r="A22" s="14" t="s">
        <v>129</v>
      </c>
      <c r="B22" s="14" t="s">
        <v>1347</v>
      </c>
      <c r="C22" s="14" t="s">
        <v>76</v>
      </c>
      <c r="D22" s="14" t="s">
        <v>87</v>
      </c>
      <c r="E22" s="14" t="s">
        <v>1508</v>
      </c>
      <c r="F22" s="15" t="s">
        <v>105</v>
      </c>
      <c r="G22" s="15" t="s">
        <v>1448</v>
      </c>
      <c r="H22" s="15"/>
    </row>
    <row r="23" spans="1:8" ht="17.149999999999999" customHeight="1" x14ac:dyDescent="0.35">
      <c r="A23" s="14" t="s">
        <v>142</v>
      </c>
      <c r="B23" s="14" t="s">
        <v>1347</v>
      </c>
      <c r="C23" s="14" t="s">
        <v>76</v>
      </c>
      <c r="D23" s="14" t="s">
        <v>87</v>
      </c>
      <c r="E23" s="14" t="s">
        <v>1508</v>
      </c>
      <c r="F23" s="15" t="s">
        <v>105</v>
      </c>
      <c r="G23" s="15" t="s">
        <v>1448</v>
      </c>
      <c r="H23" s="15"/>
    </row>
    <row r="24" spans="1:8" ht="17.149999999999999" customHeight="1" x14ac:dyDescent="0.35">
      <c r="A24" s="14" t="s">
        <v>143</v>
      </c>
      <c r="B24" s="14" t="s">
        <v>1347</v>
      </c>
      <c r="C24" s="14" t="s">
        <v>76</v>
      </c>
      <c r="D24" s="14" t="s">
        <v>87</v>
      </c>
      <c r="E24" s="14" t="s">
        <v>1508</v>
      </c>
      <c r="F24" s="15" t="s">
        <v>105</v>
      </c>
      <c r="G24" s="15" t="s">
        <v>1448</v>
      </c>
      <c r="H24" s="15"/>
    </row>
    <row r="25" spans="1:8" ht="17.149999999999999" customHeight="1" x14ac:dyDescent="0.35">
      <c r="A25" s="14" t="s">
        <v>132</v>
      </c>
      <c r="B25" s="14" t="s">
        <v>1347</v>
      </c>
      <c r="C25" s="14" t="s">
        <v>76</v>
      </c>
      <c r="D25" s="14" t="s">
        <v>87</v>
      </c>
      <c r="E25" s="14" t="s">
        <v>1508</v>
      </c>
      <c r="F25" s="15" t="s">
        <v>104</v>
      </c>
      <c r="G25" s="15" t="s">
        <v>1448</v>
      </c>
      <c r="H25" s="15"/>
    </row>
    <row r="26" spans="1:8" ht="17.149999999999999" customHeight="1" x14ac:dyDescent="0.35">
      <c r="A26" s="22"/>
      <c r="B26" s="22"/>
      <c r="C26" s="22"/>
      <c r="D26" s="22"/>
      <c r="E26" s="22"/>
      <c r="F26" s="23"/>
      <c r="G26" s="23"/>
      <c r="H26" s="23"/>
    </row>
    <row r="27" spans="1:8" ht="17.149999999999999" customHeight="1" x14ac:dyDescent="0.35">
      <c r="A27" s="14" t="s">
        <v>146</v>
      </c>
      <c r="B27" s="14" t="s">
        <v>1349</v>
      </c>
      <c r="C27" s="14" t="s">
        <v>76</v>
      </c>
      <c r="D27" s="14" t="s">
        <v>78</v>
      </c>
      <c r="E27" s="14" t="s">
        <v>1484</v>
      </c>
      <c r="F27" s="15" t="s">
        <v>147</v>
      </c>
      <c r="G27" s="15" t="s">
        <v>1448</v>
      </c>
      <c r="H27" s="15" t="s">
        <v>1476</v>
      </c>
    </row>
    <row r="28" spans="1:8" ht="17.149999999999999" customHeight="1" x14ac:dyDescent="0.35">
      <c r="A28" s="14"/>
      <c r="B28" s="14"/>
      <c r="C28" s="14"/>
      <c r="D28" s="14"/>
      <c r="E28" s="14"/>
      <c r="F28" s="15"/>
      <c r="G28" s="15"/>
      <c r="H28" s="15"/>
    </row>
    <row r="29" spans="1:8" ht="17.149999999999999" customHeight="1" x14ac:dyDescent="0.35">
      <c r="A29" s="14" t="s">
        <v>148</v>
      </c>
      <c r="B29" s="14" t="s">
        <v>1347</v>
      </c>
      <c r="C29" s="14" t="s">
        <v>76</v>
      </c>
      <c r="D29" s="14" t="s">
        <v>87</v>
      </c>
      <c r="E29" s="14" t="s">
        <v>1482</v>
      </c>
      <c r="F29" s="15" t="s">
        <v>149</v>
      </c>
      <c r="G29" s="15" t="s">
        <v>1448</v>
      </c>
      <c r="H29" s="15"/>
    </row>
    <row r="30" spans="1:8" ht="17.149999999999999" customHeight="1" x14ac:dyDescent="0.35">
      <c r="A30" s="14" t="s">
        <v>144</v>
      </c>
      <c r="B30" s="14" t="s">
        <v>1347</v>
      </c>
      <c r="C30" s="14" t="s">
        <v>76</v>
      </c>
      <c r="D30" s="14" t="s">
        <v>87</v>
      </c>
      <c r="E30" s="14" t="s">
        <v>1482</v>
      </c>
      <c r="F30" s="15" t="s">
        <v>149</v>
      </c>
      <c r="G30" s="15" t="s">
        <v>1448</v>
      </c>
      <c r="H30" s="15"/>
    </row>
    <row r="31" spans="1:8" ht="17.149999999999999" customHeight="1" x14ac:dyDescent="0.35">
      <c r="A31" s="22"/>
      <c r="B31" s="22"/>
      <c r="C31" s="22"/>
      <c r="D31" s="22"/>
      <c r="E31" s="22"/>
      <c r="F31" s="23"/>
      <c r="G31" s="23"/>
      <c r="H31" s="23"/>
    </row>
    <row r="32" spans="1:8" ht="17.149999999999999" customHeight="1" x14ac:dyDescent="0.35">
      <c r="A32" s="14" t="s">
        <v>164</v>
      </c>
      <c r="B32" s="14" t="s">
        <v>1350</v>
      </c>
      <c r="C32" s="14" t="s">
        <v>76</v>
      </c>
      <c r="D32" s="14" t="s">
        <v>78</v>
      </c>
      <c r="E32" s="14" t="s">
        <v>1479</v>
      </c>
      <c r="F32" s="15" t="s">
        <v>165</v>
      </c>
      <c r="G32" s="15" t="s">
        <v>1448</v>
      </c>
      <c r="H32" s="15" t="s">
        <v>1475</v>
      </c>
    </row>
    <row r="33" spans="1:8" ht="17.149999999999999" customHeight="1" x14ac:dyDescent="0.35">
      <c r="A33" s="14" t="s">
        <v>166</v>
      </c>
      <c r="B33" s="14" t="s">
        <v>167</v>
      </c>
      <c r="C33" s="14" t="s">
        <v>76</v>
      </c>
      <c r="D33" s="14" t="s">
        <v>78</v>
      </c>
      <c r="E33" s="14" t="s">
        <v>1484</v>
      </c>
      <c r="F33" s="15" t="s">
        <v>168</v>
      </c>
      <c r="G33" s="15" t="s">
        <v>1448</v>
      </c>
      <c r="H33" s="15"/>
    </row>
    <row r="34" spans="1:8" ht="17.149999999999999" customHeight="1" x14ac:dyDescent="0.35">
      <c r="A34" s="14" t="s">
        <v>169</v>
      </c>
      <c r="B34" s="14" t="s">
        <v>170</v>
      </c>
      <c r="C34" s="14" t="s">
        <v>76</v>
      </c>
      <c r="D34" s="14" t="s">
        <v>78</v>
      </c>
      <c r="E34" s="14" t="s">
        <v>1484</v>
      </c>
      <c r="F34" s="15" t="s">
        <v>171</v>
      </c>
      <c r="G34" s="15" t="s">
        <v>1448</v>
      </c>
      <c r="H34" s="15"/>
    </row>
    <row r="35" spans="1:8" ht="17.149999999999999" customHeight="1" x14ac:dyDescent="0.35">
      <c r="A35" s="14" t="s">
        <v>154</v>
      </c>
      <c r="B35" s="14" t="s">
        <v>155</v>
      </c>
      <c r="C35" s="14" t="s">
        <v>76</v>
      </c>
      <c r="D35" s="14" t="s">
        <v>78</v>
      </c>
      <c r="E35" s="14" t="s">
        <v>1479</v>
      </c>
      <c r="F35" s="15" t="s">
        <v>156</v>
      </c>
      <c r="G35" s="15" t="s">
        <v>1448</v>
      </c>
      <c r="H35" s="15"/>
    </row>
    <row r="36" spans="1:8" ht="17.149999999999999" customHeight="1" x14ac:dyDescent="0.35">
      <c r="A36" s="14" t="s">
        <v>157</v>
      </c>
      <c r="B36" s="14" t="s">
        <v>158</v>
      </c>
      <c r="C36" s="14" t="s">
        <v>76</v>
      </c>
      <c r="D36" s="14" t="s">
        <v>78</v>
      </c>
      <c r="E36" s="14" t="s">
        <v>1479</v>
      </c>
      <c r="F36" s="15" t="s">
        <v>159</v>
      </c>
      <c r="G36" s="15" t="s">
        <v>1448</v>
      </c>
      <c r="H36" s="15"/>
    </row>
    <row r="37" spans="1:8" ht="17.149999999999999" customHeight="1" x14ac:dyDescent="0.35">
      <c r="A37" s="14" t="s">
        <v>160</v>
      </c>
      <c r="B37" s="14" t="s">
        <v>161</v>
      </c>
      <c r="C37" s="14" t="s">
        <v>76</v>
      </c>
      <c r="D37" s="14" t="s">
        <v>78</v>
      </c>
      <c r="E37" s="14" t="s">
        <v>1479</v>
      </c>
      <c r="F37" s="15" t="s">
        <v>162</v>
      </c>
      <c r="G37" s="15" t="s">
        <v>1448</v>
      </c>
      <c r="H37" s="15"/>
    </row>
    <row r="38" spans="1:8" ht="17.149999999999999" customHeight="1" x14ac:dyDescent="0.35">
      <c r="A38" s="14"/>
      <c r="B38" s="14"/>
      <c r="C38" s="14"/>
      <c r="D38" s="14"/>
      <c r="E38" s="14"/>
      <c r="F38" s="15"/>
      <c r="G38" s="15"/>
      <c r="H38" s="15"/>
    </row>
    <row r="39" spans="1:8" ht="17.149999999999999" customHeight="1" x14ac:dyDescent="0.35">
      <c r="A39" s="14" t="s">
        <v>163</v>
      </c>
      <c r="B39" s="14" t="s">
        <v>1347</v>
      </c>
      <c r="C39" s="14" t="s">
        <v>76</v>
      </c>
      <c r="D39" s="14" t="s">
        <v>87</v>
      </c>
      <c r="E39" s="14" t="s">
        <v>1482</v>
      </c>
      <c r="F39" s="15" t="s">
        <v>111</v>
      </c>
      <c r="G39" s="15" t="s">
        <v>1448</v>
      </c>
      <c r="H39" s="15"/>
    </row>
    <row r="40" spans="1:8" ht="17.149999999999999" customHeight="1" x14ac:dyDescent="0.35">
      <c r="A40" s="14" t="s">
        <v>172</v>
      </c>
      <c r="B40" s="14" t="s">
        <v>1347</v>
      </c>
      <c r="C40" s="14" t="s">
        <v>76</v>
      </c>
      <c r="D40" s="14" t="s">
        <v>87</v>
      </c>
      <c r="E40" s="14" t="s">
        <v>1508</v>
      </c>
      <c r="F40" s="15" t="s">
        <v>111</v>
      </c>
      <c r="G40" s="15" t="s">
        <v>1448</v>
      </c>
      <c r="H40" s="15"/>
    </row>
    <row r="41" spans="1:8" ht="17.149999999999999" customHeight="1" x14ac:dyDescent="0.35">
      <c r="A41" s="14" t="s">
        <v>168</v>
      </c>
      <c r="B41" s="14" t="s">
        <v>1347</v>
      </c>
      <c r="C41" s="14" t="s">
        <v>76</v>
      </c>
      <c r="D41" s="14" t="s">
        <v>87</v>
      </c>
      <c r="E41" s="14" t="s">
        <v>1482</v>
      </c>
      <c r="F41" s="15" t="s">
        <v>112</v>
      </c>
      <c r="G41" s="15" t="s">
        <v>1448</v>
      </c>
      <c r="H41" s="15"/>
    </row>
    <row r="42" spans="1:8" ht="17.149999999999999" customHeight="1" x14ac:dyDescent="0.35">
      <c r="A42" s="22"/>
      <c r="B42" s="22"/>
      <c r="C42" s="22"/>
      <c r="D42" s="22"/>
      <c r="E42" s="22"/>
      <c r="F42" s="23"/>
      <c r="G42" s="23"/>
      <c r="H42" s="23"/>
    </row>
    <row r="43" spans="1:8" ht="17.149999999999999" customHeight="1" x14ac:dyDescent="0.35">
      <c r="A43" s="14" t="s">
        <v>182</v>
      </c>
      <c r="B43" s="14" t="s">
        <v>1351</v>
      </c>
      <c r="C43" s="14" t="s">
        <v>76</v>
      </c>
      <c r="D43" s="14" t="s">
        <v>78</v>
      </c>
      <c r="E43" s="14" t="s">
        <v>1505</v>
      </c>
      <c r="F43" s="15" t="s">
        <v>183</v>
      </c>
      <c r="G43" s="15" t="s">
        <v>1448</v>
      </c>
      <c r="H43" s="15" t="s">
        <v>1474</v>
      </c>
    </row>
    <row r="44" spans="1:8" ht="17.149999999999999" customHeight="1" x14ac:dyDescent="0.35">
      <c r="A44" s="14" t="s">
        <v>184</v>
      </c>
      <c r="B44" s="14" t="s">
        <v>1352</v>
      </c>
      <c r="C44" s="14" t="s">
        <v>76</v>
      </c>
      <c r="D44" s="14" t="s">
        <v>78</v>
      </c>
      <c r="E44" s="14" t="s">
        <v>1505</v>
      </c>
      <c r="F44" s="15" t="s">
        <v>185</v>
      </c>
      <c r="G44" s="15" t="s">
        <v>1448</v>
      </c>
      <c r="H44" s="15"/>
    </row>
    <row r="45" spans="1:8" ht="17.149999999999999" customHeight="1" x14ac:dyDescent="0.35">
      <c r="A45" s="14" t="s">
        <v>186</v>
      </c>
      <c r="B45" s="14" t="s">
        <v>1353</v>
      </c>
      <c r="C45" s="14" t="s">
        <v>76</v>
      </c>
      <c r="D45" s="14" t="s">
        <v>78</v>
      </c>
      <c r="E45" s="14" t="s">
        <v>1505</v>
      </c>
      <c r="F45" s="15" t="s">
        <v>187</v>
      </c>
      <c r="G45" s="15" t="s">
        <v>1448</v>
      </c>
      <c r="H45" s="15"/>
    </row>
    <row r="46" spans="1:8" ht="17.149999999999999" customHeight="1" x14ac:dyDescent="0.35">
      <c r="A46" s="14" t="s">
        <v>175</v>
      </c>
      <c r="B46" s="14" t="s">
        <v>188</v>
      </c>
      <c r="C46" s="14" t="s">
        <v>76</v>
      </c>
      <c r="D46" s="14" t="s">
        <v>78</v>
      </c>
      <c r="E46" s="14" t="s">
        <v>1484</v>
      </c>
      <c r="F46" s="15" t="s">
        <v>189</v>
      </c>
      <c r="G46" s="15" t="s">
        <v>1448</v>
      </c>
      <c r="H46" s="15"/>
    </row>
    <row r="47" spans="1:8" ht="17.149999999999999" customHeight="1" x14ac:dyDescent="0.35">
      <c r="A47" s="14" t="s">
        <v>179</v>
      </c>
      <c r="B47" s="14" t="s">
        <v>190</v>
      </c>
      <c r="C47" s="14" t="s">
        <v>76</v>
      </c>
      <c r="D47" s="14" t="s">
        <v>78</v>
      </c>
      <c r="E47" s="14" t="s">
        <v>1484</v>
      </c>
      <c r="F47" s="15" t="s">
        <v>191</v>
      </c>
      <c r="G47" s="15" t="s">
        <v>1448</v>
      </c>
      <c r="H47" s="15"/>
    </row>
    <row r="48" spans="1:8" ht="17.149999999999999" customHeight="1" x14ac:dyDescent="0.35">
      <c r="A48" s="14" t="s">
        <v>174</v>
      </c>
      <c r="B48" s="14" t="s">
        <v>176</v>
      </c>
      <c r="C48" s="14" t="s">
        <v>76</v>
      </c>
      <c r="D48" s="14" t="s">
        <v>78</v>
      </c>
      <c r="E48" s="14" t="s">
        <v>1484</v>
      </c>
      <c r="F48" s="15" t="s">
        <v>177</v>
      </c>
      <c r="G48" s="15" t="s">
        <v>1448</v>
      </c>
      <c r="H48" s="15"/>
    </row>
    <row r="49" spans="1:8" ht="17.149999999999999" customHeight="1" x14ac:dyDescent="0.35">
      <c r="A49" s="14" t="s">
        <v>178</v>
      </c>
      <c r="B49" s="14" t="s">
        <v>180</v>
      </c>
      <c r="C49" s="14" t="s">
        <v>76</v>
      </c>
      <c r="D49" s="14" t="s">
        <v>78</v>
      </c>
      <c r="E49" s="14" t="s">
        <v>1484</v>
      </c>
      <c r="F49" s="15" t="s">
        <v>181</v>
      </c>
      <c r="G49" s="15" t="s">
        <v>1448</v>
      </c>
      <c r="H49" s="15"/>
    </row>
    <row r="50" spans="1:8" ht="17.149999999999999" customHeight="1" x14ac:dyDescent="0.35">
      <c r="A50" s="14"/>
      <c r="B50" s="14"/>
      <c r="C50" s="14"/>
      <c r="D50" s="14"/>
      <c r="E50" s="14"/>
      <c r="F50" s="15"/>
      <c r="G50" s="15"/>
      <c r="H50" s="15"/>
    </row>
    <row r="51" spans="1:8" ht="17.149999999999999" customHeight="1" x14ac:dyDescent="0.35">
      <c r="A51" s="14" t="s">
        <v>173</v>
      </c>
      <c r="B51" s="14" t="s">
        <v>1347</v>
      </c>
      <c r="C51" s="14" t="s">
        <v>76</v>
      </c>
      <c r="D51" s="14" t="s">
        <v>87</v>
      </c>
      <c r="E51" s="14" t="s">
        <v>1508</v>
      </c>
      <c r="F51" s="15" t="s">
        <v>115</v>
      </c>
      <c r="G51" s="15" t="s">
        <v>1448</v>
      </c>
      <c r="H51" s="15"/>
    </row>
    <row r="52" spans="1:8" ht="17.149999999999999" customHeight="1" x14ac:dyDescent="0.35">
      <c r="A52" s="14" t="s">
        <v>192</v>
      </c>
      <c r="B52" s="14" t="s">
        <v>1347</v>
      </c>
      <c r="C52" s="14" t="s">
        <v>76</v>
      </c>
      <c r="D52" s="14" t="s">
        <v>87</v>
      </c>
      <c r="E52" s="14" t="s">
        <v>1481</v>
      </c>
      <c r="F52" s="15" t="s">
        <v>115</v>
      </c>
      <c r="G52" s="15" t="s">
        <v>1448</v>
      </c>
      <c r="H52" s="15"/>
    </row>
    <row r="53" spans="1:8" ht="17.149999999999999" customHeight="1" x14ac:dyDescent="0.35">
      <c r="A53" s="14" t="s">
        <v>177</v>
      </c>
      <c r="B53" s="14" t="s">
        <v>1347</v>
      </c>
      <c r="C53" s="14" t="s">
        <v>76</v>
      </c>
      <c r="D53" s="14" t="s">
        <v>87</v>
      </c>
      <c r="E53" s="14" t="s">
        <v>1508</v>
      </c>
      <c r="F53" s="15" t="s">
        <v>114</v>
      </c>
      <c r="G53" s="15" t="s">
        <v>1448</v>
      </c>
      <c r="H53" s="15"/>
    </row>
    <row r="54" spans="1:8" ht="17.149999999999999" customHeight="1" x14ac:dyDescent="0.35">
      <c r="A54" s="22"/>
      <c r="B54" s="22"/>
      <c r="C54" s="22"/>
      <c r="D54" s="22"/>
      <c r="E54" s="22"/>
      <c r="F54" s="23"/>
      <c r="G54" s="23"/>
      <c r="H54" s="23"/>
    </row>
    <row r="55" spans="1:8" ht="17.149999999999999" customHeight="1" x14ac:dyDescent="0.35">
      <c r="A55" s="14" t="s">
        <v>194</v>
      </c>
      <c r="B55" s="14" t="s">
        <v>195</v>
      </c>
      <c r="C55" s="14" t="s">
        <v>76</v>
      </c>
      <c r="D55" s="14" t="s">
        <v>86</v>
      </c>
      <c r="E55" s="14" t="s">
        <v>1484</v>
      </c>
      <c r="F55" s="15" t="s">
        <v>196</v>
      </c>
      <c r="G55" s="15" t="s">
        <v>1448</v>
      </c>
      <c r="H55" s="15" t="s">
        <v>1473</v>
      </c>
    </row>
    <row r="56" spans="1:8" ht="17.149999999999999" customHeight="1" x14ac:dyDescent="0.35">
      <c r="A56" s="14" t="s">
        <v>197</v>
      </c>
      <c r="B56" s="14" t="s">
        <v>198</v>
      </c>
      <c r="C56" s="14" t="s">
        <v>76</v>
      </c>
      <c r="D56" s="14" t="s">
        <v>86</v>
      </c>
      <c r="E56" s="14" t="s">
        <v>1484</v>
      </c>
      <c r="F56" s="15" t="s">
        <v>199</v>
      </c>
      <c r="G56" s="15" t="s">
        <v>1448</v>
      </c>
      <c r="H56" s="15"/>
    </row>
    <row r="57" spans="1:8" ht="17.149999999999999" customHeight="1" x14ac:dyDescent="0.35">
      <c r="A57" s="14"/>
      <c r="B57" s="14"/>
      <c r="C57" s="14"/>
      <c r="D57" s="14"/>
      <c r="E57" s="14"/>
      <c r="F57" s="15"/>
      <c r="G57" s="15"/>
      <c r="H57" s="15"/>
    </row>
    <row r="58" spans="1:8" ht="17.149999999999999" customHeight="1" x14ac:dyDescent="0.35">
      <c r="A58" s="14" t="s">
        <v>193</v>
      </c>
      <c r="B58" s="14" t="s">
        <v>1347</v>
      </c>
      <c r="C58" s="14" t="s">
        <v>76</v>
      </c>
      <c r="D58" s="14" t="s">
        <v>87</v>
      </c>
      <c r="E58" s="14" t="s">
        <v>1508</v>
      </c>
      <c r="F58" s="15" t="s">
        <v>108</v>
      </c>
      <c r="G58" s="15" t="s">
        <v>1448</v>
      </c>
      <c r="H58" s="15"/>
    </row>
    <row r="59" spans="1:8" ht="17.149999999999999" customHeight="1" x14ac:dyDescent="0.35">
      <c r="A59" s="14" t="s">
        <v>196</v>
      </c>
      <c r="B59" s="14" t="s">
        <v>1347</v>
      </c>
      <c r="C59" s="14" t="s">
        <v>76</v>
      </c>
      <c r="D59" s="14" t="s">
        <v>87</v>
      </c>
      <c r="E59" s="14" t="s">
        <v>1508</v>
      </c>
      <c r="F59" s="15" t="s">
        <v>110</v>
      </c>
      <c r="G59" s="15" t="s">
        <v>1448</v>
      </c>
      <c r="H59" s="15"/>
    </row>
    <row r="60" spans="1:8" ht="17.149999999999999" customHeight="1" x14ac:dyDescent="0.35">
      <c r="A60" s="22"/>
      <c r="B60" s="22"/>
      <c r="C60" s="22"/>
      <c r="D60" s="22"/>
      <c r="E60" s="22"/>
      <c r="F60" s="23"/>
      <c r="G60" s="23"/>
      <c r="H60" s="23"/>
    </row>
    <row r="61" spans="1:8" ht="17.149999999999999" customHeight="1" x14ac:dyDescent="0.35">
      <c r="A61" s="14" t="s">
        <v>212</v>
      </c>
      <c r="B61" s="14" t="s">
        <v>213</v>
      </c>
      <c r="C61" s="14" t="s">
        <v>76</v>
      </c>
      <c r="D61" s="14" t="s">
        <v>78</v>
      </c>
      <c r="E61" s="14" t="s">
        <v>1481</v>
      </c>
      <c r="F61" s="15" t="s">
        <v>214</v>
      </c>
      <c r="G61" s="15" t="s">
        <v>1448</v>
      </c>
      <c r="H61" s="15" t="s">
        <v>1478</v>
      </c>
    </row>
    <row r="62" spans="1:8" ht="17.149999999999999" customHeight="1" x14ac:dyDescent="0.35">
      <c r="A62" s="14" t="s">
        <v>201</v>
      </c>
      <c r="B62" s="14" t="s">
        <v>44</v>
      </c>
      <c r="C62" s="14" t="s">
        <v>76</v>
      </c>
      <c r="D62" s="14" t="s">
        <v>78</v>
      </c>
      <c r="E62" s="14" t="s">
        <v>1481</v>
      </c>
      <c r="F62" s="15" t="s">
        <v>202</v>
      </c>
      <c r="G62" s="15" t="s">
        <v>1448</v>
      </c>
      <c r="H62" s="15"/>
    </row>
    <row r="63" spans="1:8" ht="17.149999999999999" customHeight="1" x14ac:dyDescent="0.35">
      <c r="A63" s="14"/>
      <c r="B63" s="14"/>
      <c r="C63" s="14"/>
      <c r="D63" s="14"/>
      <c r="E63" s="14"/>
      <c r="F63" s="15"/>
      <c r="G63" s="15"/>
      <c r="H63" s="15"/>
    </row>
    <row r="64" spans="1:8" ht="17.149999999999999" customHeight="1" x14ac:dyDescent="0.35">
      <c r="A64" s="14" t="s">
        <v>149</v>
      </c>
      <c r="B64" s="14" t="s">
        <v>1347</v>
      </c>
      <c r="C64" s="14" t="s">
        <v>76</v>
      </c>
      <c r="D64" s="14" t="s">
        <v>87</v>
      </c>
      <c r="E64" s="14" t="s">
        <v>1484</v>
      </c>
      <c r="F64" s="15" t="s">
        <v>119</v>
      </c>
      <c r="G64" s="15" t="s">
        <v>1448</v>
      </c>
      <c r="H64" s="15"/>
    </row>
    <row r="65" spans="1:8" ht="17.149999999999999" customHeight="1" x14ac:dyDescent="0.35">
      <c r="A65" s="14" t="s">
        <v>107</v>
      </c>
      <c r="B65" s="14" t="s">
        <v>1347</v>
      </c>
      <c r="C65" s="14" t="s">
        <v>76</v>
      </c>
      <c r="D65" s="14" t="s">
        <v>87</v>
      </c>
      <c r="E65" s="14" t="s">
        <v>1484</v>
      </c>
      <c r="F65" s="15" t="s">
        <v>109</v>
      </c>
      <c r="G65" s="15" t="s">
        <v>1448</v>
      </c>
      <c r="H65" s="15"/>
    </row>
    <row r="66" spans="1:8" ht="17.149999999999999" customHeight="1" x14ac:dyDescent="0.35">
      <c r="A66" s="14" t="s">
        <v>110</v>
      </c>
      <c r="B66" s="14" t="s">
        <v>1347</v>
      </c>
      <c r="C66" s="14" t="s">
        <v>76</v>
      </c>
      <c r="D66" s="14" t="s">
        <v>87</v>
      </c>
      <c r="E66" s="14" t="s">
        <v>1481</v>
      </c>
      <c r="F66" s="15" t="s">
        <v>203</v>
      </c>
      <c r="G66" s="15" t="s">
        <v>1448</v>
      </c>
      <c r="H66" s="15"/>
    </row>
    <row r="67" spans="1:8" ht="17.149999999999999" customHeight="1" x14ac:dyDescent="0.35">
      <c r="A67" s="14" t="s">
        <v>114</v>
      </c>
      <c r="B67" s="14" t="s">
        <v>1347</v>
      </c>
      <c r="C67" s="14" t="s">
        <v>76</v>
      </c>
      <c r="D67" s="14" t="s">
        <v>87</v>
      </c>
      <c r="E67" s="14" t="s">
        <v>1484</v>
      </c>
      <c r="F67" s="15" t="s">
        <v>113</v>
      </c>
      <c r="G67" s="15" t="s">
        <v>1448</v>
      </c>
      <c r="H67" s="15"/>
    </row>
    <row r="68" spans="1:8" ht="17.149999999999999" customHeight="1" x14ac:dyDescent="0.35">
      <c r="A68" s="14" t="s">
        <v>119</v>
      </c>
      <c r="B68" s="14" t="s">
        <v>1347</v>
      </c>
      <c r="C68" s="14" t="s">
        <v>76</v>
      </c>
      <c r="D68" s="14" t="s">
        <v>87</v>
      </c>
      <c r="E68" s="14" t="s">
        <v>1484</v>
      </c>
      <c r="F68" s="15" t="s">
        <v>104</v>
      </c>
      <c r="G68" s="15" t="s">
        <v>1448</v>
      </c>
      <c r="H68" s="15"/>
    </row>
    <row r="69" spans="1:8" ht="17.149999999999999" customHeight="1" x14ac:dyDescent="0.35">
      <c r="A69" s="14" t="s">
        <v>200</v>
      </c>
      <c r="B69" s="14" t="s">
        <v>44</v>
      </c>
      <c r="C69" s="14" t="s">
        <v>76</v>
      </c>
      <c r="D69" s="14" t="s">
        <v>87</v>
      </c>
      <c r="E69" s="14" t="s">
        <v>1484</v>
      </c>
      <c r="F69" s="15" t="s">
        <v>201</v>
      </c>
      <c r="G69" s="15" t="s">
        <v>1448</v>
      </c>
      <c r="H69" s="15"/>
    </row>
    <row r="70" spans="1:8" ht="17.149999999999999" customHeight="1" x14ac:dyDescent="0.35">
      <c r="A70" s="14" t="s">
        <v>204</v>
      </c>
      <c r="B70" s="14" t="s">
        <v>205</v>
      </c>
      <c r="C70" s="14" t="s">
        <v>76</v>
      </c>
      <c r="D70" s="14" t="s">
        <v>87</v>
      </c>
      <c r="E70" s="14" t="s">
        <v>1484</v>
      </c>
      <c r="F70" s="15" t="s">
        <v>206</v>
      </c>
      <c r="G70" s="15" t="s">
        <v>1448</v>
      </c>
      <c r="H70" s="15"/>
    </row>
    <row r="71" spans="1:8" ht="17.149999999999999" customHeight="1" x14ac:dyDescent="0.35">
      <c r="A71" s="14" t="s">
        <v>215</v>
      </c>
      <c r="B71" s="14" t="s">
        <v>205</v>
      </c>
      <c r="C71" s="14" t="s">
        <v>76</v>
      </c>
      <c r="D71" s="14" t="s">
        <v>87</v>
      </c>
      <c r="E71" s="14" t="s">
        <v>1481</v>
      </c>
      <c r="F71" s="15" t="s">
        <v>204</v>
      </c>
      <c r="G71" s="15" t="s">
        <v>1448</v>
      </c>
      <c r="H71" s="15"/>
    </row>
    <row r="72" spans="1:8" ht="17.149999999999999" customHeight="1" x14ac:dyDescent="0.35">
      <c r="A72" s="14"/>
      <c r="B72" s="14"/>
      <c r="C72" s="14"/>
      <c r="D72" s="14"/>
      <c r="E72" s="14"/>
      <c r="F72" s="15"/>
      <c r="G72" s="15"/>
      <c r="H72" s="15"/>
    </row>
    <row r="73" spans="1:8" ht="17.149999999999999" customHeight="1" x14ac:dyDescent="0.35">
      <c r="A73" s="14" t="s">
        <v>112</v>
      </c>
      <c r="B73" s="14" t="s">
        <v>1347</v>
      </c>
      <c r="C73" s="14" t="s">
        <v>76</v>
      </c>
      <c r="D73" s="14" t="s">
        <v>208</v>
      </c>
      <c r="E73" s="14" t="s">
        <v>1508</v>
      </c>
      <c r="F73" s="15" t="s">
        <v>210</v>
      </c>
      <c r="G73" s="15" t="s">
        <v>1448</v>
      </c>
      <c r="H73" s="15"/>
    </row>
    <row r="74" spans="1:8" ht="17.149999999999999" customHeight="1" x14ac:dyDescent="0.35">
      <c r="A74" s="14" t="s">
        <v>203</v>
      </c>
      <c r="B74" s="14" t="s">
        <v>1347</v>
      </c>
      <c r="C74" s="14" t="s">
        <v>76</v>
      </c>
      <c r="D74" s="14" t="s">
        <v>208</v>
      </c>
      <c r="E74" s="14" t="s">
        <v>1484</v>
      </c>
      <c r="F74" s="15" t="s">
        <v>210</v>
      </c>
      <c r="G74" s="15" t="s">
        <v>1448</v>
      </c>
      <c r="H74" s="15"/>
    </row>
    <row r="75" spans="1:8" ht="17.149999999999999" customHeight="1" x14ac:dyDescent="0.35">
      <c r="A75" s="14" t="s">
        <v>207</v>
      </c>
      <c r="B75" s="14" t="s">
        <v>44</v>
      </c>
      <c r="C75" s="14" t="s">
        <v>76</v>
      </c>
      <c r="D75" s="14" t="s">
        <v>208</v>
      </c>
      <c r="E75" s="14" t="s">
        <v>1508</v>
      </c>
      <c r="F75" s="15" t="s">
        <v>209</v>
      </c>
      <c r="G75" s="15" t="s">
        <v>1448</v>
      </c>
      <c r="H75" s="15"/>
    </row>
    <row r="76" spans="1:8" ht="17.149999999999999" customHeight="1" x14ac:dyDescent="0.35">
      <c r="A76" s="14" t="s">
        <v>209</v>
      </c>
      <c r="B76" s="14" t="s">
        <v>44</v>
      </c>
      <c r="C76" s="14" t="s">
        <v>76</v>
      </c>
      <c r="D76" s="14" t="s">
        <v>208</v>
      </c>
      <c r="E76" s="14" t="s">
        <v>1484</v>
      </c>
      <c r="F76" s="15" t="s">
        <v>202</v>
      </c>
      <c r="G76" s="15" t="s">
        <v>1448</v>
      </c>
      <c r="H76" s="15"/>
    </row>
    <row r="77" spans="1:8" ht="17.149999999999999" customHeight="1" x14ac:dyDescent="0.35">
      <c r="A77" s="14" t="s">
        <v>215</v>
      </c>
      <c r="B77" s="14" t="s">
        <v>205</v>
      </c>
      <c r="C77" s="14" t="s">
        <v>76</v>
      </c>
      <c r="D77" s="14" t="s">
        <v>208</v>
      </c>
      <c r="E77" s="14" t="s">
        <v>1484</v>
      </c>
      <c r="F77" s="15" t="s">
        <v>216</v>
      </c>
      <c r="G77" s="15" t="s">
        <v>1448</v>
      </c>
      <c r="H77" s="15"/>
    </row>
    <row r="78" spans="1:8" ht="17.149999999999999" customHeight="1" x14ac:dyDescent="0.35">
      <c r="A78" s="14" t="s">
        <v>216</v>
      </c>
      <c r="B78" s="14" t="s">
        <v>205</v>
      </c>
      <c r="C78" s="14" t="s">
        <v>76</v>
      </c>
      <c r="D78" s="14" t="s">
        <v>208</v>
      </c>
      <c r="E78" s="14" t="s">
        <v>1508</v>
      </c>
      <c r="F78" s="15" t="s">
        <v>217</v>
      </c>
      <c r="G78" s="15" t="s">
        <v>1448</v>
      </c>
      <c r="H78" s="15"/>
    </row>
  </sheetData>
  <sortState xmlns:xlrd2="http://schemas.microsoft.com/office/spreadsheetml/2017/richdata2" ref="A61:H78">
    <sortCondition descending="1" ref="D61:D78"/>
    <sortCondition ref="B61:B7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AAC1-90C5-4EDB-A475-5CA003760AD8}">
  <sheetPr>
    <tabColor rgb="FF7030A0"/>
  </sheetPr>
  <dimension ref="A1:H22"/>
  <sheetViews>
    <sheetView showGridLines="0" workbookViewId="0">
      <selection activeCell="A44" sqref="A43:XFD44"/>
    </sheetView>
  </sheetViews>
  <sheetFormatPr defaultRowHeight="17.149999999999999" customHeight="1" x14ac:dyDescent="0.35"/>
  <cols>
    <col min="1" max="1" width="12.54296875" style="10" bestFit="1" customWidth="1"/>
    <col min="2" max="2" width="10.26953125" style="10" bestFit="1" customWidth="1"/>
    <col min="3" max="3" width="6.81640625" style="10" bestFit="1" customWidth="1"/>
    <col min="4" max="4" width="10" style="10" bestFit="1" customWidth="1"/>
    <col min="5" max="5" width="6.54296875" style="10" bestFit="1" customWidth="1"/>
    <col min="6" max="6" width="11.54296875" style="10" bestFit="1" customWidth="1"/>
    <col min="7" max="7" width="8" bestFit="1" customWidth="1"/>
    <col min="8" max="8" width="9.54296875" bestFit="1" customWidth="1"/>
  </cols>
  <sheetData>
    <row r="1" spans="1:8" ht="18" customHeight="1" x14ac:dyDescent="0.35">
      <c r="A1" s="32" t="s">
        <v>18</v>
      </c>
      <c r="B1" s="32"/>
      <c r="C1" s="32"/>
      <c r="D1" s="32"/>
    </row>
    <row r="2" spans="1:8" ht="12.75" customHeight="1" x14ac:dyDescent="0.35">
      <c r="A2" s="33" t="s">
        <v>1235</v>
      </c>
      <c r="B2" s="33"/>
      <c r="C2" s="33"/>
      <c r="D2" s="33"/>
    </row>
    <row r="3" spans="1:8" ht="12" customHeight="1" x14ac:dyDescent="0.35">
      <c r="A3" s="2" t="s">
        <v>1</v>
      </c>
      <c r="B3" s="29" t="s">
        <v>2</v>
      </c>
      <c r="C3" s="29"/>
      <c r="D3" s="29"/>
    </row>
    <row r="4" spans="1:8" ht="15" customHeight="1" x14ac:dyDescent="0.35">
      <c r="A4" s="2" t="s">
        <v>3</v>
      </c>
      <c r="B4" s="29" t="s">
        <v>4</v>
      </c>
      <c r="C4" s="29"/>
      <c r="D4" s="29"/>
    </row>
    <row r="5" spans="1:8" ht="12" customHeight="1" x14ac:dyDescent="0.35">
      <c r="A5" s="2" t="s">
        <v>5</v>
      </c>
      <c r="B5" s="29" t="s">
        <v>6</v>
      </c>
      <c r="C5" s="29"/>
      <c r="D5" s="29"/>
    </row>
    <row r="6" spans="1:8" ht="5.25" customHeight="1" x14ac:dyDescent="0.35"/>
    <row r="7" spans="1:8" ht="15" customHeight="1" x14ac:dyDescent="0.35">
      <c r="A7" s="2" t="s">
        <v>7</v>
      </c>
      <c r="B7" s="29" t="s">
        <v>8</v>
      </c>
      <c r="C7" s="29"/>
      <c r="D7" s="29"/>
    </row>
    <row r="8" spans="1:8" ht="12.75" customHeight="1" x14ac:dyDescent="0.35">
      <c r="A8" s="2" t="s">
        <v>9</v>
      </c>
      <c r="B8" s="29" t="s">
        <v>10</v>
      </c>
      <c r="C8" s="29"/>
      <c r="D8" s="29"/>
    </row>
    <row r="9" spans="1:8" ht="15" customHeight="1" x14ac:dyDescent="0.35">
      <c r="A9" s="2" t="s">
        <v>11</v>
      </c>
      <c r="B9" s="29" t="s">
        <v>12</v>
      </c>
      <c r="C9" s="29"/>
      <c r="D9" s="29"/>
    </row>
    <row r="10" spans="1:8" ht="12.75" customHeight="1" x14ac:dyDescent="0.35">
      <c r="A10" s="2" t="s">
        <v>9</v>
      </c>
      <c r="B10" s="29"/>
      <c r="C10" s="29"/>
      <c r="D10" s="29"/>
    </row>
    <row r="11" spans="1:8" ht="10.5" customHeight="1" x14ac:dyDescent="0.35"/>
    <row r="12" spans="1:8" ht="16.5" customHeight="1" x14ac:dyDescent="0.35">
      <c r="A12" s="34" t="s">
        <v>62</v>
      </c>
      <c r="B12" s="34"/>
      <c r="C12" s="34"/>
      <c r="D12" s="34"/>
      <c r="E12" s="34"/>
      <c r="F12" s="34"/>
      <c r="G12" s="34" t="s">
        <v>63</v>
      </c>
      <c r="H12" s="34"/>
    </row>
    <row r="13" spans="1:8" ht="36" customHeight="1" x14ac:dyDescent="0.35">
      <c r="A13" s="11" t="s">
        <v>13</v>
      </c>
      <c r="B13" s="12" t="s">
        <v>66</v>
      </c>
      <c r="C13" s="12" t="s">
        <v>65</v>
      </c>
      <c r="D13" s="12" t="s">
        <v>67</v>
      </c>
      <c r="E13" s="12" t="s">
        <v>1345</v>
      </c>
      <c r="F13" s="13" t="s">
        <v>13</v>
      </c>
      <c r="G13" s="13" t="s">
        <v>14</v>
      </c>
      <c r="H13" s="13" t="s">
        <v>1346</v>
      </c>
    </row>
    <row r="14" spans="1:8" ht="17.149999999999999" customHeight="1" x14ac:dyDescent="0.35">
      <c r="A14" s="14" t="s">
        <v>1245</v>
      </c>
      <c r="B14" s="14" t="s">
        <v>1347</v>
      </c>
      <c r="C14" s="14" t="s">
        <v>76</v>
      </c>
      <c r="D14" s="14" t="s">
        <v>78</v>
      </c>
      <c r="E14" s="14" t="s">
        <v>1484</v>
      </c>
      <c r="F14" s="15" t="s">
        <v>1246</v>
      </c>
      <c r="G14" s="15" t="s">
        <v>18</v>
      </c>
      <c r="H14" s="15" t="s">
        <v>19</v>
      </c>
    </row>
    <row r="15" spans="1:8" ht="17.149999999999999" customHeight="1" x14ac:dyDescent="0.35">
      <c r="A15" s="14" t="s">
        <v>1236</v>
      </c>
      <c r="B15" s="14" t="s">
        <v>54</v>
      </c>
      <c r="C15" s="14" t="s">
        <v>76</v>
      </c>
      <c r="D15" s="14" t="s">
        <v>78</v>
      </c>
      <c r="E15" s="14" t="s">
        <v>1484</v>
      </c>
      <c r="F15" s="15" t="s">
        <v>1237</v>
      </c>
      <c r="G15" s="15" t="s">
        <v>18</v>
      </c>
      <c r="H15" s="15"/>
    </row>
    <row r="16" spans="1:8" ht="17.149999999999999" customHeight="1" x14ac:dyDescent="0.35">
      <c r="A16" s="14" t="s">
        <v>1249</v>
      </c>
      <c r="B16" s="14" t="s">
        <v>54</v>
      </c>
      <c r="C16" s="14" t="s">
        <v>76</v>
      </c>
      <c r="D16" s="14" t="s">
        <v>78</v>
      </c>
      <c r="E16" s="14" t="s">
        <v>1484</v>
      </c>
      <c r="F16" s="15" t="s">
        <v>1250</v>
      </c>
      <c r="G16" s="15" t="s">
        <v>18</v>
      </c>
      <c r="H16" s="15"/>
    </row>
    <row r="17" spans="1:8" ht="17.149999999999999" customHeight="1" x14ac:dyDescent="0.35">
      <c r="A17" s="14" t="s">
        <v>1242</v>
      </c>
      <c r="B17" s="14" t="s">
        <v>1243</v>
      </c>
      <c r="C17" s="14" t="s">
        <v>76</v>
      </c>
      <c r="D17" s="14" t="s">
        <v>78</v>
      </c>
      <c r="E17" s="14" t="s">
        <v>1484</v>
      </c>
      <c r="F17" s="15" t="s">
        <v>1244</v>
      </c>
      <c r="G17" s="15" t="s">
        <v>18</v>
      </c>
      <c r="H17" s="15"/>
    </row>
    <row r="18" spans="1:8" ht="17.149999999999999" customHeight="1" x14ac:dyDescent="0.35">
      <c r="A18" s="14" t="s">
        <v>1238</v>
      </c>
      <c r="B18" s="14" t="s">
        <v>405</v>
      </c>
      <c r="C18" s="14" t="s">
        <v>76</v>
      </c>
      <c r="D18" s="14" t="s">
        <v>78</v>
      </c>
      <c r="E18" s="14" t="s">
        <v>1484</v>
      </c>
      <c r="F18" s="15" t="s">
        <v>1239</v>
      </c>
      <c r="G18" s="15" t="s">
        <v>18</v>
      </c>
      <c r="H18" s="15"/>
    </row>
    <row r="19" spans="1:8" ht="17.149999999999999" customHeight="1" x14ac:dyDescent="0.35">
      <c r="A19" s="14" t="s">
        <v>1240</v>
      </c>
      <c r="B19" s="14" t="s">
        <v>541</v>
      </c>
      <c r="C19" s="14" t="s">
        <v>76</v>
      </c>
      <c r="D19" s="14" t="s">
        <v>78</v>
      </c>
      <c r="E19" s="14" t="s">
        <v>1484</v>
      </c>
      <c r="F19" s="15" t="s">
        <v>1241</v>
      </c>
      <c r="G19" s="15" t="s">
        <v>18</v>
      </c>
      <c r="H19" s="15"/>
    </row>
    <row r="20" spans="1:8" ht="17.149999999999999" customHeight="1" x14ac:dyDescent="0.35">
      <c r="A20" s="14" t="s">
        <v>1247</v>
      </c>
      <c r="B20" s="14" t="s">
        <v>511</v>
      </c>
      <c r="C20" s="14" t="s">
        <v>76</v>
      </c>
      <c r="D20" s="14" t="s">
        <v>78</v>
      </c>
      <c r="E20" s="14" t="s">
        <v>1484</v>
      </c>
      <c r="F20" s="15" t="s">
        <v>1248</v>
      </c>
      <c r="G20" s="15" t="s">
        <v>18</v>
      </c>
      <c r="H20" s="15"/>
    </row>
    <row r="21" spans="1:8" ht="17.149999999999999" customHeight="1" x14ac:dyDescent="0.35">
      <c r="A21" s="14" t="s">
        <v>1251</v>
      </c>
      <c r="B21" s="14" t="s">
        <v>733</v>
      </c>
      <c r="C21" s="14" t="s">
        <v>76</v>
      </c>
      <c r="D21" s="14" t="s">
        <v>78</v>
      </c>
      <c r="E21" s="14" t="s">
        <v>1484</v>
      </c>
      <c r="F21" s="15" t="s">
        <v>1252</v>
      </c>
      <c r="G21" s="15" t="s">
        <v>18</v>
      </c>
      <c r="H21" s="15"/>
    </row>
    <row r="22" spans="1:8" ht="17.149999999999999" customHeight="1" x14ac:dyDescent="0.35">
      <c r="A22" s="14" t="s">
        <v>1253</v>
      </c>
      <c r="B22" s="14" t="s">
        <v>1069</v>
      </c>
      <c r="C22" s="14" t="s">
        <v>76</v>
      </c>
      <c r="D22" s="14" t="s">
        <v>78</v>
      </c>
      <c r="E22" s="14" t="s">
        <v>1484</v>
      </c>
      <c r="F22" s="15" t="s">
        <v>1254</v>
      </c>
      <c r="G22" s="15" t="s">
        <v>18</v>
      </c>
      <c r="H22" s="15"/>
    </row>
  </sheetData>
  <sortState xmlns:xlrd2="http://schemas.microsoft.com/office/spreadsheetml/2017/richdata2" ref="A14:H22">
    <sortCondition ref="B14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B497-745E-4BFE-B3DF-1B98EA01D267}">
  <dimension ref="A1:AD50"/>
  <sheetViews>
    <sheetView workbookViewId="0">
      <selection activeCell="D7" sqref="D7:D9"/>
    </sheetView>
  </sheetViews>
  <sheetFormatPr defaultRowHeight="14.5" x14ac:dyDescent="0.35"/>
  <cols>
    <col min="1" max="2" width="13.26953125" customWidth="1"/>
    <col min="3" max="3" width="14.26953125" bestFit="1" customWidth="1"/>
    <col min="4" max="4" width="13.26953125" customWidth="1"/>
    <col min="5" max="5" width="16.1796875" bestFit="1" customWidth="1"/>
    <col min="6" max="30" width="13.26953125" customWidth="1"/>
  </cols>
  <sheetData>
    <row r="1" spans="1:30" x14ac:dyDescent="0.35">
      <c r="A1" s="35" t="s">
        <v>1509</v>
      </c>
      <c r="B1" s="3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35">
      <c r="A2" s="16" t="s">
        <v>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35">
      <c r="A3" s="16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35">
      <c r="A6" s="17" t="s">
        <v>16</v>
      </c>
      <c r="B6" s="17" t="s">
        <v>1512</v>
      </c>
      <c r="C6" s="17" t="s">
        <v>1449</v>
      </c>
      <c r="D6" s="17" t="s">
        <v>1513</v>
      </c>
      <c r="E6" s="17" t="s">
        <v>1514</v>
      </c>
      <c r="F6" s="17" t="s">
        <v>1516</v>
      </c>
      <c r="G6" s="17" t="s">
        <v>1447</v>
      </c>
      <c r="H6" s="17" t="s">
        <v>1515</v>
      </c>
      <c r="I6" s="17" t="s">
        <v>18</v>
      </c>
      <c r="J6" s="17" t="s">
        <v>1439</v>
      </c>
      <c r="K6" s="17" t="s">
        <v>1439</v>
      </c>
      <c r="L6" s="17" t="s">
        <v>1439</v>
      </c>
      <c r="M6" s="17" t="s">
        <v>1439</v>
      </c>
      <c r="N6" s="17" t="s">
        <v>1439</v>
      </c>
      <c r="O6" s="17" t="s">
        <v>1439</v>
      </c>
      <c r="P6" s="17" t="s">
        <v>1439</v>
      </c>
      <c r="Q6" s="17" t="s">
        <v>1439</v>
      </c>
      <c r="R6" s="17" t="s">
        <v>1439</v>
      </c>
      <c r="S6" s="17" t="s">
        <v>1439</v>
      </c>
      <c r="T6" s="17" t="s">
        <v>1439</v>
      </c>
      <c r="U6" s="17" t="s">
        <v>1439</v>
      </c>
      <c r="V6" s="17" t="s">
        <v>1439</v>
      </c>
      <c r="W6" s="17" t="s">
        <v>1439</v>
      </c>
      <c r="X6" s="17" t="s">
        <v>1439</v>
      </c>
      <c r="Y6" s="17" t="s">
        <v>1439</v>
      </c>
      <c r="Z6" s="17" t="s">
        <v>1439</v>
      </c>
      <c r="AA6" s="17" t="s">
        <v>1439</v>
      </c>
      <c r="AB6" s="17" t="s">
        <v>1439</v>
      </c>
      <c r="AC6" s="17" t="s">
        <v>1439</v>
      </c>
      <c r="AD6" s="17" t="s">
        <v>1439</v>
      </c>
    </row>
    <row r="7" spans="1:30" x14ac:dyDescent="0.35">
      <c r="A7" s="17" t="s">
        <v>1440</v>
      </c>
      <c r="B7" s="17" t="s">
        <v>1450</v>
      </c>
      <c r="C7" s="17" t="s">
        <v>1441</v>
      </c>
      <c r="D7" s="17" t="s">
        <v>1520</v>
      </c>
      <c r="E7" s="17" t="s">
        <v>1490</v>
      </c>
      <c r="F7" s="17" t="s">
        <v>1466</v>
      </c>
      <c r="G7" s="17" t="s">
        <v>1470</v>
      </c>
      <c r="H7" s="17" t="s">
        <v>1477</v>
      </c>
      <c r="I7" s="17" t="s">
        <v>19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x14ac:dyDescent="0.35">
      <c r="A8" s="17" t="s">
        <v>1443</v>
      </c>
      <c r="B8" s="17" t="s">
        <v>1452</v>
      </c>
      <c r="C8" s="17" t="s">
        <v>1454</v>
      </c>
      <c r="D8" s="17" t="s">
        <v>1457</v>
      </c>
      <c r="E8" s="17" t="s">
        <v>1491</v>
      </c>
      <c r="F8" s="17" t="s">
        <v>1469</v>
      </c>
      <c r="G8" s="17" t="s">
        <v>1471</v>
      </c>
      <c r="H8" s="17" t="s">
        <v>1476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x14ac:dyDescent="0.35">
      <c r="A9" s="17" t="s">
        <v>1442</v>
      </c>
      <c r="B9" s="17" t="s">
        <v>1451</v>
      </c>
      <c r="C9" s="17" t="s">
        <v>1451</v>
      </c>
      <c r="D9" s="17" t="s">
        <v>1458</v>
      </c>
      <c r="E9" s="17" t="s">
        <v>1492</v>
      </c>
      <c r="F9" s="17" t="s">
        <v>1468</v>
      </c>
      <c r="G9" s="17" t="s">
        <v>1472</v>
      </c>
      <c r="H9" s="17" t="s">
        <v>1475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x14ac:dyDescent="0.35">
      <c r="A10" s="17" t="s">
        <v>1444</v>
      </c>
      <c r="B10" s="17" t="s">
        <v>1453</v>
      </c>
      <c r="C10" s="17" t="s">
        <v>1453</v>
      </c>
      <c r="D10" s="17"/>
      <c r="E10" s="17" t="s">
        <v>1493</v>
      </c>
      <c r="F10" s="17" t="s">
        <v>1467</v>
      </c>
      <c r="G10" s="17"/>
      <c r="H10" s="17" t="s">
        <v>1474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x14ac:dyDescent="0.35">
      <c r="A11" s="17"/>
      <c r="B11" s="17"/>
      <c r="C11" s="17" t="s">
        <v>1455</v>
      </c>
      <c r="D11" s="17"/>
      <c r="E11" s="17" t="s">
        <v>1478</v>
      </c>
      <c r="F11" s="17" t="s">
        <v>1464</v>
      </c>
      <c r="G11" s="17"/>
      <c r="H11" s="17" t="s">
        <v>1473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x14ac:dyDescent="0.35">
      <c r="A12" s="17"/>
      <c r="B12" s="17"/>
      <c r="C12" s="17"/>
      <c r="D12" s="17"/>
      <c r="E12" s="17" t="s">
        <v>1494</v>
      </c>
      <c r="F12" s="17" t="s">
        <v>1465</v>
      </c>
      <c r="G12" s="17"/>
      <c r="H12" s="17" t="s">
        <v>1478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x14ac:dyDescent="0.35">
      <c r="A13" s="17"/>
      <c r="B13" s="17"/>
      <c r="C13" s="17"/>
      <c r="D13" s="17"/>
      <c r="E13" s="17" t="s">
        <v>1495</v>
      </c>
      <c r="F13" s="17" t="s">
        <v>1462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x14ac:dyDescent="0.35">
      <c r="A14" s="17"/>
      <c r="B14" s="17"/>
      <c r="C14" s="17"/>
      <c r="D14" s="17"/>
      <c r="E14" s="17" t="s">
        <v>1496</v>
      </c>
      <c r="F14" s="17" t="s">
        <v>1460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x14ac:dyDescent="0.35">
      <c r="A15" s="17"/>
      <c r="B15" s="17"/>
      <c r="C15" s="17"/>
      <c r="D15" s="17"/>
      <c r="E15" s="17" t="s">
        <v>1497</v>
      </c>
      <c r="F15" s="17" t="s">
        <v>1461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x14ac:dyDescent="0.35">
      <c r="A16" s="17"/>
      <c r="B16" s="17"/>
      <c r="C16" s="17"/>
      <c r="D16" s="17"/>
      <c r="E16" s="17" t="s">
        <v>1451</v>
      </c>
      <c r="F16" s="17" t="s">
        <v>1459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x14ac:dyDescent="0.35">
      <c r="A17" s="17"/>
      <c r="B17" s="17"/>
      <c r="C17" s="17"/>
      <c r="D17" s="17"/>
      <c r="E17" s="17" t="s">
        <v>1498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x14ac:dyDescent="0.35">
      <c r="A18" s="17"/>
      <c r="B18" s="17"/>
      <c r="C18" s="17"/>
      <c r="D18" s="17"/>
      <c r="E18" s="17" t="s">
        <v>1499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x14ac:dyDescent="0.35">
      <c r="A19" s="17"/>
      <c r="B19" s="17"/>
      <c r="C19" s="17"/>
      <c r="D19" s="17"/>
      <c r="E19" s="17" t="s">
        <v>1500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x14ac:dyDescent="0.35">
      <c r="A20" s="17"/>
      <c r="B20" s="17"/>
      <c r="C20" s="17"/>
      <c r="D20" s="17"/>
      <c r="E20" s="17" t="s">
        <v>1501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x14ac:dyDescent="0.35">
      <c r="A21" s="17"/>
      <c r="B21" s="17"/>
      <c r="C21" s="17"/>
      <c r="D21" s="17"/>
      <c r="E21" s="17" t="s">
        <v>1502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x14ac:dyDescent="0.35">
      <c r="A22" s="17"/>
      <c r="B22" s="17"/>
      <c r="C22" s="17"/>
      <c r="D22" s="17"/>
      <c r="E22" s="17" t="s">
        <v>1503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x14ac:dyDescent="0.35">
      <c r="A23" s="17"/>
      <c r="B23" s="17"/>
      <c r="C23" s="17"/>
      <c r="D23" s="17"/>
      <c r="E23" s="17" t="s">
        <v>1504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7C39-273E-4502-BE5B-87ABC3275733}">
  <dimension ref="A1:AD31"/>
  <sheetViews>
    <sheetView workbookViewId="0">
      <selection sqref="A1:AD31"/>
    </sheetView>
  </sheetViews>
  <sheetFormatPr defaultRowHeight="14.5" x14ac:dyDescent="0.35"/>
  <cols>
    <col min="1" max="30" width="20.7265625" customWidth="1"/>
  </cols>
  <sheetData>
    <row r="1" spans="1:30" ht="64" customHeight="1" x14ac:dyDescent="0.35">
      <c r="A1" s="18" t="str">
        <f>IF('Bundle Tag Info'!A6&lt;&gt;"Panel Name",'Bundle Tag Info'!A6,"")</f>
        <v>CONSOLE</v>
      </c>
      <c r="B1" s="18" t="str">
        <f>IF('Bundle Tag Info'!B6&lt;&gt;"Panel Name",'Bundle Tag Info'!B6,"")</f>
        <v>PWR SUPPLY</v>
      </c>
      <c r="C1" s="18" t="str">
        <f>IF('Bundle Tag Info'!C6&lt;&gt;"Panel Name",'Bundle Tag Info'!C6,"")</f>
        <v>PWR DST RAIL</v>
      </c>
      <c r="D1" s="18" t="str">
        <f>IF('Bundle Tag Info'!D6&lt;&gt;"Panel Name",'Bundle Tag Info'!D6,"")</f>
        <v>ORBIT</v>
      </c>
      <c r="E1" s="18" t="str">
        <f>IF('Bundle Tag Info'!E6&lt;&gt;"Panel Name",'Bundle Tag Info'!E6,"")</f>
        <v>LS WALL</v>
      </c>
      <c r="F1" s="18" t="str">
        <f>IF('Bundle Tag Info'!F6&lt;&gt;"Panel Name",'Bundle Tag Info'!F6,"")</f>
        <v>L BACK</v>
      </c>
      <c r="G1" s="18" t="str">
        <f>IF('Bundle Tag Info'!G6&lt;&gt;"Panel Name",'Bundle Tag Info'!G6,"")</f>
        <v>ISOLATOR</v>
      </c>
      <c r="H1" s="18" t="str">
        <f>IF('Bundle Tag Info'!H6&lt;&gt;"Panel Name",'Bundle Tag Info'!H6,"")</f>
        <v>RS WALL</v>
      </c>
      <c r="I1" s="18" t="str">
        <f>IF('Bundle Tag Info'!I6&lt;&gt;"Panel Name",'Bundle Tag Info'!I6,"")</f>
        <v>JB44</v>
      </c>
      <c r="J1" s="18" t="str">
        <f>IF('Bundle Tag Info'!J6&lt;&gt;"Panel Name",'Bundle Tag Info'!J6,"")</f>
        <v/>
      </c>
      <c r="K1" s="18" t="str">
        <f>IF('Bundle Tag Info'!K6&lt;&gt;"Panel Name",'Bundle Tag Info'!K6,"")</f>
        <v/>
      </c>
      <c r="L1" s="18" t="str">
        <f>IF('Bundle Tag Info'!L6&lt;&gt;"Panel Name",'Bundle Tag Info'!L6,"")</f>
        <v/>
      </c>
      <c r="M1" s="18" t="str">
        <f>IF('Bundle Tag Info'!M6&lt;&gt;"Panel Name",'Bundle Tag Info'!M6,"")</f>
        <v/>
      </c>
      <c r="N1" s="18" t="str">
        <f>IF('Bundle Tag Info'!N6&lt;&gt;"Panel Name",'Bundle Tag Info'!N6,"")</f>
        <v/>
      </c>
      <c r="O1" s="18" t="str">
        <f>IF('Bundle Tag Info'!O6&lt;&gt;"Panel Name",'Bundle Tag Info'!O6,"")</f>
        <v/>
      </c>
      <c r="P1" s="18" t="str">
        <f>IF('Bundle Tag Info'!P6&lt;&gt;"Panel Name",'Bundle Tag Info'!P6,"")</f>
        <v/>
      </c>
      <c r="Q1" s="18" t="str">
        <f>IF('Bundle Tag Info'!Q6&lt;&gt;"Panel Name",'Bundle Tag Info'!Q6,"")</f>
        <v/>
      </c>
      <c r="R1" s="18" t="str">
        <f>IF('Bundle Tag Info'!R6&lt;&gt;"Panel Name",'Bundle Tag Info'!R6,"")</f>
        <v/>
      </c>
      <c r="S1" s="18" t="str">
        <f>IF('Bundle Tag Info'!S6&lt;&gt;"Panel Name",'Bundle Tag Info'!S6,"")</f>
        <v/>
      </c>
      <c r="T1" s="18" t="str">
        <f>IF('Bundle Tag Info'!T6&lt;&gt;"Panel Name",'Bundle Tag Info'!T6,"")</f>
        <v/>
      </c>
      <c r="U1" s="18" t="str">
        <f>IF('Bundle Tag Info'!U6&lt;&gt;"Panel Name",'Bundle Tag Info'!U6,"")</f>
        <v/>
      </c>
      <c r="V1" s="18" t="str">
        <f>IF('Bundle Tag Info'!V6&lt;&gt;"Panel Name",'Bundle Tag Info'!V6,"")</f>
        <v/>
      </c>
      <c r="W1" s="18" t="str">
        <f>IF('Bundle Tag Info'!W6&lt;&gt;"Panel Name",'Bundle Tag Info'!W6,"")</f>
        <v/>
      </c>
      <c r="X1" s="18" t="str">
        <f>IF('Bundle Tag Info'!X6&lt;&gt;"Panel Name",'Bundle Tag Info'!X6,"")</f>
        <v/>
      </c>
      <c r="Y1" s="18" t="str">
        <f>IF('Bundle Tag Info'!Y6&lt;&gt;"Panel Name",'Bundle Tag Info'!Y6,"")</f>
        <v/>
      </c>
      <c r="Z1" s="18" t="str">
        <f>IF('Bundle Tag Info'!Z6&lt;&gt;"Panel Name",'Bundle Tag Info'!Z6,"")</f>
        <v/>
      </c>
      <c r="AA1" s="18" t="str">
        <f>IF('Bundle Tag Info'!AA6&lt;&gt;"Panel Name",'Bundle Tag Info'!AA6,"")</f>
        <v/>
      </c>
      <c r="AB1" s="18" t="str">
        <f>IF('Bundle Tag Info'!AB6&lt;&gt;"Panel Name",'Bundle Tag Info'!AB6,"")</f>
        <v/>
      </c>
      <c r="AC1" s="18" t="str">
        <f>IF('Bundle Tag Info'!AC6&lt;&gt;"Panel Name",'Bundle Tag Info'!AC6,"")</f>
        <v/>
      </c>
      <c r="AD1" s="18" t="str">
        <f>IF('Bundle Tag Info'!AD6&lt;&gt;"Panel Name",'Bundle Tag Info'!AD6,"")</f>
        <v/>
      </c>
    </row>
    <row r="2" spans="1:30" ht="64" customHeight="1" x14ac:dyDescent="0.35">
      <c r="A2" s="19" t="str">
        <f>IF('Bundle Tag Info'!A$7&lt;&gt;"",CONCATENATE('Bundle Tag Info'!$A$1," ",CHAR(10),'Bundle Tag Info'!$A$2," ",'Bundle Tag Info'!$A$3,CHAR(10),'Bundle Tag Info'!A$6,CHAR(10),'Bundle Tag Info'!A$7),"")</f>
        <v>NOC-A #1 
J0400 A.2
CONSOLE
EL</v>
      </c>
      <c r="B2" s="19" t="str">
        <f>IF('Bundle Tag Info'!B$7&lt;&gt;"",CONCATENATE('Bundle Tag Info'!$A$1," ",CHAR(10),'Bundle Tag Info'!$A$2," ",'Bundle Tag Info'!$A$3,CHAR(10),'Bundle Tag Info'!B$6,CHAR(10),'Bundle Tag Info'!B$7),"")</f>
        <v>NOC-A #1 
J0400 A.2
PWR SUPPLY
UJ/QS</v>
      </c>
      <c r="C2" s="19" t="str">
        <f>IF('Bundle Tag Info'!C$7&lt;&gt;"",CONCATENATE('Bundle Tag Info'!$A$1," ",CHAR(10),'Bundle Tag Info'!$A$2," ",'Bundle Tag Info'!$A$3,CHAR(10),'Bundle Tag Info'!C$6,CHAR(10),'Bundle Tag Info'!C$7),"")</f>
        <v>NOC-A #1 
J0400 A.2
PWR DST RAIL
AT</v>
      </c>
      <c r="D2" s="19" t="str">
        <f>IF('Bundle Tag Info'!D$7&lt;&gt;"",CONCATENATE('Bundle Tag Info'!$A$1," ",CHAR(10),'Bundle Tag Info'!$A$2," ",'Bundle Tag Info'!$A$3,CHAR(10),'Bundle Tag Info'!D$6,CHAR(10),'Bundle Tag Info'!D$7),"")</f>
        <v>NOC-A #1 
J0400 A.2
ORBIT
AP-LBACK</v>
      </c>
      <c r="E2" s="19" t="str">
        <f>IF('Bundle Tag Info'!E$7&lt;&gt;"",CONCATENATE('Bundle Tag Info'!$A$1," ",CHAR(10),'Bundle Tag Info'!$A$2," ",'Bundle Tag Info'!$A$3,CHAR(10),'Bundle Tag Info'!E$6,CHAR(10),'Bundle Tag Info'!E$7),"")</f>
        <v>NOC-A #1 
J0400 A.2
LS WALL
FU</v>
      </c>
      <c r="F2" s="19" t="str">
        <f>IF('Bundle Tag Info'!F$7&lt;&gt;"",CONCATENATE('Bundle Tag Info'!$A$1," ",CHAR(10),'Bundle Tag Info'!$A$2," ",'Bundle Tag Info'!$A$3,CHAR(10),'Bundle Tag Info'!F$6,CHAR(10),'Bundle Tag Info'!F$7),"")</f>
        <v>NOC-A #1 
J0400 A.2
L BACK
PC</v>
      </c>
      <c r="G2" s="19" t="str">
        <f>IF('Bundle Tag Info'!G$7&lt;&gt;"",CONCATENATE('Bundle Tag Info'!$A$1," ",CHAR(10),'Bundle Tag Info'!$A$2," ",'Bundle Tag Info'!$A$3,CHAR(10),'Bundle Tag Info'!G$6,CHAR(10),'Bundle Tag Info'!G$7),"")</f>
        <v>NOC-A #1 
J0400 A.2
ISOLATOR
UAI</v>
      </c>
      <c r="H2" s="19" t="str">
        <f>IF('Bundle Tag Info'!H$7&lt;&gt;"",CONCATENATE('Bundle Tag Info'!$A$1," ",CHAR(10),'Bundle Tag Info'!$A$2," ",'Bundle Tag Info'!$A$3,CHAR(10),'Bundle Tag Info'!H$6,CHAR(10),'Bundle Tag Info'!H$7),"")</f>
        <v>NOC-A #1 
J0400 A.2
RS WALL
AF/AU060s</v>
      </c>
      <c r="I2" s="19" t="str">
        <f>IF('Bundle Tag Info'!I$7&lt;&gt;"",CONCATENATE('Bundle Tag Info'!$A$1," ",CHAR(10),'Bundle Tag Info'!$A$2," ",'Bundle Tag Info'!$A$3,CHAR(10),'Bundle Tag Info'!I$6,CHAR(10),'Bundle Tag Info'!I$7),"")</f>
        <v>NOC-A #1 
J0400 A.2
JB44
UA1200</v>
      </c>
      <c r="J2" s="19" t="str">
        <f>IF('Bundle Tag Info'!J$7&lt;&gt;"",CONCATENATE('Bundle Tag Info'!$A$1," ",CHAR(10),'Bundle Tag Info'!$A$2," ",'Bundle Tag Info'!$A$3,CHAR(10),'Bundle Tag Info'!J$6,CHAR(10),'Bundle Tag Info'!J$7),"")</f>
        <v/>
      </c>
      <c r="K2" s="19" t="str">
        <f>IF('Bundle Tag Info'!K$7&lt;&gt;"",CONCATENATE('Bundle Tag Info'!$A$1," ",CHAR(10),'Bundle Tag Info'!$A$2," ",'Bundle Tag Info'!$A$3,CHAR(10),'Bundle Tag Info'!K$6,CHAR(10),'Bundle Tag Info'!K$7),"")</f>
        <v/>
      </c>
      <c r="L2" s="19" t="str">
        <f>IF('Bundle Tag Info'!L$7&lt;&gt;"",CONCATENATE('Bundle Tag Info'!$A$1," ",CHAR(10),'Bundle Tag Info'!$A$2," ",'Bundle Tag Info'!$A$3,CHAR(10),'Bundle Tag Info'!L$6,CHAR(10),'Bundle Tag Info'!L$7),"")</f>
        <v/>
      </c>
      <c r="M2" s="19" t="str">
        <f>IF('Bundle Tag Info'!M$7&lt;&gt;"",CONCATENATE('Bundle Tag Info'!$A$1," ",CHAR(10),'Bundle Tag Info'!$A$2," ",'Bundle Tag Info'!$A$3,CHAR(10),'Bundle Tag Info'!M$6,CHAR(10),'Bundle Tag Info'!M$7),"")</f>
        <v/>
      </c>
      <c r="N2" s="19" t="str">
        <f>IF('Bundle Tag Info'!N$7&lt;&gt;"",CONCATENATE('Bundle Tag Info'!$A$1," ",CHAR(10),'Bundle Tag Info'!$A$2," ",'Bundle Tag Info'!$A$3,CHAR(10),'Bundle Tag Info'!N$6,CHAR(10),'Bundle Tag Info'!N$7),"")</f>
        <v/>
      </c>
      <c r="O2" s="19" t="str">
        <f>IF('Bundle Tag Info'!O$7&lt;&gt;"",CONCATENATE('Bundle Tag Info'!$A$1," ",CHAR(10),'Bundle Tag Info'!$A$2," ",'Bundle Tag Info'!$A$3,CHAR(10),'Bundle Tag Info'!O$6,CHAR(10),'Bundle Tag Info'!O$7),"")</f>
        <v/>
      </c>
      <c r="P2" s="19" t="str">
        <f>IF('Bundle Tag Info'!P$7&lt;&gt;"",CONCATENATE('Bundle Tag Info'!$A$1," ",CHAR(10),'Bundle Tag Info'!$A$2," ",'Bundle Tag Info'!$A$3,CHAR(10),'Bundle Tag Info'!P$6,CHAR(10),'Bundle Tag Info'!P$7),"")</f>
        <v/>
      </c>
      <c r="Q2" s="19" t="str">
        <f>IF('Bundle Tag Info'!Q$7&lt;&gt;"",CONCATENATE('Bundle Tag Info'!$A$1," ",CHAR(10),'Bundle Tag Info'!$A$2," ",'Bundle Tag Info'!$A$3,CHAR(10),'Bundle Tag Info'!Q$6,CHAR(10),'Bundle Tag Info'!Q$7),"")</f>
        <v/>
      </c>
      <c r="R2" s="19" t="str">
        <f>IF('Bundle Tag Info'!R$7&lt;&gt;"",CONCATENATE('Bundle Tag Info'!$A$1," ",CHAR(10),'Bundle Tag Info'!$A$2," ",'Bundle Tag Info'!$A$3,CHAR(10),'Bundle Tag Info'!R$6,CHAR(10),'Bundle Tag Info'!R$7),"")</f>
        <v/>
      </c>
      <c r="S2" s="19" t="str">
        <f>IF('Bundle Tag Info'!S$7&lt;&gt;"",CONCATENATE('Bundle Tag Info'!$A$1," ",CHAR(10),'Bundle Tag Info'!$A$2," ",'Bundle Tag Info'!$A$3,CHAR(10),'Bundle Tag Info'!S$6,CHAR(10),'Bundle Tag Info'!S$7),"")</f>
        <v/>
      </c>
      <c r="T2" s="19" t="str">
        <f>IF('Bundle Tag Info'!T$7&lt;&gt;"",CONCATENATE('Bundle Tag Info'!$A$1," ",CHAR(10),'Bundle Tag Info'!$A$2," ",'Bundle Tag Info'!$A$3,CHAR(10),'Bundle Tag Info'!T$6,CHAR(10),'Bundle Tag Info'!T$7),"")</f>
        <v/>
      </c>
      <c r="U2" s="19" t="str">
        <f>IF('Bundle Tag Info'!U$7&lt;&gt;"",CONCATENATE('Bundle Tag Info'!$A$1," ",CHAR(10),'Bundle Tag Info'!$A$2," ",'Bundle Tag Info'!$A$3,CHAR(10),'Bundle Tag Info'!U$6,CHAR(10),'Bundle Tag Info'!U$7),"")</f>
        <v/>
      </c>
      <c r="V2" s="19" t="str">
        <f>IF('Bundle Tag Info'!V$7&lt;&gt;"",CONCATENATE('Bundle Tag Info'!$A$1," ",CHAR(10),'Bundle Tag Info'!$A$2," ",'Bundle Tag Info'!$A$3,CHAR(10),'Bundle Tag Info'!V$6,CHAR(10),'Bundle Tag Info'!V$7),"")</f>
        <v/>
      </c>
      <c r="W2" s="19" t="str">
        <f>IF('Bundle Tag Info'!W$7&lt;&gt;"",CONCATENATE('Bundle Tag Info'!$A$1," ",CHAR(10),'Bundle Tag Info'!$A$2," ",'Bundle Tag Info'!$A$3,CHAR(10),'Bundle Tag Info'!W$6,CHAR(10),'Bundle Tag Info'!W$7),"")</f>
        <v/>
      </c>
      <c r="X2" s="19" t="str">
        <f>IF('Bundle Tag Info'!X$7&lt;&gt;"",CONCATENATE('Bundle Tag Info'!$A$1," ",CHAR(10),'Bundle Tag Info'!$A$2," ",'Bundle Tag Info'!$A$3,CHAR(10),'Bundle Tag Info'!X$6,CHAR(10),'Bundle Tag Info'!X$7),"")</f>
        <v/>
      </c>
      <c r="Y2" s="19" t="str">
        <f>IF('Bundle Tag Info'!Y$7&lt;&gt;"",CONCATENATE('Bundle Tag Info'!$A$1," ",CHAR(10),'Bundle Tag Info'!$A$2," ",'Bundle Tag Info'!$A$3,CHAR(10),'Bundle Tag Info'!Y$6,CHAR(10),'Bundle Tag Info'!Y$7),"")</f>
        <v/>
      </c>
      <c r="Z2" s="19" t="str">
        <f>IF('Bundle Tag Info'!Z$7&lt;&gt;"",CONCATENATE('Bundle Tag Info'!$A$1," ",CHAR(10),'Bundle Tag Info'!$A$2," ",'Bundle Tag Info'!$A$3,CHAR(10),'Bundle Tag Info'!Z$6,CHAR(10),'Bundle Tag Info'!Z$7),"")</f>
        <v/>
      </c>
      <c r="AA2" s="19" t="str">
        <f>IF('Bundle Tag Info'!AA$7&lt;&gt;"",CONCATENATE('Bundle Tag Info'!$A$1," ",CHAR(10),'Bundle Tag Info'!$A$2," ",'Bundle Tag Info'!$A$3,CHAR(10),'Bundle Tag Info'!AA$6,CHAR(10),'Bundle Tag Info'!AA$7),"")</f>
        <v/>
      </c>
      <c r="AB2" s="19" t="str">
        <f>IF('Bundle Tag Info'!AB$7&lt;&gt;"",CONCATENATE('Bundle Tag Info'!$A$1," ",CHAR(10),'Bundle Tag Info'!$A$2," ",'Bundle Tag Info'!$A$3,CHAR(10),'Bundle Tag Info'!AB$6,CHAR(10),'Bundle Tag Info'!AB$7),"")</f>
        <v/>
      </c>
      <c r="AC2" s="19" t="str">
        <f>IF('Bundle Tag Info'!AC$7&lt;&gt;"",CONCATENATE('Bundle Tag Info'!$A$1," ",CHAR(10),'Bundle Tag Info'!$A$2," ",'Bundle Tag Info'!$A$3,CHAR(10),'Bundle Tag Info'!AC$6,CHAR(10),'Bundle Tag Info'!AC$7),"")</f>
        <v/>
      </c>
      <c r="AD2" s="19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19" t="str">
        <f>IF('Bundle Tag Info'!A$8&lt;&gt;"",CONCATENATE('Bundle Tag Info'!$A$1," ",CHAR(10),'Bundle Tag Info'!$A$2," ",'Bundle Tag Info'!$A$3,CHAR(10),'Bundle Tag Info'!A$6,CHAR(10),'Bundle Tag Info'!A$8),"")</f>
        <v>NOC-A #1 
J0400 A.2
CONSOLE
AT-PDR</v>
      </c>
      <c r="B3" s="19" t="str">
        <f>IF('Bundle Tag Info'!B$8&lt;&gt;"",CONCATENATE('Bundle Tag Info'!$A$1," ",CHAR(10),'Bundle Tag Info'!$A$2," ",'Bundle Tag Info'!$A$3,CHAR(10),'Bundle Tag Info'!B$6,CHAR(10),'Bundle Tag Info'!B$8),"")</f>
        <v>NOC-A #1 
J0400 A.2
PWR SUPPLY
UJ-LBACK</v>
      </c>
      <c r="C3" s="19" t="str">
        <f>IF('Bundle Tag Info'!C$8&lt;&gt;"",CONCATENATE('Bundle Tag Info'!$A$1," ",CHAR(10),'Bundle Tag Info'!$A$2," ",'Bundle Tag Info'!$A$3,CHAR(10),'Bundle Tag Info'!C$6,CHAR(10),'Bundle Tag Info'!C$8),"")</f>
        <v>NOC-A #1 
J0400 A.2
PWR DST RAIL
FU/XT</v>
      </c>
      <c r="D3" s="19" t="str">
        <f>IF('Bundle Tag Info'!D$8&lt;&gt;"",CONCATENATE('Bundle Tag Info'!$A$1," ",CHAR(10),'Bundle Tag Info'!$A$2," ",'Bundle Tag Info'!$A$3,CHAR(10),'Bundle Tag Info'!D$6,CHAR(10),'Bundle Tag Info'!D$8),"")</f>
        <v>NOC-A #1 
J0400 A.2
ORBIT
AP/UV-LWALL</v>
      </c>
      <c r="E3" s="19" t="str">
        <f>IF('Bundle Tag Info'!E$8&lt;&gt;"",CONCATENATE('Bundle Tag Info'!$A$1," ",CHAR(10),'Bundle Tag Info'!$A$2," ",'Bundle Tag Info'!$A$3,CHAR(10),'Bundle Tag Info'!E$6,CHAR(10),'Bundle Tag Info'!E$8),"")</f>
        <v>NOC-A #1 
J0400 A.2
LS WALL
KA A1</v>
      </c>
      <c r="F3" s="19" t="str">
        <f>IF('Bundle Tag Info'!F$8&lt;&gt;"",CONCATENATE('Bundle Tag Info'!$A$1," ",CHAR(10),'Bundle Tag Info'!$A$2," ",'Bundle Tag Info'!$A$3,CHAR(10),'Bundle Tag Info'!F$6,CHAR(10),'Bundle Tag Info'!F$8),"")</f>
        <v>NOC-A #1 
J0400 A.2
L BACK
AF/AU</v>
      </c>
      <c r="G3" s="19" t="str">
        <f>IF('Bundle Tag Info'!G$8&lt;&gt;"",CONCATENATE('Bundle Tag Info'!$A$1," ",CHAR(10),'Bundle Tag Info'!$A$2," ",'Bundle Tag Info'!$A$3,CHAR(10),'Bundle Tag Info'!G$6,CHAR(10),'Bundle Tag Info'!G$8),"")</f>
        <v>NOC-A #1 
J0400 A.2
ISOLATOR
UV</v>
      </c>
      <c r="H3" s="19" t="str">
        <f>IF('Bundle Tag Info'!H$8&lt;&gt;"",CONCATENATE('Bundle Tag Info'!$A$1," ",CHAR(10),'Bundle Tag Info'!$A$2," ",'Bundle Tag Info'!$A$3,CHAR(10),'Bundle Tag Info'!H$6,CHAR(10),'Bundle Tag Info'!H$8),"")</f>
        <v>NOC-A #1 
J0400 A.2
RS WALL
AF/AU070s</v>
      </c>
      <c r="I3" s="19" t="str">
        <f>IF('Bundle Tag Info'!I$8&lt;&gt;"",CONCATENATE('Bundle Tag Info'!$A$1," ",CHAR(10),'Bundle Tag Info'!$A$2," ",'Bundle Tag Info'!$A$3,CHAR(10),'Bundle Tag Info'!I$6,CHAR(10),'Bundle Tag Info'!I$8),"")</f>
        <v/>
      </c>
      <c r="J3" s="19" t="str">
        <f>IF('Bundle Tag Info'!J$8&lt;&gt;"",CONCATENATE('Bundle Tag Info'!$A$1," ",CHAR(10),'Bundle Tag Info'!$A$2," ",'Bundle Tag Info'!$A$3,CHAR(10),'Bundle Tag Info'!J$6,CHAR(10),'Bundle Tag Info'!J$8),"")</f>
        <v/>
      </c>
      <c r="K3" s="19" t="str">
        <f>IF('Bundle Tag Info'!K$8&lt;&gt;"",CONCATENATE('Bundle Tag Info'!$A$1," ",CHAR(10),'Bundle Tag Info'!$A$2," ",'Bundle Tag Info'!$A$3,CHAR(10),'Bundle Tag Info'!K$6,CHAR(10),'Bundle Tag Info'!K$8),"")</f>
        <v/>
      </c>
      <c r="L3" s="19" t="str">
        <f>IF('Bundle Tag Info'!L$8&lt;&gt;"",CONCATENATE('Bundle Tag Info'!$A$1," ",CHAR(10),'Bundle Tag Info'!$A$2," ",'Bundle Tag Info'!$A$3,CHAR(10),'Bundle Tag Info'!L$6,CHAR(10),'Bundle Tag Info'!L$8),"")</f>
        <v/>
      </c>
      <c r="M3" s="19" t="str">
        <f>IF('Bundle Tag Info'!M$8&lt;&gt;"",CONCATENATE('Bundle Tag Info'!$A$1," ",CHAR(10),'Bundle Tag Info'!$A$2," ",'Bundle Tag Info'!$A$3,CHAR(10),'Bundle Tag Info'!M$6,CHAR(10),'Bundle Tag Info'!M$8),"")</f>
        <v/>
      </c>
      <c r="N3" s="19" t="str">
        <f>IF('Bundle Tag Info'!N$8&lt;&gt;"",CONCATENATE('Bundle Tag Info'!$A$1," ",CHAR(10),'Bundle Tag Info'!$A$2," ",'Bundle Tag Info'!$A$3,CHAR(10),'Bundle Tag Info'!N$6,CHAR(10),'Bundle Tag Info'!N$8),"")</f>
        <v/>
      </c>
      <c r="O3" s="19" t="str">
        <f>IF('Bundle Tag Info'!O$8&lt;&gt;"",CONCATENATE('Bundle Tag Info'!$A$1," ",CHAR(10),'Bundle Tag Info'!$A$2," ",'Bundle Tag Info'!$A$3,CHAR(10),'Bundle Tag Info'!O$6,CHAR(10),'Bundle Tag Info'!O$8),"")</f>
        <v/>
      </c>
      <c r="P3" s="19" t="str">
        <f>IF('Bundle Tag Info'!P$8&lt;&gt;"",CONCATENATE('Bundle Tag Info'!$A$1," ",CHAR(10),'Bundle Tag Info'!$A$2," ",'Bundle Tag Info'!$A$3,CHAR(10),'Bundle Tag Info'!P$6,CHAR(10),'Bundle Tag Info'!P$8),"")</f>
        <v/>
      </c>
      <c r="Q3" s="19" t="str">
        <f>IF('Bundle Tag Info'!Q$8&lt;&gt;"",CONCATENATE('Bundle Tag Info'!$A$1," ",CHAR(10),'Bundle Tag Info'!$A$2," ",'Bundle Tag Info'!$A$3,CHAR(10),'Bundle Tag Info'!Q$6,CHAR(10),'Bundle Tag Info'!Q$8),"")</f>
        <v/>
      </c>
      <c r="R3" s="19" t="str">
        <f>IF('Bundle Tag Info'!R$8&lt;&gt;"",CONCATENATE('Bundle Tag Info'!$A$1," ",CHAR(10),'Bundle Tag Info'!$A$2," ",'Bundle Tag Info'!$A$3,CHAR(10),'Bundle Tag Info'!R$6,CHAR(10),'Bundle Tag Info'!R$8),"")</f>
        <v/>
      </c>
      <c r="S3" s="19" t="str">
        <f>IF('Bundle Tag Info'!S$8&lt;&gt;"",CONCATENATE('Bundle Tag Info'!$A$1," ",CHAR(10),'Bundle Tag Info'!$A$2," ",'Bundle Tag Info'!$A$3,CHAR(10),'Bundle Tag Info'!S$6,CHAR(10),'Bundle Tag Info'!S$8),"")</f>
        <v/>
      </c>
      <c r="T3" s="19" t="str">
        <f>IF('Bundle Tag Info'!T$8&lt;&gt;"",CONCATENATE('Bundle Tag Info'!$A$1," ",CHAR(10),'Bundle Tag Info'!$A$2," ",'Bundle Tag Info'!$A$3,CHAR(10),'Bundle Tag Info'!T$6,CHAR(10),'Bundle Tag Info'!T$8),"")</f>
        <v/>
      </c>
      <c r="U3" s="19" t="str">
        <f>IF('Bundle Tag Info'!U$8&lt;&gt;"",CONCATENATE('Bundle Tag Info'!$A$1," ",CHAR(10),'Bundle Tag Info'!$A$2," ",'Bundle Tag Info'!$A$3,CHAR(10),'Bundle Tag Info'!U$6,CHAR(10),'Bundle Tag Info'!U$8),"")</f>
        <v/>
      </c>
      <c r="V3" s="19" t="str">
        <f>IF('Bundle Tag Info'!V$8&lt;&gt;"",CONCATENATE('Bundle Tag Info'!$A$1," ",CHAR(10),'Bundle Tag Info'!$A$2," ",'Bundle Tag Info'!$A$3,CHAR(10),'Bundle Tag Info'!V$6,CHAR(10),'Bundle Tag Info'!V$8),"")</f>
        <v/>
      </c>
      <c r="W3" s="19" t="str">
        <f>IF('Bundle Tag Info'!W$8&lt;&gt;"",CONCATENATE('Bundle Tag Info'!$A$1," ",CHAR(10),'Bundle Tag Info'!$A$2," ",'Bundle Tag Info'!$A$3,CHAR(10),'Bundle Tag Info'!W$6,CHAR(10),'Bundle Tag Info'!W$8),"")</f>
        <v/>
      </c>
      <c r="X3" s="19" t="str">
        <f>IF('Bundle Tag Info'!X$8&lt;&gt;"",CONCATENATE('Bundle Tag Info'!$A$1," ",CHAR(10),'Bundle Tag Info'!$A$2," ",'Bundle Tag Info'!$A$3,CHAR(10),'Bundle Tag Info'!X$6,CHAR(10),'Bundle Tag Info'!X$8),"")</f>
        <v/>
      </c>
      <c r="Y3" s="19" t="str">
        <f>IF('Bundle Tag Info'!Y$8&lt;&gt;"",CONCATENATE('Bundle Tag Info'!$A$1," ",CHAR(10),'Bundle Tag Info'!$A$2," ",'Bundle Tag Info'!$A$3,CHAR(10),'Bundle Tag Info'!Y$6,CHAR(10),'Bundle Tag Info'!Y$8),"")</f>
        <v/>
      </c>
      <c r="Z3" s="19" t="str">
        <f>IF('Bundle Tag Info'!Z$8&lt;&gt;"",CONCATENATE('Bundle Tag Info'!$A$1," ",CHAR(10),'Bundle Tag Info'!$A$2," ",'Bundle Tag Info'!$A$3,CHAR(10),'Bundle Tag Info'!Z$6,CHAR(10),'Bundle Tag Info'!Z$8),"")</f>
        <v/>
      </c>
      <c r="AA3" s="19" t="str">
        <f>IF('Bundle Tag Info'!AA$8&lt;&gt;"",CONCATENATE('Bundle Tag Info'!$A$1," ",CHAR(10),'Bundle Tag Info'!$A$2," ",'Bundle Tag Info'!$A$3,CHAR(10),'Bundle Tag Info'!AA$6,CHAR(10),'Bundle Tag Info'!AA$8),"")</f>
        <v/>
      </c>
      <c r="AB3" s="19" t="str">
        <f>IF('Bundle Tag Info'!AB$8&lt;&gt;"",CONCATENATE('Bundle Tag Info'!$A$1," ",CHAR(10),'Bundle Tag Info'!$A$2," ",'Bundle Tag Info'!$A$3,CHAR(10),'Bundle Tag Info'!AB$6,CHAR(10),'Bundle Tag Info'!AB$8),"")</f>
        <v/>
      </c>
      <c r="AC3" s="19" t="str">
        <f>IF('Bundle Tag Info'!AC$8&lt;&gt;"",CONCATENATE('Bundle Tag Info'!$A$1," ",CHAR(10),'Bundle Tag Info'!$A$2," ",'Bundle Tag Info'!$A$3,CHAR(10),'Bundle Tag Info'!AC$6,CHAR(10),'Bundle Tag Info'!AC$8),"")</f>
        <v/>
      </c>
      <c r="AD3" s="19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19" t="str">
        <f>IF('Bundle Tag Info'!A$9&lt;&gt;"",CONCATENATE('Bundle Tag Info'!$A$1," ",CHAR(10),'Bundle Tag Info'!$A$2," ",'Bundle Tag Info'!$A$3,CHAR(10),'Bundle Tag Info'!A$6,CHAR(10),'Bundle Tag Info'!A$9),"")</f>
        <v>NOC-A #1 
J0400 A.2
CONSOLE
EL-PDR</v>
      </c>
      <c r="B4" s="19" t="str">
        <f>IF('Bundle Tag Info'!B$9&lt;&gt;"",CONCATENATE('Bundle Tag Info'!$A$1," ",CHAR(10),'Bundle Tag Info'!$A$2," ",'Bundle Tag Info'!$A$3,CHAR(10),'Bundle Tag Info'!B$6,CHAR(10),'Bundle Tag Info'!B$9),"")</f>
        <v>NOC-A #1 
J0400 A.2
PWR SUPPLY
XT-LBACK</v>
      </c>
      <c r="C4" s="19" t="str">
        <f>IF('Bundle Tag Info'!C$9&lt;&gt;"",CONCATENATE('Bundle Tag Info'!$A$1," ",CHAR(10),'Bundle Tag Info'!$A$2," ",'Bundle Tag Info'!$A$3,CHAR(10),'Bundle Tag Info'!C$6,CHAR(10),'Bundle Tag Info'!C$9),"")</f>
        <v>NOC-A #1 
J0400 A.2
PWR DST RAIL
XT-LBACK</v>
      </c>
      <c r="D4" s="19" t="str">
        <f>IF('Bundle Tag Info'!D$9&lt;&gt;"",CONCATENATE('Bundle Tag Info'!$A$1," ",CHAR(10),'Bundle Tag Info'!$A$2," ",'Bundle Tag Info'!$A$3,CHAR(10),'Bundle Tag Info'!D$6,CHAR(10),'Bundle Tag Info'!D$9),"")</f>
        <v>NOC-A #1 
J0400 A.2
ORBIT
UV-RWALL</v>
      </c>
      <c r="E4" s="19" t="str">
        <f>IF('Bundle Tag Info'!E$9&lt;&gt;"",CONCATENATE('Bundle Tag Info'!$A$1," ",CHAR(10),'Bundle Tag Info'!$A$2," ",'Bundle Tag Info'!$A$3,CHAR(10),'Bundle Tag Info'!E$6,CHAR(10),'Bundle Tag Info'!E$9),"")</f>
        <v>NOC-A #1 
J0400 A.2
LS WALL
KA A2</v>
      </c>
      <c r="F4" s="19" t="str">
        <f>IF('Bundle Tag Info'!F$9&lt;&gt;"",CONCATENATE('Bundle Tag Info'!$A$1," ",CHAR(10),'Bundle Tag Info'!$A$2," ",'Bundle Tag Info'!$A$3,CHAR(10),'Bundle Tag Info'!F$6,CHAR(10),'Bundle Tag Info'!F$9),"")</f>
        <v>NOC-A #1 
J0400 A.2
L BACK
KA A1/A2</v>
      </c>
      <c r="G4" s="19" t="str">
        <f>IF('Bundle Tag Info'!G$9&lt;&gt;"",CONCATENATE('Bundle Tag Info'!$A$1," ",CHAR(10),'Bundle Tag Info'!$A$2," ",'Bundle Tag Info'!$A$3,CHAR(10),'Bundle Tag Info'!G$6,CHAR(10),'Bundle Tag Info'!G$9),"")</f>
        <v>NOC-A #1 
J0400 A.2
ISOLATOR
UAI-RWALL</v>
      </c>
      <c r="H4" s="19" t="str">
        <f>IF('Bundle Tag Info'!H$9&lt;&gt;"",CONCATENATE('Bundle Tag Info'!$A$1," ",CHAR(10),'Bundle Tag Info'!$A$2," ",'Bundle Tag Info'!$A$3,CHAR(10),'Bundle Tag Info'!H$6,CHAR(10),'Bundle Tag Info'!H$9),"")</f>
        <v>NOC-A #1 
J0400 A.2
RS WALL
AF/AU140s</v>
      </c>
      <c r="I4" s="19" t="str">
        <f>IF('Bundle Tag Info'!I$9&lt;&gt;"",CONCATENATE('Bundle Tag Info'!$A$1," ",CHAR(10),'Bundle Tag Info'!$A$2," ",'Bundle Tag Info'!$A$3,CHAR(10),'Bundle Tag Info'!I$6,CHAR(10),'Bundle Tag Info'!I$9),"")</f>
        <v/>
      </c>
      <c r="J4" s="19" t="str">
        <f>IF('Bundle Tag Info'!J$9&lt;&gt;"",CONCATENATE('Bundle Tag Info'!$A$1," ",CHAR(10),'Bundle Tag Info'!$A$2," ",'Bundle Tag Info'!$A$3,CHAR(10),'Bundle Tag Info'!J$6,CHAR(10),'Bundle Tag Info'!J$9),"")</f>
        <v/>
      </c>
      <c r="K4" s="19" t="str">
        <f>IF('Bundle Tag Info'!K$9&lt;&gt;"",CONCATENATE('Bundle Tag Info'!$A$1," ",CHAR(10),'Bundle Tag Info'!$A$2," ",'Bundle Tag Info'!$A$3,CHAR(10),'Bundle Tag Info'!K$6,CHAR(10),'Bundle Tag Info'!K$9),"")</f>
        <v/>
      </c>
      <c r="L4" s="19" t="str">
        <f>IF('Bundle Tag Info'!L$9&lt;&gt;"",CONCATENATE('Bundle Tag Info'!$A$1," ",CHAR(10),'Bundle Tag Info'!$A$2," ",'Bundle Tag Info'!$A$3,CHAR(10),'Bundle Tag Info'!L$6,CHAR(10),'Bundle Tag Info'!L$9),"")</f>
        <v/>
      </c>
      <c r="M4" s="19" t="str">
        <f>IF('Bundle Tag Info'!M$9&lt;&gt;"",CONCATENATE('Bundle Tag Info'!$A$1," ",CHAR(10),'Bundle Tag Info'!$A$2," ",'Bundle Tag Info'!$A$3,CHAR(10),'Bundle Tag Info'!M$6,CHAR(10),'Bundle Tag Info'!M$9),"")</f>
        <v/>
      </c>
      <c r="N4" s="19" t="str">
        <f>IF('Bundle Tag Info'!N$9&lt;&gt;"",CONCATENATE('Bundle Tag Info'!$A$1," ",CHAR(10),'Bundle Tag Info'!$A$2," ",'Bundle Tag Info'!$A$3,CHAR(10),'Bundle Tag Info'!N$6,CHAR(10),'Bundle Tag Info'!N$9),"")</f>
        <v/>
      </c>
      <c r="O4" s="19" t="str">
        <f>IF('Bundle Tag Info'!O$9&lt;&gt;"",CONCATENATE('Bundle Tag Info'!$A$1," ",CHAR(10),'Bundle Tag Info'!$A$2," ",'Bundle Tag Info'!$A$3,CHAR(10),'Bundle Tag Info'!O$6,CHAR(10),'Bundle Tag Info'!O$9),"")</f>
        <v/>
      </c>
      <c r="P4" s="19" t="str">
        <f>IF('Bundle Tag Info'!P$9&lt;&gt;"",CONCATENATE('Bundle Tag Info'!$A$1," ",CHAR(10),'Bundle Tag Info'!$A$2," ",'Bundle Tag Info'!$A$3,CHAR(10),'Bundle Tag Info'!P$6,CHAR(10),'Bundle Tag Info'!P$9),"")</f>
        <v/>
      </c>
      <c r="Q4" s="19" t="str">
        <f>IF('Bundle Tag Info'!Q$9&lt;&gt;"",CONCATENATE('Bundle Tag Info'!$A$1," ",CHAR(10),'Bundle Tag Info'!$A$2," ",'Bundle Tag Info'!$A$3,CHAR(10),'Bundle Tag Info'!Q$6,CHAR(10),'Bundle Tag Info'!Q$9),"")</f>
        <v/>
      </c>
      <c r="R4" s="19" t="str">
        <f>IF('Bundle Tag Info'!R$9&lt;&gt;"",CONCATENATE('Bundle Tag Info'!$A$1," ",CHAR(10),'Bundle Tag Info'!$A$2," ",'Bundle Tag Info'!$A$3,CHAR(10),'Bundle Tag Info'!R$6,CHAR(10),'Bundle Tag Info'!R$9),"")</f>
        <v/>
      </c>
      <c r="S4" s="19" t="str">
        <f>IF('Bundle Tag Info'!S$9&lt;&gt;"",CONCATENATE('Bundle Tag Info'!$A$1," ",CHAR(10),'Bundle Tag Info'!$A$2," ",'Bundle Tag Info'!$A$3,CHAR(10),'Bundle Tag Info'!S$6,CHAR(10),'Bundle Tag Info'!S$9),"")</f>
        <v/>
      </c>
      <c r="T4" s="19" t="str">
        <f>IF('Bundle Tag Info'!T$9&lt;&gt;"",CONCATENATE('Bundle Tag Info'!$A$1," ",CHAR(10),'Bundle Tag Info'!$A$2," ",'Bundle Tag Info'!$A$3,CHAR(10),'Bundle Tag Info'!T$6,CHAR(10),'Bundle Tag Info'!T$9),"")</f>
        <v/>
      </c>
      <c r="U4" s="19" t="str">
        <f>IF('Bundle Tag Info'!U$9&lt;&gt;"",CONCATENATE('Bundle Tag Info'!$A$1," ",CHAR(10),'Bundle Tag Info'!$A$2," ",'Bundle Tag Info'!$A$3,CHAR(10),'Bundle Tag Info'!U$6,CHAR(10),'Bundle Tag Info'!U$9),"")</f>
        <v/>
      </c>
      <c r="V4" s="19" t="str">
        <f>IF('Bundle Tag Info'!V$9&lt;&gt;"",CONCATENATE('Bundle Tag Info'!$A$1," ",CHAR(10),'Bundle Tag Info'!$A$2," ",'Bundle Tag Info'!$A$3,CHAR(10),'Bundle Tag Info'!V$6,CHAR(10),'Bundle Tag Info'!V$9),"")</f>
        <v/>
      </c>
      <c r="W4" s="19" t="str">
        <f>IF('Bundle Tag Info'!W$9&lt;&gt;"",CONCATENATE('Bundle Tag Info'!$A$1," ",CHAR(10),'Bundle Tag Info'!$A$2," ",'Bundle Tag Info'!$A$3,CHAR(10),'Bundle Tag Info'!W$6,CHAR(10),'Bundle Tag Info'!W$9),"")</f>
        <v/>
      </c>
      <c r="X4" s="19" t="str">
        <f>IF('Bundle Tag Info'!X$9&lt;&gt;"",CONCATENATE('Bundle Tag Info'!$A$1," ",CHAR(10),'Bundle Tag Info'!$A$2," ",'Bundle Tag Info'!$A$3,CHAR(10),'Bundle Tag Info'!X$6,CHAR(10),'Bundle Tag Info'!X$9),"")</f>
        <v/>
      </c>
      <c r="Y4" s="19" t="str">
        <f>IF('Bundle Tag Info'!Y$9&lt;&gt;"",CONCATENATE('Bundle Tag Info'!$A$1," ",CHAR(10),'Bundle Tag Info'!$A$2," ",'Bundle Tag Info'!$A$3,CHAR(10),'Bundle Tag Info'!Y$6,CHAR(10),'Bundle Tag Info'!Y$9),"")</f>
        <v/>
      </c>
      <c r="Z4" s="19" t="str">
        <f>IF('Bundle Tag Info'!Z$9&lt;&gt;"",CONCATENATE('Bundle Tag Info'!$A$1," ",CHAR(10),'Bundle Tag Info'!$A$2," ",'Bundle Tag Info'!$A$3,CHAR(10),'Bundle Tag Info'!Z$6,CHAR(10),'Bundle Tag Info'!Z$9),"")</f>
        <v/>
      </c>
      <c r="AA4" s="19" t="str">
        <f>IF('Bundle Tag Info'!AA$9&lt;&gt;"",CONCATENATE('Bundle Tag Info'!$A$1," ",CHAR(10),'Bundle Tag Info'!$A$2," ",'Bundle Tag Info'!$A$3,CHAR(10),'Bundle Tag Info'!AA$6,CHAR(10),'Bundle Tag Info'!AA$9),"")</f>
        <v/>
      </c>
      <c r="AB4" s="19" t="str">
        <f>IF('Bundle Tag Info'!AB$9&lt;&gt;"",CONCATENATE('Bundle Tag Info'!$A$1," ",CHAR(10),'Bundle Tag Info'!$A$2," ",'Bundle Tag Info'!$A$3,CHAR(10),'Bundle Tag Info'!AB$6,CHAR(10),'Bundle Tag Info'!AB$9),"")</f>
        <v/>
      </c>
      <c r="AC4" s="19" t="str">
        <f>IF('Bundle Tag Info'!AC$9&lt;&gt;"",CONCATENATE('Bundle Tag Info'!$A$1," ",CHAR(10),'Bundle Tag Info'!$A$2," ",'Bundle Tag Info'!$A$3,CHAR(10),'Bundle Tag Info'!AC$6,CHAR(10),'Bundle Tag Info'!AC$9),"")</f>
        <v/>
      </c>
      <c r="AD4" s="19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19" t="str">
        <f>IF('Bundle Tag Info'!A$10&lt;&gt;"",CONCATENATE('Bundle Tag Info'!$A$1," ",CHAR(10),'Bundle Tag Info'!$A$2," ",'Bundle Tag Info'!$A$3,CHAR(10),'Bundle Tag Info'!A$6,CHAR(10),'Bundle Tag Info'!A$10),"")</f>
        <v>NOC-A #1 
J0400 A.2
CONSOLE
AZ-PDR</v>
      </c>
      <c r="B5" s="19" t="str">
        <f>IF('Bundle Tag Info'!B$10&lt;&gt;"",CONCATENATE('Bundle Tag Info'!$A$1," ",CHAR(10),'Bundle Tag Info'!$A$2," ",'Bundle Tag Info'!$A$3,CHAR(10),'Bundle Tag Info'!B$6,CHAR(10),'Bundle Tag Info'!B$10),"")</f>
        <v>NOC-A #1 
J0400 A.2
PWR SUPPLY
XT-LWALL</v>
      </c>
      <c r="C5" s="19" t="str">
        <f>IF('Bundle Tag Info'!C$10&lt;&gt;"",CONCATENATE('Bundle Tag Info'!$A$1," ",CHAR(10),'Bundle Tag Info'!$A$2," ",'Bundle Tag Info'!$A$3,CHAR(10),'Bundle Tag Info'!C$6,CHAR(10),'Bundle Tag Info'!C$10),"")</f>
        <v>NOC-A #1 
J0400 A.2
PWR DST RAIL
XT-LWALL</v>
      </c>
      <c r="D5" s="19" t="str">
        <f>IF('Bundle Tag Info'!D$10&lt;&gt;"",CONCATENATE('Bundle Tag Info'!$A$1," ",CHAR(10),'Bundle Tag Info'!$A$2," ",'Bundle Tag Info'!$A$3,CHAR(10),'Bundle Tag Info'!D$6,CHAR(10),'Bundle Tag Info'!D$10),"")</f>
        <v/>
      </c>
      <c r="E5" s="19" t="str">
        <f>IF('Bundle Tag Info'!E$10&lt;&gt;"",CONCATENATE('Bundle Tag Info'!$A$1," ",CHAR(10),'Bundle Tag Info'!$A$2," ",'Bundle Tag Info'!$A$3,CHAR(10),'Bundle Tag Info'!E$6,CHAR(10),'Bundle Tag Info'!E$10),"")</f>
        <v>NOC-A #1 
J0400 A.2
LS WALL
KA</v>
      </c>
      <c r="F5" s="19" t="str">
        <f>IF('Bundle Tag Info'!F$10&lt;&gt;"",CONCATENATE('Bundle Tag Info'!$A$1," ",CHAR(10),'Bundle Tag Info'!$A$2," ",'Bundle Tag Info'!$A$3,CHAR(10),'Bundle Tag Info'!F$6,CHAR(10),'Bundle Tag Info'!F$10),"")</f>
        <v>NOC-A #1 
J0400 A.2
L BACK
KA RED</v>
      </c>
      <c r="G5" s="19" t="str">
        <f>IF('Bundle Tag Info'!G$10&lt;&gt;"",CONCATENATE('Bundle Tag Info'!$A$1," ",CHAR(10),'Bundle Tag Info'!$A$2," ",'Bundle Tag Info'!$A$3,CHAR(10),'Bundle Tag Info'!G$6,CHAR(10),'Bundle Tag Info'!G$10),"")</f>
        <v/>
      </c>
      <c r="H5" s="19" t="str">
        <f>IF('Bundle Tag Info'!H$10&lt;&gt;"",CONCATENATE('Bundle Tag Info'!$A$1," ",CHAR(10),'Bundle Tag Info'!$A$2," ",'Bundle Tag Info'!$A$3,CHAR(10),'Bundle Tag Info'!H$6,CHAR(10),'Bundle Tag Info'!H$10),"")</f>
        <v>NOC-A #1 
J0400 A.2
RS WALL
AF/AU0180s</v>
      </c>
      <c r="I5" s="19" t="str">
        <f>IF('Bundle Tag Info'!I$10&lt;&gt;"",CONCATENATE('Bundle Tag Info'!$A$1," ",CHAR(10),'Bundle Tag Info'!$A$2," ",'Bundle Tag Info'!$A$3,CHAR(10),'Bundle Tag Info'!I$6,CHAR(10),'Bundle Tag Info'!I$10),"")</f>
        <v/>
      </c>
      <c r="J5" s="19" t="str">
        <f>IF('Bundle Tag Info'!J$10&lt;&gt;"",CONCATENATE('Bundle Tag Info'!$A$1," ",CHAR(10),'Bundle Tag Info'!$A$2," ",'Bundle Tag Info'!$A$3,CHAR(10),'Bundle Tag Info'!J$6,CHAR(10),'Bundle Tag Info'!J$10),"")</f>
        <v/>
      </c>
      <c r="K5" s="19" t="str">
        <f>IF('Bundle Tag Info'!K$10&lt;&gt;"",CONCATENATE('Bundle Tag Info'!$A$1," ",CHAR(10),'Bundle Tag Info'!$A$2," ",'Bundle Tag Info'!$A$3,CHAR(10),'Bundle Tag Info'!K$6,CHAR(10),'Bundle Tag Info'!K$10),"")</f>
        <v/>
      </c>
      <c r="L5" s="19" t="str">
        <f>IF('Bundle Tag Info'!L$10&lt;&gt;"",CONCATENATE('Bundle Tag Info'!$A$1," ",CHAR(10),'Bundle Tag Info'!$A$2," ",'Bundle Tag Info'!$A$3,CHAR(10),'Bundle Tag Info'!L$6,CHAR(10),'Bundle Tag Info'!L$10),"")</f>
        <v/>
      </c>
      <c r="M5" s="19" t="str">
        <f>IF('Bundle Tag Info'!M$10&lt;&gt;"",CONCATENATE('Bundle Tag Info'!$A$1," ",CHAR(10),'Bundle Tag Info'!$A$2," ",'Bundle Tag Info'!$A$3,CHAR(10),'Bundle Tag Info'!M$6,CHAR(10),'Bundle Tag Info'!M$10),"")</f>
        <v/>
      </c>
      <c r="N5" s="19" t="str">
        <f>IF('Bundle Tag Info'!N$10&lt;&gt;"",CONCATENATE('Bundle Tag Info'!$A$1," ",CHAR(10),'Bundle Tag Info'!$A$2," ",'Bundle Tag Info'!$A$3,CHAR(10),'Bundle Tag Info'!N$6,CHAR(10),'Bundle Tag Info'!N$10),"")</f>
        <v/>
      </c>
      <c r="O5" s="19" t="str">
        <f>IF('Bundle Tag Info'!O$10&lt;&gt;"",CONCATENATE('Bundle Tag Info'!$A$1," ",CHAR(10),'Bundle Tag Info'!$A$2," ",'Bundle Tag Info'!$A$3,CHAR(10),'Bundle Tag Info'!O$6,CHAR(10),'Bundle Tag Info'!O$10),"")</f>
        <v/>
      </c>
      <c r="P5" s="19" t="str">
        <f>IF('Bundle Tag Info'!P$10&lt;&gt;"",CONCATENATE('Bundle Tag Info'!$A$1," ",CHAR(10),'Bundle Tag Info'!$A$2," ",'Bundle Tag Info'!$A$3,CHAR(10),'Bundle Tag Info'!P$6,CHAR(10),'Bundle Tag Info'!P$10),"")</f>
        <v/>
      </c>
      <c r="Q5" s="19" t="str">
        <f>IF('Bundle Tag Info'!Q$10&lt;&gt;"",CONCATENATE('Bundle Tag Info'!$A$1," ",CHAR(10),'Bundle Tag Info'!$A$2," ",'Bundle Tag Info'!$A$3,CHAR(10),'Bundle Tag Info'!Q$6,CHAR(10),'Bundle Tag Info'!Q$10),"")</f>
        <v/>
      </c>
      <c r="R5" s="19" t="str">
        <f>IF('Bundle Tag Info'!R$10&lt;&gt;"",CONCATENATE('Bundle Tag Info'!$A$1," ",CHAR(10),'Bundle Tag Info'!$A$2," ",'Bundle Tag Info'!$A$3,CHAR(10),'Bundle Tag Info'!R$6,CHAR(10),'Bundle Tag Info'!R$10),"")</f>
        <v/>
      </c>
      <c r="S5" s="19" t="str">
        <f>IF('Bundle Tag Info'!S$10&lt;&gt;"",CONCATENATE('Bundle Tag Info'!$A$1," ",CHAR(10),'Bundle Tag Info'!$A$2," ",'Bundle Tag Info'!$A$3,CHAR(10),'Bundle Tag Info'!S$6,CHAR(10),'Bundle Tag Info'!S$10),"")</f>
        <v/>
      </c>
      <c r="T5" s="19" t="str">
        <f>IF('Bundle Tag Info'!T$10&lt;&gt;"",CONCATENATE('Bundle Tag Info'!$A$1," ",CHAR(10),'Bundle Tag Info'!$A$2," ",'Bundle Tag Info'!$A$3,CHAR(10),'Bundle Tag Info'!T$6,CHAR(10),'Bundle Tag Info'!T$10),"")</f>
        <v/>
      </c>
      <c r="U5" s="19" t="str">
        <f>IF('Bundle Tag Info'!U$10&lt;&gt;"",CONCATENATE('Bundle Tag Info'!$A$1," ",CHAR(10),'Bundle Tag Info'!$A$2," ",'Bundle Tag Info'!$A$3,CHAR(10),'Bundle Tag Info'!U$6,CHAR(10),'Bundle Tag Info'!U$10),"")</f>
        <v/>
      </c>
      <c r="V5" s="19" t="str">
        <f>IF('Bundle Tag Info'!V$10&lt;&gt;"",CONCATENATE('Bundle Tag Info'!$A$1," ",CHAR(10),'Bundle Tag Info'!$A$2," ",'Bundle Tag Info'!$A$3,CHAR(10),'Bundle Tag Info'!V$6,CHAR(10),'Bundle Tag Info'!V$10),"")</f>
        <v/>
      </c>
      <c r="W5" s="19" t="str">
        <f>IF('Bundle Tag Info'!W$10&lt;&gt;"",CONCATENATE('Bundle Tag Info'!$A$1," ",CHAR(10),'Bundle Tag Info'!$A$2," ",'Bundle Tag Info'!$A$3,CHAR(10),'Bundle Tag Info'!W$6,CHAR(10),'Bundle Tag Info'!W$10),"")</f>
        <v/>
      </c>
      <c r="X5" s="19" t="str">
        <f>IF('Bundle Tag Info'!X$10&lt;&gt;"",CONCATENATE('Bundle Tag Info'!$A$1," ",CHAR(10),'Bundle Tag Info'!$A$2," ",'Bundle Tag Info'!$A$3,CHAR(10),'Bundle Tag Info'!X$6,CHAR(10),'Bundle Tag Info'!X$10),"")</f>
        <v/>
      </c>
      <c r="Y5" s="19" t="str">
        <f>IF('Bundle Tag Info'!Y$10&lt;&gt;"",CONCATENATE('Bundle Tag Info'!$A$1," ",CHAR(10),'Bundle Tag Info'!$A$2," ",'Bundle Tag Info'!$A$3,CHAR(10),'Bundle Tag Info'!Y$6,CHAR(10),'Bundle Tag Info'!Y$10),"")</f>
        <v/>
      </c>
      <c r="Z5" s="19" t="str">
        <f>IF('Bundle Tag Info'!Z$10&lt;&gt;"",CONCATENATE('Bundle Tag Info'!$A$1," ",CHAR(10),'Bundle Tag Info'!$A$2," ",'Bundle Tag Info'!$A$3,CHAR(10),'Bundle Tag Info'!Z$6,CHAR(10),'Bundle Tag Info'!Z$10),"")</f>
        <v/>
      </c>
      <c r="AA5" s="19" t="str">
        <f>IF('Bundle Tag Info'!AA$10&lt;&gt;"",CONCATENATE('Bundle Tag Info'!$A$1," ",CHAR(10),'Bundle Tag Info'!$A$2," ",'Bundle Tag Info'!$A$3,CHAR(10),'Bundle Tag Info'!AA$6,CHAR(10),'Bundle Tag Info'!AA$10),"")</f>
        <v/>
      </c>
      <c r="AB5" s="19" t="str">
        <f>IF('Bundle Tag Info'!AB$10&lt;&gt;"",CONCATENATE('Bundle Tag Info'!$A$1," ",CHAR(10),'Bundle Tag Info'!$A$2," ",'Bundle Tag Info'!$A$3,CHAR(10),'Bundle Tag Info'!AB$6,CHAR(10),'Bundle Tag Info'!AB$10),"")</f>
        <v/>
      </c>
      <c r="AC5" s="19" t="str">
        <f>IF('Bundle Tag Info'!AC$10&lt;&gt;"",CONCATENATE('Bundle Tag Info'!$A$1," ",CHAR(10),'Bundle Tag Info'!$A$2," ",'Bundle Tag Info'!$A$3,CHAR(10),'Bundle Tag Info'!AC$6,CHAR(10),'Bundle Tag Info'!AC$10),"")</f>
        <v/>
      </c>
      <c r="AD5" s="19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19" t="str">
        <f>IF('Bundle Tag Info'!A$11&lt;&gt;"",CONCATENATE('Bundle Tag Info'!$A$1," ",CHAR(10),'Bundle Tag Info'!$A$2," ",'Bundle Tag Info'!$A$3,CHAR(10),'Bundle Tag Info'!A$6,CHAR(10),'Bundle Tag Info'!A$11),"")</f>
        <v/>
      </c>
      <c r="B6" s="19" t="str">
        <f>IF('Bundle Tag Info'!B$11&lt;&gt;"",CONCATENATE('Bundle Tag Info'!$A$1," ",CHAR(10),'Bundle Tag Info'!$A$2," ",'Bundle Tag Info'!$A$3,CHAR(10),'Bundle Tag Info'!B$6,CHAR(10),'Bundle Tag Info'!B$11),"")</f>
        <v/>
      </c>
      <c r="C6" s="19" t="str">
        <f>IF('Bundle Tag Info'!C$11&lt;&gt;"",CONCATENATE('Bundle Tag Info'!$A$1," ",CHAR(10),'Bundle Tag Info'!$A$2," ",'Bundle Tag Info'!$A$3,CHAR(10),'Bundle Tag Info'!C$6,CHAR(10),'Bundle Tag Info'!C$11),"")</f>
        <v>NOC-A #1 
J0400 A.2
PWR DST RAIL
FU/XT-RWALL</v>
      </c>
      <c r="D6" s="19" t="str">
        <f>IF('Bundle Tag Info'!D$11&lt;&gt;"",CONCATENATE('Bundle Tag Info'!$A$1," ",CHAR(10),'Bundle Tag Info'!$A$2," ",'Bundle Tag Info'!$A$3,CHAR(10),'Bundle Tag Info'!D$6,CHAR(10),'Bundle Tag Info'!D$11),"")</f>
        <v/>
      </c>
      <c r="E6" s="19" t="str">
        <f>IF('Bundle Tag Info'!E$11&lt;&gt;"",CONCATENATE('Bundle Tag Info'!$A$1," ",CHAR(10),'Bundle Tag Info'!$A$2," ",'Bundle Tag Info'!$A$3,CHAR(10),'Bundle Tag Info'!E$6,CHAR(10),'Bundle Tag Info'!E$11),"")</f>
        <v>NOC-A #1 
J0400 A.2
LS WALL
XT</v>
      </c>
      <c r="F6" s="19" t="str">
        <f>IF('Bundle Tag Info'!F$11&lt;&gt;"",CONCATENATE('Bundle Tag Info'!$A$1," ",CHAR(10),'Bundle Tag Info'!$A$2," ",'Bundle Tag Info'!$A$3,CHAR(10),'Bundle Tag Info'!F$6,CHAR(10),'Bundle Tag Info'!F$11),"")</f>
        <v>NOC-A #1 
J0400 A.2
L BACK
KT L/S</v>
      </c>
      <c r="G6" s="19" t="str">
        <f>IF('Bundle Tag Info'!G$11&lt;&gt;"",CONCATENATE('Bundle Tag Info'!$A$1," ",CHAR(10),'Bundle Tag Info'!$A$2," ",'Bundle Tag Info'!$A$3,CHAR(10),'Bundle Tag Info'!G$6,CHAR(10),'Bundle Tag Info'!G$11),"")</f>
        <v/>
      </c>
      <c r="H6" s="19" t="str">
        <f>IF('Bundle Tag Info'!H$11&lt;&gt;"",CONCATENATE('Bundle Tag Info'!$A$1," ",CHAR(10),'Bundle Tag Info'!$A$2," ",'Bundle Tag Info'!$A$3,CHAR(10),'Bundle Tag Info'!H$6,CHAR(10),'Bundle Tag Info'!H$11),"")</f>
        <v>NOC-A #1 
J0400 A.2
RS WALL
AF/AU1200s</v>
      </c>
      <c r="I6" s="19" t="str">
        <f>IF('Bundle Tag Info'!I$11&lt;&gt;"",CONCATENATE('Bundle Tag Info'!$A$1," ",CHAR(10),'Bundle Tag Info'!$A$2," ",'Bundle Tag Info'!$A$3,CHAR(10),'Bundle Tag Info'!I$6,CHAR(10),'Bundle Tag Info'!I$11),"")</f>
        <v/>
      </c>
      <c r="J6" s="19" t="str">
        <f>IF('Bundle Tag Info'!J$11&lt;&gt;"",CONCATENATE('Bundle Tag Info'!$A$1," ",CHAR(10),'Bundle Tag Info'!$A$2," ",'Bundle Tag Info'!$A$3,CHAR(10),'Bundle Tag Info'!J$6,CHAR(10),'Bundle Tag Info'!J$11),"")</f>
        <v/>
      </c>
      <c r="K6" s="19" t="str">
        <f>IF('Bundle Tag Info'!K$11&lt;&gt;"",CONCATENATE('Bundle Tag Info'!$A$1," ",CHAR(10),'Bundle Tag Info'!$A$2," ",'Bundle Tag Info'!$A$3,CHAR(10),'Bundle Tag Info'!K$6,CHAR(10),'Bundle Tag Info'!K$11),"")</f>
        <v/>
      </c>
      <c r="L6" s="19" t="str">
        <f>IF('Bundle Tag Info'!L$11&lt;&gt;"",CONCATENATE('Bundle Tag Info'!$A$1," ",CHAR(10),'Bundle Tag Info'!$A$2," ",'Bundle Tag Info'!$A$3,CHAR(10),'Bundle Tag Info'!L$6,CHAR(10),'Bundle Tag Info'!L$11),"")</f>
        <v/>
      </c>
      <c r="M6" s="19" t="str">
        <f>IF('Bundle Tag Info'!M$11&lt;&gt;"",CONCATENATE('Bundle Tag Info'!$A$1," ",CHAR(10),'Bundle Tag Info'!$A$2," ",'Bundle Tag Info'!$A$3,CHAR(10),'Bundle Tag Info'!M$6,CHAR(10),'Bundle Tag Info'!M$11),"")</f>
        <v/>
      </c>
      <c r="N6" s="19" t="str">
        <f>IF('Bundle Tag Info'!N$11&lt;&gt;"",CONCATENATE('Bundle Tag Info'!$A$1," ",CHAR(10),'Bundle Tag Info'!$A$2," ",'Bundle Tag Info'!$A$3,CHAR(10),'Bundle Tag Info'!N$6,CHAR(10),'Bundle Tag Info'!N$11),"")</f>
        <v/>
      </c>
      <c r="O6" s="19" t="str">
        <f>IF('Bundle Tag Info'!O$11&lt;&gt;"",CONCATENATE('Bundle Tag Info'!$A$1," ",CHAR(10),'Bundle Tag Info'!$A$2," ",'Bundle Tag Info'!$A$3,CHAR(10),'Bundle Tag Info'!O$6,CHAR(10),'Bundle Tag Info'!O$11),"")</f>
        <v/>
      </c>
      <c r="P6" s="19" t="str">
        <f>IF('Bundle Tag Info'!P$11&lt;&gt;"",CONCATENATE('Bundle Tag Info'!$A$1," ",CHAR(10),'Bundle Tag Info'!$A$2," ",'Bundle Tag Info'!$A$3,CHAR(10),'Bundle Tag Info'!P$6,CHAR(10),'Bundle Tag Info'!P$11),"")</f>
        <v/>
      </c>
      <c r="Q6" s="19" t="str">
        <f>IF('Bundle Tag Info'!Q$11&lt;&gt;"",CONCATENATE('Bundle Tag Info'!$A$1," ",CHAR(10),'Bundle Tag Info'!$A$2," ",'Bundle Tag Info'!$A$3,CHAR(10),'Bundle Tag Info'!Q$6,CHAR(10),'Bundle Tag Info'!Q$11),"")</f>
        <v/>
      </c>
      <c r="R6" s="19" t="str">
        <f>IF('Bundle Tag Info'!R$11&lt;&gt;"",CONCATENATE('Bundle Tag Info'!$A$1," ",CHAR(10),'Bundle Tag Info'!$A$2," ",'Bundle Tag Info'!$A$3,CHAR(10),'Bundle Tag Info'!R$6,CHAR(10),'Bundle Tag Info'!R$11),"")</f>
        <v/>
      </c>
      <c r="S6" s="19" t="str">
        <f>IF('Bundle Tag Info'!S$11&lt;&gt;"",CONCATENATE('Bundle Tag Info'!$A$1," ",CHAR(10),'Bundle Tag Info'!$A$2," ",'Bundle Tag Info'!$A$3,CHAR(10),'Bundle Tag Info'!S$6,CHAR(10),'Bundle Tag Info'!S$11),"")</f>
        <v/>
      </c>
      <c r="T6" s="19" t="str">
        <f>IF('Bundle Tag Info'!T$11&lt;&gt;"",CONCATENATE('Bundle Tag Info'!$A$1," ",CHAR(10),'Bundle Tag Info'!$A$2," ",'Bundle Tag Info'!$A$3,CHAR(10),'Bundle Tag Info'!T$6,CHAR(10),'Bundle Tag Info'!T$11),"")</f>
        <v/>
      </c>
      <c r="U6" s="19" t="str">
        <f>IF('Bundle Tag Info'!U$11&lt;&gt;"",CONCATENATE('Bundle Tag Info'!$A$1," ",CHAR(10),'Bundle Tag Info'!$A$2," ",'Bundle Tag Info'!$A$3,CHAR(10),'Bundle Tag Info'!U$6,CHAR(10),'Bundle Tag Info'!U$11),"")</f>
        <v/>
      </c>
      <c r="V6" s="19" t="str">
        <f>IF('Bundle Tag Info'!V$11&lt;&gt;"",CONCATENATE('Bundle Tag Info'!$A$1," ",CHAR(10),'Bundle Tag Info'!$A$2," ",'Bundle Tag Info'!$A$3,CHAR(10),'Bundle Tag Info'!V$6,CHAR(10),'Bundle Tag Info'!V$11),"")</f>
        <v/>
      </c>
      <c r="W6" s="19" t="str">
        <f>IF('Bundle Tag Info'!W$11&lt;&gt;"",CONCATENATE('Bundle Tag Info'!$A$1," ",CHAR(10),'Bundle Tag Info'!$A$2," ",'Bundle Tag Info'!$A$3,CHAR(10),'Bundle Tag Info'!W$6,CHAR(10),'Bundle Tag Info'!W$11),"")</f>
        <v/>
      </c>
      <c r="X6" s="19" t="str">
        <f>IF('Bundle Tag Info'!X$11&lt;&gt;"",CONCATENATE('Bundle Tag Info'!$A$1," ",CHAR(10),'Bundle Tag Info'!$A$2," ",'Bundle Tag Info'!$A$3,CHAR(10),'Bundle Tag Info'!X$6,CHAR(10),'Bundle Tag Info'!X$11),"")</f>
        <v/>
      </c>
      <c r="Y6" s="19" t="str">
        <f>IF('Bundle Tag Info'!Y$11&lt;&gt;"",CONCATENATE('Bundle Tag Info'!$A$1," ",CHAR(10),'Bundle Tag Info'!$A$2," ",'Bundle Tag Info'!$A$3,CHAR(10),'Bundle Tag Info'!Y$6,CHAR(10),'Bundle Tag Info'!Y$11),"")</f>
        <v/>
      </c>
      <c r="Z6" s="19" t="str">
        <f>IF('Bundle Tag Info'!Z$11&lt;&gt;"",CONCATENATE('Bundle Tag Info'!$A$1," ",CHAR(10),'Bundle Tag Info'!$A$2," ",'Bundle Tag Info'!$A$3,CHAR(10),'Bundle Tag Info'!Z$6,CHAR(10),'Bundle Tag Info'!Z$11),"")</f>
        <v/>
      </c>
      <c r="AA6" s="19" t="str">
        <f>IF('Bundle Tag Info'!AA$11&lt;&gt;"",CONCATENATE('Bundle Tag Info'!$A$1," ",CHAR(10),'Bundle Tag Info'!$A$2," ",'Bundle Tag Info'!$A$3,CHAR(10),'Bundle Tag Info'!AA$6,CHAR(10),'Bundle Tag Info'!AA$11),"")</f>
        <v/>
      </c>
      <c r="AB6" s="19" t="str">
        <f>IF('Bundle Tag Info'!AB$11&lt;&gt;"",CONCATENATE('Bundle Tag Info'!$A$1," ",CHAR(10),'Bundle Tag Info'!$A$2," ",'Bundle Tag Info'!$A$3,CHAR(10),'Bundle Tag Info'!AB$6,CHAR(10),'Bundle Tag Info'!AB$11),"")</f>
        <v/>
      </c>
      <c r="AC6" s="19" t="str">
        <f>IF('Bundle Tag Info'!AC$11&lt;&gt;"",CONCATENATE('Bundle Tag Info'!$A$1," ",CHAR(10),'Bundle Tag Info'!$A$2," ",'Bundle Tag Info'!$A$3,CHAR(10),'Bundle Tag Info'!AC$6,CHAR(10),'Bundle Tag Info'!AC$11),"")</f>
        <v/>
      </c>
      <c r="AD6" s="19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19" t="str">
        <f>IF('Bundle Tag Info'!A$12&lt;&gt;"",CONCATENATE('Bundle Tag Info'!$A$1," ",CHAR(10),'Bundle Tag Info'!$A$2," ",'Bundle Tag Info'!$A$3,CHAR(10),'Bundle Tag Info'!A$6,CHAR(10),'Bundle Tag Info'!A$12),"")</f>
        <v/>
      </c>
      <c r="B7" s="19" t="str">
        <f>IF('Bundle Tag Info'!B$12&lt;&gt;"",CONCATENATE('Bundle Tag Info'!$A$1," ",CHAR(10),'Bundle Tag Info'!$A$2," ",'Bundle Tag Info'!$A$3,CHAR(10),'Bundle Tag Info'!B$6,CHAR(10),'Bundle Tag Info'!B$12),"")</f>
        <v/>
      </c>
      <c r="C7" s="19" t="str">
        <f>IF('Bundle Tag Info'!C$12&lt;&gt;"",CONCATENATE('Bundle Tag Info'!$A$1," ",CHAR(10),'Bundle Tag Info'!$A$2," ",'Bundle Tag Info'!$A$3,CHAR(10),'Bundle Tag Info'!C$6,CHAR(10),'Bundle Tag Info'!C$12),"")</f>
        <v/>
      </c>
      <c r="D7" s="19" t="str">
        <f>IF('Bundle Tag Info'!D$12&lt;&gt;"",CONCATENATE('Bundle Tag Info'!$A$1," ",CHAR(10),'Bundle Tag Info'!$A$2," ",'Bundle Tag Info'!$A$3,CHAR(10),'Bundle Tag Info'!D$6,CHAR(10),'Bundle Tag Info'!D$12),"")</f>
        <v/>
      </c>
      <c r="E7" s="19" t="str">
        <f>IF('Bundle Tag Info'!E$12&lt;&gt;"",CONCATENATE('Bundle Tag Info'!$A$1," ",CHAR(10),'Bundle Tag Info'!$A$2," ",'Bundle Tag Info'!$A$3,CHAR(10),'Bundle Tag Info'!E$6,CHAR(10),'Bundle Tag Info'!E$12),"")</f>
        <v>NOC-A #1 
J0400 A.2
LS WALL
FU/XT-ISO</v>
      </c>
      <c r="F7" s="19" t="str">
        <f>IF('Bundle Tag Info'!F$12&lt;&gt;"",CONCATENATE('Bundle Tag Info'!$A$1," ",CHAR(10),'Bundle Tag Info'!$A$2," ",'Bundle Tag Info'!$A$3,CHAR(10),'Bundle Tag Info'!F$6,CHAR(10),'Bundle Tag Info'!F$12),"")</f>
        <v>NOC-A #1 
J0400 A.2
L BACK
KT R/S</v>
      </c>
      <c r="G7" s="19" t="str">
        <f>IF('Bundle Tag Info'!G$12&lt;&gt;"",CONCATENATE('Bundle Tag Info'!$A$1," ",CHAR(10),'Bundle Tag Info'!$A$2," ",'Bundle Tag Info'!$A$3,CHAR(10),'Bundle Tag Info'!G$6,CHAR(10),'Bundle Tag Info'!G$12),"")</f>
        <v/>
      </c>
      <c r="H7" s="19" t="str">
        <f>IF('Bundle Tag Info'!H$12&lt;&gt;"",CONCATENATE('Bundle Tag Info'!$A$1," ",CHAR(10),'Bundle Tag Info'!$A$2," ",'Bundle Tag Info'!$A$3,CHAR(10),'Bundle Tag Info'!H$6,CHAR(10),'Bundle Tag Info'!H$12),"")</f>
        <v>NOC-A #1 
J0400 A.2
RS WALL
XT</v>
      </c>
      <c r="I7" s="19" t="str">
        <f>IF('Bundle Tag Info'!I$12&lt;&gt;"",CONCATENATE('Bundle Tag Info'!$A$1," ",CHAR(10),'Bundle Tag Info'!$A$2," ",'Bundle Tag Info'!$A$3,CHAR(10),'Bundle Tag Info'!I$6,CHAR(10),'Bundle Tag Info'!I$12),"")</f>
        <v/>
      </c>
      <c r="J7" s="19" t="str">
        <f>IF('Bundle Tag Info'!J$12&lt;&gt;"",CONCATENATE('Bundle Tag Info'!$A$1," ",CHAR(10),'Bundle Tag Info'!$A$2," ",'Bundle Tag Info'!$A$3,CHAR(10),'Bundle Tag Info'!J$6,CHAR(10),'Bundle Tag Info'!J$12),"")</f>
        <v/>
      </c>
      <c r="K7" s="19" t="str">
        <f>IF('Bundle Tag Info'!K$12&lt;&gt;"",CONCATENATE('Bundle Tag Info'!$A$1," ",CHAR(10),'Bundle Tag Info'!$A$2," ",'Bundle Tag Info'!$A$3,CHAR(10),'Bundle Tag Info'!K$6,CHAR(10),'Bundle Tag Info'!K$12),"")</f>
        <v/>
      </c>
      <c r="L7" s="19" t="str">
        <f>IF('Bundle Tag Info'!L$12&lt;&gt;"",CONCATENATE('Bundle Tag Info'!$A$1," ",CHAR(10),'Bundle Tag Info'!$A$2," ",'Bundle Tag Info'!$A$3,CHAR(10),'Bundle Tag Info'!L$6,CHAR(10),'Bundle Tag Info'!L$12),"")</f>
        <v/>
      </c>
      <c r="M7" s="19" t="str">
        <f>IF('Bundle Tag Info'!M$12&lt;&gt;"",CONCATENATE('Bundle Tag Info'!$A$1," ",CHAR(10),'Bundle Tag Info'!$A$2," ",'Bundle Tag Info'!$A$3,CHAR(10),'Bundle Tag Info'!M$6,CHAR(10),'Bundle Tag Info'!M$12),"")</f>
        <v/>
      </c>
      <c r="N7" s="19" t="str">
        <f>IF('Bundle Tag Info'!N$12&lt;&gt;"",CONCATENATE('Bundle Tag Info'!$A$1," ",CHAR(10),'Bundle Tag Info'!$A$2," ",'Bundle Tag Info'!$A$3,CHAR(10),'Bundle Tag Info'!N$6,CHAR(10),'Bundle Tag Info'!N$12),"")</f>
        <v/>
      </c>
      <c r="O7" s="19" t="str">
        <f>IF('Bundle Tag Info'!O$12&lt;&gt;"",CONCATENATE('Bundle Tag Info'!$A$1," ",CHAR(10),'Bundle Tag Info'!$A$2," ",'Bundle Tag Info'!$A$3,CHAR(10),'Bundle Tag Info'!O$6,CHAR(10),'Bundle Tag Info'!O$12),"")</f>
        <v/>
      </c>
      <c r="P7" s="19" t="str">
        <f>IF('Bundle Tag Info'!P$12&lt;&gt;"",CONCATENATE('Bundle Tag Info'!$A$1," ",CHAR(10),'Bundle Tag Info'!$A$2," ",'Bundle Tag Info'!$A$3,CHAR(10),'Bundle Tag Info'!P$6,CHAR(10),'Bundle Tag Info'!P$12),"")</f>
        <v/>
      </c>
      <c r="Q7" s="19" t="str">
        <f>IF('Bundle Tag Info'!Q$12&lt;&gt;"",CONCATENATE('Bundle Tag Info'!$A$1," ",CHAR(10),'Bundle Tag Info'!$A$2," ",'Bundle Tag Info'!$A$3,CHAR(10),'Bundle Tag Info'!Q$6,CHAR(10),'Bundle Tag Info'!Q$12),"")</f>
        <v/>
      </c>
      <c r="R7" s="19" t="str">
        <f>IF('Bundle Tag Info'!R$12&lt;&gt;"",CONCATENATE('Bundle Tag Info'!$A$1," ",CHAR(10),'Bundle Tag Info'!$A$2," ",'Bundle Tag Info'!$A$3,CHAR(10),'Bundle Tag Info'!R$6,CHAR(10),'Bundle Tag Info'!R$12),"")</f>
        <v/>
      </c>
      <c r="S7" s="19" t="str">
        <f>IF('Bundle Tag Info'!S$12&lt;&gt;"",CONCATENATE('Bundle Tag Info'!$A$1," ",CHAR(10),'Bundle Tag Info'!$A$2," ",'Bundle Tag Info'!$A$3,CHAR(10),'Bundle Tag Info'!S$6,CHAR(10),'Bundle Tag Info'!S$12),"")</f>
        <v/>
      </c>
      <c r="T7" s="19" t="str">
        <f>IF('Bundle Tag Info'!T$12&lt;&gt;"",CONCATENATE('Bundle Tag Info'!$A$1," ",CHAR(10),'Bundle Tag Info'!$A$2," ",'Bundle Tag Info'!$A$3,CHAR(10),'Bundle Tag Info'!T$6,CHAR(10),'Bundle Tag Info'!T$12),"")</f>
        <v/>
      </c>
      <c r="U7" s="19" t="str">
        <f>IF('Bundle Tag Info'!U$12&lt;&gt;"",CONCATENATE('Bundle Tag Info'!$A$1," ",CHAR(10),'Bundle Tag Info'!$A$2," ",'Bundle Tag Info'!$A$3,CHAR(10),'Bundle Tag Info'!U$6,CHAR(10),'Bundle Tag Info'!U$12),"")</f>
        <v/>
      </c>
      <c r="V7" s="19" t="str">
        <f>IF('Bundle Tag Info'!V$12&lt;&gt;"",CONCATENATE('Bundle Tag Info'!$A$1," ",CHAR(10),'Bundle Tag Info'!$A$2," ",'Bundle Tag Info'!$A$3,CHAR(10),'Bundle Tag Info'!V$6,CHAR(10),'Bundle Tag Info'!V$12),"")</f>
        <v/>
      </c>
      <c r="W7" s="19" t="str">
        <f>IF('Bundle Tag Info'!W$12&lt;&gt;"",CONCATENATE('Bundle Tag Info'!$A$1," ",CHAR(10),'Bundle Tag Info'!$A$2," ",'Bundle Tag Info'!$A$3,CHAR(10),'Bundle Tag Info'!W$6,CHAR(10),'Bundle Tag Info'!W$12),"")</f>
        <v/>
      </c>
      <c r="X7" s="19" t="str">
        <f>IF('Bundle Tag Info'!X$12&lt;&gt;"",CONCATENATE('Bundle Tag Info'!$A$1," ",CHAR(10),'Bundle Tag Info'!$A$2," ",'Bundle Tag Info'!$A$3,CHAR(10),'Bundle Tag Info'!X$6,CHAR(10),'Bundle Tag Info'!X$12),"")</f>
        <v/>
      </c>
      <c r="Y7" s="19" t="str">
        <f>IF('Bundle Tag Info'!Y$12&lt;&gt;"",CONCATENATE('Bundle Tag Info'!$A$1," ",CHAR(10),'Bundle Tag Info'!$A$2," ",'Bundle Tag Info'!$A$3,CHAR(10),'Bundle Tag Info'!Y$6,CHAR(10),'Bundle Tag Info'!Y$12),"")</f>
        <v/>
      </c>
      <c r="Z7" s="19" t="str">
        <f>IF('Bundle Tag Info'!Z$12&lt;&gt;"",CONCATENATE('Bundle Tag Info'!$A$1," ",CHAR(10),'Bundle Tag Info'!$A$2," ",'Bundle Tag Info'!$A$3,CHAR(10),'Bundle Tag Info'!Z$6,CHAR(10),'Bundle Tag Info'!Z$12),"")</f>
        <v/>
      </c>
      <c r="AA7" s="19" t="str">
        <f>IF('Bundle Tag Info'!AA$12&lt;&gt;"",CONCATENATE('Bundle Tag Info'!$A$1," ",CHAR(10),'Bundle Tag Info'!$A$2," ",'Bundle Tag Info'!$A$3,CHAR(10),'Bundle Tag Info'!AA$6,CHAR(10),'Bundle Tag Info'!AA$12),"")</f>
        <v/>
      </c>
      <c r="AB7" s="19" t="str">
        <f>IF('Bundle Tag Info'!AB$12&lt;&gt;"",CONCATENATE('Bundle Tag Info'!$A$1," ",CHAR(10),'Bundle Tag Info'!$A$2," ",'Bundle Tag Info'!$A$3,CHAR(10),'Bundle Tag Info'!AB$6,CHAR(10),'Bundle Tag Info'!AB$12),"")</f>
        <v/>
      </c>
      <c r="AC7" s="19" t="str">
        <f>IF('Bundle Tag Info'!AC$12&lt;&gt;"",CONCATENATE('Bundle Tag Info'!$A$1," ",CHAR(10),'Bundle Tag Info'!$A$2," ",'Bundle Tag Info'!$A$3,CHAR(10),'Bundle Tag Info'!AC$6,CHAR(10),'Bundle Tag Info'!AC$12),"")</f>
        <v/>
      </c>
      <c r="AD7" s="19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19" t="str">
        <f>IF('Bundle Tag Info'!A$13&lt;&gt;"",CONCATENATE('Bundle Tag Info'!$A$1," ",CHAR(10),'Bundle Tag Info'!$A$2," ",'Bundle Tag Info'!$A$3,CHAR(10),'Bundle Tag Info'!A$6,CHAR(10),'Bundle Tag Info'!A$13),"")</f>
        <v/>
      </c>
      <c r="B8" s="19" t="str">
        <f>IF('Bundle Tag Info'!B$13&lt;&gt;"",CONCATENATE('Bundle Tag Info'!$A$1," ",CHAR(10),'Bundle Tag Info'!$A$2," ",'Bundle Tag Info'!$A$3,CHAR(10),'Bundle Tag Info'!B$6,CHAR(10),'Bundle Tag Info'!B$13),"")</f>
        <v/>
      </c>
      <c r="C8" s="19" t="str">
        <f>IF('Bundle Tag Info'!C$13&lt;&gt;"",CONCATENATE('Bundle Tag Info'!$A$1," ",CHAR(10),'Bundle Tag Info'!$A$2," ",'Bundle Tag Info'!$A$3,CHAR(10),'Bundle Tag Info'!C$6,CHAR(10),'Bundle Tag Info'!C$13),"")</f>
        <v/>
      </c>
      <c r="D8" s="19" t="str">
        <f>IF('Bundle Tag Info'!D$13&lt;&gt;"",CONCATENATE('Bundle Tag Info'!$A$1," ",CHAR(10),'Bundle Tag Info'!$A$2," ",'Bundle Tag Info'!$A$3,CHAR(10),'Bundle Tag Info'!D$6,CHAR(10),'Bundle Tag Info'!D$13),"")</f>
        <v/>
      </c>
      <c r="E8" s="19" t="str">
        <f>IF('Bundle Tag Info'!E$13&lt;&gt;"",CONCATENATE('Bundle Tag Info'!$A$1," ",CHAR(10),'Bundle Tag Info'!$A$2," ",'Bundle Tag Info'!$A$3,CHAR(10),'Bundle Tag Info'!E$6,CHAR(10),'Bundle Tag Info'!E$13),"")</f>
        <v>NOC-A #1 
J0400 A.2
LS WALL
FU-LBACK</v>
      </c>
      <c r="F8" s="19" t="str">
        <f>IF('Bundle Tag Info'!F$13&lt;&gt;"",CONCATENATE('Bundle Tag Info'!$A$1," ",CHAR(10),'Bundle Tag Info'!$A$2," ",'Bundle Tag Info'!$A$3,CHAR(10),'Bundle Tag Info'!F$6,CHAR(10),'Bundle Tag Info'!F$13),"")</f>
        <v>NOC-A #1 
J0400 A.2
L BACK
AF-ISO</v>
      </c>
      <c r="G8" s="19" t="str">
        <f>IF('Bundle Tag Info'!G$13&lt;&gt;"",CONCATENATE('Bundle Tag Info'!$A$1," ",CHAR(10),'Bundle Tag Info'!$A$2," ",'Bundle Tag Info'!$A$3,CHAR(10),'Bundle Tag Info'!G$6,CHAR(10),'Bundle Tag Info'!G$13),"")</f>
        <v/>
      </c>
      <c r="H8" s="19" t="str">
        <f>IF('Bundle Tag Info'!H$13&lt;&gt;"",CONCATENATE('Bundle Tag Info'!$A$1," ",CHAR(10),'Bundle Tag Info'!$A$2," ",'Bundle Tag Info'!$A$3,CHAR(10),'Bundle Tag Info'!H$6,CHAR(10),'Bundle Tag Info'!H$13),"")</f>
        <v/>
      </c>
      <c r="I8" s="19" t="str">
        <f>IF('Bundle Tag Info'!I$13&lt;&gt;"",CONCATENATE('Bundle Tag Info'!$A$1," ",CHAR(10),'Bundle Tag Info'!$A$2," ",'Bundle Tag Info'!$A$3,CHAR(10),'Bundle Tag Info'!I$6,CHAR(10),'Bundle Tag Info'!I$13),"")</f>
        <v/>
      </c>
      <c r="J8" s="19" t="str">
        <f>IF('Bundle Tag Info'!J$13&lt;&gt;"",CONCATENATE('Bundle Tag Info'!$A$1," ",CHAR(10),'Bundle Tag Info'!$A$2," ",'Bundle Tag Info'!$A$3,CHAR(10),'Bundle Tag Info'!J$6,CHAR(10),'Bundle Tag Info'!J$13),"")</f>
        <v/>
      </c>
      <c r="K8" s="19" t="str">
        <f>IF('Bundle Tag Info'!K$13&lt;&gt;"",CONCATENATE('Bundle Tag Info'!$A$1," ",CHAR(10),'Bundle Tag Info'!$A$2," ",'Bundle Tag Info'!$A$3,CHAR(10),'Bundle Tag Info'!K$6,CHAR(10),'Bundle Tag Info'!K$13),"")</f>
        <v/>
      </c>
      <c r="L8" s="19" t="str">
        <f>IF('Bundle Tag Info'!L$13&lt;&gt;"",CONCATENATE('Bundle Tag Info'!$A$1," ",CHAR(10),'Bundle Tag Info'!$A$2," ",'Bundle Tag Info'!$A$3,CHAR(10),'Bundle Tag Info'!L$6,CHAR(10),'Bundle Tag Info'!L$13),"")</f>
        <v/>
      </c>
      <c r="M8" s="19" t="str">
        <f>IF('Bundle Tag Info'!M$13&lt;&gt;"",CONCATENATE('Bundle Tag Info'!$A$1," ",CHAR(10),'Bundle Tag Info'!$A$2," ",'Bundle Tag Info'!$A$3,CHAR(10),'Bundle Tag Info'!M$6,CHAR(10),'Bundle Tag Info'!M$13),"")</f>
        <v/>
      </c>
      <c r="N8" s="19" t="str">
        <f>IF('Bundle Tag Info'!N$13&lt;&gt;"",CONCATENATE('Bundle Tag Info'!$A$1," ",CHAR(10),'Bundle Tag Info'!$A$2," ",'Bundle Tag Info'!$A$3,CHAR(10),'Bundle Tag Info'!N$6,CHAR(10),'Bundle Tag Info'!N$13),"")</f>
        <v/>
      </c>
      <c r="O8" s="19" t="str">
        <f>IF('Bundle Tag Info'!O$13&lt;&gt;"",CONCATENATE('Bundle Tag Info'!$A$1," ",CHAR(10),'Bundle Tag Info'!$A$2," ",'Bundle Tag Info'!$A$3,CHAR(10),'Bundle Tag Info'!O$6,CHAR(10),'Bundle Tag Info'!O$13),"")</f>
        <v/>
      </c>
      <c r="P8" s="19" t="str">
        <f>IF('Bundle Tag Info'!P$13&lt;&gt;"",CONCATENATE('Bundle Tag Info'!$A$1," ",CHAR(10),'Bundle Tag Info'!$A$2," ",'Bundle Tag Info'!$A$3,CHAR(10),'Bundle Tag Info'!P$6,CHAR(10),'Bundle Tag Info'!P$13),"")</f>
        <v/>
      </c>
      <c r="Q8" s="19" t="str">
        <f>IF('Bundle Tag Info'!Q$13&lt;&gt;"",CONCATENATE('Bundle Tag Info'!$A$1," ",CHAR(10),'Bundle Tag Info'!$A$2," ",'Bundle Tag Info'!$A$3,CHAR(10),'Bundle Tag Info'!Q$6,CHAR(10),'Bundle Tag Info'!Q$13),"")</f>
        <v/>
      </c>
      <c r="R8" s="19" t="str">
        <f>IF('Bundle Tag Info'!R$13&lt;&gt;"",CONCATENATE('Bundle Tag Info'!$A$1," ",CHAR(10),'Bundle Tag Info'!$A$2," ",'Bundle Tag Info'!$A$3,CHAR(10),'Bundle Tag Info'!R$6,CHAR(10),'Bundle Tag Info'!R$13),"")</f>
        <v/>
      </c>
      <c r="S8" s="19" t="str">
        <f>IF('Bundle Tag Info'!S$13&lt;&gt;"",CONCATENATE('Bundle Tag Info'!$A$1," ",CHAR(10),'Bundle Tag Info'!$A$2," ",'Bundle Tag Info'!$A$3,CHAR(10),'Bundle Tag Info'!S$6,CHAR(10),'Bundle Tag Info'!S$13),"")</f>
        <v/>
      </c>
      <c r="T8" s="19" t="str">
        <f>IF('Bundle Tag Info'!T$13&lt;&gt;"",CONCATENATE('Bundle Tag Info'!$A$1," ",CHAR(10),'Bundle Tag Info'!$A$2," ",'Bundle Tag Info'!$A$3,CHAR(10),'Bundle Tag Info'!T$6,CHAR(10),'Bundle Tag Info'!T$13),"")</f>
        <v/>
      </c>
      <c r="U8" s="19" t="str">
        <f>IF('Bundle Tag Info'!U$13&lt;&gt;"",CONCATENATE('Bundle Tag Info'!$A$1," ",CHAR(10),'Bundle Tag Info'!$A$2," ",'Bundle Tag Info'!$A$3,CHAR(10),'Bundle Tag Info'!U$6,CHAR(10),'Bundle Tag Info'!U$13),"")</f>
        <v/>
      </c>
      <c r="V8" s="19" t="str">
        <f>IF('Bundle Tag Info'!V$13&lt;&gt;"",CONCATENATE('Bundle Tag Info'!$A$1," ",CHAR(10),'Bundle Tag Info'!$A$2," ",'Bundle Tag Info'!$A$3,CHAR(10),'Bundle Tag Info'!V$6,CHAR(10),'Bundle Tag Info'!V$13),"")</f>
        <v/>
      </c>
      <c r="W8" s="19" t="str">
        <f>IF('Bundle Tag Info'!W$13&lt;&gt;"",CONCATENATE('Bundle Tag Info'!$A$1," ",CHAR(10),'Bundle Tag Info'!$A$2," ",'Bundle Tag Info'!$A$3,CHAR(10),'Bundle Tag Info'!W$6,CHAR(10),'Bundle Tag Info'!W$13),"")</f>
        <v/>
      </c>
      <c r="X8" s="19" t="str">
        <f>IF('Bundle Tag Info'!X$13&lt;&gt;"",CONCATENATE('Bundle Tag Info'!$A$1," ",CHAR(10),'Bundle Tag Info'!$A$2," ",'Bundle Tag Info'!$A$3,CHAR(10),'Bundle Tag Info'!X$6,CHAR(10),'Bundle Tag Info'!X$13),"")</f>
        <v/>
      </c>
      <c r="Y8" s="19" t="str">
        <f>IF('Bundle Tag Info'!Y$13&lt;&gt;"",CONCATENATE('Bundle Tag Info'!$A$1," ",CHAR(10),'Bundle Tag Info'!$A$2," ",'Bundle Tag Info'!$A$3,CHAR(10),'Bundle Tag Info'!Y$6,CHAR(10),'Bundle Tag Info'!Y$13),"")</f>
        <v/>
      </c>
      <c r="Z8" s="19" t="str">
        <f>IF('Bundle Tag Info'!Z$13&lt;&gt;"",CONCATENATE('Bundle Tag Info'!$A$1," ",CHAR(10),'Bundle Tag Info'!$A$2," ",'Bundle Tag Info'!$A$3,CHAR(10),'Bundle Tag Info'!Z$6,CHAR(10),'Bundle Tag Info'!Z$13),"")</f>
        <v/>
      </c>
      <c r="AA8" s="19" t="str">
        <f>IF('Bundle Tag Info'!AA$13&lt;&gt;"",CONCATENATE('Bundle Tag Info'!$A$1," ",CHAR(10),'Bundle Tag Info'!$A$2," ",'Bundle Tag Info'!$A$3,CHAR(10),'Bundle Tag Info'!AA$6,CHAR(10),'Bundle Tag Info'!AA$13),"")</f>
        <v/>
      </c>
      <c r="AB8" s="19" t="str">
        <f>IF('Bundle Tag Info'!AB$13&lt;&gt;"",CONCATENATE('Bundle Tag Info'!$A$1," ",CHAR(10),'Bundle Tag Info'!$A$2," ",'Bundle Tag Info'!$A$3,CHAR(10),'Bundle Tag Info'!AB$6,CHAR(10),'Bundle Tag Info'!AB$13),"")</f>
        <v/>
      </c>
      <c r="AC8" s="19" t="str">
        <f>IF('Bundle Tag Info'!AC$13&lt;&gt;"",CONCATENATE('Bundle Tag Info'!$A$1," ",CHAR(10),'Bundle Tag Info'!$A$2," ",'Bundle Tag Info'!$A$3,CHAR(10),'Bundle Tag Info'!AC$6,CHAR(10),'Bundle Tag Info'!AC$13),"")</f>
        <v/>
      </c>
      <c r="AD8" s="19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19" t="str">
        <f>IF('Bundle Tag Info'!A$14&lt;&gt;"",CONCATENATE('Bundle Tag Info'!$A$1," ",CHAR(10),'Bundle Tag Info'!$A$2," ",'Bundle Tag Info'!$A$3,CHAR(10),'Bundle Tag Info'!A$6,CHAR(10),'Bundle Tag Info'!A$14),"")</f>
        <v/>
      </c>
      <c r="B9" s="19" t="str">
        <f>IF('Bundle Tag Info'!B$14&lt;&gt;"",CONCATENATE('Bundle Tag Info'!$A$1," ",CHAR(10),'Bundle Tag Info'!$A$2," ",'Bundle Tag Info'!$A$3,CHAR(10),'Bundle Tag Info'!B$6,CHAR(10),'Bundle Tag Info'!B$14),"")</f>
        <v/>
      </c>
      <c r="C9" s="19" t="str">
        <f>IF('Bundle Tag Info'!C$14&lt;&gt;"",CONCATENATE('Bundle Tag Info'!$A$1," ",CHAR(10),'Bundle Tag Info'!$A$2," ",'Bundle Tag Info'!$A$3,CHAR(10),'Bundle Tag Info'!C$6,CHAR(10),'Bundle Tag Info'!C$14),"")</f>
        <v/>
      </c>
      <c r="D9" s="19" t="str">
        <f>IF('Bundle Tag Info'!D$14&lt;&gt;"",CONCATENATE('Bundle Tag Info'!$A$1," ",CHAR(10),'Bundle Tag Info'!$A$2," ",'Bundle Tag Info'!$A$3,CHAR(10),'Bundle Tag Info'!D$6,CHAR(10),'Bundle Tag Info'!D$14),"")</f>
        <v/>
      </c>
      <c r="E9" s="19" t="str">
        <f>IF('Bundle Tag Info'!E$14&lt;&gt;"",CONCATENATE('Bundle Tag Info'!$A$1," ",CHAR(10),'Bundle Tag Info'!$A$2," ",'Bundle Tag Info'!$A$3,CHAR(10),'Bundle Tag Info'!E$6,CHAR(10),'Bundle Tag Info'!E$14),"")</f>
        <v>NOC-A #1 
J0400 A.2
LS WALL
KA A1/A2-LBACK</v>
      </c>
      <c r="F9" s="19" t="str">
        <f>IF('Bundle Tag Info'!F$14&lt;&gt;"",CONCATENATE('Bundle Tag Info'!$A$1," ",CHAR(10),'Bundle Tag Info'!$A$2," ",'Bundle Tag Info'!$A$3,CHAR(10),'Bundle Tag Info'!F$6,CHAR(10),'Bundle Tag Info'!F$14),"")</f>
        <v>NOC-A #1 
J0400 A.2
L BACK
KT L/S-RWALL</v>
      </c>
      <c r="G9" s="19" t="str">
        <f>IF('Bundle Tag Info'!G$14&lt;&gt;"",CONCATENATE('Bundle Tag Info'!$A$1," ",CHAR(10),'Bundle Tag Info'!$A$2," ",'Bundle Tag Info'!$A$3,CHAR(10),'Bundle Tag Info'!G$6,CHAR(10),'Bundle Tag Info'!G$14),"")</f>
        <v/>
      </c>
      <c r="H9" s="19" t="str">
        <f>IF('Bundle Tag Info'!H$14&lt;&gt;"",CONCATENATE('Bundle Tag Info'!$A$1," ",CHAR(10),'Bundle Tag Info'!$A$2," ",'Bundle Tag Info'!$A$3,CHAR(10),'Bundle Tag Info'!H$6,CHAR(10),'Bundle Tag Info'!H$14),"")</f>
        <v/>
      </c>
      <c r="I9" s="19" t="str">
        <f>IF('Bundle Tag Info'!I$14&lt;&gt;"",CONCATENATE('Bundle Tag Info'!$A$1," ",CHAR(10),'Bundle Tag Info'!$A$2," ",'Bundle Tag Info'!$A$3,CHAR(10),'Bundle Tag Info'!I$6,CHAR(10),'Bundle Tag Info'!I$14),"")</f>
        <v/>
      </c>
      <c r="J9" s="19" t="str">
        <f>IF('Bundle Tag Info'!J$14&lt;&gt;"",CONCATENATE('Bundle Tag Info'!$A$1," ",CHAR(10),'Bundle Tag Info'!$A$2," ",'Bundle Tag Info'!$A$3,CHAR(10),'Bundle Tag Info'!J$6,CHAR(10),'Bundle Tag Info'!J$14),"")</f>
        <v/>
      </c>
      <c r="K9" s="19" t="str">
        <f>IF('Bundle Tag Info'!K$14&lt;&gt;"",CONCATENATE('Bundle Tag Info'!$A$1," ",CHAR(10),'Bundle Tag Info'!$A$2," ",'Bundle Tag Info'!$A$3,CHAR(10),'Bundle Tag Info'!K$6,CHAR(10),'Bundle Tag Info'!K$14),"")</f>
        <v/>
      </c>
      <c r="L9" s="19" t="str">
        <f>IF('Bundle Tag Info'!L$14&lt;&gt;"",CONCATENATE('Bundle Tag Info'!$A$1," ",CHAR(10),'Bundle Tag Info'!$A$2," ",'Bundle Tag Info'!$A$3,CHAR(10),'Bundle Tag Info'!L$6,CHAR(10),'Bundle Tag Info'!L$14),"")</f>
        <v/>
      </c>
      <c r="M9" s="19" t="str">
        <f>IF('Bundle Tag Info'!M$14&lt;&gt;"",CONCATENATE('Bundle Tag Info'!$A$1," ",CHAR(10),'Bundle Tag Info'!$A$2," ",'Bundle Tag Info'!$A$3,CHAR(10),'Bundle Tag Info'!M$6,CHAR(10),'Bundle Tag Info'!M$14),"")</f>
        <v/>
      </c>
      <c r="N9" s="19" t="str">
        <f>IF('Bundle Tag Info'!N$14&lt;&gt;"",CONCATENATE('Bundle Tag Info'!$A$1," ",CHAR(10),'Bundle Tag Info'!$A$2," ",'Bundle Tag Info'!$A$3,CHAR(10),'Bundle Tag Info'!N$6,CHAR(10),'Bundle Tag Info'!N$14),"")</f>
        <v/>
      </c>
      <c r="O9" s="19" t="str">
        <f>IF('Bundle Tag Info'!O$14&lt;&gt;"",CONCATENATE('Bundle Tag Info'!$A$1," ",CHAR(10),'Bundle Tag Info'!$A$2," ",'Bundle Tag Info'!$A$3,CHAR(10),'Bundle Tag Info'!O$6,CHAR(10),'Bundle Tag Info'!O$14),"")</f>
        <v/>
      </c>
      <c r="P9" s="19" t="str">
        <f>IF('Bundle Tag Info'!P$14&lt;&gt;"",CONCATENATE('Bundle Tag Info'!$A$1," ",CHAR(10),'Bundle Tag Info'!$A$2," ",'Bundle Tag Info'!$A$3,CHAR(10),'Bundle Tag Info'!P$6,CHAR(10),'Bundle Tag Info'!P$14),"")</f>
        <v/>
      </c>
      <c r="Q9" s="19" t="str">
        <f>IF('Bundle Tag Info'!Q$14&lt;&gt;"",CONCATENATE('Bundle Tag Info'!$A$1," ",CHAR(10),'Bundle Tag Info'!$A$2," ",'Bundle Tag Info'!$A$3,CHAR(10),'Bundle Tag Info'!Q$6,CHAR(10),'Bundle Tag Info'!Q$14),"")</f>
        <v/>
      </c>
      <c r="R9" s="19" t="str">
        <f>IF('Bundle Tag Info'!R$14&lt;&gt;"",CONCATENATE('Bundle Tag Info'!$A$1," ",CHAR(10),'Bundle Tag Info'!$A$2," ",'Bundle Tag Info'!$A$3,CHAR(10),'Bundle Tag Info'!R$6,CHAR(10),'Bundle Tag Info'!R$14),"")</f>
        <v/>
      </c>
      <c r="S9" s="19" t="str">
        <f>IF('Bundle Tag Info'!S$14&lt;&gt;"",CONCATENATE('Bundle Tag Info'!$A$1," ",CHAR(10),'Bundle Tag Info'!$A$2," ",'Bundle Tag Info'!$A$3,CHAR(10),'Bundle Tag Info'!S$6,CHAR(10),'Bundle Tag Info'!S$14),"")</f>
        <v/>
      </c>
      <c r="T9" s="19" t="str">
        <f>IF('Bundle Tag Info'!T$14&lt;&gt;"",CONCATENATE('Bundle Tag Info'!$A$1," ",CHAR(10),'Bundle Tag Info'!$A$2," ",'Bundle Tag Info'!$A$3,CHAR(10),'Bundle Tag Info'!T$6,CHAR(10),'Bundle Tag Info'!T$14),"")</f>
        <v/>
      </c>
      <c r="U9" s="19" t="str">
        <f>IF('Bundle Tag Info'!U$14&lt;&gt;"",CONCATENATE('Bundle Tag Info'!$A$1," ",CHAR(10),'Bundle Tag Info'!$A$2," ",'Bundle Tag Info'!$A$3,CHAR(10),'Bundle Tag Info'!U$6,CHAR(10),'Bundle Tag Info'!U$14),"")</f>
        <v/>
      </c>
      <c r="V9" s="19" t="str">
        <f>IF('Bundle Tag Info'!V$14&lt;&gt;"",CONCATENATE('Bundle Tag Info'!$A$1," ",CHAR(10),'Bundle Tag Info'!$A$2," ",'Bundle Tag Info'!$A$3,CHAR(10),'Bundle Tag Info'!V$6,CHAR(10),'Bundle Tag Info'!V$14),"")</f>
        <v/>
      </c>
      <c r="W9" s="19" t="str">
        <f>IF('Bundle Tag Info'!W$14&lt;&gt;"",CONCATENATE('Bundle Tag Info'!$A$1," ",CHAR(10),'Bundle Tag Info'!$A$2," ",'Bundle Tag Info'!$A$3,CHAR(10),'Bundle Tag Info'!W$6,CHAR(10),'Bundle Tag Info'!W$14),"")</f>
        <v/>
      </c>
      <c r="X9" s="19" t="str">
        <f>IF('Bundle Tag Info'!X$14&lt;&gt;"",CONCATENATE('Bundle Tag Info'!$A$1," ",CHAR(10),'Bundle Tag Info'!$A$2," ",'Bundle Tag Info'!$A$3,CHAR(10),'Bundle Tag Info'!X$6,CHAR(10),'Bundle Tag Info'!X$14),"")</f>
        <v/>
      </c>
      <c r="Y9" s="19" t="str">
        <f>IF('Bundle Tag Info'!Y$14&lt;&gt;"",CONCATENATE('Bundle Tag Info'!$A$1," ",CHAR(10),'Bundle Tag Info'!$A$2," ",'Bundle Tag Info'!$A$3,CHAR(10),'Bundle Tag Info'!Y$6,CHAR(10),'Bundle Tag Info'!Y$14),"")</f>
        <v/>
      </c>
      <c r="Z9" s="19" t="str">
        <f>IF('Bundle Tag Info'!Z$14&lt;&gt;"",CONCATENATE('Bundle Tag Info'!$A$1," ",CHAR(10),'Bundle Tag Info'!$A$2," ",'Bundle Tag Info'!$A$3,CHAR(10),'Bundle Tag Info'!Z$6,CHAR(10),'Bundle Tag Info'!Z$14),"")</f>
        <v/>
      </c>
      <c r="AA9" s="19" t="str">
        <f>IF('Bundle Tag Info'!AA$14&lt;&gt;"",CONCATENATE('Bundle Tag Info'!$A$1," ",CHAR(10),'Bundle Tag Info'!$A$2," ",'Bundle Tag Info'!$A$3,CHAR(10),'Bundle Tag Info'!AA$6,CHAR(10),'Bundle Tag Info'!AA$14),"")</f>
        <v/>
      </c>
      <c r="AB9" s="19" t="str">
        <f>IF('Bundle Tag Info'!AB$14&lt;&gt;"",CONCATENATE('Bundle Tag Info'!$A$1," ",CHAR(10),'Bundle Tag Info'!$A$2," ",'Bundle Tag Info'!$A$3,CHAR(10),'Bundle Tag Info'!AB$6,CHAR(10),'Bundle Tag Info'!AB$14),"")</f>
        <v/>
      </c>
      <c r="AC9" s="19" t="str">
        <f>IF('Bundle Tag Info'!AC$14&lt;&gt;"",CONCATENATE('Bundle Tag Info'!$A$1," ",CHAR(10),'Bundle Tag Info'!$A$2," ",'Bundle Tag Info'!$A$3,CHAR(10),'Bundle Tag Info'!AC$6,CHAR(10),'Bundle Tag Info'!AC$14),"")</f>
        <v/>
      </c>
      <c r="AD9" s="19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19" t="str">
        <f>IF('Bundle Tag Info'!A$15&lt;&gt;"",CONCATENATE('Bundle Tag Info'!$A$1," ",CHAR(10),'Bundle Tag Info'!$A$2," ",'Bundle Tag Info'!$A$3,CHAR(10),'Bundle Tag Info'!A$6,CHAR(10),'Bundle Tag Info'!A$15),"")</f>
        <v/>
      </c>
      <c r="B10" s="19" t="str">
        <f>IF('Bundle Tag Info'!B$15&lt;&gt;"",CONCATENATE('Bundle Tag Info'!$A$1," ",CHAR(10),'Bundle Tag Info'!$A$2," ",'Bundle Tag Info'!$A$3,CHAR(10),'Bundle Tag Info'!B$6,CHAR(10),'Bundle Tag Info'!B$15),"")</f>
        <v/>
      </c>
      <c r="C10" s="19" t="str">
        <f>IF('Bundle Tag Info'!C$15&lt;&gt;"",CONCATENATE('Bundle Tag Info'!$A$1," ",CHAR(10),'Bundle Tag Info'!$A$2," ",'Bundle Tag Info'!$A$3,CHAR(10),'Bundle Tag Info'!C$6,CHAR(10),'Bundle Tag Info'!C$15),"")</f>
        <v/>
      </c>
      <c r="D10" s="19" t="str">
        <f>IF('Bundle Tag Info'!D$15&lt;&gt;"",CONCATENATE('Bundle Tag Info'!$A$1," ",CHAR(10),'Bundle Tag Info'!$A$2," ",'Bundle Tag Info'!$A$3,CHAR(10),'Bundle Tag Info'!D$6,CHAR(10),'Bundle Tag Info'!D$15),"")</f>
        <v/>
      </c>
      <c r="E10" s="19" t="str">
        <f>IF('Bundle Tag Info'!E$15&lt;&gt;"",CONCATENATE('Bundle Tag Info'!$A$1," ",CHAR(10),'Bundle Tag Info'!$A$2," ",'Bundle Tag Info'!$A$3,CHAR(10),'Bundle Tag Info'!E$6,CHAR(10),'Bundle Tag Info'!E$15),"")</f>
        <v>NOC-A #1 
J0400 A.2
LS WALL
KA-LBACK</v>
      </c>
      <c r="F10" s="19" t="str">
        <f>IF('Bundle Tag Info'!F$15&lt;&gt;"",CONCATENATE('Bundle Tag Info'!$A$1," ",CHAR(10),'Bundle Tag Info'!$A$2," ",'Bundle Tag Info'!$A$3,CHAR(10),'Bundle Tag Info'!F$6,CHAR(10),'Bundle Tag Info'!F$15),"")</f>
        <v>NOC-A #1 
J0400 A.2
L BACK
KT R/S-RWALL</v>
      </c>
      <c r="G10" s="19" t="str">
        <f>IF('Bundle Tag Info'!G$15&lt;&gt;"",CONCATENATE('Bundle Tag Info'!$A$1," ",CHAR(10),'Bundle Tag Info'!$A$2," ",'Bundle Tag Info'!$A$3,CHAR(10),'Bundle Tag Info'!G$6,CHAR(10),'Bundle Tag Info'!G$15),"")</f>
        <v/>
      </c>
      <c r="H10" s="19" t="str">
        <f>IF('Bundle Tag Info'!H$15&lt;&gt;"",CONCATENATE('Bundle Tag Info'!$A$1," ",CHAR(10),'Bundle Tag Info'!$A$2," ",'Bundle Tag Info'!$A$3,CHAR(10),'Bundle Tag Info'!H$6,CHAR(10),'Bundle Tag Info'!H$15),"")</f>
        <v/>
      </c>
      <c r="I10" s="19" t="str">
        <f>IF('Bundle Tag Info'!I$15&lt;&gt;"",CONCATENATE('Bundle Tag Info'!$A$1," ",CHAR(10),'Bundle Tag Info'!$A$2," ",'Bundle Tag Info'!$A$3,CHAR(10),'Bundle Tag Info'!I$6,CHAR(10),'Bundle Tag Info'!I$15),"")</f>
        <v/>
      </c>
      <c r="J10" s="19" t="str">
        <f>IF('Bundle Tag Info'!J$15&lt;&gt;"",CONCATENATE('Bundle Tag Info'!$A$1," ",CHAR(10),'Bundle Tag Info'!$A$2," ",'Bundle Tag Info'!$A$3,CHAR(10),'Bundle Tag Info'!J$6,CHAR(10),'Bundle Tag Info'!J$15),"")</f>
        <v/>
      </c>
      <c r="K10" s="19" t="str">
        <f>IF('Bundle Tag Info'!K$15&lt;&gt;"",CONCATENATE('Bundle Tag Info'!$A$1," ",CHAR(10),'Bundle Tag Info'!$A$2," ",'Bundle Tag Info'!$A$3,CHAR(10),'Bundle Tag Info'!K$6,CHAR(10),'Bundle Tag Info'!K$15),"")</f>
        <v/>
      </c>
      <c r="L10" s="19" t="str">
        <f>IF('Bundle Tag Info'!L$15&lt;&gt;"",CONCATENATE('Bundle Tag Info'!$A$1," ",CHAR(10),'Bundle Tag Info'!$A$2," ",'Bundle Tag Info'!$A$3,CHAR(10),'Bundle Tag Info'!L$6,CHAR(10),'Bundle Tag Info'!L$15),"")</f>
        <v/>
      </c>
      <c r="M10" s="19" t="str">
        <f>IF('Bundle Tag Info'!M$15&lt;&gt;"",CONCATENATE('Bundle Tag Info'!$A$1," ",CHAR(10),'Bundle Tag Info'!$A$2," ",'Bundle Tag Info'!$A$3,CHAR(10),'Bundle Tag Info'!M$6,CHAR(10),'Bundle Tag Info'!M$15),"")</f>
        <v/>
      </c>
      <c r="N10" s="19" t="str">
        <f>IF('Bundle Tag Info'!N$15&lt;&gt;"",CONCATENATE('Bundle Tag Info'!$A$1," ",CHAR(10),'Bundle Tag Info'!$A$2," ",'Bundle Tag Info'!$A$3,CHAR(10),'Bundle Tag Info'!N$6,CHAR(10),'Bundle Tag Info'!N$15),"")</f>
        <v/>
      </c>
      <c r="O10" s="19" t="str">
        <f>IF('Bundle Tag Info'!O$15&lt;&gt;"",CONCATENATE('Bundle Tag Info'!$A$1," ",CHAR(10),'Bundle Tag Info'!$A$2," ",'Bundle Tag Info'!$A$3,CHAR(10),'Bundle Tag Info'!O$6,CHAR(10),'Bundle Tag Info'!O$15),"")</f>
        <v/>
      </c>
      <c r="P10" s="19" t="str">
        <f>IF('Bundle Tag Info'!P$15&lt;&gt;"",CONCATENATE('Bundle Tag Info'!$A$1," ",CHAR(10),'Bundle Tag Info'!$A$2," ",'Bundle Tag Info'!$A$3,CHAR(10),'Bundle Tag Info'!P$6,CHAR(10),'Bundle Tag Info'!P$15),"")</f>
        <v/>
      </c>
      <c r="Q10" s="19" t="str">
        <f>IF('Bundle Tag Info'!Q$15&lt;&gt;"",CONCATENATE('Bundle Tag Info'!$A$1," ",CHAR(10),'Bundle Tag Info'!$A$2," ",'Bundle Tag Info'!$A$3,CHAR(10),'Bundle Tag Info'!Q$6,CHAR(10),'Bundle Tag Info'!Q$15),"")</f>
        <v/>
      </c>
      <c r="R10" s="19" t="str">
        <f>IF('Bundle Tag Info'!R$15&lt;&gt;"",CONCATENATE('Bundle Tag Info'!$A$1," ",CHAR(10),'Bundle Tag Info'!$A$2," ",'Bundle Tag Info'!$A$3,CHAR(10),'Bundle Tag Info'!R$6,CHAR(10),'Bundle Tag Info'!R$15),"")</f>
        <v/>
      </c>
      <c r="S10" s="19" t="str">
        <f>IF('Bundle Tag Info'!S$15&lt;&gt;"",CONCATENATE('Bundle Tag Info'!$A$1," ",CHAR(10),'Bundle Tag Info'!$A$2," ",'Bundle Tag Info'!$A$3,CHAR(10),'Bundle Tag Info'!S$6,CHAR(10),'Bundle Tag Info'!S$15),"")</f>
        <v/>
      </c>
      <c r="T10" s="19" t="str">
        <f>IF('Bundle Tag Info'!T$15&lt;&gt;"",CONCATENATE('Bundle Tag Info'!$A$1," ",CHAR(10),'Bundle Tag Info'!$A$2," ",'Bundle Tag Info'!$A$3,CHAR(10),'Bundle Tag Info'!T$6,CHAR(10),'Bundle Tag Info'!T$15),"")</f>
        <v/>
      </c>
      <c r="U10" s="19" t="str">
        <f>IF('Bundle Tag Info'!U$15&lt;&gt;"",CONCATENATE('Bundle Tag Info'!$A$1," ",CHAR(10),'Bundle Tag Info'!$A$2," ",'Bundle Tag Info'!$A$3,CHAR(10),'Bundle Tag Info'!U$6,CHAR(10),'Bundle Tag Info'!U$15),"")</f>
        <v/>
      </c>
      <c r="V10" s="19" t="str">
        <f>IF('Bundle Tag Info'!V$15&lt;&gt;"",CONCATENATE('Bundle Tag Info'!$A$1," ",CHAR(10),'Bundle Tag Info'!$A$2," ",'Bundle Tag Info'!$A$3,CHAR(10),'Bundle Tag Info'!V$6,CHAR(10),'Bundle Tag Info'!V$15),"")</f>
        <v/>
      </c>
      <c r="W10" s="19" t="str">
        <f>IF('Bundle Tag Info'!W$15&lt;&gt;"",CONCATENATE('Bundle Tag Info'!$A$1," ",CHAR(10),'Bundle Tag Info'!$A$2," ",'Bundle Tag Info'!$A$3,CHAR(10),'Bundle Tag Info'!W$6,CHAR(10),'Bundle Tag Info'!W$15),"")</f>
        <v/>
      </c>
      <c r="X10" s="19" t="str">
        <f>IF('Bundle Tag Info'!X$15&lt;&gt;"",CONCATENATE('Bundle Tag Info'!$A$1," ",CHAR(10),'Bundle Tag Info'!$A$2," ",'Bundle Tag Info'!$A$3,CHAR(10),'Bundle Tag Info'!X$6,CHAR(10),'Bundle Tag Info'!X$15),"")</f>
        <v/>
      </c>
      <c r="Y10" s="19" t="str">
        <f>IF('Bundle Tag Info'!Y$15&lt;&gt;"",CONCATENATE('Bundle Tag Info'!$A$1," ",CHAR(10),'Bundle Tag Info'!$A$2," ",'Bundle Tag Info'!$A$3,CHAR(10),'Bundle Tag Info'!Y$6,CHAR(10),'Bundle Tag Info'!Y$15),"")</f>
        <v/>
      </c>
      <c r="Z10" s="19" t="str">
        <f>IF('Bundle Tag Info'!Z$15&lt;&gt;"",CONCATENATE('Bundle Tag Info'!$A$1," ",CHAR(10),'Bundle Tag Info'!$A$2," ",'Bundle Tag Info'!$A$3,CHAR(10),'Bundle Tag Info'!Z$6,CHAR(10),'Bundle Tag Info'!Z$15),"")</f>
        <v/>
      </c>
      <c r="AA10" s="19" t="str">
        <f>IF('Bundle Tag Info'!AA$15&lt;&gt;"",CONCATENATE('Bundle Tag Info'!$A$1," ",CHAR(10),'Bundle Tag Info'!$A$2," ",'Bundle Tag Info'!$A$3,CHAR(10),'Bundle Tag Info'!AA$6,CHAR(10),'Bundle Tag Info'!AA$15),"")</f>
        <v/>
      </c>
      <c r="AB10" s="19" t="str">
        <f>IF('Bundle Tag Info'!AB$15&lt;&gt;"",CONCATENATE('Bundle Tag Info'!$A$1," ",CHAR(10),'Bundle Tag Info'!$A$2," ",'Bundle Tag Info'!$A$3,CHAR(10),'Bundle Tag Info'!AB$6,CHAR(10),'Bundle Tag Info'!AB$15),"")</f>
        <v/>
      </c>
      <c r="AC10" s="19" t="str">
        <f>IF('Bundle Tag Info'!AC$15&lt;&gt;"",CONCATENATE('Bundle Tag Info'!$A$1," ",CHAR(10),'Bundle Tag Info'!$A$2," ",'Bundle Tag Info'!$A$3,CHAR(10),'Bundle Tag Info'!AC$6,CHAR(10),'Bundle Tag Info'!AC$15),"")</f>
        <v/>
      </c>
      <c r="AD10" s="1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19" t="str">
        <f>IF('Bundle Tag Info'!A$16&lt;&gt;"",CONCATENATE('Bundle Tag Info'!$A$1," ",CHAR(10),'Bundle Tag Info'!$A$2," ",'Bundle Tag Info'!$A$3,CHAR(10),'Bundle Tag Info'!A$6,CHAR(10),'Bundle Tag Info'!A$16),"")</f>
        <v/>
      </c>
      <c r="B11" s="19" t="str">
        <f>IF('Bundle Tag Info'!B$16&lt;&gt;"",CONCATENATE('Bundle Tag Info'!$A$1," ",CHAR(10),'Bundle Tag Info'!$A$2," ",'Bundle Tag Info'!$A$3,CHAR(10),'Bundle Tag Info'!B$6,CHAR(10),'Bundle Tag Info'!B$16),"")</f>
        <v/>
      </c>
      <c r="C11" s="19" t="str">
        <f>IF('Bundle Tag Info'!C$16&lt;&gt;"",CONCATENATE('Bundle Tag Info'!$A$1," ",CHAR(10),'Bundle Tag Info'!$A$2," ",'Bundle Tag Info'!$A$3,CHAR(10),'Bundle Tag Info'!C$6,CHAR(10),'Bundle Tag Info'!C$16),"")</f>
        <v/>
      </c>
      <c r="D11" s="19" t="str">
        <f>IF('Bundle Tag Info'!D$16&lt;&gt;"",CONCATENATE('Bundle Tag Info'!$A$1," ",CHAR(10),'Bundle Tag Info'!$A$2," ",'Bundle Tag Info'!$A$3,CHAR(10),'Bundle Tag Info'!D$6,CHAR(10),'Bundle Tag Info'!D$16),"")</f>
        <v/>
      </c>
      <c r="E11" s="19" t="str">
        <f>IF('Bundle Tag Info'!E$16&lt;&gt;"",CONCATENATE('Bundle Tag Info'!$A$1," ",CHAR(10),'Bundle Tag Info'!$A$2," ",'Bundle Tag Info'!$A$3,CHAR(10),'Bundle Tag Info'!E$6,CHAR(10),'Bundle Tag Info'!E$16),"")</f>
        <v>NOC-A #1 
J0400 A.2
LS WALL
XT-LBACK</v>
      </c>
      <c r="F11" s="19" t="str">
        <f>IF('Bundle Tag Info'!F$16&lt;&gt;"",CONCATENATE('Bundle Tag Info'!$A$1," ",CHAR(10),'Bundle Tag Info'!$A$2," ",'Bundle Tag Info'!$A$3,CHAR(10),'Bundle Tag Info'!F$6,CHAR(10),'Bundle Tag Info'!F$16),"")</f>
        <v>NOC-A #1 
J0400 A.2
L BACK
AF/XT-RWALL</v>
      </c>
      <c r="G11" s="19" t="str">
        <f>IF('Bundle Tag Info'!G$16&lt;&gt;"",CONCATENATE('Bundle Tag Info'!$A$1," ",CHAR(10),'Bundle Tag Info'!$A$2," ",'Bundle Tag Info'!$A$3,CHAR(10),'Bundle Tag Info'!G$6,CHAR(10),'Bundle Tag Info'!G$16),"")</f>
        <v/>
      </c>
      <c r="H11" s="19" t="str">
        <f>IF('Bundle Tag Info'!H$16&lt;&gt;"",CONCATENATE('Bundle Tag Info'!$A$1," ",CHAR(10),'Bundle Tag Info'!$A$2," ",'Bundle Tag Info'!$A$3,CHAR(10),'Bundle Tag Info'!H$6,CHAR(10),'Bundle Tag Info'!H$16),"")</f>
        <v/>
      </c>
      <c r="I11" s="19" t="str">
        <f>IF('Bundle Tag Info'!I$16&lt;&gt;"",CONCATENATE('Bundle Tag Info'!$A$1," ",CHAR(10),'Bundle Tag Info'!$A$2," ",'Bundle Tag Info'!$A$3,CHAR(10),'Bundle Tag Info'!I$6,CHAR(10),'Bundle Tag Info'!I$16),"")</f>
        <v/>
      </c>
      <c r="J11" s="19" t="str">
        <f>IF('Bundle Tag Info'!J$16&lt;&gt;"",CONCATENATE('Bundle Tag Info'!$A$1," ",CHAR(10),'Bundle Tag Info'!$A$2," ",'Bundle Tag Info'!$A$3,CHAR(10),'Bundle Tag Info'!J$6,CHAR(10),'Bundle Tag Info'!J$16),"")</f>
        <v/>
      </c>
      <c r="K11" s="19" t="str">
        <f>IF('Bundle Tag Info'!K$16&lt;&gt;"",CONCATENATE('Bundle Tag Info'!$A$1," ",CHAR(10),'Bundle Tag Info'!$A$2," ",'Bundle Tag Info'!$A$3,CHAR(10),'Bundle Tag Info'!K$6,CHAR(10),'Bundle Tag Info'!K$16),"")</f>
        <v/>
      </c>
      <c r="L11" s="19" t="str">
        <f>IF('Bundle Tag Info'!L$16&lt;&gt;"",CONCATENATE('Bundle Tag Info'!$A$1," ",CHAR(10),'Bundle Tag Info'!$A$2," ",'Bundle Tag Info'!$A$3,CHAR(10),'Bundle Tag Info'!L$6,CHAR(10),'Bundle Tag Info'!L$16),"")</f>
        <v/>
      </c>
      <c r="M11" s="19" t="str">
        <f>IF('Bundle Tag Info'!M$16&lt;&gt;"",CONCATENATE('Bundle Tag Info'!$A$1," ",CHAR(10),'Bundle Tag Info'!$A$2," ",'Bundle Tag Info'!$A$3,CHAR(10),'Bundle Tag Info'!M$6,CHAR(10),'Bundle Tag Info'!M$16),"")</f>
        <v/>
      </c>
      <c r="N11" s="19" t="str">
        <f>IF('Bundle Tag Info'!N$16&lt;&gt;"",CONCATENATE('Bundle Tag Info'!$A$1," ",CHAR(10),'Bundle Tag Info'!$A$2," ",'Bundle Tag Info'!$A$3,CHAR(10),'Bundle Tag Info'!N$6,CHAR(10),'Bundle Tag Info'!N$16),"")</f>
        <v/>
      </c>
      <c r="O11" s="19" t="str">
        <f>IF('Bundle Tag Info'!O$16&lt;&gt;"",CONCATENATE('Bundle Tag Info'!$A$1," ",CHAR(10),'Bundle Tag Info'!$A$2," ",'Bundle Tag Info'!$A$3,CHAR(10),'Bundle Tag Info'!O$6,CHAR(10),'Bundle Tag Info'!O$16),"")</f>
        <v/>
      </c>
      <c r="P11" s="19" t="str">
        <f>IF('Bundle Tag Info'!P$16&lt;&gt;"",CONCATENATE('Bundle Tag Info'!$A$1," ",CHAR(10),'Bundle Tag Info'!$A$2," ",'Bundle Tag Info'!$A$3,CHAR(10),'Bundle Tag Info'!P$6,CHAR(10),'Bundle Tag Info'!P$16),"")</f>
        <v/>
      </c>
      <c r="Q11" s="19" t="str">
        <f>IF('Bundle Tag Info'!Q$16&lt;&gt;"",CONCATENATE('Bundle Tag Info'!$A$1," ",CHAR(10),'Bundle Tag Info'!$A$2," ",'Bundle Tag Info'!$A$3,CHAR(10),'Bundle Tag Info'!Q$6,CHAR(10),'Bundle Tag Info'!Q$16),"")</f>
        <v/>
      </c>
      <c r="R11" s="19" t="str">
        <f>IF('Bundle Tag Info'!R$16&lt;&gt;"",CONCATENATE('Bundle Tag Info'!$A$1," ",CHAR(10),'Bundle Tag Info'!$A$2," ",'Bundle Tag Info'!$A$3,CHAR(10),'Bundle Tag Info'!R$6,CHAR(10),'Bundle Tag Info'!R$16),"")</f>
        <v/>
      </c>
      <c r="S11" s="19" t="str">
        <f>IF('Bundle Tag Info'!S$16&lt;&gt;"",CONCATENATE('Bundle Tag Info'!$A$1," ",CHAR(10),'Bundle Tag Info'!$A$2," ",'Bundle Tag Info'!$A$3,CHAR(10),'Bundle Tag Info'!S$6,CHAR(10),'Bundle Tag Info'!S$16),"")</f>
        <v/>
      </c>
      <c r="T11" s="19" t="str">
        <f>IF('Bundle Tag Info'!T$16&lt;&gt;"",CONCATENATE('Bundle Tag Info'!$A$1," ",CHAR(10),'Bundle Tag Info'!$A$2," ",'Bundle Tag Info'!$A$3,CHAR(10),'Bundle Tag Info'!T$6,CHAR(10),'Bundle Tag Info'!T$16),"")</f>
        <v/>
      </c>
      <c r="U11" s="19" t="str">
        <f>IF('Bundle Tag Info'!U$16&lt;&gt;"",CONCATENATE('Bundle Tag Info'!$A$1," ",CHAR(10),'Bundle Tag Info'!$A$2," ",'Bundle Tag Info'!$A$3,CHAR(10),'Bundle Tag Info'!U$6,CHAR(10),'Bundle Tag Info'!U$16),"")</f>
        <v/>
      </c>
      <c r="V11" s="19" t="str">
        <f>IF('Bundle Tag Info'!V$16&lt;&gt;"",CONCATENATE('Bundle Tag Info'!$A$1," ",CHAR(10),'Bundle Tag Info'!$A$2," ",'Bundle Tag Info'!$A$3,CHAR(10),'Bundle Tag Info'!V$6,CHAR(10),'Bundle Tag Info'!V$16),"")</f>
        <v/>
      </c>
      <c r="W11" s="19" t="str">
        <f>IF('Bundle Tag Info'!W$16&lt;&gt;"",CONCATENATE('Bundle Tag Info'!$A$1," ",CHAR(10),'Bundle Tag Info'!$A$2," ",'Bundle Tag Info'!$A$3,CHAR(10),'Bundle Tag Info'!W$6,CHAR(10),'Bundle Tag Info'!W$16),"")</f>
        <v/>
      </c>
      <c r="X11" s="19" t="str">
        <f>IF('Bundle Tag Info'!X$16&lt;&gt;"",CONCATENATE('Bundle Tag Info'!$A$1," ",CHAR(10),'Bundle Tag Info'!$A$2," ",'Bundle Tag Info'!$A$3,CHAR(10),'Bundle Tag Info'!X$6,CHAR(10),'Bundle Tag Info'!X$16),"")</f>
        <v/>
      </c>
      <c r="Y11" s="19" t="str">
        <f>IF('Bundle Tag Info'!Y$16&lt;&gt;"",CONCATENATE('Bundle Tag Info'!$A$1," ",CHAR(10),'Bundle Tag Info'!$A$2," ",'Bundle Tag Info'!$A$3,CHAR(10),'Bundle Tag Info'!Y$6,CHAR(10),'Bundle Tag Info'!Y$16),"")</f>
        <v/>
      </c>
      <c r="Z11" s="19" t="str">
        <f>IF('Bundle Tag Info'!Z$16&lt;&gt;"",CONCATENATE('Bundle Tag Info'!$A$1," ",CHAR(10),'Bundle Tag Info'!$A$2," ",'Bundle Tag Info'!$A$3,CHAR(10),'Bundle Tag Info'!Z$6,CHAR(10),'Bundle Tag Info'!Z$16),"")</f>
        <v/>
      </c>
      <c r="AA11" s="19" t="str">
        <f>IF('Bundle Tag Info'!AA$16&lt;&gt;"",CONCATENATE('Bundle Tag Info'!$A$1," ",CHAR(10),'Bundle Tag Info'!$A$2," ",'Bundle Tag Info'!$A$3,CHAR(10),'Bundle Tag Info'!AA$6,CHAR(10),'Bundle Tag Info'!AA$16),"")</f>
        <v/>
      </c>
      <c r="AB11" s="19" t="str">
        <f>IF('Bundle Tag Info'!AB$16&lt;&gt;"",CONCATENATE('Bundle Tag Info'!$A$1," ",CHAR(10),'Bundle Tag Info'!$A$2," ",'Bundle Tag Info'!$A$3,CHAR(10),'Bundle Tag Info'!AB$6,CHAR(10),'Bundle Tag Info'!AB$16),"")</f>
        <v/>
      </c>
      <c r="AC11" s="19" t="str">
        <f>IF('Bundle Tag Info'!AC$16&lt;&gt;"",CONCATENATE('Bundle Tag Info'!$A$1," ",CHAR(10),'Bundle Tag Info'!$A$2," ",'Bundle Tag Info'!$A$3,CHAR(10),'Bundle Tag Info'!AC$6,CHAR(10),'Bundle Tag Info'!AC$16),"")</f>
        <v/>
      </c>
      <c r="AD11" s="1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19" t="str">
        <f>IF('Bundle Tag Info'!A$17&lt;&gt;"",CONCATENATE('Bundle Tag Info'!$A$1," ",CHAR(10),'Bundle Tag Info'!$A$2," ",'Bundle Tag Info'!$A$3,CHAR(10),'Bundle Tag Info'!A$6,CHAR(10),'Bundle Tag Info'!A$17),"")</f>
        <v/>
      </c>
      <c r="B12" s="19" t="str">
        <f>IF('Bundle Tag Info'!B$17&lt;&gt;"",CONCATENATE('Bundle Tag Info'!$A$1," ",CHAR(10),'Bundle Tag Info'!$A$2," ",'Bundle Tag Info'!$A$3,CHAR(10),'Bundle Tag Info'!B$6,CHAR(10),'Bundle Tag Info'!B$17),"")</f>
        <v/>
      </c>
      <c r="C12" s="19" t="str">
        <f>IF('Bundle Tag Info'!C$17&lt;&gt;"",CONCATENATE('Bundle Tag Info'!$A$1," ",CHAR(10),'Bundle Tag Info'!$A$2," ",'Bundle Tag Info'!$A$3,CHAR(10),'Bundle Tag Info'!C$6,CHAR(10),'Bundle Tag Info'!C$17),"")</f>
        <v/>
      </c>
      <c r="D12" s="19" t="str">
        <f>IF('Bundle Tag Info'!D$17&lt;&gt;"",CONCATENATE('Bundle Tag Info'!$A$1," ",CHAR(10),'Bundle Tag Info'!$A$2," ",'Bundle Tag Info'!$A$3,CHAR(10),'Bundle Tag Info'!D$6,CHAR(10),'Bundle Tag Info'!D$17),"")</f>
        <v/>
      </c>
      <c r="E12" s="19" t="str">
        <f>IF('Bundle Tag Info'!E$17&lt;&gt;"",CONCATENATE('Bundle Tag Info'!$A$1," ",CHAR(10),'Bundle Tag Info'!$A$2," ",'Bundle Tag Info'!$A$3,CHAR(10),'Bundle Tag Info'!E$6,CHAR(10),'Bundle Tag Info'!E$17),"")</f>
        <v>NOC-A #1 
J0400 A.2
LS WALL
XT9K-LBACK</v>
      </c>
      <c r="F12" s="19" t="str">
        <f>IF('Bundle Tag Info'!F$17&lt;&gt;"",CONCATENATE('Bundle Tag Info'!$A$1," ",CHAR(10),'Bundle Tag Info'!$A$2," ",'Bundle Tag Info'!$A$3,CHAR(10),'Bundle Tag Info'!F$6,CHAR(10),'Bundle Tag Info'!F$17),"")</f>
        <v/>
      </c>
      <c r="G12" s="19" t="str">
        <f>IF('Bundle Tag Info'!G$17&lt;&gt;"",CONCATENATE('Bundle Tag Info'!$A$1," ",CHAR(10),'Bundle Tag Info'!$A$2," ",'Bundle Tag Info'!$A$3,CHAR(10),'Bundle Tag Info'!G$6,CHAR(10),'Bundle Tag Info'!G$17),"")</f>
        <v/>
      </c>
      <c r="H12" s="19" t="str">
        <f>IF('Bundle Tag Info'!H$17&lt;&gt;"",CONCATENATE('Bundle Tag Info'!$A$1," ",CHAR(10),'Bundle Tag Info'!$A$2," ",'Bundle Tag Info'!$A$3,CHAR(10),'Bundle Tag Info'!H$6,CHAR(10),'Bundle Tag Info'!H$17),"")</f>
        <v/>
      </c>
      <c r="I12" s="19" t="str">
        <f>IF('Bundle Tag Info'!I$17&lt;&gt;"",CONCATENATE('Bundle Tag Info'!$A$1," ",CHAR(10),'Bundle Tag Info'!$A$2," ",'Bundle Tag Info'!$A$3,CHAR(10),'Bundle Tag Info'!I$6,CHAR(10),'Bundle Tag Info'!I$17),"")</f>
        <v/>
      </c>
      <c r="J12" s="19" t="str">
        <f>IF('Bundle Tag Info'!J$17&lt;&gt;"",CONCATENATE('Bundle Tag Info'!$A$1," ",CHAR(10),'Bundle Tag Info'!$A$2," ",'Bundle Tag Info'!$A$3,CHAR(10),'Bundle Tag Info'!J$6,CHAR(10),'Bundle Tag Info'!J$17),"")</f>
        <v/>
      </c>
      <c r="K12" s="19" t="str">
        <f>IF('Bundle Tag Info'!K$17&lt;&gt;"",CONCATENATE('Bundle Tag Info'!$A$1," ",CHAR(10),'Bundle Tag Info'!$A$2," ",'Bundle Tag Info'!$A$3,CHAR(10),'Bundle Tag Info'!K$6,CHAR(10),'Bundle Tag Info'!K$17),"")</f>
        <v/>
      </c>
      <c r="L12" s="19" t="str">
        <f>IF('Bundle Tag Info'!L$17&lt;&gt;"",CONCATENATE('Bundle Tag Info'!$A$1," ",CHAR(10),'Bundle Tag Info'!$A$2," ",'Bundle Tag Info'!$A$3,CHAR(10),'Bundle Tag Info'!L$6,CHAR(10),'Bundle Tag Info'!L$17),"")</f>
        <v/>
      </c>
      <c r="M12" s="19" t="str">
        <f>IF('Bundle Tag Info'!M$17&lt;&gt;"",CONCATENATE('Bundle Tag Info'!$A$1," ",CHAR(10),'Bundle Tag Info'!$A$2," ",'Bundle Tag Info'!$A$3,CHAR(10),'Bundle Tag Info'!M$6,CHAR(10),'Bundle Tag Info'!M$17),"")</f>
        <v/>
      </c>
      <c r="N12" s="19" t="str">
        <f>IF('Bundle Tag Info'!N$17&lt;&gt;"",CONCATENATE('Bundle Tag Info'!$A$1," ",CHAR(10),'Bundle Tag Info'!$A$2," ",'Bundle Tag Info'!$A$3,CHAR(10),'Bundle Tag Info'!N$6,CHAR(10),'Bundle Tag Info'!N$17),"")</f>
        <v/>
      </c>
      <c r="O12" s="19" t="str">
        <f>IF('Bundle Tag Info'!O$17&lt;&gt;"",CONCATENATE('Bundle Tag Info'!$A$1," ",CHAR(10),'Bundle Tag Info'!$A$2," ",'Bundle Tag Info'!$A$3,CHAR(10),'Bundle Tag Info'!O$6,CHAR(10),'Bundle Tag Info'!O$17),"")</f>
        <v/>
      </c>
      <c r="P12" s="19" t="str">
        <f>IF('Bundle Tag Info'!P$17&lt;&gt;"",CONCATENATE('Bundle Tag Info'!$A$1," ",CHAR(10),'Bundle Tag Info'!$A$2," ",'Bundle Tag Info'!$A$3,CHAR(10),'Bundle Tag Info'!P$6,CHAR(10),'Bundle Tag Info'!P$17),"")</f>
        <v/>
      </c>
      <c r="Q12" s="19" t="str">
        <f>IF('Bundle Tag Info'!Q$17&lt;&gt;"",CONCATENATE('Bundle Tag Info'!$A$1," ",CHAR(10),'Bundle Tag Info'!$A$2," ",'Bundle Tag Info'!$A$3,CHAR(10),'Bundle Tag Info'!Q$6,CHAR(10),'Bundle Tag Info'!Q$17),"")</f>
        <v/>
      </c>
      <c r="R12" s="19" t="str">
        <f>IF('Bundle Tag Info'!R$17&lt;&gt;"",CONCATENATE('Bundle Tag Info'!$A$1," ",CHAR(10),'Bundle Tag Info'!$A$2," ",'Bundle Tag Info'!$A$3,CHAR(10),'Bundle Tag Info'!R$6,CHAR(10),'Bundle Tag Info'!R$17),"")</f>
        <v/>
      </c>
      <c r="S12" s="19" t="str">
        <f>IF('Bundle Tag Info'!S$17&lt;&gt;"",CONCATENATE('Bundle Tag Info'!$A$1," ",CHAR(10),'Bundle Tag Info'!$A$2," ",'Bundle Tag Info'!$A$3,CHAR(10),'Bundle Tag Info'!S$6,CHAR(10),'Bundle Tag Info'!S$17),"")</f>
        <v/>
      </c>
      <c r="T12" s="19" t="str">
        <f>IF('Bundle Tag Info'!T$17&lt;&gt;"",CONCATENATE('Bundle Tag Info'!$A$1," ",CHAR(10),'Bundle Tag Info'!$A$2," ",'Bundle Tag Info'!$A$3,CHAR(10),'Bundle Tag Info'!T$6,CHAR(10),'Bundle Tag Info'!T$17),"")</f>
        <v/>
      </c>
      <c r="U12" s="19" t="str">
        <f>IF('Bundle Tag Info'!U$17&lt;&gt;"",CONCATENATE('Bundle Tag Info'!$A$1," ",CHAR(10),'Bundle Tag Info'!$A$2," ",'Bundle Tag Info'!$A$3,CHAR(10),'Bundle Tag Info'!U$6,CHAR(10),'Bundle Tag Info'!U$17),"")</f>
        <v/>
      </c>
      <c r="V12" s="19" t="str">
        <f>IF('Bundle Tag Info'!V$17&lt;&gt;"",CONCATENATE('Bundle Tag Info'!$A$1," ",CHAR(10),'Bundle Tag Info'!$A$2," ",'Bundle Tag Info'!$A$3,CHAR(10),'Bundle Tag Info'!V$6,CHAR(10),'Bundle Tag Info'!V$17),"")</f>
        <v/>
      </c>
      <c r="W12" s="19" t="str">
        <f>IF('Bundle Tag Info'!W$17&lt;&gt;"",CONCATENATE('Bundle Tag Info'!$A$1," ",CHAR(10),'Bundle Tag Info'!$A$2," ",'Bundle Tag Info'!$A$3,CHAR(10),'Bundle Tag Info'!W$6,CHAR(10),'Bundle Tag Info'!W$17),"")</f>
        <v/>
      </c>
      <c r="X12" s="19" t="str">
        <f>IF('Bundle Tag Info'!X$17&lt;&gt;"",CONCATENATE('Bundle Tag Info'!$A$1," ",CHAR(10),'Bundle Tag Info'!$A$2," ",'Bundle Tag Info'!$A$3,CHAR(10),'Bundle Tag Info'!X$6,CHAR(10),'Bundle Tag Info'!X$17),"")</f>
        <v/>
      </c>
      <c r="Y12" s="19" t="str">
        <f>IF('Bundle Tag Info'!Y$17&lt;&gt;"",CONCATENATE('Bundle Tag Info'!$A$1," ",CHAR(10),'Bundle Tag Info'!$A$2," ",'Bundle Tag Info'!$A$3,CHAR(10),'Bundle Tag Info'!Y$6,CHAR(10),'Bundle Tag Info'!Y$17),"")</f>
        <v/>
      </c>
      <c r="Z12" s="19" t="str">
        <f>IF('Bundle Tag Info'!Z$17&lt;&gt;"",CONCATENATE('Bundle Tag Info'!$A$1," ",CHAR(10),'Bundle Tag Info'!$A$2," ",'Bundle Tag Info'!$A$3,CHAR(10),'Bundle Tag Info'!Z$6,CHAR(10),'Bundle Tag Info'!Z$17),"")</f>
        <v/>
      </c>
      <c r="AA12" s="19" t="str">
        <f>IF('Bundle Tag Info'!AA$17&lt;&gt;"",CONCATENATE('Bundle Tag Info'!$A$1," ",CHAR(10),'Bundle Tag Info'!$A$2," ",'Bundle Tag Info'!$A$3,CHAR(10),'Bundle Tag Info'!AA$6,CHAR(10),'Bundle Tag Info'!AA$17),"")</f>
        <v/>
      </c>
      <c r="AB12" s="19" t="str">
        <f>IF('Bundle Tag Info'!AB$17&lt;&gt;"",CONCATENATE('Bundle Tag Info'!$A$1," ",CHAR(10),'Bundle Tag Info'!$A$2," ",'Bundle Tag Info'!$A$3,CHAR(10),'Bundle Tag Info'!AB$6,CHAR(10),'Bundle Tag Info'!AB$17),"")</f>
        <v/>
      </c>
      <c r="AC12" s="19" t="str">
        <f>IF('Bundle Tag Info'!AC$17&lt;&gt;"",CONCATENATE('Bundle Tag Info'!$A$1," ",CHAR(10),'Bundle Tag Info'!$A$2," ",'Bundle Tag Info'!$A$3,CHAR(10),'Bundle Tag Info'!AC$6,CHAR(10),'Bundle Tag Info'!AC$17),"")</f>
        <v/>
      </c>
      <c r="AD12" s="1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19" t="str">
        <f>IF('Bundle Tag Info'!A$18&lt;&gt;"",CONCATENATE('Bundle Tag Info'!$A$1," ",CHAR(10),'Bundle Tag Info'!$A$2," ",'Bundle Tag Info'!$A$3,CHAR(10),'Bundle Tag Info'!A$6,CHAR(10),'Bundle Tag Info'!A$18),"")</f>
        <v/>
      </c>
      <c r="B13" s="19" t="str">
        <f>IF('Bundle Tag Info'!B$18&lt;&gt;"",CONCATENATE('Bundle Tag Info'!$A$1," ",CHAR(10),'Bundle Tag Info'!$A$2," ",'Bundle Tag Info'!$A$3,CHAR(10),'Bundle Tag Info'!B$6,CHAR(10),'Bundle Tag Info'!B$18),"")</f>
        <v/>
      </c>
      <c r="C13" s="19" t="str">
        <f>IF('Bundle Tag Info'!C$18&lt;&gt;"",CONCATENATE('Bundle Tag Info'!$A$1," ",CHAR(10),'Bundle Tag Info'!$A$2," ",'Bundle Tag Info'!$A$3,CHAR(10),'Bundle Tag Info'!C$6,CHAR(10),'Bundle Tag Info'!C$18),"")</f>
        <v/>
      </c>
      <c r="D13" s="19" t="str">
        <f>IF('Bundle Tag Info'!D$18&lt;&gt;"",CONCATENATE('Bundle Tag Info'!$A$1," ",CHAR(10),'Bundle Tag Info'!$A$2," ",'Bundle Tag Info'!$A$3,CHAR(10),'Bundle Tag Info'!D$6,CHAR(10),'Bundle Tag Info'!D$18),"")</f>
        <v/>
      </c>
      <c r="E13" s="19" t="str">
        <f>IF('Bundle Tag Info'!E$18&lt;&gt;"",CONCATENATE('Bundle Tag Info'!$A$1," ",CHAR(10),'Bundle Tag Info'!$A$2," ",'Bundle Tag Info'!$A$3,CHAR(10),'Bundle Tag Info'!E$6,CHAR(10),'Bundle Tag Info'!E$18),"")</f>
        <v>NOC-A #1 
J0400 A.2
LS WALL
FU-RWALL</v>
      </c>
      <c r="F13" s="19" t="str">
        <f>IF('Bundle Tag Info'!F$18&lt;&gt;"",CONCATENATE('Bundle Tag Info'!$A$1," ",CHAR(10),'Bundle Tag Info'!$A$2," ",'Bundle Tag Info'!$A$3,CHAR(10),'Bundle Tag Info'!F$6,CHAR(10),'Bundle Tag Info'!F$18),"")</f>
        <v/>
      </c>
      <c r="G13" s="19" t="str">
        <f>IF('Bundle Tag Info'!G$18&lt;&gt;"",CONCATENATE('Bundle Tag Info'!$A$1," ",CHAR(10),'Bundle Tag Info'!$A$2," ",'Bundle Tag Info'!$A$3,CHAR(10),'Bundle Tag Info'!G$6,CHAR(10),'Bundle Tag Info'!G$18),"")</f>
        <v/>
      </c>
      <c r="H13" s="19" t="str">
        <f>IF('Bundle Tag Info'!H$18&lt;&gt;"",CONCATENATE('Bundle Tag Info'!$A$1," ",CHAR(10),'Bundle Tag Info'!$A$2," ",'Bundle Tag Info'!$A$3,CHAR(10),'Bundle Tag Info'!H$6,CHAR(10),'Bundle Tag Info'!H$18),"")</f>
        <v/>
      </c>
      <c r="I13" s="19" t="str">
        <f>IF('Bundle Tag Info'!I$18&lt;&gt;"",CONCATENATE('Bundle Tag Info'!$A$1," ",CHAR(10),'Bundle Tag Info'!$A$2," ",'Bundle Tag Info'!$A$3,CHAR(10),'Bundle Tag Info'!I$6,CHAR(10),'Bundle Tag Info'!I$18),"")</f>
        <v/>
      </c>
      <c r="J13" s="19" t="str">
        <f>IF('Bundle Tag Info'!J$18&lt;&gt;"",CONCATENATE('Bundle Tag Info'!$A$1," ",CHAR(10),'Bundle Tag Info'!$A$2," ",'Bundle Tag Info'!$A$3,CHAR(10),'Bundle Tag Info'!J$6,CHAR(10),'Bundle Tag Info'!J$18),"")</f>
        <v/>
      </c>
      <c r="K13" s="19" t="str">
        <f>IF('Bundle Tag Info'!K$18&lt;&gt;"",CONCATENATE('Bundle Tag Info'!$A$1," ",CHAR(10),'Bundle Tag Info'!$A$2," ",'Bundle Tag Info'!$A$3,CHAR(10),'Bundle Tag Info'!K$6,CHAR(10),'Bundle Tag Info'!K$18),"")</f>
        <v/>
      </c>
      <c r="L13" s="19" t="str">
        <f>IF('Bundle Tag Info'!L$18&lt;&gt;"",CONCATENATE('Bundle Tag Info'!$A$1," ",CHAR(10),'Bundle Tag Info'!$A$2," ",'Bundle Tag Info'!$A$3,CHAR(10),'Bundle Tag Info'!L$6,CHAR(10),'Bundle Tag Info'!L$18),"")</f>
        <v/>
      </c>
      <c r="M13" s="19" t="str">
        <f>IF('Bundle Tag Info'!M$18&lt;&gt;"",CONCATENATE('Bundle Tag Info'!$A$1," ",CHAR(10),'Bundle Tag Info'!$A$2," ",'Bundle Tag Info'!$A$3,CHAR(10),'Bundle Tag Info'!M$6,CHAR(10),'Bundle Tag Info'!M$18),"")</f>
        <v/>
      </c>
      <c r="N13" s="19" t="str">
        <f>IF('Bundle Tag Info'!N$18&lt;&gt;"",CONCATENATE('Bundle Tag Info'!$A$1," ",CHAR(10),'Bundle Tag Info'!$A$2," ",'Bundle Tag Info'!$A$3,CHAR(10),'Bundle Tag Info'!N$6,CHAR(10),'Bundle Tag Info'!N$18),"")</f>
        <v/>
      </c>
      <c r="O13" s="19" t="str">
        <f>IF('Bundle Tag Info'!O$18&lt;&gt;"",CONCATENATE('Bundle Tag Info'!$A$1," ",CHAR(10),'Bundle Tag Info'!$A$2," ",'Bundle Tag Info'!$A$3,CHAR(10),'Bundle Tag Info'!O$6,CHAR(10),'Bundle Tag Info'!O$18),"")</f>
        <v/>
      </c>
      <c r="P13" s="19" t="str">
        <f>IF('Bundle Tag Info'!P$18&lt;&gt;"",CONCATENATE('Bundle Tag Info'!$A$1," ",CHAR(10),'Bundle Tag Info'!$A$2," ",'Bundle Tag Info'!$A$3,CHAR(10),'Bundle Tag Info'!P$6,CHAR(10),'Bundle Tag Info'!P$18),"")</f>
        <v/>
      </c>
      <c r="Q13" s="19" t="str">
        <f>IF('Bundle Tag Info'!Q$18&lt;&gt;"",CONCATENATE('Bundle Tag Info'!$A$1," ",CHAR(10),'Bundle Tag Info'!$A$2," ",'Bundle Tag Info'!$A$3,CHAR(10),'Bundle Tag Info'!Q$6,CHAR(10),'Bundle Tag Info'!Q$18),"")</f>
        <v/>
      </c>
      <c r="R13" s="19" t="str">
        <f>IF('Bundle Tag Info'!R$18&lt;&gt;"",CONCATENATE('Bundle Tag Info'!$A$1," ",CHAR(10),'Bundle Tag Info'!$A$2," ",'Bundle Tag Info'!$A$3,CHAR(10),'Bundle Tag Info'!R$6,CHAR(10),'Bundle Tag Info'!R$18),"")</f>
        <v/>
      </c>
      <c r="S13" s="19" t="str">
        <f>IF('Bundle Tag Info'!S$18&lt;&gt;"",CONCATENATE('Bundle Tag Info'!$A$1," ",CHAR(10),'Bundle Tag Info'!$A$2," ",'Bundle Tag Info'!$A$3,CHAR(10),'Bundle Tag Info'!S$6,CHAR(10),'Bundle Tag Info'!S$18),"")</f>
        <v/>
      </c>
      <c r="T13" s="19" t="str">
        <f>IF('Bundle Tag Info'!T$18&lt;&gt;"",CONCATENATE('Bundle Tag Info'!$A$1," ",CHAR(10),'Bundle Tag Info'!$A$2," ",'Bundle Tag Info'!$A$3,CHAR(10),'Bundle Tag Info'!T$6,CHAR(10),'Bundle Tag Info'!T$18),"")</f>
        <v/>
      </c>
      <c r="U13" s="19" t="str">
        <f>IF('Bundle Tag Info'!U$18&lt;&gt;"",CONCATENATE('Bundle Tag Info'!$A$1," ",CHAR(10),'Bundle Tag Info'!$A$2," ",'Bundle Tag Info'!$A$3,CHAR(10),'Bundle Tag Info'!U$6,CHAR(10),'Bundle Tag Info'!U$18),"")</f>
        <v/>
      </c>
      <c r="V13" s="19" t="str">
        <f>IF('Bundle Tag Info'!V$18&lt;&gt;"",CONCATENATE('Bundle Tag Info'!$A$1," ",CHAR(10),'Bundle Tag Info'!$A$2," ",'Bundle Tag Info'!$A$3,CHAR(10),'Bundle Tag Info'!V$6,CHAR(10),'Bundle Tag Info'!V$18),"")</f>
        <v/>
      </c>
      <c r="W13" s="19" t="str">
        <f>IF('Bundle Tag Info'!W$18&lt;&gt;"",CONCATENATE('Bundle Tag Info'!$A$1," ",CHAR(10),'Bundle Tag Info'!$A$2," ",'Bundle Tag Info'!$A$3,CHAR(10),'Bundle Tag Info'!W$6,CHAR(10),'Bundle Tag Info'!W$18),"")</f>
        <v/>
      </c>
      <c r="X13" s="19" t="str">
        <f>IF('Bundle Tag Info'!X$18&lt;&gt;"",CONCATENATE('Bundle Tag Info'!$A$1," ",CHAR(10),'Bundle Tag Info'!$A$2," ",'Bundle Tag Info'!$A$3,CHAR(10),'Bundle Tag Info'!X$6,CHAR(10),'Bundle Tag Info'!X$18),"")</f>
        <v/>
      </c>
      <c r="Y13" s="19" t="str">
        <f>IF('Bundle Tag Info'!Y$18&lt;&gt;"",CONCATENATE('Bundle Tag Info'!$A$1," ",CHAR(10),'Bundle Tag Info'!$A$2," ",'Bundle Tag Info'!$A$3,CHAR(10),'Bundle Tag Info'!Y$6,CHAR(10),'Bundle Tag Info'!Y$18),"")</f>
        <v/>
      </c>
      <c r="Z13" s="19" t="str">
        <f>IF('Bundle Tag Info'!Z$18&lt;&gt;"",CONCATENATE('Bundle Tag Info'!$A$1," ",CHAR(10),'Bundle Tag Info'!$A$2," ",'Bundle Tag Info'!$A$3,CHAR(10),'Bundle Tag Info'!Z$6,CHAR(10),'Bundle Tag Info'!Z$18),"")</f>
        <v/>
      </c>
      <c r="AA13" s="19" t="str">
        <f>IF('Bundle Tag Info'!AA$18&lt;&gt;"",CONCATENATE('Bundle Tag Info'!$A$1," ",CHAR(10),'Bundle Tag Info'!$A$2," ",'Bundle Tag Info'!$A$3,CHAR(10),'Bundle Tag Info'!AA$6,CHAR(10),'Bundle Tag Info'!AA$18),"")</f>
        <v/>
      </c>
      <c r="AB13" s="19" t="str">
        <f>IF('Bundle Tag Info'!AB$18&lt;&gt;"",CONCATENATE('Bundle Tag Info'!$A$1," ",CHAR(10),'Bundle Tag Info'!$A$2," ",'Bundle Tag Info'!$A$3,CHAR(10),'Bundle Tag Info'!AB$6,CHAR(10),'Bundle Tag Info'!AB$18),"")</f>
        <v/>
      </c>
      <c r="AC13" s="19" t="str">
        <f>IF('Bundle Tag Info'!AC$18&lt;&gt;"",CONCATENATE('Bundle Tag Info'!$A$1," ",CHAR(10),'Bundle Tag Info'!$A$2," ",'Bundle Tag Info'!$A$3,CHAR(10),'Bundle Tag Info'!AC$6,CHAR(10),'Bundle Tag Info'!AC$18),"")</f>
        <v/>
      </c>
      <c r="AD13" s="1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19" t="str">
        <f>IF('Bundle Tag Info'!A$19&lt;&gt;"",CONCATENATE('Bundle Tag Info'!$A$1," ",CHAR(10),'Bundle Tag Info'!$A$2," ",'Bundle Tag Info'!$A$3,CHAR(10),'Bundle Tag Info'!A$6,CHAR(10),'Bundle Tag Info'!A$19),"")</f>
        <v/>
      </c>
      <c r="B14" s="19" t="str">
        <f>IF('Bundle Tag Info'!B$19&lt;&gt;"",CONCATENATE('Bundle Tag Info'!$A$1," ",CHAR(10),'Bundle Tag Info'!$A$2," ",'Bundle Tag Info'!$A$3,CHAR(10),'Bundle Tag Info'!B$6,CHAR(10),'Bundle Tag Info'!B$19),"")</f>
        <v/>
      </c>
      <c r="C14" s="19" t="str">
        <f>IF('Bundle Tag Info'!C$19&lt;&gt;"",CONCATENATE('Bundle Tag Info'!$A$1," ",CHAR(10),'Bundle Tag Info'!$A$2," ",'Bundle Tag Info'!$A$3,CHAR(10),'Bundle Tag Info'!C$6,CHAR(10),'Bundle Tag Info'!C$19),"")</f>
        <v/>
      </c>
      <c r="D14" s="19" t="str">
        <f>IF('Bundle Tag Info'!D$19&lt;&gt;"",CONCATENATE('Bundle Tag Info'!$A$1," ",CHAR(10),'Bundle Tag Info'!$A$2," ",'Bundle Tag Info'!$A$3,CHAR(10),'Bundle Tag Info'!D$6,CHAR(10),'Bundle Tag Info'!D$19),"")</f>
        <v/>
      </c>
      <c r="E14" s="19" t="str">
        <f>IF('Bundle Tag Info'!E$19&lt;&gt;"",CONCATENATE('Bundle Tag Info'!$A$1," ",CHAR(10),'Bundle Tag Info'!$A$2," ",'Bundle Tag Info'!$A$3,CHAR(10),'Bundle Tag Info'!E$6,CHAR(10),'Bundle Tag Info'!E$19),"")</f>
        <v>NOC-A #1 
J0400 A.2
LS WALL
KA A1-RWALL</v>
      </c>
      <c r="F14" s="19" t="str">
        <f>IF('Bundle Tag Info'!F$19&lt;&gt;"",CONCATENATE('Bundle Tag Info'!$A$1," ",CHAR(10),'Bundle Tag Info'!$A$2," ",'Bundle Tag Info'!$A$3,CHAR(10),'Bundle Tag Info'!F$6,CHAR(10),'Bundle Tag Info'!F$19),"")</f>
        <v/>
      </c>
      <c r="G14" s="19" t="str">
        <f>IF('Bundle Tag Info'!G$19&lt;&gt;"",CONCATENATE('Bundle Tag Info'!$A$1," ",CHAR(10),'Bundle Tag Info'!$A$2," ",'Bundle Tag Info'!$A$3,CHAR(10),'Bundle Tag Info'!G$6,CHAR(10),'Bundle Tag Info'!G$19),"")</f>
        <v/>
      </c>
      <c r="H14" s="19" t="str">
        <f>IF('Bundle Tag Info'!H$19&lt;&gt;"",CONCATENATE('Bundle Tag Info'!$A$1," ",CHAR(10),'Bundle Tag Info'!$A$2," ",'Bundle Tag Info'!$A$3,CHAR(10),'Bundle Tag Info'!H$6,CHAR(10),'Bundle Tag Info'!H$19),"")</f>
        <v/>
      </c>
      <c r="I14" s="19" t="str">
        <f>IF('Bundle Tag Info'!I$19&lt;&gt;"",CONCATENATE('Bundle Tag Info'!$A$1," ",CHAR(10),'Bundle Tag Info'!$A$2," ",'Bundle Tag Info'!$A$3,CHAR(10),'Bundle Tag Info'!I$6,CHAR(10),'Bundle Tag Info'!I$19),"")</f>
        <v/>
      </c>
      <c r="J14" s="19" t="str">
        <f>IF('Bundle Tag Info'!J$19&lt;&gt;"",CONCATENATE('Bundle Tag Info'!$A$1," ",CHAR(10),'Bundle Tag Info'!$A$2," ",'Bundle Tag Info'!$A$3,CHAR(10),'Bundle Tag Info'!J$6,CHAR(10),'Bundle Tag Info'!J$19),"")</f>
        <v/>
      </c>
      <c r="K14" s="19" t="str">
        <f>IF('Bundle Tag Info'!K$19&lt;&gt;"",CONCATENATE('Bundle Tag Info'!$A$1," ",CHAR(10),'Bundle Tag Info'!$A$2," ",'Bundle Tag Info'!$A$3,CHAR(10),'Bundle Tag Info'!K$6,CHAR(10),'Bundle Tag Info'!K$19),"")</f>
        <v/>
      </c>
      <c r="L14" s="19" t="str">
        <f>IF('Bundle Tag Info'!L$19&lt;&gt;"",CONCATENATE('Bundle Tag Info'!$A$1," ",CHAR(10),'Bundle Tag Info'!$A$2," ",'Bundle Tag Info'!$A$3,CHAR(10),'Bundle Tag Info'!L$6,CHAR(10),'Bundle Tag Info'!L$19),"")</f>
        <v/>
      </c>
      <c r="M14" s="19" t="str">
        <f>IF('Bundle Tag Info'!M$19&lt;&gt;"",CONCATENATE('Bundle Tag Info'!$A$1," ",CHAR(10),'Bundle Tag Info'!$A$2," ",'Bundle Tag Info'!$A$3,CHAR(10),'Bundle Tag Info'!M$6,CHAR(10),'Bundle Tag Info'!M$19),"")</f>
        <v/>
      </c>
      <c r="N14" s="19" t="str">
        <f>IF('Bundle Tag Info'!N$19&lt;&gt;"",CONCATENATE('Bundle Tag Info'!$A$1," ",CHAR(10),'Bundle Tag Info'!$A$2," ",'Bundle Tag Info'!$A$3,CHAR(10),'Bundle Tag Info'!N$6,CHAR(10),'Bundle Tag Info'!N$19),"")</f>
        <v/>
      </c>
      <c r="O14" s="19" t="str">
        <f>IF('Bundle Tag Info'!O$19&lt;&gt;"",CONCATENATE('Bundle Tag Info'!$A$1," ",CHAR(10),'Bundle Tag Info'!$A$2," ",'Bundle Tag Info'!$A$3,CHAR(10),'Bundle Tag Info'!O$6,CHAR(10),'Bundle Tag Info'!O$19),"")</f>
        <v/>
      </c>
      <c r="P14" s="19" t="str">
        <f>IF('Bundle Tag Info'!P$19&lt;&gt;"",CONCATENATE('Bundle Tag Info'!$A$1," ",CHAR(10),'Bundle Tag Info'!$A$2," ",'Bundle Tag Info'!$A$3,CHAR(10),'Bundle Tag Info'!P$6,CHAR(10),'Bundle Tag Info'!P$19),"")</f>
        <v/>
      </c>
      <c r="Q14" s="19" t="str">
        <f>IF('Bundle Tag Info'!Q$19&lt;&gt;"",CONCATENATE('Bundle Tag Info'!$A$1," ",CHAR(10),'Bundle Tag Info'!$A$2," ",'Bundle Tag Info'!$A$3,CHAR(10),'Bundle Tag Info'!Q$6,CHAR(10),'Bundle Tag Info'!Q$19),"")</f>
        <v/>
      </c>
      <c r="R14" s="19" t="str">
        <f>IF('Bundle Tag Info'!R$19&lt;&gt;"",CONCATENATE('Bundle Tag Info'!$A$1," ",CHAR(10),'Bundle Tag Info'!$A$2," ",'Bundle Tag Info'!$A$3,CHAR(10),'Bundle Tag Info'!R$6,CHAR(10),'Bundle Tag Info'!R$19),"")</f>
        <v/>
      </c>
      <c r="S14" s="19" t="str">
        <f>IF('Bundle Tag Info'!S$19&lt;&gt;"",CONCATENATE('Bundle Tag Info'!$A$1," ",CHAR(10),'Bundle Tag Info'!$A$2," ",'Bundle Tag Info'!$A$3,CHAR(10),'Bundle Tag Info'!S$6,CHAR(10),'Bundle Tag Info'!S$19),"")</f>
        <v/>
      </c>
      <c r="T14" s="19" t="str">
        <f>IF('Bundle Tag Info'!T$19&lt;&gt;"",CONCATENATE('Bundle Tag Info'!$A$1," ",CHAR(10),'Bundle Tag Info'!$A$2," ",'Bundle Tag Info'!$A$3,CHAR(10),'Bundle Tag Info'!T$6,CHAR(10),'Bundle Tag Info'!T$19),"")</f>
        <v/>
      </c>
      <c r="U14" s="19" t="str">
        <f>IF('Bundle Tag Info'!U$19&lt;&gt;"",CONCATENATE('Bundle Tag Info'!$A$1," ",CHAR(10),'Bundle Tag Info'!$A$2," ",'Bundle Tag Info'!$A$3,CHAR(10),'Bundle Tag Info'!U$6,CHAR(10),'Bundle Tag Info'!U$19),"")</f>
        <v/>
      </c>
      <c r="V14" s="19" t="str">
        <f>IF('Bundle Tag Info'!V$19&lt;&gt;"",CONCATENATE('Bundle Tag Info'!$A$1," ",CHAR(10),'Bundle Tag Info'!$A$2," ",'Bundle Tag Info'!$A$3,CHAR(10),'Bundle Tag Info'!V$6,CHAR(10),'Bundle Tag Info'!V$19),"")</f>
        <v/>
      </c>
      <c r="W14" s="19" t="str">
        <f>IF('Bundle Tag Info'!W$19&lt;&gt;"",CONCATENATE('Bundle Tag Info'!$A$1," ",CHAR(10),'Bundle Tag Info'!$A$2," ",'Bundle Tag Info'!$A$3,CHAR(10),'Bundle Tag Info'!W$6,CHAR(10),'Bundle Tag Info'!W$19),"")</f>
        <v/>
      </c>
      <c r="X14" s="19" t="str">
        <f>IF('Bundle Tag Info'!X$19&lt;&gt;"",CONCATENATE('Bundle Tag Info'!$A$1," ",CHAR(10),'Bundle Tag Info'!$A$2," ",'Bundle Tag Info'!$A$3,CHAR(10),'Bundle Tag Info'!X$6,CHAR(10),'Bundle Tag Info'!X$19),"")</f>
        <v/>
      </c>
      <c r="Y14" s="19" t="str">
        <f>IF('Bundle Tag Info'!Y$19&lt;&gt;"",CONCATENATE('Bundle Tag Info'!$A$1," ",CHAR(10),'Bundle Tag Info'!$A$2," ",'Bundle Tag Info'!$A$3,CHAR(10),'Bundle Tag Info'!Y$6,CHAR(10),'Bundle Tag Info'!Y$19),"")</f>
        <v/>
      </c>
      <c r="Z14" s="19" t="str">
        <f>IF('Bundle Tag Info'!Z$19&lt;&gt;"",CONCATENATE('Bundle Tag Info'!$A$1," ",CHAR(10),'Bundle Tag Info'!$A$2," ",'Bundle Tag Info'!$A$3,CHAR(10),'Bundle Tag Info'!Z$6,CHAR(10),'Bundle Tag Info'!Z$19),"")</f>
        <v/>
      </c>
      <c r="AA14" s="19" t="str">
        <f>IF('Bundle Tag Info'!AA$19&lt;&gt;"",CONCATENATE('Bundle Tag Info'!$A$1," ",CHAR(10),'Bundle Tag Info'!$A$2," ",'Bundle Tag Info'!$A$3,CHAR(10),'Bundle Tag Info'!AA$6,CHAR(10),'Bundle Tag Info'!AA$19),"")</f>
        <v/>
      </c>
      <c r="AB14" s="19" t="str">
        <f>IF('Bundle Tag Info'!AB$19&lt;&gt;"",CONCATENATE('Bundle Tag Info'!$A$1," ",CHAR(10),'Bundle Tag Info'!$A$2," ",'Bundle Tag Info'!$A$3,CHAR(10),'Bundle Tag Info'!AB$6,CHAR(10),'Bundle Tag Info'!AB$19),"")</f>
        <v/>
      </c>
      <c r="AC14" s="19" t="str">
        <f>IF('Bundle Tag Info'!AC$19&lt;&gt;"",CONCATENATE('Bundle Tag Info'!$A$1," ",CHAR(10),'Bundle Tag Info'!$A$2," ",'Bundle Tag Info'!$A$3,CHAR(10),'Bundle Tag Info'!AC$6,CHAR(10),'Bundle Tag Info'!AC$19),"")</f>
        <v/>
      </c>
      <c r="AD14" s="1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19" t="str">
        <f>IF('Bundle Tag Info'!A$20&lt;&gt;"",CONCATENATE('Bundle Tag Info'!$A$1," ",CHAR(10),'Bundle Tag Info'!$A$2," ",'Bundle Tag Info'!$A$3,CHAR(10),'Bundle Tag Info'!A$6,CHAR(10),'Bundle Tag Info'!A$20),"")</f>
        <v/>
      </c>
      <c r="B15" s="19" t="str">
        <f>IF('Bundle Tag Info'!B$20&lt;&gt;"",CONCATENATE('Bundle Tag Info'!$A$1," ",CHAR(10),'Bundle Tag Info'!$A$2," ",'Bundle Tag Info'!$A$3,CHAR(10),'Bundle Tag Info'!B$6,CHAR(10),'Bundle Tag Info'!B$20),"")</f>
        <v/>
      </c>
      <c r="C15" s="19" t="str">
        <f>IF('Bundle Tag Info'!C$20&lt;&gt;"",CONCATENATE('Bundle Tag Info'!$A$1," ",CHAR(10),'Bundle Tag Info'!$A$2," ",'Bundle Tag Info'!$A$3,CHAR(10),'Bundle Tag Info'!C$6,CHAR(10),'Bundle Tag Info'!C$20),"")</f>
        <v/>
      </c>
      <c r="D15" s="19" t="str">
        <f>IF('Bundle Tag Info'!D$20&lt;&gt;"",CONCATENATE('Bundle Tag Info'!$A$1," ",CHAR(10),'Bundle Tag Info'!$A$2," ",'Bundle Tag Info'!$A$3,CHAR(10),'Bundle Tag Info'!D$6,CHAR(10),'Bundle Tag Info'!D$20),"")</f>
        <v/>
      </c>
      <c r="E15" s="19" t="str">
        <f>IF('Bundle Tag Info'!E$20&lt;&gt;"",CONCATENATE('Bundle Tag Info'!$A$1," ",CHAR(10),'Bundle Tag Info'!$A$2," ",'Bundle Tag Info'!$A$3,CHAR(10),'Bundle Tag Info'!E$6,CHAR(10),'Bundle Tag Info'!E$20),"")</f>
        <v>NOC-A #1 
J0400 A.2
LS WALL
KA A2-RWALL</v>
      </c>
      <c r="F15" s="19" t="str">
        <f>IF('Bundle Tag Info'!F$20&lt;&gt;"",CONCATENATE('Bundle Tag Info'!$A$1," ",CHAR(10),'Bundle Tag Info'!$A$2," ",'Bundle Tag Info'!$A$3,CHAR(10),'Bundle Tag Info'!F$6,CHAR(10),'Bundle Tag Info'!F$20),"")</f>
        <v/>
      </c>
      <c r="G15" s="19" t="str">
        <f>IF('Bundle Tag Info'!G$20&lt;&gt;"",CONCATENATE('Bundle Tag Info'!$A$1," ",CHAR(10),'Bundle Tag Info'!$A$2," ",'Bundle Tag Info'!$A$3,CHAR(10),'Bundle Tag Info'!G$6,CHAR(10),'Bundle Tag Info'!G$20),"")</f>
        <v/>
      </c>
      <c r="H15" s="19" t="str">
        <f>IF('Bundle Tag Info'!H$20&lt;&gt;"",CONCATENATE('Bundle Tag Info'!$A$1," ",CHAR(10),'Bundle Tag Info'!$A$2," ",'Bundle Tag Info'!$A$3,CHAR(10),'Bundle Tag Info'!H$6,CHAR(10),'Bundle Tag Info'!H$20),"")</f>
        <v/>
      </c>
      <c r="I15" s="19" t="str">
        <f>IF('Bundle Tag Info'!I$20&lt;&gt;"",CONCATENATE('Bundle Tag Info'!$A$1," ",CHAR(10),'Bundle Tag Info'!$A$2," ",'Bundle Tag Info'!$A$3,CHAR(10),'Bundle Tag Info'!I$6,CHAR(10),'Bundle Tag Info'!I$20),"")</f>
        <v/>
      </c>
      <c r="J15" s="19" t="str">
        <f>IF('Bundle Tag Info'!J$20&lt;&gt;"",CONCATENATE('Bundle Tag Info'!$A$1," ",CHAR(10),'Bundle Tag Info'!$A$2," ",'Bundle Tag Info'!$A$3,CHAR(10),'Bundle Tag Info'!J$6,CHAR(10),'Bundle Tag Info'!J$20),"")</f>
        <v/>
      </c>
      <c r="K15" s="19" t="str">
        <f>IF('Bundle Tag Info'!K$20&lt;&gt;"",CONCATENATE('Bundle Tag Info'!$A$1," ",CHAR(10),'Bundle Tag Info'!$A$2," ",'Bundle Tag Info'!$A$3,CHAR(10),'Bundle Tag Info'!K$6,CHAR(10),'Bundle Tag Info'!K$20),"")</f>
        <v/>
      </c>
      <c r="L15" s="19" t="str">
        <f>IF('Bundle Tag Info'!L$20&lt;&gt;"",CONCATENATE('Bundle Tag Info'!$A$1," ",CHAR(10),'Bundle Tag Info'!$A$2," ",'Bundle Tag Info'!$A$3,CHAR(10),'Bundle Tag Info'!L$6,CHAR(10),'Bundle Tag Info'!L$20),"")</f>
        <v/>
      </c>
      <c r="M15" s="19" t="str">
        <f>IF('Bundle Tag Info'!M$20&lt;&gt;"",CONCATENATE('Bundle Tag Info'!$A$1," ",CHAR(10),'Bundle Tag Info'!$A$2," ",'Bundle Tag Info'!$A$3,CHAR(10),'Bundle Tag Info'!M$6,CHAR(10),'Bundle Tag Info'!M$20),"")</f>
        <v/>
      </c>
      <c r="N15" s="19" t="str">
        <f>IF('Bundle Tag Info'!N$20&lt;&gt;"",CONCATENATE('Bundle Tag Info'!$A$1," ",CHAR(10),'Bundle Tag Info'!$A$2," ",'Bundle Tag Info'!$A$3,CHAR(10),'Bundle Tag Info'!N$6,CHAR(10),'Bundle Tag Info'!N$20),"")</f>
        <v/>
      </c>
      <c r="O15" s="19" t="str">
        <f>IF('Bundle Tag Info'!O$20&lt;&gt;"",CONCATENATE('Bundle Tag Info'!$A$1," ",CHAR(10),'Bundle Tag Info'!$A$2," ",'Bundle Tag Info'!$A$3,CHAR(10),'Bundle Tag Info'!O$6,CHAR(10),'Bundle Tag Info'!O$20),"")</f>
        <v/>
      </c>
      <c r="P15" s="19" t="str">
        <f>IF('Bundle Tag Info'!P$20&lt;&gt;"",CONCATENATE('Bundle Tag Info'!$A$1," ",CHAR(10),'Bundle Tag Info'!$A$2," ",'Bundle Tag Info'!$A$3,CHAR(10),'Bundle Tag Info'!P$6,CHAR(10),'Bundle Tag Info'!P$20),"")</f>
        <v/>
      </c>
      <c r="Q15" s="19" t="str">
        <f>IF('Bundle Tag Info'!Q$20&lt;&gt;"",CONCATENATE('Bundle Tag Info'!$A$1," ",CHAR(10),'Bundle Tag Info'!$A$2," ",'Bundle Tag Info'!$A$3,CHAR(10),'Bundle Tag Info'!Q$6,CHAR(10),'Bundle Tag Info'!Q$20),"")</f>
        <v/>
      </c>
      <c r="R15" s="19" t="str">
        <f>IF('Bundle Tag Info'!R$20&lt;&gt;"",CONCATENATE('Bundle Tag Info'!$A$1," ",CHAR(10),'Bundle Tag Info'!$A$2," ",'Bundle Tag Info'!$A$3,CHAR(10),'Bundle Tag Info'!R$6,CHAR(10),'Bundle Tag Info'!R$20),"")</f>
        <v/>
      </c>
      <c r="S15" s="19" t="str">
        <f>IF('Bundle Tag Info'!S$20&lt;&gt;"",CONCATENATE('Bundle Tag Info'!$A$1," ",CHAR(10),'Bundle Tag Info'!$A$2," ",'Bundle Tag Info'!$A$3,CHAR(10),'Bundle Tag Info'!S$6,CHAR(10),'Bundle Tag Info'!S$20),"")</f>
        <v/>
      </c>
      <c r="T15" s="19" t="str">
        <f>IF('Bundle Tag Info'!T$20&lt;&gt;"",CONCATENATE('Bundle Tag Info'!$A$1," ",CHAR(10),'Bundle Tag Info'!$A$2," ",'Bundle Tag Info'!$A$3,CHAR(10),'Bundle Tag Info'!T$6,CHAR(10),'Bundle Tag Info'!T$20),"")</f>
        <v/>
      </c>
      <c r="U15" s="19" t="str">
        <f>IF('Bundle Tag Info'!U$20&lt;&gt;"",CONCATENATE('Bundle Tag Info'!$A$1," ",CHAR(10),'Bundle Tag Info'!$A$2," ",'Bundle Tag Info'!$A$3,CHAR(10),'Bundle Tag Info'!U$6,CHAR(10),'Bundle Tag Info'!U$20),"")</f>
        <v/>
      </c>
      <c r="V15" s="19" t="str">
        <f>IF('Bundle Tag Info'!V$20&lt;&gt;"",CONCATENATE('Bundle Tag Info'!$A$1," ",CHAR(10),'Bundle Tag Info'!$A$2," ",'Bundle Tag Info'!$A$3,CHAR(10),'Bundle Tag Info'!V$6,CHAR(10),'Bundle Tag Info'!V$20),"")</f>
        <v/>
      </c>
      <c r="W15" s="19" t="str">
        <f>IF('Bundle Tag Info'!W$20&lt;&gt;"",CONCATENATE('Bundle Tag Info'!$A$1," ",CHAR(10),'Bundle Tag Info'!$A$2," ",'Bundle Tag Info'!$A$3,CHAR(10),'Bundle Tag Info'!W$6,CHAR(10),'Bundle Tag Info'!W$20),"")</f>
        <v/>
      </c>
      <c r="X15" s="19" t="str">
        <f>IF('Bundle Tag Info'!X$20&lt;&gt;"",CONCATENATE('Bundle Tag Info'!$A$1," ",CHAR(10),'Bundle Tag Info'!$A$2," ",'Bundle Tag Info'!$A$3,CHAR(10),'Bundle Tag Info'!X$6,CHAR(10),'Bundle Tag Info'!X$20),"")</f>
        <v/>
      </c>
      <c r="Y15" s="19" t="str">
        <f>IF('Bundle Tag Info'!Y$20&lt;&gt;"",CONCATENATE('Bundle Tag Info'!$A$1," ",CHAR(10),'Bundle Tag Info'!$A$2," ",'Bundle Tag Info'!$A$3,CHAR(10),'Bundle Tag Info'!Y$6,CHAR(10),'Bundle Tag Info'!Y$20),"")</f>
        <v/>
      </c>
      <c r="Z15" s="19" t="str">
        <f>IF('Bundle Tag Info'!Z$20&lt;&gt;"",CONCATENATE('Bundle Tag Info'!$A$1," ",CHAR(10),'Bundle Tag Info'!$A$2," ",'Bundle Tag Info'!$A$3,CHAR(10),'Bundle Tag Info'!Z$6,CHAR(10),'Bundle Tag Info'!Z$20),"")</f>
        <v/>
      </c>
      <c r="AA15" s="19" t="str">
        <f>IF('Bundle Tag Info'!AA$20&lt;&gt;"",CONCATENATE('Bundle Tag Info'!$A$1," ",CHAR(10),'Bundle Tag Info'!$A$2," ",'Bundle Tag Info'!$A$3,CHAR(10),'Bundle Tag Info'!AA$6,CHAR(10),'Bundle Tag Info'!AA$20),"")</f>
        <v/>
      </c>
      <c r="AB15" s="19" t="str">
        <f>IF('Bundle Tag Info'!AB$20&lt;&gt;"",CONCATENATE('Bundle Tag Info'!$A$1," ",CHAR(10),'Bundle Tag Info'!$A$2," ",'Bundle Tag Info'!$A$3,CHAR(10),'Bundle Tag Info'!AB$6,CHAR(10),'Bundle Tag Info'!AB$20),"")</f>
        <v/>
      </c>
      <c r="AC15" s="19" t="str">
        <f>IF('Bundle Tag Info'!AC$20&lt;&gt;"",CONCATENATE('Bundle Tag Info'!$A$1," ",CHAR(10),'Bundle Tag Info'!$A$2," ",'Bundle Tag Info'!$A$3,CHAR(10),'Bundle Tag Info'!AC$6,CHAR(10),'Bundle Tag Info'!AC$20),"")</f>
        <v/>
      </c>
      <c r="AD15" s="1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19" t="str">
        <f>IF('Bundle Tag Info'!A$21&lt;&gt;"",CONCATENATE('Bundle Tag Info'!$A$1," ",CHAR(10),'Bundle Tag Info'!$A$2," ",'Bundle Tag Info'!$A$3,CHAR(10),'Bundle Tag Info'!A$6,CHAR(10),'Bundle Tag Info'!A$21),"")</f>
        <v/>
      </c>
      <c r="B16" s="19" t="str">
        <f>IF('Bundle Tag Info'!B$21&lt;&gt;"",CONCATENATE('Bundle Tag Info'!$A$1," ",CHAR(10),'Bundle Tag Info'!$A$2," ",'Bundle Tag Info'!$A$3,CHAR(10),'Bundle Tag Info'!B$6,CHAR(10),'Bundle Tag Info'!B$21),"")</f>
        <v/>
      </c>
      <c r="C16" s="19" t="str">
        <f>IF('Bundle Tag Info'!C$21&lt;&gt;"",CONCATENATE('Bundle Tag Info'!$A$1," ",CHAR(10),'Bundle Tag Info'!$A$2," ",'Bundle Tag Info'!$A$3,CHAR(10),'Bundle Tag Info'!C$6,CHAR(10),'Bundle Tag Info'!C$21),"")</f>
        <v/>
      </c>
      <c r="D16" s="19" t="str">
        <f>IF('Bundle Tag Info'!D$21&lt;&gt;"",CONCATENATE('Bundle Tag Info'!$A$1," ",CHAR(10),'Bundle Tag Info'!$A$2," ",'Bundle Tag Info'!$A$3,CHAR(10),'Bundle Tag Info'!D$6,CHAR(10),'Bundle Tag Info'!D$21),"")</f>
        <v/>
      </c>
      <c r="E16" s="19" t="str">
        <f>IF('Bundle Tag Info'!E$21&lt;&gt;"",CONCATENATE('Bundle Tag Info'!$A$1," ",CHAR(10),'Bundle Tag Info'!$A$2," ",'Bundle Tag Info'!$A$3,CHAR(10),'Bundle Tag Info'!E$6,CHAR(10),'Bundle Tag Info'!E$21),"")</f>
        <v>NOC-A #1 
J0400 A.2
LS WALL
KA-RWALL</v>
      </c>
      <c r="F16" s="19" t="str">
        <f>IF('Bundle Tag Info'!F$21&lt;&gt;"",CONCATENATE('Bundle Tag Info'!$A$1," ",CHAR(10),'Bundle Tag Info'!$A$2," ",'Bundle Tag Info'!$A$3,CHAR(10),'Bundle Tag Info'!F$6,CHAR(10),'Bundle Tag Info'!F$21),"")</f>
        <v/>
      </c>
      <c r="G16" s="19" t="str">
        <f>IF('Bundle Tag Info'!G$21&lt;&gt;"",CONCATENATE('Bundle Tag Info'!$A$1," ",CHAR(10),'Bundle Tag Info'!$A$2," ",'Bundle Tag Info'!$A$3,CHAR(10),'Bundle Tag Info'!G$6,CHAR(10),'Bundle Tag Info'!G$21),"")</f>
        <v/>
      </c>
      <c r="H16" s="19" t="str">
        <f>IF('Bundle Tag Info'!H$21&lt;&gt;"",CONCATENATE('Bundle Tag Info'!$A$1," ",CHAR(10),'Bundle Tag Info'!$A$2," ",'Bundle Tag Info'!$A$3,CHAR(10),'Bundle Tag Info'!H$6,CHAR(10),'Bundle Tag Info'!H$21),"")</f>
        <v/>
      </c>
      <c r="I16" s="19" t="str">
        <f>IF('Bundle Tag Info'!I$21&lt;&gt;"",CONCATENATE('Bundle Tag Info'!$A$1," ",CHAR(10),'Bundle Tag Info'!$A$2," ",'Bundle Tag Info'!$A$3,CHAR(10),'Bundle Tag Info'!I$6,CHAR(10),'Bundle Tag Info'!I$21),"")</f>
        <v/>
      </c>
      <c r="J16" s="19" t="str">
        <f>IF('Bundle Tag Info'!J$21&lt;&gt;"",CONCATENATE('Bundle Tag Info'!$A$1," ",CHAR(10),'Bundle Tag Info'!$A$2," ",'Bundle Tag Info'!$A$3,CHAR(10),'Bundle Tag Info'!J$6,CHAR(10),'Bundle Tag Info'!J$21),"")</f>
        <v/>
      </c>
      <c r="K16" s="19" t="str">
        <f>IF('Bundle Tag Info'!K$21&lt;&gt;"",CONCATENATE('Bundle Tag Info'!$A$1," ",CHAR(10),'Bundle Tag Info'!$A$2," ",'Bundle Tag Info'!$A$3,CHAR(10),'Bundle Tag Info'!K$6,CHAR(10),'Bundle Tag Info'!K$21),"")</f>
        <v/>
      </c>
      <c r="L16" s="19" t="str">
        <f>IF('Bundle Tag Info'!L$21&lt;&gt;"",CONCATENATE('Bundle Tag Info'!$A$1," ",CHAR(10),'Bundle Tag Info'!$A$2," ",'Bundle Tag Info'!$A$3,CHAR(10),'Bundle Tag Info'!L$6,CHAR(10),'Bundle Tag Info'!L$21),"")</f>
        <v/>
      </c>
      <c r="M16" s="19" t="str">
        <f>IF('Bundle Tag Info'!M$21&lt;&gt;"",CONCATENATE('Bundle Tag Info'!$A$1," ",CHAR(10),'Bundle Tag Info'!$A$2," ",'Bundle Tag Info'!$A$3,CHAR(10),'Bundle Tag Info'!M$6,CHAR(10),'Bundle Tag Info'!M$21),"")</f>
        <v/>
      </c>
      <c r="N16" s="19" t="str">
        <f>IF('Bundle Tag Info'!N$21&lt;&gt;"",CONCATENATE('Bundle Tag Info'!$A$1," ",CHAR(10),'Bundle Tag Info'!$A$2," ",'Bundle Tag Info'!$A$3,CHAR(10),'Bundle Tag Info'!N$6,CHAR(10),'Bundle Tag Info'!N$21),"")</f>
        <v/>
      </c>
      <c r="O16" s="19" t="str">
        <f>IF('Bundle Tag Info'!O$21&lt;&gt;"",CONCATENATE('Bundle Tag Info'!$A$1," ",CHAR(10),'Bundle Tag Info'!$A$2," ",'Bundle Tag Info'!$A$3,CHAR(10),'Bundle Tag Info'!O$6,CHAR(10),'Bundle Tag Info'!O$21),"")</f>
        <v/>
      </c>
      <c r="P16" s="19" t="str">
        <f>IF('Bundle Tag Info'!P$21&lt;&gt;"",CONCATENATE('Bundle Tag Info'!$A$1," ",CHAR(10),'Bundle Tag Info'!$A$2," ",'Bundle Tag Info'!$A$3,CHAR(10),'Bundle Tag Info'!P$6,CHAR(10),'Bundle Tag Info'!P$21),"")</f>
        <v/>
      </c>
      <c r="Q16" s="19" t="str">
        <f>IF('Bundle Tag Info'!Q$21&lt;&gt;"",CONCATENATE('Bundle Tag Info'!$A$1," ",CHAR(10),'Bundle Tag Info'!$A$2," ",'Bundle Tag Info'!$A$3,CHAR(10),'Bundle Tag Info'!Q$6,CHAR(10),'Bundle Tag Info'!Q$21),"")</f>
        <v/>
      </c>
      <c r="R16" s="19" t="str">
        <f>IF('Bundle Tag Info'!R$21&lt;&gt;"",CONCATENATE('Bundle Tag Info'!$A$1," ",CHAR(10),'Bundle Tag Info'!$A$2," ",'Bundle Tag Info'!$A$3,CHAR(10),'Bundle Tag Info'!R$6,CHAR(10),'Bundle Tag Info'!R$21),"")</f>
        <v/>
      </c>
      <c r="S16" s="19" t="str">
        <f>IF('Bundle Tag Info'!S$21&lt;&gt;"",CONCATENATE('Bundle Tag Info'!$A$1," ",CHAR(10),'Bundle Tag Info'!$A$2," ",'Bundle Tag Info'!$A$3,CHAR(10),'Bundle Tag Info'!S$6,CHAR(10),'Bundle Tag Info'!S$21),"")</f>
        <v/>
      </c>
      <c r="T16" s="19" t="str">
        <f>IF('Bundle Tag Info'!T$21&lt;&gt;"",CONCATENATE('Bundle Tag Info'!$A$1," ",CHAR(10),'Bundle Tag Info'!$A$2," ",'Bundle Tag Info'!$A$3,CHAR(10),'Bundle Tag Info'!T$6,CHAR(10),'Bundle Tag Info'!T$21),"")</f>
        <v/>
      </c>
      <c r="U16" s="19" t="str">
        <f>IF('Bundle Tag Info'!U$21&lt;&gt;"",CONCATENATE('Bundle Tag Info'!$A$1," ",CHAR(10),'Bundle Tag Info'!$A$2," ",'Bundle Tag Info'!$A$3,CHAR(10),'Bundle Tag Info'!U$6,CHAR(10),'Bundle Tag Info'!U$21),"")</f>
        <v/>
      </c>
      <c r="V16" s="19" t="str">
        <f>IF('Bundle Tag Info'!V$21&lt;&gt;"",CONCATENATE('Bundle Tag Info'!$A$1," ",CHAR(10),'Bundle Tag Info'!$A$2," ",'Bundle Tag Info'!$A$3,CHAR(10),'Bundle Tag Info'!V$6,CHAR(10),'Bundle Tag Info'!V$21),"")</f>
        <v/>
      </c>
      <c r="W16" s="19" t="str">
        <f>IF('Bundle Tag Info'!W$21&lt;&gt;"",CONCATENATE('Bundle Tag Info'!$A$1," ",CHAR(10),'Bundle Tag Info'!$A$2," ",'Bundle Tag Info'!$A$3,CHAR(10),'Bundle Tag Info'!W$6,CHAR(10),'Bundle Tag Info'!W$21),"")</f>
        <v/>
      </c>
      <c r="X16" s="19" t="str">
        <f>IF('Bundle Tag Info'!X$21&lt;&gt;"",CONCATENATE('Bundle Tag Info'!$A$1," ",CHAR(10),'Bundle Tag Info'!$A$2," ",'Bundle Tag Info'!$A$3,CHAR(10),'Bundle Tag Info'!X$6,CHAR(10),'Bundle Tag Info'!X$21),"")</f>
        <v/>
      </c>
      <c r="Y16" s="19" t="str">
        <f>IF('Bundle Tag Info'!Y$21&lt;&gt;"",CONCATENATE('Bundle Tag Info'!$A$1," ",CHAR(10),'Bundle Tag Info'!$A$2," ",'Bundle Tag Info'!$A$3,CHAR(10),'Bundle Tag Info'!Y$6,CHAR(10),'Bundle Tag Info'!Y$21),"")</f>
        <v/>
      </c>
      <c r="Z16" s="19" t="str">
        <f>IF('Bundle Tag Info'!Z$21&lt;&gt;"",CONCATENATE('Bundle Tag Info'!$A$1," ",CHAR(10),'Bundle Tag Info'!$A$2," ",'Bundle Tag Info'!$A$3,CHAR(10),'Bundle Tag Info'!Z$6,CHAR(10),'Bundle Tag Info'!Z$21),"")</f>
        <v/>
      </c>
      <c r="AA16" s="19" t="str">
        <f>IF('Bundle Tag Info'!AA$21&lt;&gt;"",CONCATENATE('Bundle Tag Info'!$A$1," ",CHAR(10),'Bundle Tag Info'!$A$2," ",'Bundle Tag Info'!$A$3,CHAR(10),'Bundle Tag Info'!AA$6,CHAR(10),'Bundle Tag Info'!AA$21),"")</f>
        <v/>
      </c>
      <c r="AB16" s="19" t="str">
        <f>IF('Bundle Tag Info'!AB$21&lt;&gt;"",CONCATENATE('Bundle Tag Info'!$A$1," ",CHAR(10),'Bundle Tag Info'!$A$2," ",'Bundle Tag Info'!$A$3,CHAR(10),'Bundle Tag Info'!AB$6,CHAR(10),'Bundle Tag Info'!AB$21),"")</f>
        <v/>
      </c>
      <c r="AC16" s="19" t="str">
        <f>IF('Bundle Tag Info'!AC$21&lt;&gt;"",CONCATENATE('Bundle Tag Info'!$A$1," ",CHAR(10),'Bundle Tag Info'!$A$2," ",'Bundle Tag Info'!$A$3,CHAR(10),'Bundle Tag Info'!AC$6,CHAR(10),'Bundle Tag Info'!AC$21),"")</f>
        <v/>
      </c>
      <c r="AD16" s="1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19" t="str">
        <f>IF('Bundle Tag Info'!A$22&lt;&gt;"",CONCATENATE('Bundle Tag Info'!$A$1," ",CHAR(10),'Bundle Tag Info'!$A$2," ",'Bundle Tag Info'!$A$3,CHAR(10),'Bundle Tag Info'!A$6,CHAR(10),'Bundle Tag Info'!A$22),"")</f>
        <v/>
      </c>
      <c r="B17" s="19" t="str">
        <f>IF('Bundle Tag Info'!B$22&lt;&gt;"",CONCATENATE('Bundle Tag Info'!$A$1," ",CHAR(10),'Bundle Tag Info'!$A$2," ",'Bundle Tag Info'!$A$3,CHAR(10),'Bundle Tag Info'!B$6,CHAR(10),'Bundle Tag Info'!B$22),"")</f>
        <v/>
      </c>
      <c r="C17" s="19" t="str">
        <f>IF('Bundle Tag Info'!C$22&lt;&gt;"",CONCATENATE('Bundle Tag Info'!$A$1," ",CHAR(10),'Bundle Tag Info'!$A$2," ",'Bundle Tag Info'!$A$3,CHAR(10),'Bundle Tag Info'!C$6,CHAR(10),'Bundle Tag Info'!C$22),"")</f>
        <v/>
      </c>
      <c r="D17" s="19" t="str">
        <f>IF('Bundle Tag Info'!D$22&lt;&gt;"",CONCATENATE('Bundle Tag Info'!$A$1," ",CHAR(10),'Bundle Tag Info'!$A$2," ",'Bundle Tag Info'!$A$3,CHAR(10),'Bundle Tag Info'!D$6,CHAR(10),'Bundle Tag Info'!D$22),"")</f>
        <v/>
      </c>
      <c r="E17" s="19" t="str">
        <f>IF('Bundle Tag Info'!E$22&lt;&gt;"",CONCATENATE('Bundle Tag Info'!$A$1," ",CHAR(10),'Bundle Tag Info'!$A$2," ",'Bundle Tag Info'!$A$3,CHAR(10),'Bundle Tag Info'!E$6,CHAR(10),'Bundle Tag Info'!E$22),"")</f>
        <v>NOC-A #1 
J0400 A.2
LS WALL
XT-RWALL</v>
      </c>
      <c r="F17" s="19" t="str">
        <f>IF('Bundle Tag Info'!F$22&lt;&gt;"",CONCATENATE('Bundle Tag Info'!$A$1," ",CHAR(10),'Bundle Tag Info'!$A$2," ",'Bundle Tag Info'!$A$3,CHAR(10),'Bundle Tag Info'!F$6,CHAR(10),'Bundle Tag Info'!F$22),"")</f>
        <v/>
      </c>
      <c r="G17" s="19" t="str">
        <f>IF('Bundle Tag Info'!G$22&lt;&gt;"",CONCATENATE('Bundle Tag Info'!$A$1," ",CHAR(10),'Bundle Tag Info'!$A$2," ",'Bundle Tag Info'!$A$3,CHAR(10),'Bundle Tag Info'!G$6,CHAR(10),'Bundle Tag Info'!G$22),"")</f>
        <v/>
      </c>
      <c r="H17" s="19" t="str">
        <f>IF('Bundle Tag Info'!H$22&lt;&gt;"",CONCATENATE('Bundle Tag Info'!$A$1," ",CHAR(10),'Bundle Tag Info'!$A$2," ",'Bundle Tag Info'!$A$3,CHAR(10),'Bundle Tag Info'!H$6,CHAR(10),'Bundle Tag Info'!H$22),"")</f>
        <v/>
      </c>
      <c r="I17" s="19" t="str">
        <f>IF('Bundle Tag Info'!I$22&lt;&gt;"",CONCATENATE('Bundle Tag Info'!$A$1," ",CHAR(10),'Bundle Tag Info'!$A$2," ",'Bundle Tag Info'!$A$3,CHAR(10),'Bundle Tag Info'!I$6,CHAR(10),'Bundle Tag Info'!I$22),"")</f>
        <v/>
      </c>
      <c r="J17" s="19" t="str">
        <f>IF('Bundle Tag Info'!J$22&lt;&gt;"",CONCATENATE('Bundle Tag Info'!$A$1," ",CHAR(10),'Bundle Tag Info'!$A$2," ",'Bundle Tag Info'!$A$3,CHAR(10),'Bundle Tag Info'!J$6,CHAR(10),'Bundle Tag Info'!J$22),"")</f>
        <v/>
      </c>
      <c r="K17" s="19" t="str">
        <f>IF('Bundle Tag Info'!K$22&lt;&gt;"",CONCATENATE('Bundle Tag Info'!$A$1," ",CHAR(10),'Bundle Tag Info'!$A$2," ",'Bundle Tag Info'!$A$3,CHAR(10),'Bundle Tag Info'!K$6,CHAR(10),'Bundle Tag Info'!K$22),"")</f>
        <v/>
      </c>
      <c r="L17" s="19" t="str">
        <f>IF('Bundle Tag Info'!L$22&lt;&gt;"",CONCATENATE('Bundle Tag Info'!$A$1," ",CHAR(10),'Bundle Tag Info'!$A$2," ",'Bundle Tag Info'!$A$3,CHAR(10),'Bundle Tag Info'!L$6,CHAR(10),'Bundle Tag Info'!L$22),"")</f>
        <v/>
      </c>
      <c r="M17" s="19" t="str">
        <f>IF('Bundle Tag Info'!M$22&lt;&gt;"",CONCATENATE('Bundle Tag Info'!$A$1," ",CHAR(10),'Bundle Tag Info'!$A$2," ",'Bundle Tag Info'!$A$3,CHAR(10),'Bundle Tag Info'!M$6,CHAR(10),'Bundle Tag Info'!M$22),"")</f>
        <v/>
      </c>
      <c r="N17" s="19" t="str">
        <f>IF('Bundle Tag Info'!N$22&lt;&gt;"",CONCATENATE('Bundle Tag Info'!$A$1," ",CHAR(10),'Bundle Tag Info'!$A$2," ",'Bundle Tag Info'!$A$3,CHAR(10),'Bundle Tag Info'!N$6,CHAR(10),'Bundle Tag Info'!N$22),"")</f>
        <v/>
      </c>
      <c r="O17" s="19" t="str">
        <f>IF('Bundle Tag Info'!O$22&lt;&gt;"",CONCATENATE('Bundle Tag Info'!$A$1," ",CHAR(10),'Bundle Tag Info'!$A$2," ",'Bundle Tag Info'!$A$3,CHAR(10),'Bundle Tag Info'!O$6,CHAR(10),'Bundle Tag Info'!O$22),"")</f>
        <v/>
      </c>
      <c r="P17" s="19" t="str">
        <f>IF('Bundle Tag Info'!P$22&lt;&gt;"",CONCATENATE('Bundle Tag Info'!$A$1," ",CHAR(10),'Bundle Tag Info'!$A$2," ",'Bundle Tag Info'!$A$3,CHAR(10),'Bundle Tag Info'!P$6,CHAR(10),'Bundle Tag Info'!P$22),"")</f>
        <v/>
      </c>
      <c r="Q17" s="19" t="str">
        <f>IF('Bundle Tag Info'!Q$22&lt;&gt;"",CONCATENATE('Bundle Tag Info'!$A$1," ",CHAR(10),'Bundle Tag Info'!$A$2," ",'Bundle Tag Info'!$A$3,CHAR(10),'Bundle Tag Info'!Q$6,CHAR(10),'Bundle Tag Info'!Q$22),"")</f>
        <v/>
      </c>
      <c r="R17" s="19" t="str">
        <f>IF('Bundle Tag Info'!R$22&lt;&gt;"",CONCATENATE('Bundle Tag Info'!$A$1," ",CHAR(10),'Bundle Tag Info'!$A$2," ",'Bundle Tag Info'!$A$3,CHAR(10),'Bundle Tag Info'!R$6,CHAR(10),'Bundle Tag Info'!R$22),"")</f>
        <v/>
      </c>
      <c r="S17" s="19" t="str">
        <f>IF('Bundle Tag Info'!S$22&lt;&gt;"",CONCATENATE('Bundle Tag Info'!$A$1," ",CHAR(10),'Bundle Tag Info'!$A$2," ",'Bundle Tag Info'!$A$3,CHAR(10),'Bundle Tag Info'!S$6,CHAR(10),'Bundle Tag Info'!S$22),"")</f>
        <v/>
      </c>
      <c r="T17" s="19" t="str">
        <f>IF('Bundle Tag Info'!T$22&lt;&gt;"",CONCATENATE('Bundle Tag Info'!$A$1," ",CHAR(10),'Bundle Tag Info'!$A$2," ",'Bundle Tag Info'!$A$3,CHAR(10),'Bundle Tag Info'!T$6,CHAR(10),'Bundle Tag Info'!T$22),"")</f>
        <v/>
      </c>
      <c r="U17" s="19" t="str">
        <f>IF('Bundle Tag Info'!U$22&lt;&gt;"",CONCATENATE('Bundle Tag Info'!$A$1," ",CHAR(10),'Bundle Tag Info'!$A$2," ",'Bundle Tag Info'!$A$3,CHAR(10),'Bundle Tag Info'!U$6,CHAR(10),'Bundle Tag Info'!U$22),"")</f>
        <v/>
      </c>
      <c r="V17" s="19" t="str">
        <f>IF('Bundle Tag Info'!V$22&lt;&gt;"",CONCATENATE('Bundle Tag Info'!$A$1," ",CHAR(10),'Bundle Tag Info'!$A$2," ",'Bundle Tag Info'!$A$3,CHAR(10),'Bundle Tag Info'!V$6,CHAR(10),'Bundle Tag Info'!V$22),"")</f>
        <v/>
      </c>
      <c r="W17" s="19" t="str">
        <f>IF('Bundle Tag Info'!W$22&lt;&gt;"",CONCATENATE('Bundle Tag Info'!$A$1," ",CHAR(10),'Bundle Tag Info'!$A$2," ",'Bundle Tag Info'!$A$3,CHAR(10),'Bundle Tag Info'!W$6,CHAR(10),'Bundle Tag Info'!W$22),"")</f>
        <v/>
      </c>
      <c r="X17" s="19" t="str">
        <f>IF('Bundle Tag Info'!X$22&lt;&gt;"",CONCATENATE('Bundle Tag Info'!$A$1," ",CHAR(10),'Bundle Tag Info'!$A$2," ",'Bundle Tag Info'!$A$3,CHAR(10),'Bundle Tag Info'!X$6,CHAR(10),'Bundle Tag Info'!X$22),"")</f>
        <v/>
      </c>
      <c r="Y17" s="19" t="str">
        <f>IF('Bundle Tag Info'!Y$22&lt;&gt;"",CONCATENATE('Bundle Tag Info'!$A$1," ",CHAR(10),'Bundle Tag Info'!$A$2," ",'Bundle Tag Info'!$A$3,CHAR(10),'Bundle Tag Info'!Y$6,CHAR(10),'Bundle Tag Info'!Y$22),"")</f>
        <v/>
      </c>
      <c r="Z17" s="19" t="str">
        <f>IF('Bundle Tag Info'!Z$22&lt;&gt;"",CONCATENATE('Bundle Tag Info'!$A$1," ",CHAR(10),'Bundle Tag Info'!$A$2," ",'Bundle Tag Info'!$A$3,CHAR(10),'Bundle Tag Info'!Z$6,CHAR(10),'Bundle Tag Info'!Z$22),"")</f>
        <v/>
      </c>
      <c r="AA17" s="19" t="str">
        <f>IF('Bundle Tag Info'!AA$22&lt;&gt;"",CONCATENATE('Bundle Tag Info'!$A$1," ",CHAR(10),'Bundle Tag Info'!$A$2," ",'Bundle Tag Info'!$A$3,CHAR(10),'Bundle Tag Info'!AA$6,CHAR(10),'Bundle Tag Info'!AA$22),"")</f>
        <v/>
      </c>
      <c r="AB17" s="19" t="str">
        <f>IF('Bundle Tag Info'!AB$22&lt;&gt;"",CONCATENATE('Bundle Tag Info'!$A$1," ",CHAR(10),'Bundle Tag Info'!$A$2," ",'Bundle Tag Info'!$A$3,CHAR(10),'Bundle Tag Info'!AB$6,CHAR(10),'Bundle Tag Info'!AB$22),"")</f>
        <v/>
      </c>
      <c r="AC17" s="19" t="str">
        <f>IF('Bundle Tag Info'!AC$22&lt;&gt;"",CONCATENATE('Bundle Tag Info'!$A$1," ",CHAR(10),'Bundle Tag Info'!$A$2," ",'Bundle Tag Info'!$A$3,CHAR(10),'Bundle Tag Info'!AC$6,CHAR(10),'Bundle Tag Info'!AC$22),"")</f>
        <v/>
      </c>
      <c r="AD17" s="1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19" t="str">
        <f>IF('Bundle Tag Info'!A$23&lt;&gt;"",CONCATENATE('Bundle Tag Info'!$A$1," ",CHAR(10),'Bundle Tag Info'!$A$2," ",'Bundle Tag Info'!$A$3,CHAR(10),'Bundle Tag Info'!A$6,CHAR(10),'Bundle Tag Info'!A$23),"")</f>
        <v/>
      </c>
      <c r="B18" s="19" t="str">
        <f>IF('Bundle Tag Info'!B$23&lt;&gt;"",CONCATENATE('Bundle Tag Info'!$A$1," ",CHAR(10),'Bundle Tag Info'!$A$2," ",'Bundle Tag Info'!$A$3,CHAR(10),'Bundle Tag Info'!B$6,CHAR(10),'Bundle Tag Info'!B$23),"")</f>
        <v/>
      </c>
      <c r="C18" s="19" t="str">
        <f>IF('Bundle Tag Info'!C$23&lt;&gt;"",CONCATENATE('Bundle Tag Info'!$A$1," ",CHAR(10),'Bundle Tag Info'!$A$2," ",'Bundle Tag Info'!$A$3,CHAR(10),'Bundle Tag Info'!C$6,CHAR(10),'Bundle Tag Info'!C$23),"")</f>
        <v/>
      </c>
      <c r="D18" s="19" t="str">
        <f>IF('Bundle Tag Info'!D$23&lt;&gt;"",CONCATENATE('Bundle Tag Info'!$A$1," ",CHAR(10),'Bundle Tag Info'!$A$2," ",'Bundle Tag Info'!$A$3,CHAR(10),'Bundle Tag Info'!D$6,CHAR(10),'Bundle Tag Info'!D$23),"")</f>
        <v/>
      </c>
      <c r="E18" s="19" t="str">
        <f>IF('Bundle Tag Info'!E$23&lt;&gt;"",CONCATENATE('Bundle Tag Info'!$A$1," ",CHAR(10),'Bundle Tag Info'!$A$2," ",'Bundle Tag Info'!$A$3,CHAR(10),'Bundle Tag Info'!E$6,CHAR(10),'Bundle Tag Info'!E$23),"")</f>
        <v>NOC-A #1 
J0400 A.2
LS WALL
XT9K-RWALL</v>
      </c>
      <c r="F18" s="19" t="str">
        <f>IF('Bundle Tag Info'!F$23&lt;&gt;"",CONCATENATE('Bundle Tag Info'!$A$1," ",CHAR(10),'Bundle Tag Info'!$A$2," ",'Bundle Tag Info'!$A$3,CHAR(10),'Bundle Tag Info'!F$6,CHAR(10),'Bundle Tag Info'!F$23),"")</f>
        <v/>
      </c>
      <c r="G18" s="19" t="str">
        <f>IF('Bundle Tag Info'!G$23&lt;&gt;"",CONCATENATE('Bundle Tag Info'!$A$1," ",CHAR(10),'Bundle Tag Info'!$A$2," ",'Bundle Tag Info'!$A$3,CHAR(10),'Bundle Tag Info'!G$6,CHAR(10),'Bundle Tag Info'!G$23),"")</f>
        <v/>
      </c>
      <c r="H18" s="19" t="str">
        <f>IF('Bundle Tag Info'!H$23&lt;&gt;"",CONCATENATE('Bundle Tag Info'!$A$1," ",CHAR(10),'Bundle Tag Info'!$A$2," ",'Bundle Tag Info'!$A$3,CHAR(10),'Bundle Tag Info'!H$6,CHAR(10),'Bundle Tag Info'!H$23),"")</f>
        <v/>
      </c>
      <c r="I18" s="19" t="str">
        <f>IF('Bundle Tag Info'!I$23&lt;&gt;"",CONCATENATE('Bundle Tag Info'!$A$1," ",CHAR(10),'Bundle Tag Info'!$A$2," ",'Bundle Tag Info'!$A$3,CHAR(10),'Bundle Tag Info'!I$6,CHAR(10),'Bundle Tag Info'!I$23),"")</f>
        <v/>
      </c>
      <c r="J18" s="19" t="str">
        <f>IF('Bundle Tag Info'!J$23&lt;&gt;"",CONCATENATE('Bundle Tag Info'!$A$1," ",CHAR(10),'Bundle Tag Info'!$A$2," ",'Bundle Tag Info'!$A$3,CHAR(10),'Bundle Tag Info'!J$6,CHAR(10),'Bundle Tag Info'!J$23),"")</f>
        <v/>
      </c>
      <c r="K18" s="19" t="str">
        <f>IF('Bundle Tag Info'!K$23&lt;&gt;"",CONCATENATE('Bundle Tag Info'!$A$1," ",CHAR(10),'Bundle Tag Info'!$A$2," ",'Bundle Tag Info'!$A$3,CHAR(10),'Bundle Tag Info'!K$6,CHAR(10),'Bundle Tag Info'!K$23),"")</f>
        <v/>
      </c>
      <c r="L18" s="19" t="str">
        <f>IF('Bundle Tag Info'!L$23&lt;&gt;"",CONCATENATE('Bundle Tag Info'!$A$1," ",CHAR(10),'Bundle Tag Info'!$A$2," ",'Bundle Tag Info'!$A$3,CHAR(10),'Bundle Tag Info'!L$6,CHAR(10),'Bundle Tag Info'!L$23),"")</f>
        <v/>
      </c>
      <c r="M18" s="19" t="str">
        <f>IF('Bundle Tag Info'!M$23&lt;&gt;"",CONCATENATE('Bundle Tag Info'!$A$1," ",CHAR(10),'Bundle Tag Info'!$A$2," ",'Bundle Tag Info'!$A$3,CHAR(10),'Bundle Tag Info'!M$6,CHAR(10),'Bundle Tag Info'!M$23),"")</f>
        <v/>
      </c>
      <c r="N18" s="19" t="str">
        <f>IF('Bundle Tag Info'!N$23&lt;&gt;"",CONCATENATE('Bundle Tag Info'!$A$1," ",CHAR(10),'Bundle Tag Info'!$A$2," ",'Bundle Tag Info'!$A$3,CHAR(10),'Bundle Tag Info'!N$6,CHAR(10),'Bundle Tag Info'!N$23),"")</f>
        <v/>
      </c>
      <c r="O18" s="19" t="str">
        <f>IF('Bundle Tag Info'!O$23&lt;&gt;"",CONCATENATE('Bundle Tag Info'!$A$1," ",CHAR(10),'Bundle Tag Info'!$A$2," ",'Bundle Tag Info'!$A$3,CHAR(10),'Bundle Tag Info'!O$6,CHAR(10),'Bundle Tag Info'!O$23),"")</f>
        <v/>
      </c>
      <c r="P18" s="19" t="str">
        <f>IF('Bundle Tag Info'!P$23&lt;&gt;"",CONCATENATE('Bundle Tag Info'!$A$1," ",CHAR(10),'Bundle Tag Info'!$A$2," ",'Bundle Tag Info'!$A$3,CHAR(10),'Bundle Tag Info'!P$6,CHAR(10),'Bundle Tag Info'!P$23),"")</f>
        <v/>
      </c>
      <c r="Q18" s="19" t="str">
        <f>IF('Bundle Tag Info'!Q$23&lt;&gt;"",CONCATENATE('Bundle Tag Info'!$A$1," ",CHAR(10),'Bundle Tag Info'!$A$2," ",'Bundle Tag Info'!$A$3,CHAR(10),'Bundle Tag Info'!Q$6,CHAR(10),'Bundle Tag Info'!Q$23),"")</f>
        <v/>
      </c>
      <c r="R18" s="19" t="str">
        <f>IF('Bundle Tag Info'!R$23&lt;&gt;"",CONCATENATE('Bundle Tag Info'!$A$1," ",CHAR(10),'Bundle Tag Info'!$A$2," ",'Bundle Tag Info'!$A$3,CHAR(10),'Bundle Tag Info'!R$6,CHAR(10),'Bundle Tag Info'!R$23),"")</f>
        <v/>
      </c>
      <c r="S18" s="19" t="str">
        <f>IF('Bundle Tag Info'!S$23&lt;&gt;"",CONCATENATE('Bundle Tag Info'!$A$1," ",CHAR(10),'Bundle Tag Info'!$A$2," ",'Bundle Tag Info'!$A$3,CHAR(10),'Bundle Tag Info'!S$6,CHAR(10),'Bundle Tag Info'!S$23),"")</f>
        <v/>
      </c>
      <c r="T18" s="19" t="str">
        <f>IF('Bundle Tag Info'!T$23&lt;&gt;"",CONCATENATE('Bundle Tag Info'!$A$1," ",CHAR(10),'Bundle Tag Info'!$A$2," ",'Bundle Tag Info'!$A$3,CHAR(10),'Bundle Tag Info'!T$6,CHAR(10),'Bundle Tag Info'!T$23),"")</f>
        <v/>
      </c>
      <c r="U18" s="19" t="str">
        <f>IF('Bundle Tag Info'!U$23&lt;&gt;"",CONCATENATE('Bundle Tag Info'!$A$1," ",CHAR(10),'Bundle Tag Info'!$A$2," ",'Bundle Tag Info'!$A$3,CHAR(10),'Bundle Tag Info'!U$6,CHAR(10),'Bundle Tag Info'!U$23),"")</f>
        <v/>
      </c>
      <c r="V18" s="19" t="str">
        <f>IF('Bundle Tag Info'!V$23&lt;&gt;"",CONCATENATE('Bundle Tag Info'!$A$1," ",CHAR(10),'Bundle Tag Info'!$A$2," ",'Bundle Tag Info'!$A$3,CHAR(10),'Bundle Tag Info'!V$6,CHAR(10),'Bundle Tag Info'!V$23),"")</f>
        <v/>
      </c>
      <c r="W18" s="19" t="str">
        <f>IF('Bundle Tag Info'!W$23&lt;&gt;"",CONCATENATE('Bundle Tag Info'!$A$1," ",CHAR(10),'Bundle Tag Info'!$A$2," ",'Bundle Tag Info'!$A$3,CHAR(10),'Bundle Tag Info'!W$6,CHAR(10),'Bundle Tag Info'!W$23),"")</f>
        <v/>
      </c>
      <c r="X18" s="19" t="str">
        <f>IF('Bundle Tag Info'!X$23&lt;&gt;"",CONCATENATE('Bundle Tag Info'!$A$1," ",CHAR(10),'Bundle Tag Info'!$A$2," ",'Bundle Tag Info'!$A$3,CHAR(10),'Bundle Tag Info'!X$6,CHAR(10),'Bundle Tag Info'!X$23),"")</f>
        <v/>
      </c>
      <c r="Y18" s="19" t="str">
        <f>IF('Bundle Tag Info'!Y$23&lt;&gt;"",CONCATENATE('Bundle Tag Info'!$A$1," ",CHAR(10),'Bundle Tag Info'!$A$2," ",'Bundle Tag Info'!$A$3,CHAR(10),'Bundle Tag Info'!Y$6,CHAR(10),'Bundle Tag Info'!Y$23),"")</f>
        <v/>
      </c>
      <c r="Z18" s="19" t="str">
        <f>IF('Bundle Tag Info'!Z$23&lt;&gt;"",CONCATENATE('Bundle Tag Info'!$A$1," ",CHAR(10),'Bundle Tag Info'!$A$2," ",'Bundle Tag Info'!$A$3,CHAR(10),'Bundle Tag Info'!Z$6,CHAR(10),'Bundle Tag Info'!Z$23),"")</f>
        <v/>
      </c>
      <c r="AA18" s="19" t="str">
        <f>IF('Bundle Tag Info'!AA$23&lt;&gt;"",CONCATENATE('Bundle Tag Info'!$A$1," ",CHAR(10),'Bundle Tag Info'!$A$2," ",'Bundle Tag Info'!$A$3,CHAR(10),'Bundle Tag Info'!AA$6,CHAR(10),'Bundle Tag Info'!AA$23),"")</f>
        <v/>
      </c>
      <c r="AB18" s="19" t="str">
        <f>IF('Bundle Tag Info'!AB$23&lt;&gt;"",CONCATENATE('Bundle Tag Info'!$A$1," ",CHAR(10),'Bundle Tag Info'!$A$2," ",'Bundle Tag Info'!$A$3,CHAR(10),'Bundle Tag Info'!AB$6,CHAR(10),'Bundle Tag Info'!AB$23),"")</f>
        <v/>
      </c>
      <c r="AC18" s="19" t="str">
        <f>IF('Bundle Tag Info'!AC$23&lt;&gt;"",CONCATENATE('Bundle Tag Info'!$A$1," ",CHAR(10),'Bundle Tag Info'!$A$2," ",'Bundle Tag Info'!$A$3,CHAR(10),'Bundle Tag Info'!AC$6,CHAR(10),'Bundle Tag Info'!AC$23),"")</f>
        <v/>
      </c>
      <c r="AD18" s="1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19" t="str">
        <f>IF('Bundle Tag Info'!A$24&lt;&gt;"",CONCATENATE('Bundle Tag Info'!$A$1," ",CHAR(10),'Bundle Tag Info'!$A$2," ",'Bundle Tag Info'!$A$3,CHAR(10),'Bundle Tag Info'!A$6,CHAR(10),'Bundle Tag Info'!A$24),"")</f>
        <v/>
      </c>
      <c r="B19" s="19" t="str">
        <f>IF('Bundle Tag Info'!B$24&lt;&gt;"",CONCATENATE('Bundle Tag Info'!$A$1," ",CHAR(10),'Bundle Tag Info'!$A$2," ",'Bundle Tag Info'!$A$3,CHAR(10),'Bundle Tag Info'!B$6,CHAR(10),'Bundle Tag Info'!B$24),"")</f>
        <v/>
      </c>
      <c r="C19" s="19" t="str">
        <f>IF('Bundle Tag Info'!C$24&lt;&gt;"",CONCATENATE('Bundle Tag Info'!$A$1," ",CHAR(10),'Bundle Tag Info'!$A$2," ",'Bundle Tag Info'!$A$3,CHAR(10),'Bundle Tag Info'!C$6,CHAR(10),'Bundle Tag Info'!C$24),"")</f>
        <v/>
      </c>
      <c r="D19" s="19" t="str">
        <f>IF('Bundle Tag Info'!D$24&lt;&gt;"",CONCATENATE('Bundle Tag Info'!$A$1," ",CHAR(10),'Bundle Tag Info'!$A$2," ",'Bundle Tag Info'!$A$3,CHAR(10),'Bundle Tag Info'!D$6,CHAR(10),'Bundle Tag Info'!D$24),"")</f>
        <v/>
      </c>
      <c r="E19" s="19" t="str">
        <f>IF('Bundle Tag Info'!E$24&lt;&gt;"",CONCATENATE('Bundle Tag Info'!$A$1," ",CHAR(10),'Bundle Tag Info'!$A$2," ",'Bundle Tag Info'!$A$3,CHAR(10),'Bundle Tag Info'!E$6,CHAR(10),'Bundle Tag Info'!E$24),"")</f>
        <v/>
      </c>
      <c r="F19" s="19" t="str">
        <f>IF('Bundle Tag Info'!F$24&lt;&gt;"",CONCATENATE('Bundle Tag Info'!$A$1," ",CHAR(10),'Bundle Tag Info'!$A$2," ",'Bundle Tag Info'!$A$3,CHAR(10),'Bundle Tag Info'!F$6,CHAR(10),'Bundle Tag Info'!F$24),"")</f>
        <v/>
      </c>
      <c r="G19" s="19" t="str">
        <f>IF('Bundle Tag Info'!G$24&lt;&gt;"",CONCATENATE('Bundle Tag Info'!$A$1," ",CHAR(10),'Bundle Tag Info'!$A$2," ",'Bundle Tag Info'!$A$3,CHAR(10),'Bundle Tag Info'!G$6,CHAR(10),'Bundle Tag Info'!G$24),"")</f>
        <v/>
      </c>
      <c r="H19" s="19" t="str">
        <f>IF('Bundle Tag Info'!H$24&lt;&gt;"",CONCATENATE('Bundle Tag Info'!$A$1," ",CHAR(10),'Bundle Tag Info'!$A$2," ",'Bundle Tag Info'!$A$3,CHAR(10),'Bundle Tag Info'!H$6,CHAR(10),'Bundle Tag Info'!H$24),"")</f>
        <v/>
      </c>
      <c r="I19" s="19" t="str">
        <f>IF('Bundle Tag Info'!I$24&lt;&gt;"",CONCATENATE('Bundle Tag Info'!$A$1," ",CHAR(10),'Bundle Tag Info'!$A$2," ",'Bundle Tag Info'!$A$3,CHAR(10),'Bundle Tag Info'!I$6,CHAR(10),'Bundle Tag Info'!I$24),"")</f>
        <v/>
      </c>
      <c r="J19" s="19" t="str">
        <f>IF('Bundle Tag Info'!J$24&lt;&gt;"",CONCATENATE('Bundle Tag Info'!$A$1," ",CHAR(10),'Bundle Tag Info'!$A$2," ",'Bundle Tag Info'!$A$3,CHAR(10),'Bundle Tag Info'!J$6,CHAR(10),'Bundle Tag Info'!J$24),"")</f>
        <v/>
      </c>
      <c r="K19" s="19" t="str">
        <f>IF('Bundle Tag Info'!K$24&lt;&gt;"",CONCATENATE('Bundle Tag Info'!$A$1," ",CHAR(10),'Bundle Tag Info'!$A$2," ",'Bundle Tag Info'!$A$3,CHAR(10),'Bundle Tag Info'!K$6,CHAR(10),'Bundle Tag Info'!K$24),"")</f>
        <v/>
      </c>
      <c r="L19" s="19" t="str">
        <f>IF('Bundle Tag Info'!L$24&lt;&gt;"",CONCATENATE('Bundle Tag Info'!$A$1," ",CHAR(10),'Bundle Tag Info'!$A$2," ",'Bundle Tag Info'!$A$3,CHAR(10),'Bundle Tag Info'!L$6,CHAR(10),'Bundle Tag Info'!L$24),"")</f>
        <v/>
      </c>
      <c r="M19" s="19" t="str">
        <f>IF('Bundle Tag Info'!M$24&lt;&gt;"",CONCATENATE('Bundle Tag Info'!$A$1," ",CHAR(10),'Bundle Tag Info'!$A$2," ",'Bundle Tag Info'!$A$3,CHAR(10),'Bundle Tag Info'!M$6,CHAR(10),'Bundle Tag Info'!M$24),"")</f>
        <v/>
      </c>
      <c r="N19" s="19" t="str">
        <f>IF('Bundle Tag Info'!N$24&lt;&gt;"",CONCATENATE('Bundle Tag Info'!$A$1," ",CHAR(10),'Bundle Tag Info'!$A$2," ",'Bundle Tag Info'!$A$3,CHAR(10),'Bundle Tag Info'!N$6,CHAR(10),'Bundle Tag Info'!N$24),"")</f>
        <v/>
      </c>
      <c r="O19" s="19" t="str">
        <f>IF('Bundle Tag Info'!O$24&lt;&gt;"",CONCATENATE('Bundle Tag Info'!$A$1," ",CHAR(10),'Bundle Tag Info'!$A$2," ",'Bundle Tag Info'!$A$3,CHAR(10),'Bundle Tag Info'!O$6,CHAR(10),'Bundle Tag Info'!O$24),"")</f>
        <v/>
      </c>
      <c r="P19" s="19" t="str">
        <f>IF('Bundle Tag Info'!P$24&lt;&gt;"",CONCATENATE('Bundle Tag Info'!$A$1," ",CHAR(10),'Bundle Tag Info'!$A$2," ",'Bundle Tag Info'!$A$3,CHAR(10),'Bundle Tag Info'!P$6,CHAR(10),'Bundle Tag Info'!P$24),"")</f>
        <v/>
      </c>
      <c r="Q19" s="19" t="str">
        <f>IF('Bundle Tag Info'!Q$24&lt;&gt;"",CONCATENATE('Bundle Tag Info'!$A$1," ",CHAR(10),'Bundle Tag Info'!$A$2," ",'Bundle Tag Info'!$A$3,CHAR(10),'Bundle Tag Info'!Q$6,CHAR(10),'Bundle Tag Info'!Q$24),"")</f>
        <v/>
      </c>
      <c r="R19" s="19" t="str">
        <f>IF('Bundle Tag Info'!R$24&lt;&gt;"",CONCATENATE('Bundle Tag Info'!$A$1," ",CHAR(10),'Bundle Tag Info'!$A$2," ",'Bundle Tag Info'!$A$3,CHAR(10),'Bundle Tag Info'!R$6,CHAR(10),'Bundle Tag Info'!R$24),"")</f>
        <v/>
      </c>
      <c r="S19" s="19" t="str">
        <f>IF('Bundle Tag Info'!S$24&lt;&gt;"",CONCATENATE('Bundle Tag Info'!$A$1," ",CHAR(10),'Bundle Tag Info'!$A$2," ",'Bundle Tag Info'!$A$3,CHAR(10),'Bundle Tag Info'!S$6,CHAR(10),'Bundle Tag Info'!S$24),"")</f>
        <v/>
      </c>
      <c r="T19" s="19" t="str">
        <f>IF('Bundle Tag Info'!T$24&lt;&gt;"",CONCATENATE('Bundle Tag Info'!$A$1," ",CHAR(10),'Bundle Tag Info'!$A$2," ",'Bundle Tag Info'!$A$3,CHAR(10),'Bundle Tag Info'!T$6,CHAR(10),'Bundle Tag Info'!T$24),"")</f>
        <v/>
      </c>
      <c r="U19" s="19" t="str">
        <f>IF('Bundle Tag Info'!U$24&lt;&gt;"",CONCATENATE('Bundle Tag Info'!$A$1," ",CHAR(10),'Bundle Tag Info'!$A$2," ",'Bundle Tag Info'!$A$3,CHAR(10),'Bundle Tag Info'!U$6,CHAR(10),'Bundle Tag Info'!U$24),"")</f>
        <v/>
      </c>
      <c r="V19" s="19" t="str">
        <f>IF('Bundle Tag Info'!V$24&lt;&gt;"",CONCATENATE('Bundle Tag Info'!$A$1," ",CHAR(10),'Bundle Tag Info'!$A$2," ",'Bundle Tag Info'!$A$3,CHAR(10),'Bundle Tag Info'!V$6,CHAR(10),'Bundle Tag Info'!V$24),"")</f>
        <v/>
      </c>
      <c r="W19" s="19" t="str">
        <f>IF('Bundle Tag Info'!W$24&lt;&gt;"",CONCATENATE('Bundle Tag Info'!$A$1," ",CHAR(10),'Bundle Tag Info'!$A$2," ",'Bundle Tag Info'!$A$3,CHAR(10),'Bundle Tag Info'!W$6,CHAR(10),'Bundle Tag Info'!W$24),"")</f>
        <v/>
      </c>
      <c r="X19" s="19" t="str">
        <f>IF('Bundle Tag Info'!X$24&lt;&gt;"",CONCATENATE('Bundle Tag Info'!$A$1," ",CHAR(10),'Bundle Tag Info'!$A$2," ",'Bundle Tag Info'!$A$3,CHAR(10),'Bundle Tag Info'!X$6,CHAR(10),'Bundle Tag Info'!X$24),"")</f>
        <v/>
      </c>
      <c r="Y19" s="19" t="str">
        <f>IF('Bundle Tag Info'!Y$24&lt;&gt;"",CONCATENATE('Bundle Tag Info'!$A$1," ",CHAR(10),'Bundle Tag Info'!$A$2," ",'Bundle Tag Info'!$A$3,CHAR(10),'Bundle Tag Info'!Y$6,CHAR(10),'Bundle Tag Info'!Y$24),"")</f>
        <v/>
      </c>
      <c r="Z19" s="19" t="str">
        <f>IF('Bundle Tag Info'!Z$24&lt;&gt;"",CONCATENATE('Bundle Tag Info'!$A$1," ",CHAR(10),'Bundle Tag Info'!$A$2," ",'Bundle Tag Info'!$A$3,CHAR(10),'Bundle Tag Info'!Z$6,CHAR(10),'Bundle Tag Info'!Z$24),"")</f>
        <v/>
      </c>
      <c r="AA19" s="19" t="str">
        <f>IF('Bundle Tag Info'!AA$24&lt;&gt;"",CONCATENATE('Bundle Tag Info'!$A$1," ",CHAR(10),'Bundle Tag Info'!$A$2," ",'Bundle Tag Info'!$A$3,CHAR(10),'Bundle Tag Info'!AA$6,CHAR(10),'Bundle Tag Info'!AA$24),"")</f>
        <v/>
      </c>
      <c r="AB19" s="19" t="str">
        <f>IF('Bundle Tag Info'!AB$24&lt;&gt;"",CONCATENATE('Bundle Tag Info'!$A$1," ",CHAR(10),'Bundle Tag Info'!$A$2," ",'Bundle Tag Info'!$A$3,CHAR(10),'Bundle Tag Info'!AB$6,CHAR(10),'Bundle Tag Info'!AB$24),"")</f>
        <v/>
      </c>
      <c r="AC19" s="19" t="str">
        <f>IF('Bundle Tag Info'!AC$24&lt;&gt;"",CONCATENATE('Bundle Tag Info'!$A$1," ",CHAR(10),'Bundle Tag Info'!$A$2," ",'Bundle Tag Info'!$A$3,CHAR(10),'Bundle Tag Info'!AC$6,CHAR(10),'Bundle Tag Info'!AC$24),"")</f>
        <v/>
      </c>
      <c r="AD19" s="19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19" t="str">
        <f>IF('Bundle Tag Info'!A$25&lt;&gt;"",CONCATENATE('Bundle Tag Info'!$A$1," ",CHAR(10),'Bundle Tag Info'!$A$2," ",'Bundle Tag Info'!$A$3,CHAR(10),'Bundle Tag Info'!A$6,CHAR(10),'Bundle Tag Info'!A$25),"")</f>
        <v/>
      </c>
      <c r="B20" s="19" t="str">
        <f>IF('Bundle Tag Info'!B$25&lt;&gt;"",CONCATENATE('Bundle Tag Info'!$A$1," ",CHAR(10),'Bundle Tag Info'!$A$2," ",'Bundle Tag Info'!$A$3,CHAR(10),'Bundle Tag Info'!B$6,CHAR(10),'Bundle Tag Info'!B$25),"")</f>
        <v/>
      </c>
      <c r="C20" s="19" t="str">
        <f>IF('Bundle Tag Info'!C$25&lt;&gt;"",CONCATENATE('Bundle Tag Info'!$A$1," ",CHAR(10),'Bundle Tag Info'!$A$2," ",'Bundle Tag Info'!$A$3,CHAR(10),'Bundle Tag Info'!C$6,CHAR(10),'Bundle Tag Info'!C$25),"")</f>
        <v/>
      </c>
      <c r="D20" s="19" t="str">
        <f>IF('Bundle Tag Info'!D$25&lt;&gt;"",CONCATENATE('Bundle Tag Info'!$A$1," ",CHAR(10),'Bundle Tag Info'!$A$2," ",'Bundle Tag Info'!$A$3,CHAR(10),'Bundle Tag Info'!D$6,CHAR(10),'Bundle Tag Info'!D$25),"")</f>
        <v/>
      </c>
      <c r="E20" s="19" t="str">
        <f>IF('Bundle Tag Info'!E$25&lt;&gt;"",CONCATENATE('Bundle Tag Info'!$A$1," ",CHAR(10),'Bundle Tag Info'!$A$2," ",'Bundle Tag Info'!$A$3,CHAR(10),'Bundle Tag Info'!E$6,CHAR(10),'Bundle Tag Info'!E$25),"")</f>
        <v/>
      </c>
      <c r="F20" s="19" t="str">
        <f>IF('Bundle Tag Info'!F$25&lt;&gt;"",CONCATENATE('Bundle Tag Info'!$A$1," ",CHAR(10),'Bundle Tag Info'!$A$2," ",'Bundle Tag Info'!$A$3,CHAR(10),'Bundle Tag Info'!F$6,CHAR(10),'Bundle Tag Info'!F$25),"")</f>
        <v/>
      </c>
      <c r="G20" s="19" t="str">
        <f>IF('Bundle Tag Info'!G$25&lt;&gt;"",CONCATENATE('Bundle Tag Info'!$A$1," ",CHAR(10),'Bundle Tag Info'!$A$2," ",'Bundle Tag Info'!$A$3,CHAR(10),'Bundle Tag Info'!G$6,CHAR(10),'Bundle Tag Info'!G$25),"")</f>
        <v/>
      </c>
      <c r="H20" s="19" t="str">
        <f>IF('Bundle Tag Info'!H$25&lt;&gt;"",CONCATENATE('Bundle Tag Info'!$A$1," ",CHAR(10),'Bundle Tag Info'!$A$2," ",'Bundle Tag Info'!$A$3,CHAR(10),'Bundle Tag Info'!H$6,CHAR(10),'Bundle Tag Info'!H$25),"")</f>
        <v/>
      </c>
      <c r="I20" s="19" t="str">
        <f>IF('Bundle Tag Info'!I$25&lt;&gt;"",CONCATENATE('Bundle Tag Info'!$A$1," ",CHAR(10),'Bundle Tag Info'!$A$2," ",'Bundle Tag Info'!$A$3,CHAR(10),'Bundle Tag Info'!I$6,CHAR(10),'Bundle Tag Info'!I$25),"")</f>
        <v/>
      </c>
      <c r="J20" s="19" t="str">
        <f>IF('Bundle Tag Info'!J$25&lt;&gt;"",CONCATENATE('Bundle Tag Info'!$A$1," ",CHAR(10),'Bundle Tag Info'!$A$2," ",'Bundle Tag Info'!$A$3,CHAR(10),'Bundle Tag Info'!J$6,CHAR(10),'Bundle Tag Info'!J$25),"")</f>
        <v/>
      </c>
      <c r="K20" s="19" t="str">
        <f>IF('Bundle Tag Info'!K$25&lt;&gt;"",CONCATENATE('Bundle Tag Info'!$A$1," ",CHAR(10),'Bundle Tag Info'!$A$2," ",'Bundle Tag Info'!$A$3,CHAR(10),'Bundle Tag Info'!K$6,CHAR(10),'Bundle Tag Info'!K$25),"")</f>
        <v/>
      </c>
      <c r="L20" s="19" t="str">
        <f>IF('Bundle Tag Info'!L$25&lt;&gt;"",CONCATENATE('Bundle Tag Info'!$A$1," ",CHAR(10),'Bundle Tag Info'!$A$2," ",'Bundle Tag Info'!$A$3,CHAR(10),'Bundle Tag Info'!L$6,CHAR(10),'Bundle Tag Info'!L$25),"")</f>
        <v/>
      </c>
      <c r="M20" s="19" t="str">
        <f>IF('Bundle Tag Info'!M$25&lt;&gt;"",CONCATENATE('Bundle Tag Info'!$A$1," ",CHAR(10),'Bundle Tag Info'!$A$2," ",'Bundle Tag Info'!$A$3,CHAR(10),'Bundle Tag Info'!M$6,CHAR(10),'Bundle Tag Info'!M$25),"")</f>
        <v/>
      </c>
      <c r="N20" s="19" t="str">
        <f>IF('Bundle Tag Info'!N$25&lt;&gt;"",CONCATENATE('Bundle Tag Info'!$A$1," ",CHAR(10),'Bundle Tag Info'!$A$2," ",'Bundle Tag Info'!$A$3,CHAR(10),'Bundle Tag Info'!N$6,CHAR(10),'Bundle Tag Info'!N$25),"")</f>
        <v/>
      </c>
      <c r="O20" s="19" t="str">
        <f>IF('Bundle Tag Info'!O$25&lt;&gt;"",CONCATENATE('Bundle Tag Info'!$A$1," ",CHAR(10),'Bundle Tag Info'!$A$2," ",'Bundle Tag Info'!$A$3,CHAR(10),'Bundle Tag Info'!O$6,CHAR(10),'Bundle Tag Info'!O$25),"")</f>
        <v/>
      </c>
      <c r="P20" s="19" t="str">
        <f>IF('Bundle Tag Info'!P$25&lt;&gt;"",CONCATENATE('Bundle Tag Info'!$A$1," ",CHAR(10),'Bundle Tag Info'!$A$2," ",'Bundle Tag Info'!$A$3,CHAR(10),'Bundle Tag Info'!P$6,CHAR(10),'Bundle Tag Info'!P$25),"")</f>
        <v/>
      </c>
      <c r="Q20" s="19" t="str">
        <f>IF('Bundle Tag Info'!Q$25&lt;&gt;"",CONCATENATE('Bundle Tag Info'!$A$1," ",CHAR(10),'Bundle Tag Info'!$A$2," ",'Bundle Tag Info'!$A$3,CHAR(10),'Bundle Tag Info'!Q$6,CHAR(10),'Bundle Tag Info'!Q$25),"")</f>
        <v/>
      </c>
      <c r="R20" s="19" t="str">
        <f>IF('Bundle Tag Info'!R$25&lt;&gt;"",CONCATENATE('Bundle Tag Info'!$A$1," ",CHAR(10),'Bundle Tag Info'!$A$2," ",'Bundle Tag Info'!$A$3,CHAR(10),'Bundle Tag Info'!R$6,CHAR(10),'Bundle Tag Info'!R$25),"")</f>
        <v/>
      </c>
      <c r="S20" s="19" t="str">
        <f>IF('Bundle Tag Info'!S$25&lt;&gt;"",CONCATENATE('Bundle Tag Info'!$A$1," ",CHAR(10),'Bundle Tag Info'!$A$2," ",'Bundle Tag Info'!$A$3,CHAR(10),'Bundle Tag Info'!S$6,CHAR(10),'Bundle Tag Info'!S$25),"")</f>
        <v/>
      </c>
      <c r="T20" s="19" t="str">
        <f>IF('Bundle Tag Info'!T$25&lt;&gt;"",CONCATENATE('Bundle Tag Info'!$A$1," ",CHAR(10),'Bundle Tag Info'!$A$2," ",'Bundle Tag Info'!$A$3,CHAR(10),'Bundle Tag Info'!T$6,CHAR(10),'Bundle Tag Info'!T$25),"")</f>
        <v/>
      </c>
      <c r="U20" s="19" t="str">
        <f>IF('Bundle Tag Info'!U$25&lt;&gt;"",CONCATENATE('Bundle Tag Info'!$A$1," ",CHAR(10),'Bundle Tag Info'!$A$2," ",'Bundle Tag Info'!$A$3,CHAR(10),'Bundle Tag Info'!U$6,CHAR(10),'Bundle Tag Info'!U$25),"")</f>
        <v/>
      </c>
      <c r="V20" s="19" t="str">
        <f>IF('Bundle Tag Info'!V$25&lt;&gt;"",CONCATENATE('Bundle Tag Info'!$A$1," ",CHAR(10),'Bundle Tag Info'!$A$2," ",'Bundle Tag Info'!$A$3,CHAR(10),'Bundle Tag Info'!V$6,CHAR(10),'Bundle Tag Info'!V$25),"")</f>
        <v/>
      </c>
      <c r="W20" s="19" t="str">
        <f>IF('Bundle Tag Info'!W$25&lt;&gt;"",CONCATENATE('Bundle Tag Info'!$A$1," ",CHAR(10),'Bundle Tag Info'!$A$2," ",'Bundle Tag Info'!$A$3,CHAR(10),'Bundle Tag Info'!W$6,CHAR(10),'Bundle Tag Info'!W$25),"")</f>
        <v/>
      </c>
      <c r="X20" s="19" t="str">
        <f>IF('Bundle Tag Info'!X$25&lt;&gt;"",CONCATENATE('Bundle Tag Info'!$A$1," ",CHAR(10),'Bundle Tag Info'!$A$2," ",'Bundle Tag Info'!$A$3,CHAR(10),'Bundle Tag Info'!X$6,CHAR(10),'Bundle Tag Info'!X$25),"")</f>
        <v/>
      </c>
      <c r="Y20" s="19" t="str">
        <f>IF('Bundle Tag Info'!Y$25&lt;&gt;"",CONCATENATE('Bundle Tag Info'!$A$1," ",CHAR(10),'Bundle Tag Info'!$A$2," ",'Bundle Tag Info'!$A$3,CHAR(10),'Bundle Tag Info'!Y$6,CHAR(10),'Bundle Tag Info'!Y$25),"")</f>
        <v/>
      </c>
      <c r="Z20" s="19" t="str">
        <f>IF('Bundle Tag Info'!Z$25&lt;&gt;"",CONCATENATE('Bundle Tag Info'!$A$1," ",CHAR(10),'Bundle Tag Info'!$A$2," ",'Bundle Tag Info'!$A$3,CHAR(10),'Bundle Tag Info'!Z$6,CHAR(10),'Bundle Tag Info'!Z$25),"")</f>
        <v/>
      </c>
      <c r="AA20" s="19" t="str">
        <f>IF('Bundle Tag Info'!AA$25&lt;&gt;"",CONCATENATE('Bundle Tag Info'!$A$1," ",CHAR(10),'Bundle Tag Info'!$A$2," ",'Bundle Tag Info'!$A$3,CHAR(10),'Bundle Tag Info'!AA$6,CHAR(10),'Bundle Tag Info'!AA$25),"")</f>
        <v/>
      </c>
      <c r="AB20" s="19" t="str">
        <f>IF('Bundle Tag Info'!AB$25&lt;&gt;"",CONCATENATE('Bundle Tag Info'!$A$1," ",CHAR(10),'Bundle Tag Info'!$A$2," ",'Bundle Tag Info'!$A$3,CHAR(10),'Bundle Tag Info'!AB$6,CHAR(10),'Bundle Tag Info'!AB$25),"")</f>
        <v/>
      </c>
      <c r="AC20" s="19" t="str">
        <f>IF('Bundle Tag Info'!AC$25&lt;&gt;"",CONCATENATE('Bundle Tag Info'!$A$1," ",CHAR(10),'Bundle Tag Info'!$A$2," ",'Bundle Tag Info'!$A$3,CHAR(10),'Bundle Tag Info'!AC$6,CHAR(10),'Bundle Tag Info'!AC$25),"")</f>
        <v/>
      </c>
      <c r="AD20" s="1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19" t="str">
        <f>IF('Bundle Tag Info'!A$26&lt;&gt;"",CONCATENATE('Bundle Tag Info'!$A$1," ",CHAR(10),'Bundle Tag Info'!$A$2," ",'Bundle Tag Info'!$A$3,CHAR(10),'Bundle Tag Info'!A$6,CHAR(10),'Bundle Tag Info'!A$26),"")</f>
        <v/>
      </c>
      <c r="B21" s="19" t="str">
        <f>IF('Bundle Tag Info'!B$26&lt;&gt;"",CONCATENATE('Bundle Tag Info'!$A$1," ",CHAR(10),'Bundle Tag Info'!$A$2," ",'Bundle Tag Info'!$A$3,CHAR(10),'Bundle Tag Info'!B$6,CHAR(10),'Bundle Tag Info'!B$26),"")</f>
        <v/>
      </c>
      <c r="C21" s="19" t="str">
        <f>IF('Bundle Tag Info'!C$26&lt;&gt;"",CONCATENATE('Bundle Tag Info'!$A$1," ",CHAR(10),'Bundle Tag Info'!$A$2," ",'Bundle Tag Info'!$A$3,CHAR(10),'Bundle Tag Info'!C$6,CHAR(10),'Bundle Tag Info'!C$26),"")</f>
        <v/>
      </c>
      <c r="D21" s="19" t="str">
        <f>IF('Bundle Tag Info'!D$26&lt;&gt;"",CONCATENATE('Bundle Tag Info'!$A$1," ",CHAR(10),'Bundle Tag Info'!$A$2," ",'Bundle Tag Info'!$A$3,CHAR(10),'Bundle Tag Info'!D$6,CHAR(10),'Bundle Tag Info'!D$26),"")</f>
        <v/>
      </c>
      <c r="E21" s="19" t="str">
        <f>IF('Bundle Tag Info'!E$26&lt;&gt;"",CONCATENATE('Bundle Tag Info'!$A$1," ",CHAR(10),'Bundle Tag Info'!$A$2," ",'Bundle Tag Info'!$A$3,CHAR(10),'Bundle Tag Info'!E$6,CHAR(10),'Bundle Tag Info'!E$26),"")</f>
        <v/>
      </c>
      <c r="F21" s="19" t="str">
        <f>IF('Bundle Tag Info'!F$26&lt;&gt;"",CONCATENATE('Bundle Tag Info'!$A$1," ",CHAR(10),'Bundle Tag Info'!$A$2," ",'Bundle Tag Info'!$A$3,CHAR(10),'Bundle Tag Info'!F$6,CHAR(10),'Bundle Tag Info'!F$26),"")</f>
        <v/>
      </c>
      <c r="G21" s="19" t="str">
        <f>IF('Bundle Tag Info'!G$26&lt;&gt;"",CONCATENATE('Bundle Tag Info'!$A$1," ",CHAR(10),'Bundle Tag Info'!$A$2," ",'Bundle Tag Info'!$A$3,CHAR(10),'Bundle Tag Info'!G$6,CHAR(10),'Bundle Tag Info'!G$26),"")</f>
        <v/>
      </c>
      <c r="H21" s="19" t="str">
        <f>IF('Bundle Tag Info'!H$26&lt;&gt;"",CONCATENATE('Bundle Tag Info'!$A$1," ",CHAR(10),'Bundle Tag Info'!$A$2," ",'Bundle Tag Info'!$A$3,CHAR(10),'Bundle Tag Info'!H$6,CHAR(10),'Bundle Tag Info'!H$26),"")</f>
        <v/>
      </c>
      <c r="I21" s="19" t="str">
        <f>IF('Bundle Tag Info'!I$26&lt;&gt;"",CONCATENATE('Bundle Tag Info'!$A$1," ",CHAR(10),'Bundle Tag Info'!$A$2," ",'Bundle Tag Info'!$A$3,CHAR(10),'Bundle Tag Info'!I$6,CHAR(10),'Bundle Tag Info'!I$26),"")</f>
        <v/>
      </c>
      <c r="J21" s="19" t="str">
        <f>IF('Bundle Tag Info'!J$26&lt;&gt;"",CONCATENATE('Bundle Tag Info'!$A$1," ",CHAR(10),'Bundle Tag Info'!$A$2," ",'Bundle Tag Info'!$A$3,CHAR(10),'Bundle Tag Info'!J$6,CHAR(10),'Bundle Tag Info'!J$26),"")</f>
        <v/>
      </c>
      <c r="K21" s="19" t="str">
        <f>IF('Bundle Tag Info'!K$26&lt;&gt;"",CONCATENATE('Bundle Tag Info'!$A$1," ",CHAR(10),'Bundle Tag Info'!$A$2," ",'Bundle Tag Info'!$A$3,CHAR(10),'Bundle Tag Info'!K$6,CHAR(10),'Bundle Tag Info'!K$26),"")</f>
        <v/>
      </c>
      <c r="L21" s="19" t="str">
        <f>IF('Bundle Tag Info'!L$26&lt;&gt;"",CONCATENATE('Bundle Tag Info'!$A$1," ",CHAR(10),'Bundle Tag Info'!$A$2," ",'Bundle Tag Info'!$A$3,CHAR(10),'Bundle Tag Info'!L$6,CHAR(10),'Bundle Tag Info'!L$26),"")</f>
        <v/>
      </c>
      <c r="M21" s="19" t="str">
        <f>IF('Bundle Tag Info'!M$26&lt;&gt;"",CONCATENATE('Bundle Tag Info'!$A$1," ",CHAR(10),'Bundle Tag Info'!$A$2," ",'Bundle Tag Info'!$A$3,CHAR(10),'Bundle Tag Info'!M$6,CHAR(10),'Bundle Tag Info'!M$26),"")</f>
        <v/>
      </c>
      <c r="N21" s="19" t="str">
        <f>IF('Bundle Tag Info'!N$26&lt;&gt;"",CONCATENATE('Bundle Tag Info'!$A$1," ",CHAR(10),'Bundle Tag Info'!$A$2," ",'Bundle Tag Info'!$A$3,CHAR(10),'Bundle Tag Info'!N$6,CHAR(10),'Bundle Tag Info'!N$26),"")</f>
        <v/>
      </c>
      <c r="O21" s="19" t="str">
        <f>IF('Bundle Tag Info'!O$26&lt;&gt;"",CONCATENATE('Bundle Tag Info'!$A$1," ",CHAR(10),'Bundle Tag Info'!$A$2," ",'Bundle Tag Info'!$A$3,CHAR(10),'Bundle Tag Info'!O$6,CHAR(10),'Bundle Tag Info'!O$26),"")</f>
        <v/>
      </c>
      <c r="P21" s="19" t="str">
        <f>IF('Bundle Tag Info'!P$26&lt;&gt;"",CONCATENATE('Bundle Tag Info'!$A$1," ",CHAR(10),'Bundle Tag Info'!$A$2," ",'Bundle Tag Info'!$A$3,CHAR(10),'Bundle Tag Info'!P$6,CHAR(10),'Bundle Tag Info'!P$26),"")</f>
        <v/>
      </c>
      <c r="Q21" s="19" t="str">
        <f>IF('Bundle Tag Info'!Q$26&lt;&gt;"",CONCATENATE('Bundle Tag Info'!$A$1," ",CHAR(10),'Bundle Tag Info'!$A$2," ",'Bundle Tag Info'!$A$3,CHAR(10),'Bundle Tag Info'!Q$6,CHAR(10),'Bundle Tag Info'!Q$26),"")</f>
        <v/>
      </c>
      <c r="R21" s="19" t="str">
        <f>IF('Bundle Tag Info'!R$26&lt;&gt;"",CONCATENATE('Bundle Tag Info'!$A$1," ",CHAR(10),'Bundle Tag Info'!$A$2," ",'Bundle Tag Info'!$A$3,CHAR(10),'Bundle Tag Info'!R$6,CHAR(10),'Bundle Tag Info'!R$26),"")</f>
        <v/>
      </c>
      <c r="S21" s="19" t="str">
        <f>IF('Bundle Tag Info'!S$26&lt;&gt;"",CONCATENATE('Bundle Tag Info'!$A$1," ",CHAR(10),'Bundle Tag Info'!$A$2," ",'Bundle Tag Info'!$A$3,CHAR(10),'Bundle Tag Info'!S$6,CHAR(10),'Bundle Tag Info'!S$26),"")</f>
        <v/>
      </c>
      <c r="T21" s="19" t="str">
        <f>IF('Bundle Tag Info'!T$26&lt;&gt;"",CONCATENATE('Bundle Tag Info'!$A$1," ",CHAR(10),'Bundle Tag Info'!$A$2," ",'Bundle Tag Info'!$A$3,CHAR(10),'Bundle Tag Info'!T$6,CHAR(10),'Bundle Tag Info'!T$26),"")</f>
        <v/>
      </c>
      <c r="U21" s="19" t="str">
        <f>IF('Bundle Tag Info'!U$26&lt;&gt;"",CONCATENATE('Bundle Tag Info'!$A$1," ",CHAR(10),'Bundle Tag Info'!$A$2," ",'Bundle Tag Info'!$A$3,CHAR(10),'Bundle Tag Info'!U$6,CHAR(10),'Bundle Tag Info'!U$26),"")</f>
        <v/>
      </c>
      <c r="V21" s="19" t="str">
        <f>IF('Bundle Tag Info'!V$26&lt;&gt;"",CONCATENATE('Bundle Tag Info'!$A$1," ",CHAR(10),'Bundle Tag Info'!$A$2," ",'Bundle Tag Info'!$A$3,CHAR(10),'Bundle Tag Info'!V$6,CHAR(10),'Bundle Tag Info'!V$26),"")</f>
        <v/>
      </c>
      <c r="W21" s="19" t="str">
        <f>IF('Bundle Tag Info'!W$26&lt;&gt;"",CONCATENATE('Bundle Tag Info'!$A$1," ",CHAR(10),'Bundle Tag Info'!$A$2," ",'Bundle Tag Info'!$A$3,CHAR(10),'Bundle Tag Info'!W$6,CHAR(10),'Bundle Tag Info'!W$26),"")</f>
        <v/>
      </c>
      <c r="X21" s="19" t="str">
        <f>IF('Bundle Tag Info'!X$26&lt;&gt;"",CONCATENATE('Bundle Tag Info'!$A$1," ",CHAR(10),'Bundle Tag Info'!$A$2," ",'Bundle Tag Info'!$A$3,CHAR(10),'Bundle Tag Info'!X$6,CHAR(10),'Bundle Tag Info'!X$26),"")</f>
        <v/>
      </c>
      <c r="Y21" s="19" t="str">
        <f>IF('Bundle Tag Info'!Y$26&lt;&gt;"",CONCATENATE('Bundle Tag Info'!$A$1," ",CHAR(10),'Bundle Tag Info'!$A$2," ",'Bundle Tag Info'!$A$3,CHAR(10),'Bundle Tag Info'!Y$6,CHAR(10),'Bundle Tag Info'!Y$26),"")</f>
        <v/>
      </c>
      <c r="Z21" s="19" t="str">
        <f>IF('Bundle Tag Info'!Z$26&lt;&gt;"",CONCATENATE('Bundle Tag Info'!$A$1," ",CHAR(10),'Bundle Tag Info'!$A$2," ",'Bundle Tag Info'!$A$3,CHAR(10),'Bundle Tag Info'!Z$6,CHAR(10),'Bundle Tag Info'!Z$26),"")</f>
        <v/>
      </c>
      <c r="AA21" s="19" t="str">
        <f>IF('Bundle Tag Info'!AA$26&lt;&gt;"",CONCATENATE('Bundle Tag Info'!$A$1," ",CHAR(10),'Bundle Tag Info'!$A$2," ",'Bundle Tag Info'!$A$3,CHAR(10),'Bundle Tag Info'!AA$6,CHAR(10),'Bundle Tag Info'!AA$26),"")</f>
        <v/>
      </c>
      <c r="AB21" s="19" t="str">
        <f>IF('Bundle Tag Info'!AB$26&lt;&gt;"",CONCATENATE('Bundle Tag Info'!$A$1," ",CHAR(10),'Bundle Tag Info'!$A$2," ",'Bundle Tag Info'!$A$3,CHAR(10),'Bundle Tag Info'!AB$6,CHAR(10),'Bundle Tag Info'!AB$26),"")</f>
        <v/>
      </c>
      <c r="AC21" s="19" t="str">
        <f>IF('Bundle Tag Info'!AC$26&lt;&gt;"",CONCATENATE('Bundle Tag Info'!$A$1," ",CHAR(10),'Bundle Tag Info'!$A$2," ",'Bundle Tag Info'!$A$3,CHAR(10),'Bundle Tag Info'!AC$6,CHAR(10),'Bundle Tag Info'!AC$26),"")</f>
        <v/>
      </c>
      <c r="AD21" s="1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19" t="str">
        <f>IF('Bundle Tag Info'!A$27&lt;&gt;"",CONCATENATE('Bundle Tag Info'!$A$1," ",CHAR(10),'Bundle Tag Info'!$A$2," ",'Bundle Tag Info'!$A$3,CHAR(10),'Bundle Tag Info'!A$6,CHAR(10),'Bundle Tag Info'!A$27),"")</f>
        <v/>
      </c>
      <c r="B22" s="19" t="str">
        <f>IF('Bundle Tag Info'!B$27&lt;&gt;"",CONCATENATE('Bundle Tag Info'!$A$1," ",CHAR(10),'Bundle Tag Info'!$A$2," ",'Bundle Tag Info'!$A$3,CHAR(10),'Bundle Tag Info'!B$6,CHAR(10),'Bundle Tag Info'!B$27),"")</f>
        <v/>
      </c>
      <c r="C22" s="19" t="str">
        <f>IF('Bundle Tag Info'!C$27&lt;&gt;"",CONCATENATE('Bundle Tag Info'!$A$1," ",CHAR(10),'Bundle Tag Info'!$A$2," ",'Bundle Tag Info'!$A$3,CHAR(10),'Bundle Tag Info'!C$6,CHAR(10),'Bundle Tag Info'!C$27),"")</f>
        <v/>
      </c>
      <c r="D22" s="19" t="str">
        <f>IF('Bundle Tag Info'!D$27&lt;&gt;"",CONCATENATE('Bundle Tag Info'!$A$1," ",CHAR(10),'Bundle Tag Info'!$A$2," ",'Bundle Tag Info'!$A$3,CHAR(10),'Bundle Tag Info'!D$6,CHAR(10),'Bundle Tag Info'!D$27),"")</f>
        <v/>
      </c>
      <c r="E22" s="19" t="str">
        <f>IF('Bundle Tag Info'!E$27&lt;&gt;"",CONCATENATE('Bundle Tag Info'!$A$1," ",CHAR(10),'Bundle Tag Info'!$A$2," ",'Bundle Tag Info'!$A$3,CHAR(10),'Bundle Tag Info'!E$6,CHAR(10),'Bundle Tag Info'!E$27),"")</f>
        <v/>
      </c>
      <c r="F22" s="19" t="str">
        <f>IF('Bundle Tag Info'!F$27&lt;&gt;"",CONCATENATE('Bundle Tag Info'!$A$1," ",CHAR(10),'Bundle Tag Info'!$A$2," ",'Bundle Tag Info'!$A$3,CHAR(10),'Bundle Tag Info'!F$6,CHAR(10),'Bundle Tag Info'!F$27),"")</f>
        <v/>
      </c>
      <c r="G22" s="19" t="str">
        <f>IF('Bundle Tag Info'!G$27&lt;&gt;"",CONCATENATE('Bundle Tag Info'!$A$1," ",CHAR(10),'Bundle Tag Info'!$A$2," ",'Bundle Tag Info'!$A$3,CHAR(10),'Bundle Tag Info'!G$6,CHAR(10),'Bundle Tag Info'!G$27),"")</f>
        <v/>
      </c>
      <c r="H22" s="19" t="str">
        <f>IF('Bundle Tag Info'!H$27&lt;&gt;"",CONCATENATE('Bundle Tag Info'!$A$1," ",CHAR(10),'Bundle Tag Info'!$A$2," ",'Bundle Tag Info'!$A$3,CHAR(10),'Bundle Tag Info'!H$6,CHAR(10),'Bundle Tag Info'!H$27),"")</f>
        <v/>
      </c>
      <c r="I22" s="19" t="str">
        <f>IF('Bundle Tag Info'!I$27&lt;&gt;"",CONCATENATE('Bundle Tag Info'!$A$1," ",CHAR(10),'Bundle Tag Info'!$A$2," ",'Bundle Tag Info'!$A$3,CHAR(10),'Bundle Tag Info'!I$6,CHAR(10),'Bundle Tag Info'!I$27),"")</f>
        <v/>
      </c>
      <c r="J22" s="19" t="str">
        <f>IF('Bundle Tag Info'!J$27&lt;&gt;"",CONCATENATE('Bundle Tag Info'!$A$1," ",CHAR(10),'Bundle Tag Info'!$A$2," ",'Bundle Tag Info'!$A$3,CHAR(10),'Bundle Tag Info'!J$6,CHAR(10),'Bundle Tag Info'!J$27),"")</f>
        <v/>
      </c>
      <c r="K22" s="19" t="str">
        <f>IF('Bundle Tag Info'!K$27&lt;&gt;"",CONCATENATE('Bundle Tag Info'!$A$1," ",CHAR(10),'Bundle Tag Info'!$A$2," ",'Bundle Tag Info'!$A$3,CHAR(10),'Bundle Tag Info'!K$6,CHAR(10),'Bundle Tag Info'!K$27),"")</f>
        <v/>
      </c>
      <c r="L22" s="19" t="str">
        <f>IF('Bundle Tag Info'!L$27&lt;&gt;"",CONCATENATE('Bundle Tag Info'!$A$1," ",CHAR(10),'Bundle Tag Info'!$A$2," ",'Bundle Tag Info'!$A$3,CHAR(10),'Bundle Tag Info'!L$6,CHAR(10),'Bundle Tag Info'!L$27),"")</f>
        <v/>
      </c>
      <c r="M22" s="19" t="str">
        <f>IF('Bundle Tag Info'!M$27&lt;&gt;"",CONCATENATE('Bundle Tag Info'!$A$1," ",CHAR(10),'Bundle Tag Info'!$A$2," ",'Bundle Tag Info'!$A$3,CHAR(10),'Bundle Tag Info'!M$6,CHAR(10),'Bundle Tag Info'!M$27),"")</f>
        <v/>
      </c>
      <c r="N22" s="19" t="str">
        <f>IF('Bundle Tag Info'!N$27&lt;&gt;"",CONCATENATE('Bundle Tag Info'!$A$1," ",CHAR(10),'Bundle Tag Info'!$A$2," ",'Bundle Tag Info'!$A$3,CHAR(10),'Bundle Tag Info'!N$6,CHAR(10),'Bundle Tag Info'!N$27),"")</f>
        <v/>
      </c>
      <c r="O22" s="19" t="str">
        <f>IF('Bundle Tag Info'!O$27&lt;&gt;"",CONCATENATE('Bundle Tag Info'!$A$1," ",CHAR(10),'Bundle Tag Info'!$A$2," ",'Bundle Tag Info'!$A$3,CHAR(10),'Bundle Tag Info'!O$6,CHAR(10),'Bundle Tag Info'!O$27),"")</f>
        <v/>
      </c>
      <c r="P22" s="19" t="str">
        <f>IF('Bundle Tag Info'!P$27&lt;&gt;"",CONCATENATE('Bundle Tag Info'!$A$1," ",CHAR(10),'Bundle Tag Info'!$A$2," ",'Bundle Tag Info'!$A$3,CHAR(10),'Bundle Tag Info'!P$6,CHAR(10),'Bundle Tag Info'!P$27),"")</f>
        <v/>
      </c>
      <c r="Q22" s="19" t="str">
        <f>IF('Bundle Tag Info'!Q$27&lt;&gt;"",CONCATENATE('Bundle Tag Info'!$A$1," ",CHAR(10),'Bundle Tag Info'!$A$2," ",'Bundle Tag Info'!$A$3,CHAR(10),'Bundle Tag Info'!Q$6,CHAR(10),'Bundle Tag Info'!Q$27),"")</f>
        <v/>
      </c>
      <c r="R22" s="19" t="str">
        <f>IF('Bundle Tag Info'!R$27&lt;&gt;"",CONCATENATE('Bundle Tag Info'!$A$1," ",CHAR(10),'Bundle Tag Info'!$A$2," ",'Bundle Tag Info'!$A$3,CHAR(10),'Bundle Tag Info'!R$6,CHAR(10),'Bundle Tag Info'!R$27),"")</f>
        <v/>
      </c>
      <c r="S22" s="19" t="str">
        <f>IF('Bundle Tag Info'!S$27&lt;&gt;"",CONCATENATE('Bundle Tag Info'!$A$1," ",CHAR(10),'Bundle Tag Info'!$A$2," ",'Bundle Tag Info'!$A$3,CHAR(10),'Bundle Tag Info'!S$6,CHAR(10),'Bundle Tag Info'!S$27),"")</f>
        <v/>
      </c>
      <c r="T22" s="19" t="str">
        <f>IF('Bundle Tag Info'!T$27&lt;&gt;"",CONCATENATE('Bundle Tag Info'!$A$1," ",CHAR(10),'Bundle Tag Info'!$A$2," ",'Bundle Tag Info'!$A$3,CHAR(10),'Bundle Tag Info'!T$6,CHAR(10),'Bundle Tag Info'!T$27),"")</f>
        <v/>
      </c>
      <c r="U22" s="19" t="str">
        <f>IF('Bundle Tag Info'!U$27&lt;&gt;"",CONCATENATE('Bundle Tag Info'!$A$1," ",CHAR(10),'Bundle Tag Info'!$A$2," ",'Bundle Tag Info'!$A$3,CHAR(10),'Bundle Tag Info'!U$6,CHAR(10),'Bundle Tag Info'!U$27),"")</f>
        <v/>
      </c>
      <c r="V22" s="19" t="str">
        <f>IF('Bundle Tag Info'!V$27&lt;&gt;"",CONCATENATE('Bundle Tag Info'!$A$1," ",CHAR(10),'Bundle Tag Info'!$A$2," ",'Bundle Tag Info'!$A$3,CHAR(10),'Bundle Tag Info'!V$6,CHAR(10),'Bundle Tag Info'!V$27),"")</f>
        <v/>
      </c>
      <c r="W22" s="19" t="str">
        <f>IF('Bundle Tag Info'!W$27&lt;&gt;"",CONCATENATE('Bundle Tag Info'!$A$1," ",CHAR(10),'Bundle Tag Info'!$A$2," ",'Bundle Tag Info'!$A$3,CHAR(10),'Bundle Tag Info'!W$6,CHAR(10),'Bundle Tag Info'!W$27),"")</f>
        <v/>
      </c>
      <c r="X22" s="19" t="str">
        <f>IF('Bundle Tag Info'!X$27&lt;&gt;"",CONCATENATE('Bundle Tag Info'!$A$1," ",CHAR(10),'Bundle Tag Info'!$A$2," ",'Bundle Tag Info'!$A$3,CHAR(10),'Bundle Tag Info'!X$6,CHAR(10),'Bundle Tag Info'!X$27),"")</f>
        <v/>
      </c>
      <c r="Y22" s="19" t="str">
        <f>IF('Bundle Tag Info'!Y$27&lt;&gt;"",CONCATENATE('Bundle Tag Info'!$A$1," ",CHAR(10),'Bundle Tag Info'!$A$2," ",'Bundle Tag Info'!$A$3,CHAR(10),'Bundle Tag Info'!Y$6,CHAR(10),'Bundle Tag Info'!Y$27),"")</f>
        <v/>
      </c>
      <c r="Z22" s="19" t="str">
        <f>IF('Bundle Tag Info'!Z$27&lt;&gt;"",CONCATENATE('Bundle Tag Info'!$A$1," ",CHAR(10),'Bundle Tag Info'!$A$2," ",'Bundle Tag Info'!$A$3,CHAR(10),'Bundle Tag Info'!Z$6,CHAR(10),'Bundle Tag Info'!Z$27),"")</f>
        <v/>
      </c>
      <c r="AA22" s="19" t="str">
        <f>IF('Bundle Tag Info'!AA$27&lt;&gt;"",CONCATENATE('Bundle Tag Info'!$A$1," ",CHAR(10),'Bundle Tag Info'!$A$2," ",'Bundle Tag Info'!$A$3,CHAR(10),'Bundle Tag Info'!AA$6,CHAR(10),'Bundle Tag Info'!AA$27),"")</f>
        <v/>
      </c>
      <c r="AB22" s="19" t="str">
        <f>IF('Bundle Tag Info'!AB$27&lt;&gt;"",CONCATENATE('Bundle Tag Info'!$A$1," ",CHAR(10),'Bundle Tag Info'!$A$2," ",'Bundle Tag Info'!$A$3,CHAR(10),'Bundle Tag Info'!AB$6,CHAR(10),'Bundle Tag Info'!AB$27),"")</f>
        <v/>
      </c>
      <c r="AC22" s="19" t="str">
        <f>IF('Bundle Tag Info'!AC$27&lt;&gt;"",CONCATENATE('Bundle Tag Info'!$A$1," ",CHAR(10),'Bundle Tag Info'!$A$2," ",'Bundle Tag Info'!$A$3,CHAR(10),'Bundle Tag Info'!AC$6,CHAR(10),'Bundle Tag Info'!AC$27),"")</f>
        <v/>
      </c>
      <c r="AD22" s="1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19" t="str">
        <f>IF('Bundle Tag Info'!A$28&lt;&gt;"",CONCATENATE('Bundle Tag Info'!$A$1," ",CHAR(10),'Bundle Tag Info'!$A$2," ",'Bundle Tag Info'!$A$3,CHAR(10),'Bundle Tag Info'!A$6,CHAR(10),'Bundle Tag Info'!A$28),"")</f>
        <v/>
      </c>
      <c r="B23" s="19" t="str">
        <f>IF('Bundle Tag Info'!B$28&lt;&gt;"",CONCATENATE('Bundle Tag Info'!$A$1," ",CHAR(10),'Bundle Tag Info'!$A$2," ",'Bundle Tag Info'!$A$3,CHAR(10),'Bundle Tag Info'!B$6,CHAR(10),'Bundle Tag Info'!B$28),"")</f>
        <v/>
      </c>
      <c r="C23" s="19" t="str">
        <f>IF('Bundle Tag Info'!C$28&lt;&gt;"",CONCATENATE('Bundle Tag Info'!$A$1," ",CHAR(10),'Bundle Tag Info'!$A$2," ",'Bundle Tag Info'!$A$3,CHAR(10),'Bundle Tag Info'!C$6,CHAR(10),'Bundle Tag Info'!C$28),"")</f>
        <v/>
      </c>
      <c r="D23" s="19" t="str">
        <f>IF('Bundle Tag Info'!D$28&lt;&gt;"",CONCATENATE('Bundle Tag Info'!$A$1," ",CHAR(10),'Bundle Tag Info'!$A$2," ",'Bundle Tag Info'!$A$3,CHAR(10),'Bundle Tag Info'!D$6,CHAR(10),'Bundle Tag Info'!D$28),"")</f>
        <v/>
      </c>
      <c r="E23" s="19" t="str">
        <f>IF('Bundle Tag Info'!E$28&lt;&gt;"",CONCATENATE('Bundle Tag Info'!$A$1," ",CHAR(10),'Bundle Tag Info'!$A$2," ",'Bundle Tag Info'!$A$3,CHAR(10),'Bundle Tag Info'!E$6,CHAR(10),'Bundle Tag Info'!E$28),"")</f>
        <v/>
      </c>
      <c r="F23" s="19" t="str">
        <f>IF('Bundle Tag Info'!F$28&lt;&gt;"",CONCATENATE('Bundle Tag Info'!$A$1," ",CHAR(10),'Bundle Tag Info'!$A$2," ",'Bundle Tag Info'!$A$3,CHAR(10),'Bundle Tag Info'!F$6,CHAR(10),'Bundle Tag Info'!F$28),"")</f>
        <v/>
      </c>
      <c r="G23" s="19" t="str">
        <f>IF('Bundle Tag Info'!G$28&lt;&gt;"",CONCATENATE('Bundle Tag Info'!$A$1," ",CHAR(10),'Bundle Tag Info'!$A$2," ",'Bundle Tag Info'!$A$3,CHAR(10),'Bundle Tag Info'!G$6,CHAR(10),'Bundle Tag Info'!G$28),"")</f>
        <v/>
      </c>
      <c r="H23" s="19" t="str">
        <f>IF('Bundle Tag Info'!H$28&lt;&gt;"",CONCATENATE('Bundle Tag Info'!$A$1," ",CHAR(10),'Bundle Tag Info'!$A$2," ",'Bundle Tag Info'!$A$3,CHAR(10),'Bundle Tag Info'!H$6,CHAR(10),'Bundle Tag Info'!H$28),"")</f>
        <v/>
      </c>
      <c r="I23" s="19" t="str">
        <f>IF('Bundle Tag Info'!I$28&lt;&gt;"",CONCATENATE('Bundle Tag Info'!$A$1," ",CHAR(10),'Bundle Tag Info'!$A$2," ",'Bundle Tag Info'!$A$3,CHAR(10),'Bundle Tag Info'!I$6,CHAR(10),'Bundle Tag Info'!I$28),"")</f>
        <v/>
      </c>
      <c r="J23" s="19" t="str">
        <f>IF('Bundle Tag Info'!J$28&lt;&gt;"",CONCATENATE('Bundle Tag Info'!$A$1," ",CHAR(10),'Bundle Tag Info'!$A$2," ",'Bundle Tag Info'!$A$3,CHAR(10),'Bundle Tag Info'!J$6,CHAR(10),'Bundle Tag Info'!J$28),"")</f>
        <v/>
      </c>
      <c r="K23" s="19" t="str">
        <f>IF('Bundle Tag Info'!K$28&lt;&gt;"",CONCATENATE('Bundle Tag Info'!$A$1," ",CHAR(10),'Bundle Tag Info'!$A$2," ",'Bundle Tag Info'!$A$3,CHAR(10),'Bundle Tag Info'!K$6,CHAR(10),'Bundle Tag Info'!K$28),"")</f>
        <v/>
      </c>
      <c r="L23" s="19" t="str">
        <f>IF('Bundle Tag Info'!L$28&lt;&gt;"",CONCATENATE('Bundle Tag Info'!$A$1," ",CHAR(10),'Bundle Tag Info'!$A$2," ",'Bundle Tag Info'!$A$3,CHAR(10),'Bundle Tag Info'!L$6,CHAR(10),'Bundle Tag Info'!L$28),"")</f>
        <v/>
      </c>
      <c r="M23" s="19" t="str">
        <f>IF('Bundle Tag Info'!M$28&lt;&gt;"",CONCATENATE('Bundle Tag Info'!$A$1," ",CHAR(10),'Bundle Tag Info'!$A$2," ",'Bundle Tag Info'!$A$3,CHAR(10),'Bundle Tag Info'!M$6,CHAR(10),'Bundle Tag Info'!M$28),"")</f>
        <v/>
      </c>
      <c r="N23" s="19" t="str">
        <f>IF('Bundle Tag Info'!N$28&lt;&gt;"",CONCATENATE('Bundle Tag Info'!$A$1," ",CHAR(10),'Bundle Tag Info'!$A$2," ",'Bundle Tag Info'!$A$3,CHAR(10),'Bundle Tag Info'!N$6,CHAR(10),'Bundle Tag Info'!N$28),"")</f>
        <v/>
      </c>
      <c r="O23" s="19" t="str">
        <f>IF('Bundle Tag Info'!O$28&lt;&gt;"",CONCATENATE('Bundle Tag Info'!$A$1," ",CHAR(10),'Bundle Tag Info'!$A$2," ",'Bundle Tag Info'!$A$3,CHAR(10),'Bundle Tag Info'!O$6,CHAR(10),'Bundle Tag Info'!O$28),"")</f>
        <v/>
      </c>
      <c r="P23" s="19" t="str">
        <f>IF('Bundle Tag Info'!P$28&lt;&gt;"",CONCATENATE('Bundle Tag Info'!$A$1," ",CHAR(10),'Bundle Tag Info'!$A$2," ",'Bundle Tag Info'!$A$3,CHAR(10),'Bundle Tag Info'!P$6,CHAR(10),'Bundle Tag Info'!P$28),"")</f>
        <v/>
      </c>
      <c r="Q23" s="19" t="str">
        <f>IF('Bundle Tag Info'!Q$28&lt;&gt;"",CONCATENATE('Bundle Tag Info'!$A$1," ",CHAR(10),'Bundle Tag Info'!$A$2," ",'Bundle Tag Info'!$A$3,CHAR(10),'Bundle Tag Info'!Q$6,CHAR(10),'Bundle Tag Info'!Q$28),"")</f>
        <v/>
      </c>
      <c r="R23" s="19" t="str">
        <f>IF('Bundle Tag Info'!R$28&lt;&gt;"",CONCATENATE('Bundle Tag Info'!$A$1," ",CHAR(10),'Bundle Tag Info'!$A$2," ",'Bundle Tag Info'!$A$3,CHAR(10),'Bundle Tag Info'!R$6,CHAR(10),'Bundle Tag Info'!R$28),"")</f>
        <v/>
      </c>
      <c r="S23" s="19" t="str">
        <f>IF('Bundle Tag Info'!S$28&lt;&gt;"",CONCATENATE('Bundle Tag Info'!$A$1," ",CHAR(10),'Bundle Tag Info'!$A$2," ",'Bundle Tag Info'!$A$3,CHAR(10),'Bundle Tag Info'!S$6,CHAR(10),'Bundle Tag Info'!S$28),"")</f>
        <v/>
      </c>
      <c r="T23" s="19" t="str">
        <f>IF('Bundle Tag Info'!T$28&lt;&gt;"",CONCATENATE('Bundle Tag Info'!$A$1," ",CHAR(10),'Bundle Tag Info'!$A$2," ",'Bundle Tag Info'!$A$3,CHAR(10),'Bundle Tag Info'!T$6,CHAR(10),'Bundle Tag Info'!T$28),"")</f>
        <v/>
      </c>
      <c r="U23" s="19" t="str">
        <f>IF('Bundle Tag Info'!U$28&lt;&gt;"",CONCATENATE('Bundle Tag Info'!$A$1," ",CHAR(10),'Bundle Tag Info'!$A$2," ",'Bundle Tag Info'!$A$3,CHAR(10),'Bundle Tag Info'!U$6,CHAR(10),'Bundle Tag Info'!U$28),"")</f>
        <v/>
      </c>
      <c r="V23" s="19" t="str">
        <f>IF('Bundle Tag Info'!V$28&lt;&gt;"",CONCATENATE('Bundle Tag Info'!$A$1," ",CHAR(10),'Bundle Tag Info'!$A$2," ",'Bundle Tag Info'!$A$3,CHAR(10),'Bundle Tag Info'!V$6,CHAR(10),'Bundle Tag Info'!V$28),"")</f>
        <v/>
      </c>
      <c r="W23" s="19" t="str">
        <f>IF('Bundle Tag Info'!W$28&lt;&gt;"",CONCATENATE('Bundle Tag Info'!$A$1," ",CHAR(10),'Bundle Tag Info'!$A$2," ",'Bundle Tag Info'!$A$3,CHAR(10),'Bundle Tag Info'!W$6,CHAR(10),'Bundle Tag Info'!W$28),"")</f>
        <v/>
      </c>
      <c r="X23" s="19" t="str">
        <f>IF('Bundle Tag Info'!X$28&lt;&gt;"",CONCATENATE('Bundle Tag Info'!$A$1," ",CHAR(10),'Bundle Tag Info'!$A$2," ",'Bundle Tag Info'!$A$3,CHAR(10),'Bundle Tag Info'!X$6,CHAR(10),'Bundle Tag Info'!X$28),"")</f>
        <v/>
      </c>
      <c r="Y23" s="19" t="str">
        <f>IF('Bundle Tag Info'!Y$28&lt;&gt;"",CONCATENATE('Bundle Tag Info'!$A$1," ",CHAR(10),'Bundle Tag Info'!$A$2," ",'Bundle Tag Info'!$A$3,CHAR(10),'Bundle Tag Info'!Y$6,CHAR(10),'Bundle Tag Info'!Y$28),"")</f>
        <v/>
      </c>
      <c r="Z23" s="19" t="str">
        <f>IF('Bundle Tag Info'!Z$28&lt;&gt;"",CONCATENATE('Bundle Tag Info'!$A$1," ",CHAR(10),'Bundle Tag Info'!$A$2," ",'Bundle Tag Info'!$A$3,CHAR(10),'Bundle Tag Info'!Z$6,CHAR(10),'Bundle Tag Info'!Z$28),"")</f>
        <v/>
      </c>
      <c r="AA23" s="19" t="str">
        <f>IF('Bundle Tag Info'!AA$28&lt;&gt;"",CONCATENATE('Bundle Tag Info'!$A$1," ",CHAR(10),'Bundle Tag Info'!$A$2," ",'Bundle Tag Info'!$A$3,CHAR(10),'Bundle Tag Info'!AA$6,CHAR(10),'Bundle Tag Info'!AA$28),"")</f>
        <v/>
      </c>
      <c r="AB23" s="19" t="str">
        <f>IF('Bundle Tag Info'!AB$28&lt;&gt;"",CONCATENATE('Bundle Tag Info'!$A$1," ",CHAR(10),'Bundle Tag Info'!$A$2," ",'Bundle Tag Info'!$A$3,CHAR(10),'Bundle Tag Info'!AB$6,CHAR(10),'Bundle Tag Info'!AB$28),"")</f>
        <v/>
      </c>
      <c r="AC23" s="19" t="str">
        <f>IF('Bundle Tag Info'!AC$28&lt;&gt;"",CONCATENATE('Bundle Tag Info'!$A$1," ",CHAR(10),'Bundle Tag Info'!$A$2," ",'Bundle Tag Info'!$A$3,CHAR(10),'Bundle Tag Info'!AC$6,CHAR(10),'Bundle Tag Info'!AC$28),"")</f>
        <v/>
      </c>
      <c r="AD23" s="1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19" t="str">
        <f>IF('Bundle Tag Info'!A$29&lt;&gt;"",CONCATENATE('Bundle Tag Info'!$A$1," ",CHAR(10),'Bundle Tag Info'!$A$2," ",'Bundle Tag Info'!$A$3,CHAR(10),'Bundle Tag Info'!A$6,CHAR(10),'Bundle Tag Info'!A$29),"")</f>
        <v/>
      </c>
      <c r="B24" s="19" t="str">
        <f>IF('Bundle Tag Info'!B$29&lt;&gt;"",CONCATENATE('Bundle Tag Info'!$A$1," ",CHAR(10),'Bundle Tag Info'!$A$2," ",'Bundle Tag Info'!$A$3,CHAR(10),'Bundle Tag Info'!B$6,CHAR(10),'Bundle Tag Info'!B$29),"")</f>
        <v/>
      </c>
      <c r="C24" s="19" t="str">
        <f>IF('Bundle Tag Info'!C$29&lt;&gt;"",CONCATENATE('Bundle Tag Info'!$A$1," ",CHAR(10),'Bundle Tag Info'!$A$2," ",'Bundle Tag Info'!$A$3,CHAR(10),'Bundle Tag Info'!C$6,CHAR(10),'Bundle Tag Info'!C$29),"")</f>
        <v/>
      </c>
      <c r="D24" s="19" t="str">
        <f>IF('Bundle Tag Info'!D$29&lt;&gt;"",CONCATENATE('Bundle Tag Info'!$A$1," ",CHAR(10),'Bundle Tag Info'!$A$2," ",'Bundle Tag Info'!$A$3,CHAR(10),'Bundle Tag Info'!D$6,CHAR(10),'Bundle Tag Info'!D$29),"")</f>
        <v/>
      </c>
      <c r="E24" s="19" t="str">
        <f>IF('Bundle Tag Info'!E$29&lt;&gt;"",CONCATENATE('Bundle Tag Info'!$A$1," ",CHAR(10),'Bundle Tag Info'!$A$2," ",'Bundle Tag Info'!$A$3,CHAR(10),'Bundle Tag Info'!E$6,CHAR(10),'Bundle Tag Info'!E$29),"")</f>
        <v/>
      </c>
      <c r="F24" s="19" t="str">
        <f>IF('Bundle Tag Info'!F$29&lt;&gt;"",CONCATENATE('Bundle Tag Info'!$A$1," ",CHAR(10),'Bundle Tag Info'!$A$2," ",'Bundle Tag Info'!$A$3,CHAR(10),'Bundle Tag Info'!F$6,CHAR(10),'Bundle Tag Info'!F$29),"")</f>
        <v/>
      </c>
      <c r="G24" s="19" t="str">
        <f>IF('Bundle Tag Info'!G$29&lt;&gt;"",CONCATENATE('Bundle Tag Info'!$A$1," ",CHAR(10),'Bundle Tag Info'!$A$2," ",'Bundle Tag Info'!$A$3,CHAR(10),'Bundle Tag Info'!G$6,CHAR(10),'Bundle Tag Info'!G$29),"")</f>
        <v/>
      </c>
      <c r="H24" s="19" t="str">
        <f>IF('Bundle Tag Info'!H$29&lt;&gt;"",CONCATENATE('Bundle Tag Info'!$A$1," ",CHAR(10),'Bundle Tag Info'!$A$2," ",'Bundle Tag Info'!$A$3,CHAR(10),'Bundle Tag Info'!H$6,CHAR(10),'Bundle Tag Info'!H$29),"")</f>
        <v/>
      </c>
      <c r="I24" s="19" t="str">
        <f>IF('Bundle Tag Info'!I$29&lt;&gt;"",CONCATENATE('Bundle Tag Info'!$A$1," ",CHAR(10),'Bundle Tag Info'!$A$2," ",'Bundle Tag Info'!$A$3,CHAR(10),'Bundle Tag Info'!I$6,CHAR(10),'Bundle Tag Info'!I$29),"")</f>
        <v/>
      </c>
      <c r="J24" s="19" t="str">
        <f>IF('Bundle Tag Info'!J$29&lt;&gt;"",CONCATENATE('Bundle Tag Info'!$A$1," ",CHAR(10),'Bundle Tag Info'!$A$2," ",'Bundle Tag Info'!$A$3,CHAR(10),'Bundle Tag Info'!J$6,CHAR(10),'Bundle Tag Info'!J$29),"")</f>
        <v/>
      </c>
      <c r="K24" s="19" t="str">
        <f>IF('Bundle Tag Info'!K$29&lt;&gt;"",CONCATENATE('Bundle Tag Info'!$A$1," ",CHAR(10),'Bundle Tag Info'!$A$2," ",'Bundle Tag Info'!$A$3,CHAR(10),'Bundle Tag Info'!K$6,CHAR(10),'Bundle Tag Info'!K$29),"")</f>
        <v/>
      </c>
      <c r="L24" s="19" t="str">
        <f>IF('Bundle Tag Info'!L$29&lt;&gt;"",CONCATENATE('Bundle Tag Info'!$A$1," ",CHAR(10),'Bundle Tag Info'!$A$2," ",'Bundle Tag Info'!$A$3,CHAR(10),'Bundle Tag Info'!L$6,CHAR(10),'Bundle Tag Info'!L$29),"")</f>
        <v/>
      </c>
      <c r="M24" s="19" t="str">
        <f>IF('Bundle Tag Info'!M$29&lt;&gt;"",CONCATENATE('Bundle Tag Info'!$A$1," ",CHAR(10),'Bundle Tag Info'!$A$2," ",'Bundle Tag Info'!$A$3,CHAR(10),'Bundle Tag Info'!M$6,CHAR(10),'Bundle Tag Info'!M$29),"")</f>
        <v/>
      </c>
      <c r="N24" s="19" t="str">
        <f>IF('Bundle Tag Info'!N$29&lt;&gt;"",CONCATENATE('Bundle Tag Info'!$A$1," ",CHAR(10),'Bundle Tag Info'!$A$2," ",'Bundle Tag Info'!$A$3,CHAR(10),'Bundle Tag Info'!N$6,CHAR(10),'Bundle Tag Info'!N$29),"")</f>
        <v/>
      </c>
      <c r="O24" s="19" t="str">
        <f>IF('Bundle Tag Info'!O$29&lt;&gt;"",CONCATENATE('Bundle Tag Info'!$A$1," ",CHAR(10),'Bundle Tag Info'!$A$2," ",'Bundle Tag Info'!$A$3,CHAR(10),'Bundle Tag Info'!O$6,CHAR(10),'Bundle Tag Info'!O$29),"")</f>
        <v/>
      </c>
      <c r="P24" s="19" t="str">
        <f>IF('Bundle Tag Info'!P$29&lt;&gt;"",CONCATENATE('Bundle Tag Info'!$A$1," ",CHAR(10),'Bundle Tag Info'!$A$2," ",'Bundle Tag Info'!$A$3,CHAR(10),'Bundle Tag Info'!P$6,CHAR(10),'Bundle Tag Info'!P$29),"")</f>
        <v/>
      </c>
      <c r="Q24" s="19" t="str">
        <f>IF('Bundle Tag Info'!Q$29&lt;&gt;"",CONCATENATE('Bundle Tag Info'!$A$1," ",CHAR(10),'Bundle Tag Info'!$A$2," ",'Bundle Tag Info'!$A$3,CHAR(10),'Bundle Tag Info'!Q$6,CHAR(10),'Bundle Tag Info'!Q$29),"")</f>
        <v/>
      </c>
      <c r="R24" s="19" t="str">
        <f>IF('Bundle Tag Info'!R$29&lt;&gt;"",CONCATENATE('Bundle Tag Info'!$A$1," ",CHAR(10),'Bundle Tag Info'!$A$2," ",'Bundle Tag Info'!$A$3,CHAR(10),'Bundle Tag Info'!R$6,CHAR(10),'Bundle Tag Info'!R$29),"")</f>
        <v/>
      </c>
      <c r="S24" s="19" t="str">
        <f>IF('Bundle Tag Info'!S$29&lt;&gt;"",CONCATENATE('Bundle Tag Info'!$A$1," ",CHAR(10),'Bundle Tag Info'!$A$2," ",'Bundle Tag Info'!$A$3,CHAR(10),'Bundle Tag Info'!S$6,CHAR(10),'Bundle Tag Info'!S$29),"")</f>
        <v/>
      </c>
      <c r="T24" s="19" t="str">
        <f>IF('Bundle Tag Info'!T$29&lt;&gt;"",CONCATENATE('Bundle Tag Info'!$A$1," ",CHAR(10),'Bundle Tag Info'!$A$2," ",'Bundle Tag Info'!$A$3,CHAR(10),'Bundle Tag Info'!T$6,CHAR(10),'Bundle Tag Info'!T$29),"")</f>
        <v/>
      </c>
      <c r="U24" s="19" t="str">
        <f>IF('Bundle Tag Info'!U$29&lt;&gt;"",CONCATENATE('Bundle Tag Info'!$A$1," ",CHAR(10),'Bundle Tag Info'!$A$2," ",'Bundle Tag Info'!$A$3,CHAR(10),'Bundle Tag Info'!U$6,CHAR(10),'Bundle Tag Info'!U$29),"")</f>
        <v/>
      </c>
      <c r="V24" s="19" t="str">
        <f>IF('Bundle Tag Info'!V$29&lt;&gt;"",CONCATENATE('Bundle Tag Info'!$A$1," ",CHAR(10),'Bundle Tag Info'!$A$2," ",'Bundle Tag Info'!$A$3,CHAR(10),'Bundle Tag Info'!V$6,CHAR(10),'Bundle Tag Info'!V$29),"")</f>
        <v/>
      </c>
      <c r="W24" s="19" t="str">
        <f>IF('Bundle Tag Info'!W$29&lt;&gt;"",CONCATENATE('Bundle Tag Info'!$A$1," ",CHAR(10),'Bundle Tag Info'!$A$2," ",'Bundle Tag Info'!$A$3,CHAR(10),'Bundle Tag Info'!W$6,CHAR(10),'Bundle Tag Info'!W$29),"")</f>
        <v/>
      </c>
      <c r="X24" s="19" t="str">
        <f>IF('Bundle Tag Info'!X$29&lt;&gt;"",CONCATENATE('Bundle Tag Info'!$A$1," ",CHAR(10),'Bundle Tag Info'!$A$2," ",'Bundle Tag Info'!$A$3,CHAR(10),'Bundle Tag Info'!X$6,CHAR(10),'Bundle Tag Info'!X$29),"")</f>
        <v/>
      </c>
      <c r="Y24" s="19" t="str">
        <f>IF('Bundle Tag Info'!Y$29&lt;&gt;"",CONCATENATE('Bundle Tag Info'!$A$1," ",CHAR(10),'Bundle Tag Info'!$A$2," ",'Bundle Tag Info'!$A$3,CHAR(10),'Bundle Tag Info'!Y$6,CHAR(10),'Bundle Tag Info'!Y$29),"")</f>
        <v/>
      </c>
      <c r="Z24" s="19" t="str">
        <f>IF('Bundle Tag Info'!Z$29&lt;&gt;"",CONCATENATE('Bundle Tag Info'!$A$1," ",CHAR(10),'Bundle Tag Info'!$A$2," ",'Bundle Tag Info'!$A$3,CHAR(10),'Bundle Tag Info'!Z$6,CHAR(10),'Bundle Tag Info'!Z$29),"")</f>
        <v/>
      </c>
      <c r="AA24" s="19" t="str">
        <f>IF('Bundle Tag Info'!AA$29&lt;&gt;"",CONCATENATE('Bundle Tag Info'!$A$1," ",CHAR(10),'Bundle Tag Info'!$A$2," ",'Bundle Tag Info'!$A$3,CHAR(10),'Bundle Tag Info'!AA$6,CHAR(10),'Bundle Tag Info'!AA$29),"")</f>
        <v/>
      </c>
      <c r="AB24" s="19" t="str">
        <f>IF('Bundle Tag Info'!AB$29&lt;&gt;"",CONCATENATE('Bundle Tag Info'!$A$1," ",CHAR(10),'Bundle Tag Info'!$A$2," ",'Bundle Tag Info'!$A$3,CHAR(10),'Bundle Tag Info'!AB$6,CHAR(10),'Bundle Tag Info'!AB$29),"")</f>
        <v/>
      </c>
      <c r="AC24" s="19" t="str">
        <f>IF('Bundle Tag Info'!AC$29&lt;&gt;"",CONCATENATE('Bundle Tag Info'!$A$1," ",CHAR(10),'Bundle Tag Info'!$A$2," ",'Bundle Tag Info'!$A$3,CHAR(10),'Bundle Tag Info'!AC$6,CHAR(10),'Bundle Tag Info'!AC$29),"")</f>
        <v/>
      </c>
      <c r="AD24" s="1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19" t="str">
        <f>IF('Bundle Tag Info'!A$30&lt;&gt;"",CONCATENATE('Bundle Tag Info'!$A$1," ",CHAR(10),'Bundle Tag Info'!$A$2," ",'Bundle Tag Info'!$A$3,CHAR(10),'Bundle Tag Info'!A$6,CHAR(10),'Bundle Tag Info'!A$30),"")</f>
        <v/>
      </c>
      <c r="B25" s="19" t="str">
        <f>IF('Bundle Tag Info'!B$30&lt;&gt;"",CONCATENATE('Bundle Tag Info'!$A$1," ",CHAR(10),'Bundle Tag Info'!$A$2," ",'Bundle Tag Info'!$A$3,CHAR(10),'Bundle Tag Info'!B$6,CHAR(10),'Bundle Tag Info'!B$30),"")</f>
        <v/>
      </c>
      <c r="C25" s="19" t="str">
        <f>IF('Bundle Tag Info'!C$30&lt;&gt;"",CONCATENATE('Bundle Tag Info'!$A$1," ",CHAR(10),'Bundle Tag Info'!$A$2," ",'Bundle Tag Info'!$A$3,CHAR(10),'Bundle Tag Info'!C$6,CHAR(10),'Bundle Tag Info'!C$30),"")</f>
        <v/>
      </c>
      <c r="D25" s="19" t="str">
        <f>IF('Bundle Tag Info'!D$30&lt;&gt;"",CONCATENATE('Bundle Tag Info'!$A$1," ",CHAR(10),'Bundle Tag Info'!$A$2," ",'Bundle Tag Info'!$A$3,CHAR(10),'Bundle Tag Info'!D$6,CHAR(10),'Bundle Tag Info'!D$30),"")</f>
        <v/>
      </c>
      <c r="E25" s="19" t="str">
        <f>IF('Bundle Tag Info'!E$30&lt;&gt;"",CONCATENATE('Bundle Tag Info'!$A$1," ",CHAR(10),'Bundle Tag Info'!$A$2," ",'Bundle Tag Info'!$A$3,CHAR(10),'Bundle Tag Info'!E$6,CHAR(10),'Bundle Tag Info'!E$30),"")</f>
        <v/>
      </c>
      <c r="F25" s="19" t="str">
        <f>IF('Bundle Tag Info'!F$30&lt;&gt;"",CONCATENATE('Bundle Tag Info'!$A$1," ",CHAR(10),'Bundle Tag Info'!$A$2," ",'Bundle Tag Info'!$A$3,CHAR(10),'Bundle Tag Info'!F$6,CHAR(10),'Bundle Tag Info'!F$30),"")</f>
        <v/>
      </c>
      <c r="G25" s="19" t="str">
        <f>IF('Bundle Tag Info'!G$30&lt;&gt;"",CONCATENATE('Bundle Tag Info'!$A$1," ",CHAR(10),'Bundle Tag Info'!$A$2," ",'Bundle Tag Info'!$A$3,CHAR(10),'Bundle Tag Info'!G$6,CHAR(10),'Bundle Tag Info'!G$30),"")</f>
        <v/>
      </c>
      <c r="H25" s="19" t="str">
        <f>IF('Bundle Tag Info'!H$30&lt;&gt;"",CONCATENATE('Bundle Tag Info'!$A$1," ",CHAR(10),'Bundle Tag Info'!$A$2," ",'Bundle Tag Info'!$A$3,CHAR(10),'Bundle Tag Info'!H$6,CHAR(10),'Bundle Tag Info'!H$30),"")</f>
        <v/>
      </c>
      <c r="I25" s="19" t="str">
        <f>IF('Bundle Tag Info'!I$30&lt;&gt;"",CONCATENATE('Bundle Tag Info'!$A$1," ",CHAR(10),'Bundle Tag Info'!$A$2," ",'Bundle Tag Info'!$A$3,CHAR(10),'Bundle Tag Info'!I$6,CHAR(10),'Bundle Tag Info'!I$30),"")</f>
        <v/>
      </c>
      <c r="J25" s="19" t="str">
        <f>IF('Bundle Tag Info'!J$30&lt;&gt;"",CONCATENATE('Bundle Tag Info'!$A$1," ",CHAR(10),'Bundle Tag Info'!$A$2," ",'Bundle Tag Info'!$A$3,CHAR(10),'Bundle Tag Info'!J$6,CHAR(10),'Bundle Tag Info'!J$30),"")</f>
        <v/>
      </c>
      <c r="K25" s="19" t="str">
        <f>IF('Bundle Tag Info'!K$30&lt;&gt;"",CONCATENATE('Bundle Tag Info'!$A$1," ",CHAR(10),'Bundle Tag Info'!$A$2," ",'Bundle Tag Info'!$A$3,CHAR(10),'Bundle Tag Info'!K$6,CHAR(10),'Bundle Tag Info'!K$30),"")</f>
        <v/>
      </c>
      <c r="L25" s="19" t="str">
        <f>IF('Bundle Tag Info'!L$30&lt;&gt;"",CONCATENATE('Bundle Tag Info'!$A$1," ",CHAR(10),'Bundle Tag Info'!$A$2," ",'Bundle Tag Info'!$A$3,CHAR(10),'Bundle Tag Info'!L$6,CHAR(10),'Bundle Tag Info'!L$30),"")</f>
        <v/>
      </c>
      <c r="M25" s="19" t="str">
        <f>IF('Bundle Tag Info'!M$30&lt;&gt;"",CONCATENATE('Bundle Tag Info'!$A$1," ",CHAR(10),'Bundle Tag Info'!$A$2," ",'Bundle Tag Info'!$A$3,CHAR(10),'Bundle Tag Info'!M$6,CHAR(10),'Bundle Tag Info'!M$30),"")</f>
        <v/>
      </c>
      <c r="N25" s="19" t="str">
        <f>IF('Bundle Tag Info'!N$30&lt;&gt;"",CONCATENATE('Bundle Tag Info'!$A$1," ",CHAR(10),'Bundle Tag Info'!$A$2," ",'Bundle Tag Info'!$A$3,CHAR(10),'Bundle Tag Info'!N$6,CHAR(10),'Bundle Tag Info'!N$30),"")</f>
        <v/>
      </c>
      <c r="O25" s="19" t="str">
        <f>IF('Bundle Tag Info'!O$30&lt;&gt;"",CONCATENATE('Bundle Tag Info'!$A$1," ",CHAR(10),'Bundle Tag Info'!$A$2," ",'Bundle Tag Info'!$A$3,CHAR(10),'Bundle Tag Info'!O$6,CHAR(10),'Bundle Tag Info'!O$30),"")</f>
        <v/>
      </c>
      <c r="P25" s="19" t="str">
        <f>IF('Bundle Tag Info'!P$30&lt;&gt;"",CONCATENATE('Bundle Tag Info'!$A$1," ",CHAR(10),'Bundle Tag Info'!$A$2," ",'Bundle Tag Info'!$A$3,CHAR(10),'Bundle Tag Info'!P$6,CHAR(10),'Bundle Tag Info'!P$30),"")</f>
        <v/>
      </c>
      <c r="Q25" s="19" t="str">
        <f>IF('Bundle Tag Info'!Q$30&lt;&gt;"",CONCATENATE('Bundle Tag Info'!$A$1," ",CHAR(10),'Bundle Tag Info'!$A$2," ",'Bundle Tag Info'!$A$3,CHAR(10),'Bundle Tag Info'!Q$6,CHAR(10),'Bundle Tag Info'!Q$30),"")</f>
        <v/>
      </c>
      <c r="R25" s="19" t="str">
        <f>IF('Bundle Tag Info'!R$30&lt;&gt;"",CONCATENATE('Bundle Tag Info'!$A$1," ",CHAR(10),'Bundle Tag Info'!$A$2," ",'Bundle Tag Info'!$A$3,CHAR(10),'Bundle Tag Info'!R$6,CHAR(10),'Bundle Tag Info'!R$30),"")</f>
        <v/>
      </c>
      <c r="S25" s="19" t="str">
        <f>IF('Bundle Tag Info'!S$30&lt;&gt;"",CONCATENATE('Bundle Tag Info'!$A$1," ",CHAR(10),'Bundle Tag Info'!$A$2," ",'Bundle Tag Info'!$A$3,CHAR(10),'Bundle Tag Info'!S$6,CHAR(10),'Bundle Tag Info'!S$30),"")</f>
        <v/>
      </c>
      <c r="T25" s="19" t="str">
        <f>IF('Bundle Tag Info'!T$30&lt;&gt;"",CONCATENATE('Bundle Tag Info'!$A$1," ",CHAR(10),'Bundle Tag Info'!$A$2," ",'Bundle Tag Info'!$A$3,CHAR(10),'Bundle Tag Info'!T$6,CHAR(10),'Bundle Tag Info'!T$30),"")</f>
        <v/>
      </c>
      <c r="U25" s="19" t="str">
        <f>IF('Bundle Tag Info'!U$30&lt;&gt;"",CONCATENATE('Bundle Tag Info'!$A$1," ",CHAR(10),'Bundle Tag Info'!$A$2," ",'Bundle Tag Info'!$A$3,CHAR(10),'Bundle Tag Info'!U$6,CHAR(10),'Bundle Tag Info'!U$30),"")</f>
        <v/>
      </c>
      <c r="V25" s="19" t="str">
        <f>IF('Bundle Tag Info'!V$30&lt;&gt;"",CONCATENATE('Bundle Tag Info'!$A$1," ",CHAR(10),'Bundle Tag Info'!$A$2," ",'Bundle Tag Info'!$A$3,CHAR(10),'Bundle Tag Info'!V$6,CHAR(10),'Bundle Tag Info'!V$30),"")</f>
        <v/>
      </c>
      <c r="W25" s="19" t="str">
        <f>IF('Bundle Tag Info'!W$30&lt;&gt;"",CONCATENATE('Bundle Tag Info'!$A$1," ",CHAR(10),'Bundle Tag Info'!$A$2," ",'Bundle Tag Info'!$A$3,CHAR(10),'Bundle Tag Info'!W$6,CHAR(10),'Bundle Tag Info'!W$30),"")</f>
        <v/>
      </c>
      <c r="X25" s="19" t="str">
        <f>IF('Bundle Tag Info'!X$30&lt;&gt;"",CONCATENATE('Bundle Tag Info'!$A$1," ",CHAR(10),'Bundle Tag Info'!$A$2," ",'Bundle Tag Info'!$A$3,CHAR(10),'Bundle Tag Info'!X$6,CHAR(10),'Bundle Tag Info'!X$30),"")</f>
        <v/>
      </c>
      <c r="Y25" s="19" t="str">
        <f>IF('Bundle Tag Info'!Y$30&lt;&gt;"",CONCATENATE('Bundle Tag Info'!$A$1," ",CHAR(10),'Bundle Tag Info'!$A$2," ",'Bundle Tag Info'!$A$3,CHAR(10),'Bundle Tag Info'!Y$6,CHAR(10),'Bundle Tag Info'!Y$30),"")</f>
        <v/>
      </c>
      <c r="Z25" s="19" t="str">
        <f>IF('Bundle Tag Info'!Z$30&lt;&gt;"",CONCATENATE('Bundle Tag Info'!$A$1," ",CHAR(10),'Bundle Tag Info'!$A$2," ",'Bundle Tag Info'!$A$3,CHAR(10),'Bundle Tag Info'!Z$6,CHAR(10),'Bundle Tag Info'!Z$30),"")</f>
        <v/>
      </c>
      <c r="AA25" s="19" t="str">
        <f>IF('Bundle Tag Info'!AA$30&lt;&gt;"",CONCATENATE('Bundle Tag Info'!$A$1," ",CHAR(10),'Bundle Tag Info'!$A$2," ",'Bundle Tag Info'!$A$3,CHAR(10),'Bundle Tag Info'!AA$6,CHAR(10),'Bundle Tag Info'!AA$30),"")</f>
        <v/>
      </c>
      <c r="AB25" s="19" t="str">
        <f>IF('Bundle Tag Info'!AB$30&lt;&gt;"",CONCATENATE('Bundle Tag Info'!$A$1," ",CHAR(10),'Bundle Tag Info'!$A$2," ",'Bundle Tag Info'!$A$3,CHAR(10),'Bundle Tag Info'!AB$6,CHAR(10),'Bundle Tag Info'!AB$30),"")</f>
        <v/>
      </c>
      <c r="AC25" s="19" t="str">
        <f>IF('Bundle Tag Info'!AC$30&lt;&gt;"",CONCATENATE('Bundle Tag Info'!$A$1," ",CHAR(10),'Bundle Tag Info'!$A$2," ",'Bundle Tag Info'!$A$3,CHAR(10),'Bundle Tag Info'!AC$6,CHAR(10),'Bundle Tag Info'!AC$30),"")</f>
        <v/>
      </c>
      <c r="AD25" s="1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19" t="str">
        <f>IF('Bundle Tag Info'!A$31&lt;&gt;"",CONCATENATE('Bundle Tag Info'!$A$1," ",CHAR(10),'Bundle Tag Info'!$A$2," ",'Bundle Tag Info'!$A$3,CHAR(10),'Bundle Tag Info'!A$6,CHAR(10),'Bundle Tag Info'!A$31),"")</f>
        <v/>
      </c>
      <c r="B26" s="19" t="str">
        <f>IF('Bundle Tag Info'!B$31&lt;&gt;"",CONCATENATE('Bundle Tag Info'!$A$1," ",CHAR(10),'Bundle Tag Info'!$A$2," ",'Bundle Tag Info'!$A$3,CHAR(10),'Bundle Tag Info'!B$6,CHAR(10),'Bundle Tag Info'!B$31),"")</f>
        <v/>
      </c>
      <c r="C26" s="19" t="str">
        <f>IF('Bundle Tag Info'!C$31&lt;&gt;"",CONCATENATE('Bundle Tag Info'!$A$1," ",CHAR(10),'Bundle Tag Info'!$A$2," ",'Bundle Tag Info'!$A$3,CHAR(10),'Bundle Tag Info'!C$6,CHAR(10),'Bundle Tag Info'!C$31),"")</f>
        <v/>
      </c>
      <c r="D26" s="19" t="str">
        <f>IF('Bundle Tag Info'!D$31&lt;&gt;"",CONCATENATE('Bundle Tag Info'!$A$1," ",CHAR(10),'Bundle Tag Info'!$A$2," ",'Bundle Tag Info'!$A$3,CHAR(10),'Bundle Tag Info'!D$6,CHAR(10),'Bundle Tag Info'!D$31),"")</f>
        <v/>
      </c>
      <c r="E26" s="19" t="str">
        <f>IF('Bundle Tag Info'!E$31&lt;&gt;"",CONCATENATE('Bundle Tag Info'!$A$1," ",CHAR(10),'Bundle Tag Info'!$A$2," ",'Bundle Tag Info'!$A$3,CHAR(10),'Bundle Tag Info'!E$6,CHAR(10),'Bundle Tag Info'!E$31),"")</f>
        <v/>
      </c>
      <c r="F26" s="19" t="str">
        <f>IF('Bundle Tag Info'!F$31&lt;&gt;"",CONCATENATE('Bundle Tag Info'!$A$1," ",CHAR(10),'Bundle Tag Info'!$A$2," ",'Bundle Tag Info'!$A$3,CHAR(10),'Bundle Tag Info'!F$6,CHAR(10),'Bundle Tag Info'!F$31),"")</f>
        <v/>
      </c>
      <c r="G26" s="19" t="str">
        <f>IF('Bundle Tag Info'!G$31&lt;&gt;"",CONCATENATE('Bundle Tag Info'!$A$1," ",CHAR(10),'Bundle Tag Info'!$A$2," ",'Bundle Tag Info'!$A$3,CHAR(10),'Bundle Tag Info'!G$6,CHAR(10),'Bundle Tag Info'!G$31),"")</f>
        <v/>
      </c>
      <c r="H26" s="19" t="str">
        <f>IF('Bundle Tag Info'!H$31&lt;&gt;"",CONCATENATE('Bundle Tag Info'!$A$1," ",CHAR(10),'Bundle Tag Info'!$A$2," ",'Bundle Tag Info'!$A$3,CHAR(10),'Bundle Tag Info'!H$6,CHAR(10),'Bundle Tag Info'!H$31),"")</f>
        <v/>
      </c>
      <c r="I26" s="19" t="str">
        <f>IF('Bundle Tag Info'!I$31&lt;&gt;"",CONCATENATE('Bundle Tag Info'!$A$1," ",CHAR(10),'Bundle Tag Info'!$A$2," ",'Bundle Tag Info'!$A$3,CHAR(10),'Bundle Tag Info'!I$6,CHAR(10),'Bundle Tag Info'!I$31),"")</f>
        <v/>
      </c>
      <c r="J26" s="19" t="str">
        <f>IF('Bundle Tag Info'!J$31&lt;&gt;"",CONCATENATE('Bundle Tag Info'!$A$1," ",CHAR(10),'Bundle Tag Info'!$A$2," ",'Bundle Tag Info'!$A$3,CHAR(10),'Bundle Tag Info'!J$6,CHAR(10),'Bundle Tag Info'!J$31),"")</f>
        <v/>
      </c>
      <c r="K26" s="19" t="str">
        <f>IF('Bundle Tag Info'!K$31&lt;&gt;"",CONCATENATE('Bundle Tag Info'!$A$1," ",CHAR(10),'Bundle Tag Info'!$A$2," ",'Bundle Tag Info'!$A$3,CHAR(10),'Bundle Tag Info'!K$6,CHAR(10),'Bundle Tag Info'!K$31),"")</f>
        <v/>
      </c>
      <c r="L26" s="19" t="str">
        <f>IF('Bundle Tag Info'!L$31&lt;&gt;"",CONCATENATE('Bundle Tag Info'!$A$1," ",CHAR(10),'Bundle Tag Info'!$A$2," ",'Bundle Tag Info'!$A$3,CHAR(10),'Bundle Tag Info'!L$6,CHAR(10),'Bundle Tag Info'!L$31),"")</f>
        <v/>
      </c>
      <c r="M26" s="19" t="str">
        <f>IF('Bundle Tag Info'!M$31&lt;&gt;"",CONCATENATE('Bundle Tag Info'!$A$1," ",CHAR(10),'Bundle Tag Info'!$A$2," ",'Bundle Tag Info'!$A$3,CHAR(10),'Bundle Tag Info'!M$6,CHAR(10),'Bundle Tag Info'!M$31),"")</f>
        <v/>
      </c>
      <c r="N26" s="19" t="str">
        <f>IF('Bundle Tag Info'!N$31&lt;&gt;"",CONCATENATE('Bundle Tag Info'!$A$1," ",CHAR(10),'Bundle Tag Info'!$A$2," ",'Bundle Tag Info'!$A$3,CHAR(10),'Bundle Tag Info'!N$6,CHAR(10),'Bundle Tag Info'!N$31),"")</f>
        <v/>
      </c>
      <c r="O26" s="19" t="str">
        <f>IF('Bundle Tag Info'!O$31&lt;&gt;"",CONCATENATE('Bundle Tag Info'!$A$1," ",CHAR(10),'Bundle Tag Info'!$A$2," ",'Bundle Tag Info'!$A$3,CHAR(10),'Bundle Tag Info'!O$6,CHAR(10),'Bundle Tag Info'!O$31),"")</f>
        <v/>
      </c>
      <c r="P26" s="19" t="str">
        <f>IF('Bundle Tag Info'!P$31&lt;&gt;"",CONCATENATE('Bundle Tag Info'!$A$1," ",CHAR(10),'Bundle Tag Info'!$A$2," ",'Bundle Tag Info'!$A$3,CHAR(10),'Bundle Tag Info'!P$6,CHAR(10),'Bundle Tag Info'!P$31),"")</f>
        <v/>
      </c>
      <c r="Q26" s="19" t="str">
        <f>IF('Bundle Tag Info'!Q$31&lt;&gt;"",CONCATENATE('Bundle Tag Info'!$A$1," ",CHAR(10),'Bundle Tag Info'!$A$2," ",'Bundle Tag Info'!$A$3,CHAR(10),'Bundle Tag Info'!Q$6,CHAR(10),'Bundle Tag Info'!Q$31),"")</f>
        <v/>
      </c>
      <c r="R26" s="19" t="str">
        <f>IF('Bundle Tag Info'!R$31&lt;&gt;"",CONCATENATE('Bundle Tag Info'!$A$1," ",CHAR(10),'Bundle Tag Info'!$A$2," ",'Bundle Tag Info'!$A$3,CHAR(10),'Bundle Tag Info'!R$6,CHAR(10),'Bundle Tag Info'!R$31),"")</f>
        <v/>
      </c>
      <c r="S26" s="19" t="str">
        <f>IF('Bundle Tag Info'!S$31&lt;&gt;"",CONCATENATE('Bundle Tag Info'!$A$1," ",CHAR(10),'Bundle Tag Info'!$A$2," ",'Bundle Tag Info'!$A$3,CHAR(10),'Bundle Tag Info'!S$6,CHAR(10),'Bundle Tag Info'!S$31),"")</f>
        <v/>
      </c>
      <c r="T26" s="19" t="str">
        <f>IF('Bundle Tag Info'!T$31&lt;&gt;"",CONCATENATE('Bundle Tag Info'!$A$1," ",CHAR(10),'Bundle Tag Info'!$A$2," ",'Bundle Tag Info'!$A$3,CHAR(10),'Bundle Tag Info'!T$6,CHAR(10),'Bundle Tag Info'!T$31),"")</f>
        <v/>
      </c>
      <c r="U26" s="19" t="str">
        <f>IF('Bundle Tag Info'!U$31&lt;&gt;"",CONCATENATE('Bundle Tag Info'!$A$1," ",CHAR(10),'Bundle Tag Info'!$A$2," ",'Bundle Tag Info'!$A$3,CHAR(10),'Bundle Tag Info'!U$6,CHAR(10),'Bundle Tag Info'!U$31),"")</f>
        <v/>
      </c>
      <c r="V26" s="19" t="str">
        <f>IF('Bundle Tag Info'!V$31&lt;&gt;"",CONCATENATE('Bundle Tag Info'!$A$1," ",CHAR(10),'Bundle Tag Info'!$A$2," ",'Bundle Tag Info'!$A$3,CHAR(10),'Bundle Tag Info'!V$6,CHAR(10),'Bundle Tag Info'!V$31),"")</f>
        <v/>
      </c>
      <c r="W26" s="19" t="str">
        <f>IF('Bundle Tag Info'!W$31&lt;&gt;"",CONCATENATE('Bundle Tag Info'!$A$1," ",CHAR(10),'Bundle Tag Info'!$A$2," ",'Bundle Tag Info'!$A$3,CHAR(10),'Bundle Tag Info'!W$6,CHAR(10),'Bundle Tag Info'!W$31),"")</f>
        <v/>
      </c>
      <c r="X26" s="19" t="str">
        <f>IF('Bundle Tag Info'!X$31&lt;&gt;"",CONCATENATE('Bundle Tag Info'!$A$1," ",CHAR(10),'Bundle Tag Info'!$A$2," ",'Bundle Tag Info'!$A$3,CHAR(10),'Bundle Tag Info'!X$6,CHAR(10),'Bundle Tag Info'!X$31),"")</f>
        <v/>
      </c>
      <c r="Y26" s="19" t="str">
        <f>IF('Bundle Tag Info'!Y$31&lt;&gt;"",CONCATENATE('Bundle Tag Info'!$A$1," ",CHAR(10),'Bundle Tag Info'!$A$2," ",'Bundle Tag Info'!$A$3,CHAR(10),'Bundle Tag Info'!Y$6,CHAR(10),'Bundle Tag Info'!Y$31),"")</f>
        <v/>
      </c>
      <c r="Z26" s="19" t="str">
        <f>IF('Bundle Tag Info'!Z$31&lt;&gt;"",CONCATENATE('Bundle Tag Info'!$A$1," ",CHAR(10),'Bundle Tag Info'!$A$2," ",'Bundle Tag Info'!$A$3,CHAR(10),'Bundle Tag Info'!Z$6,CHAR(10),'Bundle Tag Info'!Z$31),"")</f>
        <v/>
      </c>
      <c r="AA26" s="19" t="str">
        <f>IF('Bundle Tag Info'!AA$31&lt;&gt;"",CONCATENATE('Bundle Tag Info'!$A$1," ",CHAR(10),'Bundle Tag Info'!$A$2," ",'Bundle Tag Info'!$A$3,CHAR(10),'Bundle Tag Info'!AA$6,CHAR(10),'Bundle Tag Info'!AA$31),"")</f>
        <v/>
      </c>
      <c r="AB26" s="19" t="str">
        <f>IF('Bundle Tag Info'!AB$31&lt;&gt;"",CONCATENATE('Bundle Tag Info'!$A$1," ",CHAR(10),'Bundle Tag Info'!$A$2," ",'Bundle Tag Info'!$A$3,CHAR(10),'Bundle Tag Info'!AB$6,CHAR(10),'Bundle Tag Info'!AB$31),"")</f>
        <v/>
      </c>
      <c r="AC26" s="19" t="str">
        <f>IF('Bundle Tag Info'!AC$31&lt;&gt;"",CONCATENATE('Bundle Tag Info'!$A$1," ",CHAR(10),'Bundle Tag Info'!$A$2," ",'Bundle Tag Info'!$A$3,CHAR(10),'Bundle Tag Info'!AC$6,CHAR(10),'Bundle Tag Info'!AC$31),"")</f>
        <v/>
      </c>
      <c r="AD26" s="1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19" t="str">
        <f>IF('Bundle Tag Info'!A$32&lt;&gt;"",CONCATENATE('Bundle Tag Info'!$A$1," ",CHAR(10),'Bundle Tag Info'!$A$2," ",'Bundle Tag Info'!$A$3,CHAR(10),'Bundle Tag Info'!A$6,CHAR(10),'Bundle Tag Info'!A$32),"")</f>
        <v/>
      </c>
      <c r="B27" s="19" t="str">
        <f>IF('Bundle Tag Info'!B$32&lt;&gt;"",CONCATENATE('Bundle Tag Info'!$A$1," ",CHAR(10),'Bundle Tag Info'!$A$2," ",'Bundle Tag Info'!$A$3,CHAR(10),'Bundle Tag Info'!B$6,CHAR(10),'Bundle Tag Info'!B$32),"")</f>
        <v/>
      </c>
      <c r="C27" s="19" t="str">
        <f>IF('Bundle Tag Info'!C$32&lt;&gt;"",CONCATENATE('Bundle Tag Info'!$A$1," ",CHAR(10),'Bundle Tag Info'!$A$2," ",'Bundle Tag Info'!$A$3,CHAR(10),'Bundle Tag Info'!C$6,CHAR(10),'Bundle Tag Info'!C$32),"")</f>
        <v/>
      </c>
      <c r="D27" s="19" t="str">
        <f>IF('Bundle Tag Info'!D$32&lt;&gt;"",CONCATENATE('Bundle Tag Info'!$A$1," ",CHAR(10),'Bundle Tag Info'!$A$2," ",'Bundle Tag Info'!$A$3,CHAR(10),'Bundle Tag Info'!D$6,CHAR(10),'Bundle Tag Info'!D$32),"")</f>
        <v/>
      </c>
      <c r="E27" s="19" t="str">
        <f>IF('Bundle Tag Info'!E$32&lt;&gt;"",CONCATENATE('Bundle Tag Info'!$A$1," ",CHAR(10),'Bundle Tag Info'!$A$2," ",'Bundle Tag Info'!$A$3,CHAR(10),'Bundle Tag Info'!E$6,CHAR(10),'Bundle Tag Info'!E$32),"")</f>
        <v/>
      </c>
      <c r="F27" s="19" t="str">
        <f>IF('Bundle Tag Info'!F$32&lt;&gt;"",CONCATENATE('Bundle Tag Info'!$A$1," ",CHAR(10),'Bundle Tag Info'!$A$2," ",'Bundle Tag Info'!$A$3,CHAR(10),'Bundle Tag Info'!F$6,CHAR(10),'Bundle Tag Info'!F$32),"")</f>
        <v/>
      </c>
      <c r="G27" s="19" t="str">
        <f>IF('Bundle Tag Info'!G$32&lt;&gt;"",CONCATENATE('Bundle Tag Info'!$A$1," ",CHAR(10),'Bundle Tag Info'!$A$2," ",'Bundle Tag Info'!$A$3,CHAR(10),'Bundle Tag Info'!G$6,CHAR(10),'Bundle Tag Info'!G$32),"")</f>
        <v/>
      </c>
      <c r="H27" s="19" t="str">
        <f>IF('Bundle Tag Info'!H$32&lt;&gt;"",CONCATENATE('Bundle Tag Info'!$A$1," ",CHAR(10),'Bundle Tag Info'!$A$2," ",'Bundle Tag Info'!$A$3,CHAR(10),'Bundle Tag Info'!H$6,CHAR(10),'Bundle Tag Info'!H$32),"")</f>
        <v/>
      </c>
      <c r="I27" s="19" t="str">
        <f>IF('Bundle Tag Info'!I$32&lt;&gt;"",CONCATENATE('Bundle Tag Info'!$A$1," ",CHAR(10),'Bundle Tag Info'!$A$2," ",'Bundle Tag Info'!$A$3,CHAR(10),'Bundle Tag Info'!I$6,CHAR(10),'Bundle Tag Info'!I$32),"")</f>
        <v/>
      </c>
      <c r="J27" s="19" t="str">
        <f>IF('Bundle Tag Info'!J$32&lt;&gt;"",CONCATENATE('Bundle Tag Info'!$A$1," ",CHAR(10),'Bundle Tag Info'!$A$2," ",'Bundle Tag Info'!$A$3,CHAR(10),'Bundle Tag Info'!J$6,CHAR(10),'Bundle Tag Info'!J$32),"")</f>
        <v/>
      </c>
      <c r="K27" s="19" t="str">
        <f>IF('Bundle Tag Info'!K$32&lt;&gt;"",CONCATENATE('Bundle Tag Info'!$A$1," ",CHAR(10),'Bundle Tag Info'!$A$2," ",'Bundle Tag Info'!$A$3,CHAR(10),'Bundle Tag Info'!K$6,CHAR(10),'Bundle Tag Info'!K$32),"")</f>
        <v/>
      </c>
      <c r="L27" s="19" t="str">
        <f>IF('Bundle Tag Info'!L$32&lt;&gt;"",CONCATENATE('Bundle Tag Info'!$A$1," ",CHAR(10),'Bundle Tag Info'!$A$2," ",'Bundle Tag Info'!$A$3,CHAR(10),'Bundle Tag Info'!L$6,CHAR(10),'Bundle Tag Info'!L$32),"")</f>
        <v/>
      </c>
      <c r="M27" s="19" t="str">
        <f>IF('Bundle Tag Info'!M$32&lt;&gt;"",CONCATENATE('Bundle Tag Info'!$A$1," ",CHAR(10),'Bundle Tag Info'!$A$2," ",'Bundle Tag Info'!$A$3,CHAR(10),'Bundle Tag Info'!M$6,CHAR(10),'Bundle Tag Info'!M$32),"")</f>
        <v/>
      </c>
      <c r="N27" s="19" t="str">
        <f>IF('Bundle Tag Info'!N$32&lt;&gt;"",CONCATENATE('Bundle Tag Info'!$A$1," ",CHAR(10),'Bundle Tag Info'!$A$2," ",'Bundle Tag Info'!$A$3,CHAR(10),'Bundle Tag Info'!N$6,CHAR(10),'Bundle Tag Info'!N$32),"")</f>
        <v/>
      </c>
      <c r="O27" s="19" t="str">
        <f>IF('Bundle Tag Info'!O$32&lt;&gt;"",CONCATENATE('Bundle Tag Info'!$A$1," ",CHAR(10),'Bundle Tag Info'!$A$2," ",'Bundle Tag Info'!$A$3,CHAR(10),'Bundle Tag Info'!O$6,CHAR(10),'Bundle Tag Info'!O$32),"")</f>
        <v/>
      </c>
      <c r="P27" s="19" t="str">
        <f>IF('Bundle Tag Info'!P$32&lt;&gt;"",CONCATENATE('Bundle Tag Info'!$A$1," ",CHAR(10),'Bundle Tag Info'!$A$2," ",'Bundle Tag Info'!$A$3,CHAR(10),'Bundle Tag Info'!P$6,CHAR(10),'Bundle Tag Info'!P$32),"")</f>
        <v/>
      </c>
      <c r="Q27" s="19" t="str">
        <f>IF('Bundle Tag Info'!Q$32&lt;&gt;"",CONCATENATE('Bundle Tag Info'!$A$1," ",CHAR(10),'Bundle Tag Info'!$A$2," ",'Bundle Tag Info'!$A$3,CHAR(10),'Bundle Tag Info'!Q$6,CHAR(10),'Bundle Tag Info'!Q$32),"")</f>
        <v/>
      </c>
      <c r="R27" s="19" t="str">
        <f>IF('Bundle Tag Info'!R$32&lt;&gt;"",CONCATENATE('Bundle Tag Info'!$A$1," ",CHAR(10),'Bundle Tag Info'!$A$2," ",'Bundle Tag Info'!$A$3,CHAR(10),'Bundle Tag Info'!R$6,CHAR(10),'Bundle Tag Info'!R$32),"")</f>
        <v/>
      </c>
      <c r="S27" s="19" t="str">
        <f>IF('Bundle Tag Info'!S$32&lt;&gt;"",CONCATENATE('Bundle Tag Info'!$A$1," ",CHAR(10),'Bundle Tag Info'!$A$2," ",'Bundle Tag Info'!$A$3,CHAR(10),'Bundle Tag Info'!S$6,CHAR(10),'Bundle Tag Info'!S$32),"")</f>
        <v/>
      </c>
      <c r="T27" s="19" t="str">
        <f>IF('Bundle Tag Info'!T$32&lt;&gt;"",CONCATENATE('Bundle Tag Info'!$A$1," ",CHAR(10),'Bundle Tag Info'!$A$2," ",'Bundle Tag Info'!$A$3,CHAR(10),'Bundle Tag Info'!T$6,CHAR(10),'Bundle Tag Info'!T$32),"")</f>
        <v/>
      </c>
      <c r="U27" s="19" t="str">
        <f>IF('Bundle Tag Info'!U$32&lt;&gt;"",CONCATENATE('Bundle Tag Info'!$A$1," ",CHAR(10),'Bundle Tag Info'!$A$2," ",'Bundle Tag Info'!$A$3,CHAR(10),'Bundle Tag Info'!U$6,CHAR(10),'Bundle Tag Info'!U$32),"")</f>
        <v/>
      </c>
      <c r="V27" s="19" t="str">
        <f>IF('Bundle Tag Info'!V$32&lt;&gt;"",CONCATENATE('Bundle Tag Info'!$A$1," ",CHAR(10),'Bundle Tag Info'!$A$2," ",'Bundle Tag Info'!$A$3,CHAR(10),'Bundle Tag Info'!V$6,CHAR(10),'Bundle Tag Info'!V$32),"")</f>
        <v/>
      </c>
      <c r="W27" s="19" t="str">
        <f>IF('Bundle Tag Info'!W$32&lt;&gt;"",CONCATENATE('Bundle Tag Info'!$A$1," ",CHAR(10),'Bundle Tag Info'!$A$2," ",'Bundle Tag Info'!$A$3,CHAR(10),'Bundle Tag Info'!W$6,CHAR(10),'Bundle Tag Info'!W$32),"")</f>
        <v/>
      </c>
      <c r="X27" s="19" t="str">
        <f>IF('Bundle Tag Info'!X$32&lt;&gt;"",CONCATENATE('Bundle Tag Info'!$A$1," ",CHAR(10),'Bundle Tag Info'!$A$2," ",'Bundle Tag Info'!$A$3,CHAR(10),'Bundle Tag Info'!X$6,CHAR(10),'Bundle Tag Info'!X$32),"")</f>
        <v/>
      </c>
      <c r="Y27" s="19" t="str">
        <f>IF('Bundle Tag Info'!Y$32&lt;&gt;"",CONCATENATE('Bundle Tag Info'!$A$1," ",CHAR(10),'Bundle Tag Info'!$A$2," ",'Bundle Tag Info'!$A$3,CHAR(10),'Bundle Tag Info'!Y$6,CHAR(10),'Bundle Tag Info'!Y$32),"")</f>
        <v/>
      </c>
      <c r="Z27" s="19" t="str">
        <f>IF('Bundle Tag Info'!Z$32&lt;&gt;"",CONCATENATE('Bundle Tag Info'!$A$1," ",CHAR(10),'Bundle Tag Info'!$A$2," ",'Bundle Tag Info'!$A$3,CHAR(10),'Bundle Tag Info'!Z$6,CHAR(10),'Bundle Tag Info'!Z$32),"")</f>
        <v/>
      </c>
      <c r="AA27" s="19" t="str">
        <f>IF('Bundle Tag Info'!AA$32&lt;&gt;"",CONCATENATE('Bundle Tag Info'!$A$1," ",CHAR(10),'Bundle Tag Info'!$A$2," ",'Bundle Tag Info'!$A$3,CHAR(10),'Bundle Tag Info'!AA$6,CHAR(10),'Bundle Tag Info'!AA$32),"")</f>
        <v/>
      </c>
      <c r="AB27" s="19" t="str">
        <f>IF('Bundle Tag Info'!AB$32&lt;&gt;"",CONCATENATE('Bundle Tag Info'!$A$1," ",CHAR(10),'Bundle Tag Info'!$A$2," ",'Bundle Tag Info'!$A$3,CHAR(10),'Bundle Tag Info'!AB$6,CHAR(10),'Bundle Tag Info'!AB$32),"")</f>
        <v/>
      </c>
      <c r="AC27" s="19" t="str">
        <f>IF('Bundle Tag Info'!AC$32&lt;&gt;"",CONCATENATE('Bundle Tag Info'!$A$1," ",CHAR(10),'Bundle Tag Info'!$A$2," ",'Bundle Tag Info'!$A$3,CHAR(10),'Bundle Tag Info'!AC$6,CHAR(10),'Bundle Tag Info'!AC$32),"")</f>
        <v/>
      </c>
      <c r="AD27" s="1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19" t="str">
        <f>IF('Bundle Tag Info'!A$33&lt;&gt;"",CONCATENATE('Bundle Tag Info'!$A$1," ",CHAR(10),'Bundle Tag Info'!$A$2," ",'Bundle Tag Info'!$A$3,CHAR(10),'Bundle Tag Info'!A$6,CHAR(10),'Bundle Tag Info'!A$33),"")</f>
        <v/>
      </c>
      <c r="B28" s="19" t="str">
        <f>IF('Bundle Tag Info'!B$33&lt;&gt;"",CONCATENATE('Bundle Tag Info'!$A$1," ",CHAR(10),'Bundle Tag Info'!$A$2," ",'Bundle Tag Info'!$A$3,CHAR(10),'Bundle Tag Info'!B$6,CHAR(10),'Bundle Tag Info'!B$33),"")</f>
        <v/>
      </c>
      <c r="C28" s="19" t="str">
        <f>IF('Bundle Tag Info'!C$33&lt;&gt;"",CONCATENATE('Bundle Tag Info'!$A$1," ",CHAR(10),'Bundle Tag Info'!$A$2," ",'Bundle Tag Info'!$A$3,CHAR(10),'Bundle Tag Info'!C$6,CHAR(10),'Bundle Tag Info'!C$33),"")</f>
        <v/>
      </c>
      <c r="D28" s="19" t="str">
        <f>IF('Bundle Tag Info'!D$33&lt;&gt;"",CONCATENATE('Bundle Tag Info'!$A$1," ",CHAR(10),'Bundle Tag Info'!$A$2," ",'Bundle Tag Info'!$A$3,CHAR(10),'Bundle Tag Info'!D$6,CHAR(10),'Bundle Tag Info'!D$33),"")</f>
        <v/>
      </c>
      <c r="E28" s="19" t="str">
        <f>IF('Bundle Tag Info'!E$33&lt;&gt;"",CONCATENATE('Bundle Tag Info'!$A$1," ",CHAR(10),'Bundle Tag Info'!$A$2," ",'Bundle Tag Info'!$A$3,CHAR(10),'Bundle Tag Info'!E$6,CHAR(10),'Bundle Tag Info'!E$33),"")</f>
        <v/>
      </c>
      <c r="F28" s="19" t="str">
        <f>IF('Bundle Tag Info'!F$33&lt;&gt;"",CONCATENATE('Bundle Tag Info'!$A$1," ",CHAR(10),'Bundle Tag Info'!$A$2," ",'Bundle Tag Info'!$A$3,CHAR(10),'Bundle Tag Info'!F$6,CHAR(10),'Bundle Tag Info'!F$33),"")</f>
        <v/>
      </c>
      <c r="G28" s="19" t="str">
        <f>IF('Bundle Tag Info'!G$33&lt;&gt;"",CONCATENATE('Bundle Tag Info'!$A$1," ",CHAR(10),'Bundle Tag Info'!$A$2," ",'Bundle Tag Info'!$A$3,CHAR(10),'Bundle Tag Info'!G$6,CHAR(10),'Bundle Tag Info'!G$33),"")</f>
        <v/>
      </c>
      <c r="H28" s="19" t="str">
        <f>IF('Bundle Tag Info'!H$33&lt;&gt;"",CONCATENATE('Bundle Tag Info'!$A$1," ",CHAR(10),'Bundle Tag Info'!$A$2," ",'Bundle Tag Info'!$A$3,CHAR(10),'Bundle Tag Info'!H$6,CHAR(10),'Bundle Tag Info'!H$33),"")</f>
        <v/>
      </c>
      <c r="I28" s="19" t="str">
        <f>IF('Bundle Tag Info'!I$33&lt;&gt;"",CONCATENATE('Bundle Tag Info'!$A$1," ",CHAR(10),'Bundle Tag Info'!$A$2," ",'Bundle Tag Info'!$A$3,CHAR(10),'Bundle Tag Info'!I$6,CHAR(10),'Bundle Tag Info'!I$33),"")</f>
        <v/>
      </c>
      <c r="J28" s="19" t="str">
        <f>IF('Bundle Tag Info'!J$33&lt;&gt;"",CONCATENATE('Bundle Tag Info'!$A$1," ",CHAR(10),'Bundle Tag Info'!$A$2," ",'Bundle Tag Info'!$A$3,CHAR(10),'Bundle Tag Info'!J$6,CHAR(10),'Bundle Tag Info'!J$33),"")</f>
        <v/>
      </c>
      <c r="K28" s="19" t="str">
        <f>IF('Bundle Tag Info'!K$33&lt;&gt;"",CONCATENATE('Bundle Tag Info'!$A$1," ",CHAR(10),'Bundle Tag Info'!$A$2," ",'Bundle Tag Info'!$A$3,CHAR(10),'Bundle Tag Info'!K$6,CHAR(10),'Bundle Tag Info'!K$33),"")</f>
        <v/>
      </c>
      <c r="L28" s="19" t="str">
        <f>IF('Bundle Tag Info'!L$33&lt;&gt;"",CONCATENATE('Bundle Tag Info'!$A$1," ",CHAR(10),'Bundle Tag Info'!$A$2," ",'Bundle Tag Info'!$A$3,CHAR(10),'Bundle Tag Info'!L$6,CHAR(10),'Bundle Tag Info'!L$33),"")</f>
        <v/>
      </c>
      <c r="M28" s="19" t="str">
        <f>IF('Bundle Tag Info'!M$33&lt;&gt;"",CONCATENATE('Bundle Tag Info'!$A$1," ",CHAR(10),'Bundle Tag Info'!$A$2," ",'Bundle Tag Info'!$A$3,CHAR(10),'Bundle Tag Info'!M$6,CHAR(10),'Bundle Tag Info'!M$33),"")</f>
        <v/>
      </c>
      <c r="N28" s="19" t="str">
        <f>IF('Bundle Tag Info'!N$33&lt;&gt;"",CONCATENATE('Bundle Tag Info'!$A$1," ",CHAR(10),'Bundle Tag Info'!$A$2," ",'Bundle Tag Info'!$A$3,CHAR(10),'Bundle Tag Info'!N$6,CHAR(10),'Bundle Tag Info'!N$33),"")</f>
        <v/>
      </c>
      <c r="O28" s="19" t="str">
        <f>IF('Bundle Tag Info'!O$33&lt;&gt;"",CONCATENATE('Bundle Tag Info'!$A$1," ",CHAR(10),'Bundle Tag Info'!$A$2," ",'Bundle Tag Info'!$A$3,CHAR(10),'Bundle Tag Info'!O$6,CHAR(10),'Bundle Tag Info'!O$33),"")</f>
        <v/>
      </c>
      <c r="P28" s="19" t="str">
        <f>IF('Bundle Tag Info'!P$33&lt;&gt;"",CONCATENATE('Bundle Tag Info'!$A$1," ",CHAR(10),'Bundle Tag Info'!$A$2," ",'Bundle Tag Info'!$A$3,CHAR(10),'Bundle Tag Info'!P$6,CHAR(10),'Bundle Tag Info'!P$33),"")</f>
        <v/>
      </c>
      <c r="Q28" s="19" t="str">
        <f>IF('Bundle Tag Info'!Q$33&lt;&gt;"",CONCATENATE('Bundle Tag Info'!$A$1," ",CHAR(10),'Bundle Tag Info'!$A$2," ",'Bundle Tag Info'!$A$3,CHAR(10),'Bundle Tag Info'!Q$6,CHAR(10),'Bundle Tag Info'!Q$33),"")</f>
        <v/>
      </c>
      <c r="R28" s="19" t="str">
        <f>IF('Bundle Tag Info'!R$33&lt;&gt;"",CONCATENATE('Bundle Tag Info'!$A$1," ",CHAR(10),'Bundle Tag Info'!$A$2," ",'Bundle Tag Info'!$A$3,CHAR(10),'Bundle Tag Info'!R$6,CHAR(10),'Bundle Tag Info'!R$33),"")</f>
        <v/>
      </c>
      <c r="S28" s="19" t="str">
        <f>IF('Bundle Tag Info'!S$33&lt;&gt;"",CONCATENATE('Bundle Tag Info'!$A$1," ",CHAR(10),'Bundle Tag Info'!$A$2," ",'Bundle Tag Info'!$A$3,CHAR(10),'Bundle Tag Info'!S$6,CHAR(10),'Bundle Tag Info'!S$33),"")</f>
        <v/>
      </c>
      <c r="T28" s="19" t="str">
        <f>IF('Bundle Tag Info'!T$33&lt;&gt;"",CONCATENATE('Bundle Tag Info'!$A$1," ",CHAR(10),'Bundle Tag Info'!$A$2," ",'Bundle Tag Info'!$A$3,CHAR(10),'Bundle Tag Info'!T$6,CHAR(10),'Bundle Tag Info'!T$33),"")</f>
        <v/>
      </c>
      <c r="U28" s="19" t="str">
        <f>IF('Bundle Tag Info'!U$33&lt;&gt;"",CONCATENATE('Bundle Tag Info'!$A$1," ",CHAR(10),'Bundle Tag Info'!$A$2," ",'Bundle Tag Info'!$A$3,CHAR(10),'Bundle Tag Info'!U$6,CHAR(10),'Bundle Tag Info'!U$33),"")</f>
        <v/>
      </c>
      <c r="V28" s="19" t="str">
        <f>IF('Bundle Tag Info'!V$33&lt;&gt;"",CONCATENATE('Bundle Tag Info'!$A$1," ",CHAR(10),'Bundle Tag Info'!$A$2," ",'Bundle Tag Info'!$A$3,CHAR(10),'Bundle Tag Info'!V$6,CHAR(10),'Bundle Tag Info'!V$33),"")</f>
        <v/>
      </c>
      <c r="W28" s="19" t="str">
        <f>IF('Bundle Tag Info'!W$33&lt;&gt;"",CONCATENATE('Bundle Tag Info'!$A$1," ",CHAR(10),'Bundle Tag Info'!$A$2," ",'Bundle Tag Info'!$A$3,CHAR(10),'Bundle Tag Info'!W$6,CHAR(10),'Bundle Tag Info'!W$33),"")</f>
        <v/>
      </c>
      <c r="X28" s="19" t="str">
        <f>IF('Bundle Tag Info'!X$33&lt;&gt;"",CONCATENATE('Bundle Tag Info'!$A$1," ",CHAR(10),'Bundle Tag Info'!$A$2," ",'Bundle Tag Info'!$A$3,CHAR(10),'Bundle Tag Info'!X$6,CHAR(10),'Bundle Tag Info'!X$33),"")</f>
        <v/>
      </c>
      <c r="Y28" s="19" t="str">
        <f>IF('Bundle Tag Info'!Y$33&lt;&gt;"",CONCATENATE('Bundle Tag Info'!$A$1," ",CHAR(10),'Bundle Tag Info'!$A$2," ",'Bundle Tag Info'!$A$3,CHAR(10),'Bundle Tag Info'!Y$6,CHAR(10),'Bundle Tag Info'!Y$33),"")</f>
        <v/>
      </c>
      <c r="Z28" s="19" t="str">
        <f>IF('Bundle Tag Info'!Z$33&lt;&gt;"",CONCATENATE('Bundle Tag Info'!$A$1," ",CHAR(10),'Bundle Tag Info'!$A$2," ",'Bundle Tag Info'!$A$3,CHAR(10),'Bundle Tag Info'!Z$6,CHAR(10),'Bundle Tag Info'!Z$33),"")</f>
        <v/>
      </c>
      <c r="AA28" s="19" t="str">
        <f>IF('Bundle Tag Info'!AA$33&lt;&gt;"",CONCATENATE('Bundle Tag Info'!$A$1," ",CHAR(10),'Bundle Tag Info'!$A$2," ",'Bundle Tag Info'!$A$3,CHAR(10),'Bundle Tag Info'!AA$6,CHAR(10),'Bundle Tag Info'!AA$33),"")</f>
        <v/>
      </c>
      <c r="AB28" s="19" t="str">
        <f>IF('Bundle Tag Info'!AB$33&lt;&gt;"",CONCATENATE('Bundle Tag Info'!$A$1," ",CHAR(10),'Bundle Tag Info'!$A$2," ",'Bundle Tag Info'!$A$3,CHAR(10),'Bundle Tag Info'!AB$6,CHAR(10),'Bundle Tag Info'!AB$33),"")</f>
        <v/>
      </c>
      <c r="AC28" s="19" t="str">
        <f>IF('Bundle Tag Info'!AC$33&lt;&gt;"",CONCATENATE('Bundle Tag Info'!$A$1," ",CHAR(10),'Bundle Tag Info'!$A$2," ",'Bundle Tag Info'!$A$3,CHAR(10),'Bundle Tag Info'!AC$6,CHAR(10),'Bundle Tag Info'!AC$33),"")</f>
        <v/>
      </c>
      <c r="AD28" s="1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19" t="str">
        <f>IF('Bundle Tag Info'!A$34&lt;&gt;"",CONCATENATE('Bundle Tag Info'!$A$1," ",CHAR(10),'Bundle Tag Info'!$A$2," ",'Bundle Tag Info'!$A$3,CHAR(10),'Bundle Tag Info'!A$6,CHAR(10),'Bundle Tag Info'!A$34),"")</f>
        <v/>
      </c>
      <c r="B29" s="19" t="str">
        <f>IF('Bundle Tag Info'!B$34&lt;&gt;"",CONCATENATE('Bundle Tag Info'!$A$1," ",CHAR(10),'Bundle Tag Info'!$A$2," ",'Bundle Tag Info'!$A$3,CHAR(10),'Bundle Tag Info'!B$6,CHAR(10),'Bundle Tag Info'!B$34),"")</f>
        <v/>
      </c>
      <c r="C29" s="19" t="str">
        <f>IF('Bundle Tag Info'!C$34&lt;&gt;"",CONCATENATE('Bundle Tag Info'!$A$1," ",CHAR(10),'Bundle Tag Info'!$A$2," ",'Bundle Tag Info'!$A$3,CHAR(10),'Bundle Tag Info'!C$6,CHAR(10),'Bundle Tag Info'!C$34),"")</f>
        <v/>
      </c>
      <c r="D29" s="19" t="str">
        <f>IF('Bundle Tag Info'!D$34&lt;&gt;"",CONCATENATE('Bundle Tag Info'!$A$1," ",CHAR(10),'Bundle Tag Info'!$A$2," ",'Bundle Tag Info'!$A$3,CHAR(10),'Bundle Tag Info'!D$6,CHAR(10),'Bundle Tag Info'!D$34),"")</f>
        <v/>
      </c>
      <c r="E29" s="19" t="str">
        <f>IF('Bundle Tag Info'!E$34&lt;&gt;"",CONCATENATE('Bundle Tag Info'!$A$1," ",CHAR(10),'Bundle Tag Info'!$A$2," ",'Bundle Tag Info'!$A$3,CHAR(10),'Bundle Tag Info'!E$6,CHAR(10),'Bundle Tag Info'!E$34),"")</f>
        <v/>
      </c>
      <c r="F29" s="19" t="str">
        <f>IF('Bundle Tag Info'!F$34&lt;&gt;"",CONCATENATE('Bundle Tag Info'!$A$1," ",CHAR(10),'Bundle Tag Info'!$A$2," ",'Bundle Tag Info'!$A$3,CHAR(10),'Bundle Tag Info'!F$6,CHAR(10),'Bundle Tag Info'!F$34),"")</f>
        <v/>
      </c>
      <c r="G29" s="19" t="str">
        <f>IF('Bundle Tag Info'!G$34&lt;&gt;"",CONCATENATE('Bundle Tag Info'!$A$1," ",CHAR(10),'Bundle Tag Info'!$A$2," ",'Bundle Tag Info'!$A$3,CHAR(10),'Bundle Tag Info'!G$6,CHAR(10),'Bundle Tag Info'!G$34),"")</f>
        <v/>
      </c>
      <c r="H29" s="19" t="str">
        <f>IF('Bundle Tag Info'!H$34&lt;&gt;"",CONCATENATE('Bundle Tag Info'!$A$1," ",CHAR(10),'Bundle Tag Info'!$A$2," ",'Bundle Tag Info'!$A$3,CHAR(10),'Bundle Tag Info'!H$6,CHAR(10),'Bundle Tag Info'!H$34),"")</f>
        <v/>
      </c>
      <c r="I29" s="19" t="str">
        <f>IF('Bundle Tag Info'!I$34&lt;&gt;"",CONCATENATE('Bundle Tag Info'!$A$1," ",CHAR(10),'Bundle Tag Info'!$A$2," ",'Bundle Tag Info'!$A$3,CHAR(10),'Bundle Tag Info'!I$6,CHAR(10),'Bundle Tag Info'!I$34),"")</f>
        <v/>
      </c>
      <c r="J29" s="19" t="str">
        <f>IF('Bundle Tag Info'!J$34&lt;&gt;"",CONCATENATE('Bundle Tag Info'!$A$1," ",CHAR(10),'Bundle Tag Info'!$A$2," ",'Bundle Tag Info'!$A$3,CHAR(10),'Bundle Tag Info'!J$6,CHAR(10),'Bundle Tag Info'!J$34),"")</f>
        <v/>
      </c>
      <c r="K29" s="19" t="str">
        <f>IF('Bundle Tag Info'!K$34&lt;&gt;"",CONCATENATE('Bundle Tag Info'!$A$1," ",CHAR(10),'Bundle Tag Info'!$A$2," ",'Bundle Tag Info'!$A$3,CHAR(10),'Bundle Tag Info'!K$6,CHAR(10),'Bundle Tag Info'!K$34),"")</f>
        <v/>
      </c>
      <c r="L29" s="19" t="str">
        <f>IF('Bundle Tag Info'!L$34&lt;&gt;"",CONCATENATE('Bundle Tag Info'!$A$1," ",CHAR(10),'Bundle Tag Info'!$A$2," ",'Bundle Tag Info'!$A$3,CHAR(10),'Bundle Tag Info'!L$6,CHAR(10),'Bundle Tag Info'!L$34),"")</f>
        <v/>
      </c>
      <c r="M29" s="19" t="str">
        <f>IF('Bundle Tag Info'!M$34&lt;&gt;"",CONCATENATE('Bundle Tag Info'!$A$1," ",CHAR(10),'Bundle Tag Info'!$A$2," ",'Bundle Tag Info'!$A$3,CHAR(10),'Bundle Tag Info'!M$6,CHAR(10),'Bundle Tag Info'!M$34),"")</f>
        <v/>
      </c>
      <c r="N29" s="19" t="str">
        <f>IF('Bundle Tag Info'!N$34&lt;&gt;"",CONCATENATE('Bundle Tag Info'!$A$1," ",CHAR(10),'Bundle Tag Info'!$A$2," ",'Bundle Tag Info'!$A$3,CHAR(10),'Bundle Tag Info'!N$6,CHAR(10),'Bundle Tag Info'!N$34),"")</f>
        <v/>
      </c>
      <c r="O29" s="19" t="str">
        <f>IF('Bundle Tag Info'!O$34&lt;&gt;"",CONCATENATE('Bundle Tag Info'!$A$1," ",CHAR(10),'Bundle Tag Info'!$A$2," ",'Bundle Tag Info'!$A$3,CHAR(10),'Bundle Tag Info'!O$6,CHAR(10),'Bundle Tag Info'!O$34),"")</f>
        <v/>
      </c>
      <c r="P29" s="19" t="str">
        <f>IF('Bundle Tag Info'!P$34&lt;&gt;"",CONCATENATE('Bundle Tag Info'!$A$1," ",CHAR(10),'Bundle Tag Info'!$A$2," ",'Bundle Tag Info'!$A$3,CHAR(10),'Bundle Tag Info'!P$6,CHAR(10),'Bundle Tag Info'!P$34),"")</f>
        <v/>
      </c>
      <c r="Q29" s="19" t="str">
        <f>IF('Bundle Tag Info'!Q$34&lt;&gt;"",CONCATENATE('Bundle Tag Info'!$A$1," ",CHAR(10),'Bundle Tag Info'!$A$2," ",'Bundle Tag Info'!$A$3,CHAR(10),'Bundle Tag Info'!Q$6,CHAR(10),'Bundle Tag Info'!Q$34),"")</f>
        <v/>
      </c>
      <c r="R29" s="19" t="str">
        <f>IF('Bundle Tag Info'!R$34&lt;&gt;"",CONCATENATE('Bundle Tag Info'!$A$1," ",CHAR(10),'Bundle Tag Info'!$A$2," ",'Bundle Tag Info'!$A$3,CHAR(10),'Bundle Tag Info'!R$6,CHAR(10),'Bundle Tag Info'!R$34),"")</f>
        <v/>
      </c>
      <c r="S29" s="19" t="str">
        <f>IF('Bundle Tag Info'!S$34&lt;&gt;"",CONCATENATE('Bundle Tag Info'!$A$1," ",CHAR(10),'Bundle Tag Info'!$A$2," ",'Bundle Tag Info'!$A$3,CHAR(10),'Bundle Tag Info'!S$6,CHAR(10),'Bundle Tag Info'!S$34),"")</f>
        <v/>
      </c>
      <c r="T29" s="19" t="str">
        <f>IF('Bundle Tag Info'!T$34&lt;&gt;"",CONCATENATE('Bundle Tag Info'!$A$1," ",CHAR(10),'Bundle Tag Info'!$A$2," ",'Bundle Tag Info'!$A$3,CHAR(10),'Bundle Tag Info'!T$6,CHAR(10),'Bundle Tag Info'!T$34),"")</f>
        <v/>
      </c>
      <c r="U29" s="19" t="str">
        <f>IF('Bundle Tag Info'!U$34&lt;&gt;"",CONCATENATE('Bundle Tag Info'!$A$1," ",CHAR(10),'Bundle Tag Info'!$A$2," ",'Bundle Tag Info'!$A$3,CHAR(10),'Bundle Tag Info'!U$6,CHAR(10),'Bundle Tag Info'!U$34),"")</f>
        <v/>
      </c>
      <c r="V29" s="19" t="str">
        <f>IF('Bundle Tag Info'!V$34&lt;&gt;"",CONCATENATE('Bundle Tag Info'!$A$1," ",CHAR(10),'Bundle Tag Info'!$A$2," ",'Bundle Tag Info'!$A$3,CHAR(10),'Bundle Tag Info'!V$6,CHAR(10),'Bundle Tag Info'!V$34),"")</f>
        <v/>
      </c>
      <c r="W29" s="19" t="str">
        <f>IF('Bundle Tag Info'!W$34&lt;&gt;"",CONCATENATE('Bundle Tag Info'!$A$1," ",CHAR(10),'Bundle Tag Info'!$A$2," ",'Bundle Tag Info'!$A$3,CHAR(10),'Bundle Tag Info'!W$6,CHAR(10),'Bundle Tag Info'!W$34),"")</f>
        <v/>
      </c>
      <c r="X29" s="19" t="str">
        <f>IF('Bundle Tag Info'!X$34&lt;&gt;"",CONCATENATE('Bundle Tag Info'!$A$1," ",CHAR(10),'Bundle Tag Info'!$A$2," ",'Bundle Tag Info'!$A$3,CHAR(10),'Bundle Tag Info'!X$6,CHAR(10),'Bundle Tag Info'!X$34),"")</f>
        <v/>
      </c>
      <c r="Y29" s="19" t="str">
        <f>IF('Bundle Tag Info'!Y$34&lt;&gt;"",CONCATENATE('Bundle Tag Info'!$A$1," ",CHAR(10),'Bundle Tag Info'!$A$2," ",'Bundle Tag Info'!$A$3,CHAR(10),'Bundle Tag Info'!Y$6,CHAR(10),'Bundle Tag Info'!Y$34),"")</f>
        <v/>
      </c>
      <c r="Z29" s="19" t="str">
        <f>IF('Bundle Tag Info'!Z$34&lt;&gt;"",CONCATENATE('Bundle Tag Info'!$A$1," ",CHAR(10),'Bundle Tag Info'!$A$2," ",'Bundle Tag Info'!$A$3,CHAR(10),'Bundle Tag Info'!Z$6,CHAR(10),'Bundle Tag Info'!Z$34),"")</f>
        <v/>
      </c>
      <c r="AA29" s="19" t="str">
        <f>IF('Bundle Tag Info'!AA$34&lt;&gt;"",CONCATENATE('Bundle Tag Info'!$A$1," ",CHAR(10),'Bundle Tag Info'!$A$2," ",'Bundle Tag Info'!$A$3,CHAR(10),'Bundle Tag Info'!AA$6,CHAR(10),'Bundle Tag Info'!AA$34),"")</f>
        <v/>
      </c>
      <c r="AB29" s="19" t="str">
        <f>IF('Bundle Tag Info'!AB$34&lt;&gt;"",CONCATENATE('Bundle Tag Info'!$A$1," ",CHAR(10),'Bundle Tag Info'!$A$2," ",'Bundle Tag Info'!$A$3,CHAR(10),'Bundle Tag Info'!AB$6,CHAR(10),'Bundle Tag Info'!AB$34),"")</f>
        <v/>
      </c>
      <c r="AC29" s="19" t="str">
        <f>IF('Bundle Tag Info'!AC$34&lt;&gt;"",CONCATENATE('Bundle Tag Info'!$A$1," ",CHAR(10),'Bundle Tag Info'!$A$2," ",'Bundle Tag Info'!$A$3,CHAR(10),'Bundle Tag Info'!AC$6,CHAR(10),'Bundle Tag Info'!AC$34),"")</f>
        <v/>
      </c>
      <c r="AD29" s="19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19" t="str">
        <f>IF('Bundle Tag Info'!A$35&lt;&gt;"",CONCATENATE('Bundle Tag Info'!$A$1," ",CHAR(10),'Bundle Tag Info'!$A$2," ",'Bundle Tag Info'!$A$3,CHAR(10),'Bundle Tag Info'!A$6,CHAR(10),'Bundle Tag Info'!A$35),"")</f>
        <v/>
      </c>
      <c r="B30" s="19" t="str">
        <f>IF('Bundle Tag Info'!B$35&lt;&gt;"",CONCATENATE('Bundle Tag Info'!$A$1," ",CHAR(10),'Bundle Tag Info'!$A$2," ",'Bundle Tag Info'!$A$3,CHAR(10),'Bundle Tag Info'!B$6,CHAR(10),'Bundle Tag Info'!B$35),"")</f>
        <v/>
      </c>
      <c r="C30" s="19" t="str">
        <f>IF('Bundle Tag Info'!C$35&lt;&gt;"",CONCATENATE('Bundle Tag Info'!$A$1," ",CHAR(10),'Bundle Tag Info'!$A$2," ",'Bundle Tag Info'!$A$3,CHAR(10),'Bundle Tag Info'!C$6,CHAR(10),'Bundle Tag Info'!C$35),"")</f>
        <v/>
      </c>
      <c r="D30" s="19" t="str">
        <f>IF('Bundle Tag Info'!D$35&lt;&gt;"",CONCATENATE('Bundle Tag Info'!$A$1," ",CHAR(10),'Bundle Tag Info'!$A$2," ",'Bundle Tag Info'!$A$3,CHAR(10),'Bundle Tag Info'!D$6,CHAR(10),'Bundle Tag Info'!D$35),"")</f>
        <v/>
      </c>
      <c r="E30" s="19" t="str">
        <f>IF('Bundle Tag Info'!E$35&lt;&gt;"",CONCATENATE('Bundle Tag Info'!$A$1," ",CHAR(10),'Bundle Tag Info'!$A$2," ",'Bundle Tag Info'!$A$3,CHAR(10),'Bundle Tag Info'!E$6,CHAR(10),'Bundle Tag Info'!E$35),"")</f>
        <v/>
      </c>
      <c r="F30" s="19" t="str">
        <f>IF('Bundle Tag Info'!F$35&lt;&gt;"",CONCATENATE('Bundle Tag Info'!$A$1," ",CHAR(10),'Bundle Tag Info'!$A$2," ",'Bundle Tag Info'!$A$3,CHAR(10),'Bundle Tag Info'!F$6,CHAR(10),'Bundle Tag Info'!F$35),"")</f>
        <v/>
      </c>
      <c r="G30" s="19" t="str">
        <f>IF('Bundle Tag Info'!G$35&lt;&gt;"",CONCATENATE('Bundle Tag Info'!$A$1," ",CHAR(10),'Bundle Tag Info'!$A$2," ",'Bundle Tag Info'!$A$3,CHAR(10),'Bundle Tag Info'!G$6,CHAR(10),'Bundle Tag Info'!G$35),"")</f>
        <v/>
      </c>
      <c r="H30" s="19" t="str">
        <f>IF('Bundle Tag Info'!H$35&lt;&gt;"",CONCATENATE('Bundle Tag Info'!$A$1," ",CHAR(10),'Bundle Tag Info'!$A$2," ",'Bundle Tag Info'!$A$3,CHAR(10),'Bundle Tag Info'!H$6,CHAR(10),'Bundle Tag Info'!H$35),"")</f>
        <v/>
      </c>
      <c r="I30" s="19" t="str">
        <f>IF('Bundle Tag Info'!I$35&lt;&gt;"",CONCATENATE('Bundle Tag Info'!$A$1," ",CHAR(10),'Bundle Tag Info'!$A$2," ",'Bundle Tag Info'!$A$3,CHAR(10),'Bundle Tag Info'!I$6,CHAR(10),'Bundle Tag Info'!I$35),"")</f>
        <v/>
      </c>
      <c r="J30" s="19" t="str">
        <f>IF('Bundle Tag Info'!J$35&lt;&gt;"",CONCATENATE('Bundle Tag Info'!$A$1," ",CHAR(10),'Bundle Tag Info'!$A$2," ",'Bundle Tag Info'!$A$3,CHAR(10),'Bundle Tag Info'!J$6,CHAR(10),'Bundle Tag Info'!J$35),"")</f>
        <v/>
      </c>
      <c r="K30" s="19" t="str">
        <f>IF('Bundle Tag Info'!K$35&lt;&gt;"",CONCATENATE('Bundle Tag Info'!$A$1," ",CHAR(10),'Bundle Tag Info'!$A$2," ",'Bundle Tag Info'!$A$3,CHAR(10),'Bundle Tag Info'!K$6,CHAR(10),'Bundle Tag Info'!K$35),"")</f>
        <v/>
      </c>
      <c r="L30" s="19" t="str">
        <f>IF('Bundle Tag Info'!L$35&lt;&gt;"",CONCATENATE('Bundle Tag Info'!$A$1," ",CHAR(10),'Bundle Tag Info'!$A$2," ",'Bundle Tag Info'!$A$3,CHAR(10),'Bundle Tag Info'!L$6,CHAR(10),'Bundle Tag Info'!L$35),"")</f>
        <v/>
      </c>
      <c r="M30" s="19" t="str">
        <f>IF('Bundle Tag Info'!M$35&lt;&gt;"",CONCATENATE('Bundle Tag Info'!$A$1," ",CHAR(10),'Bundle Tag Info'!$A$2," ",'Bundle Tag Info'!$A$3,CHAR(10),'Bundle Tag Info'!M$6,CHAR(10),'Bundle Tag Info'!M$35),"")</f>
        <v/>
      </c>
      <c r="N30" s="19" t="str">
        <f>IF('Bundle Tag Info'!N$35&lt;&gt;"",CONCATENATE('Bundle Tag Info'!$A$1," ",CHAR(10),'Bundle Tag Info'!$A$2," ",'Bundle Tag Info'!$A$3,CHAR(10),'Bundle Tag Info'!N$6,CHAR(10),'Bundle Tag Info'!N$35),"")</f>
        <v/>
      </c>
      <c r="O30" s="19" t="str">
        <f>IF('Bundle Tag Info'!O$35&lt;&gt;"",CONCATENATE('Bundle Tag Info'!$A$1," ",CHAR(10),'Bundle Tag Info'!$A$2," ",'Bundle Tag Info'!$A$3,CHAR(10),'Bundle Tag Info'!O$6,CHAR(10),'Bundle Tag Info'!O$35),"")</f>
        <v/>
      </c>
      <c r="P30" s="19" t="str">
        <f>IF('Bundle Tag Info'!P$35&lt;&gt;"",CONCATENATE('Bundle Tag Info'!$A$1," ",CHAR(10),'Bundle Tag Info'!$A$2," ",'Bundle Tag Info'!$A$3,CHAR(10),'Bundle Tag Info'!P$6,CHAR(10),'Bundle Tag Info'!P$35),"")</f>
        <v/>
      </c>
      <c r="Q30" s="19" t="str">
        <f>IF('Bundle Tag Info'!Q$35&lt;&gt;"",CONCATENATE('Bundle Tag Info'!$A$1," ",CHAR(10),'Bundle Tag Info'!$A$2," ",'Bundle Tag Info'!$A$3,CHAR(10),'Bundle Tag Info'!Q$6,CHAR(10),'Bundle Tag Info'!Q$35),"")</f>
        <v/>
      </c>
      <c r="R30" s="19" t="str">
        <f>IF('Bundle Tag Info'!R$35&lt;&gt;"",CONCATENATE('Bundle Tag Info'!$A$1," ",CHAR(10),'Bundle Tag Info'!$A$2," ",'Bundle Tag Info'!$A$3,CHAR(10),'Bundle Tag Info'!R$6,CHAR(10),'Bundle Tag Info'!R$35),"")</f>
        <v/>
      </c>
      <c r="S30" s="19" t="str">
        <f>IF('Bundle Tag Info'!S$35&lt;&gt;"",CONCATENATE('Bundle Tag Info'!$A$1," ",CHAR(10),'Bundle Tag Info'!$A$2," ",'Bundle Tag Info'!$A$3,CHAR(10),'Bundle Tag Info'!S$6,CHAR(10),'Bundle Tag Info'!S$35),"")</f>
        <v/>
      </c>
      <c r="T30" s="19" t="str">
        <f>IF('Bundle Tag Info'!T$35&lt;&gt;"",CONCATENATE('Bundle Tag Info'!$A$1," ",CHAR(10),'Bundle Tag Info'!$A$2," ",'Bundle Tag Info'!$A$3,CHAR(10),'Bundle Tag Info'!T$6,CHAR(10),'Bundle Tag Info'!T$35),"")</f>
        <v/>
      </c>
      <c r="U30" s="19" t="str">
        <f>IF('Bundle Tag Info'!U$35&lt;&gt;"",CONCATENATE('Bundle Tag Info'!$A$1," ",CHAR(10),'Bundle Tag Info'!$A$2," ",'Bundle Tag Info'!$A$3,CHAR(10),'Bundle Tag Info'!U$6,CHAR(10),'Bundle Tag Info'!U$35),"")</f>
        <v/>
      </c>
      <c r="V30" s="19" t="str">
        <f>IF('Bundle Tag Info'!V$35&lt;&gt;"",CONCATENATE('Bundle Tag Info'!$A$1," ",CHAR(10),'Bundle Tag Info'!$A$2," ",'Bundle Tag Info'!$A$3,CHAR(10),'Bundle Tag Info'!V$6,CHAR(10),'Bundle Tag Info'!V$35),"")</f>
        <v/>
      </c>
      <c r="W30" s="19" t="str">
        <f>IF('Bundle Tag Info'!W$35&lt;&gt;"",CONCATENATE('Bundle Tag Info'!$A$1," ",CHAR(10),'Bundle Tag Info'!$A$2," ",'Bundle Tag Info'!$A$3,CHAR(10),'Bundle Tag Info'!W$6,CHAR(10),'Bundle Tag Info'!W$35),"")</f>
        <v/>
      </c>
      <c r="X30" s="19" t="str">
        <f>IF('Bundle Tag Info'!X$35&lt;&gt;"",CONCATENATE('Bundle Tag Info'!$A$1," ",CHAR(10),'Bundle Tag Info'!$A$2," ",'Bundle Tag Info'!$A$3,CHAR(10),'Bundle Tag Info'!X$6,CHAR(10),'Bundle Tag Info'!X$35),"")</f>
        <v/>
      </c>
      <c r="Y30" s="19" t="str">
        <f>IF('Bundle Tag Info'!Y$35&lt;&gt;"",CONCATENATE('Bundle Tag Info'!$A$1," ",CHAR(10),'Bundle Tag Info'!$A$2," ",'Bundle Tag Info'!$A$3,CHAR(10),'Bundle Tag Info'!Y$6,CHAR(10),'Bundle Tag Info'!Y$35),"")</f>
        <v/>
      </c>
      <c r="Z30" s="19" t="str">
        <f>IF('Bundle Tag Info'!Z$35&lt;&gt;"",CONCATENATE('Bundle Tag Info'!$A$1," ",CHAR(10),'Bundle Tag Info'!$A$2," ",'Bundle Tag Info'!$A$3,CHAR(10),'Bundle Tag Info'!Z$6,CHAR(10),'Bundle Tag Info'!Z$35),"")</f>
        <v/>
      </c>
      <c r="AA30" s="19" t="str">
        <f>IF('Bundle Tag Info'!AA$35&lt;&gt;"",CONCATENATE('Bundle Tag Info'!$A$1," ",CHAR(10),'Bundle Tag Info'!$A$2," ",'Bundle Tag Info'!$A$3,CHAR(10),'Bundle Tag Info'!AA$6,CHAR(10),'Bundle Tag Info'!AA$35),"")</f>
        <v/>
      </c>
      <c r="AB30" s="19" t="str">
        <f>IF('Bundle Tag Info'!AB$35&lt;&gt;"",CONCATENATE('Bundle Tag Info'!$A$1," ",CHAR(10),'Bundle Tag Info'!$A$2," ",'Bundle Tag Info'!$A$3,CHAR(10),'Bundle Tag Info'!AB$6,CHAR(10),'Bundle Tag Info'!AB$35),"")</f>
        <v/>
      </c>
      <c r="AC30" s="19" t="str">
        <f>IF('Bundle Tag Info'!AC$35&lt;&gt;"",CONCATENATE('Bundle Tag Info'!$A$1," ",CHAR(10),'Bundle Tag Info'!$A$2," ",'Bundle Tag Info'!$A$3,CHAR(10),'Bundle Tag Info'!AC$6,CHAR(10),'Bundle Tag Info'!AC$35),"")</f>
        <v/>
      </c>
      <c r="AD30" s="1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19" t="str">
        <f>IF('Bundle Tag Info'!A$36&lt;&gt;"",CONCATENATE('Bundle Tag Info'!$A$1," ",CHAR(10),'Bundle Tag Info'!$A$2," ",'Bundle Tag Info'!$A$3,CHAR(10),'Bundle Tag Info'!A$6,CHAR(10),'Bundle Tag Info'!A$36),"")</f>
        <v/>
      </c>
      <c r="B31" s="19" t="str">
        <f>IF('Bundle Tag Info'!B$36&lt;&gt;"",CONCATENATE('Bundle Tag Info'!$A$1," ",CHAR(10),'Bundle Tag Info'!$A$2," ",'Bundle Tag Info'!$A$3,CHAR(10),'Bundle Tag Info'!B$6,CHAR(10),'Bundle Tag Info'!B$36),"")</f>
        <v/>
      </c>
      <c r="C31" s="19" t="str">
        <f>IF('Bundle Tag Info'!C$36&lt;&gt;"",CONCATENATE('Bundle Tag Info'!$A$1," ",CHAR(10),'Bundle Tag Info'!$A$2," ",'Bundle Tag Info'!$A$3,CHAR(10),'Bundle Tag Info'!C$6,CHAR(10),'Bundle Tag Info'!C$36),"")</f>
        <v/>
      </c>
      <c r="D31" s="19" t="str">
        <f>IF('Bundle Tag Info'!D$36&lt;&gt;"",CONCATENATE('Bundle Tag Info'!$A$1," ",CHAR(10),'Bundle Tag Info'!$A$2," ",'Bundle Tag Info'!$A$3,CHAR(10),'Bundle Tag Info'!D$6,CHAR(10),'Bundle Tag Info'!D$36),"")</f>
        <v/>
      </c>
      <c r="E31" s="19" t="str">
        <f>IF('Bundle Tag Info'!E$36&lt;&gt;"",CONCATENATE('Bundle Tag Info'!$A$1," ",CHAR(10),'Bundle Tag Info'!$A$2," ",'Bundle Tag Info'!$A$3,CHAR(10),'Bundle Tag Info'!E$6,CHAR(10),'Bundle Tag Info'!E$36),"")</f>
        <v/>
      </c>
      <c r="F31" s="19" t="str">
        <f>IF('Bundle Tag Info'!F$36&lt;&gt;"",CONCATENATE('Bundle Tag Info'!$A$1," ",CHAR(10),'Bundle Tag Info'!$A$2," ",'Bundle Tag Info'!$A$3,CHAR(10),'Bundle Tag Info'!F$6,CHAR(10),'Bundle Tag Info'!F$36),"")</f>
        <v/>
      </c>
      <c r="G31" s="19" t="str">
        <f>IF('Bundle Tag Info'!G$36&lt;&gt;"",CONCATENATE('Bundle Tag Info'!$A$1," ",CHAR(10),'Bundle Tag Info'!$A$2," ",'Bundle Tag Info'!$A$3,CHAR(10),'Bundle Tag Info'!G$6,CHAR(10),'Bundle Tag Info'!G$36),"")</f>
        <v/>
      </c>
      <c r="H31" s="19" t="str">
        <f>IF('Bundle Tag Info'!H$36&lt;&gt;"",CONCATENATE('Bundle Tag Info'!$A$1," ",CHAR(10),'Bundle Tag Info'!$A$2," ",'Bundle Tag Info'!$A$3,CHAR(10),'Bundle Tag Info'!H$6,CHAR(10),'Bundle Tag Info'!H$36),"")</f>
        <v/>
      </c>
      <c r="I31" s="19" t="str">
        <f>IF('Bundle Tag Info'!I$36&lt;&gt;"",CONCATENATE('Bundle Tag Info'!$A$1," ",CHAR(10),'Bundle Tag Info'!$A$2," ",'Bundle Tag Info'!$A$3,CHAR(10),'Bundle Tag Info'!I$6,CHAR(10),'Bundle Tag Info'!I$36),"")</f>
        <v/>
      </c>
      <c r="J31" s="19" t="str">
        <f>IF('Bundle Tag Info'!J$36&lt;&gt;"",CONCATENATE('Bundle Tag Info'!$A$1," ",CHAR(10),'Bundle Tag Info'!$A$2," ",'Bundle Tag Info'!$A$3,CHAR(10),'Bundle Tag Info'!J$6,CHAR(10),'Bundle Tag Info'!J$36),"")</f>
        <v/>
      </c>
      <c r="K31" s="19" t="str">
        <f>IF('Bundle Tag Info'!K$36&lt;&gt;"",CONCATENATE('Bundle Tag Info'!$A$1," ",CHAR(10),'Bundle Tag Info'!$A$2," ",'Bundle Tag Info'!$A$3,CHAR(10),'Bundle Tag Info'!K$6,CHAR(10),'Bundle Tag Info'!K$36),"")</f>
        <v/>
      </c>
      <c r="L31" s="19" t="str">
        <f>IF('Bundle Tag Info'!L$36&lt;&gt;"",CONCATENATE('Bundle Tag Info'!$A$1," ",CHAR(10),'Bundle Tag Info'!$A$2," ",'Bundle Tag Info'!$A$3,CHAR(10),'Bundle Tag Info'!L$6,CHAR(10),'Bundle Tag Info'!L$36),"")</f>
        <v/>
      </c>
      <c r="M31" s="19" t="str">
        <f>IF('Bundle Tag Info'!M$36&lt;&gt;"",CONCATENATE('Bundle Tag Info'!$A$1," ",CHAR(10),'Bundle Tag Info'!$A$2," ",'Bundle Tag Info'!$A$3,CHAR(10),'Bundle Tag Info'!M$6,CHAR(10),'Bundle Tag Info'!M$36),"")</f>
        <v/>
      </c>
      <c r="N31" s="19" t="str">
        <f>IF('Bundle Tag Info'!N$36&lt;&gt;"",CONCATENATE('Bundle Tag Info'!$A$1," ",CHAR(10),'Bundle Tag Info'!$A$2," ",'Bundle Tag Info'!$A$3,CHAR(10),'Bundle Tag Info'!N$6,CHAR(10),'Bundle Tag Info'!N$36),"")</f>
        <v/>
      </c>
      <c r="O31" s="19" t="str">
        <f>IF('Bundle Tag Info'!O$36&lt;&gt;"",CONCATENATE('Bundle Tag Info'!$A$1," ",CHAR(10),'Bundle Tag Info'!$A$2," ",'Bundle Tag Info'!$A$3,CHAR(10),'Bundle Tag Info'!O$6,CHAR(10),'Bundle Tag Info'!O$36),"")</f>
        <v/>
      </c>
      <c r="P31" s="19" t="str">
        <f>IF('Bundle Tag Info'!P$36&lt;&gt;"",CONCATENATE('Bundle Tag Info'!$A$1," ",CHAR(10),'Bundle Tag Info'!$A$2," ",'Bundle Tag Info'!$A$3,CHAR(10),'Bundle Tag Info'!P$6,CHAR(10),'Bundle Tag Info'!P$36),"")</f>
        <v/>
      </c>
      <c r="Q31" s="19" t="str">
        <f>IF('Bundle Tag Info'!Q$36&lt;&gt;"",CONCATENATE('Bundle Tag Info'!$A$1," ",CHAR(10),'Bundle Tag Info'!$A$2," ",'Bundle Tag Info'!$A$3,CHAR(10),'Bundle Tag Info'!Q$6,CHAR(10),'Bundle Tag Info'!Q$36),"")</f>
        <v/>
      </c>
      <c r="R31" s="19" t="str">
        <f>IF('Bundle Tag Info'!R$36&lt;&gt;"",CONCATENATE('Bundle Tag Info'!$A$1," ",CHAR(10),'Bundle Tag Info'!$A$2," ",'Bundle Tag Info'!$A$3,CHAR(10),'Bundle Tag Info'!R$6,CHAR(10),'Bundle Tag Info'!R$36),"")</f>
        <v/>
      </c>
      <c r="S31" s="19" t="str">
        <f>IF('Bundle Tag Info'!S$36&lt;&gt;"",CONCATENATE('Bundle Tag Info'!$A$1," ",CHAR(10),'Bundle Tag Info'!$A$2," ",'Bundle Tag Info'!$A$3,CHAR(10),'Bundle Tag Info'!S$6,CHAR(10),'Bundle Tag Info'!S$36),"")</f>
        <v/>
      </c>
      <c r="T31" s="19" t="str">
        <f>IF('Bundle Tag Info'!T$36&lt;&gt;"",CONCATENATE('Bundle Tag Info'!$A$1," ",CHAR(10),'Bundle Tag Info'!$A$2," ",'Bundle Tag Info'!$A$3,CHAR(10),'Bundle Tag Info'!T$6,CHAR(10),'Bundle Tag Info'!T$36),"")</f>
        <v/>
      </c>
      <c r="U31" s="19" t="str">
        <f>IF('Bundle Tag Info'!U$36&lt;&gt;"",CONCATENATE('Bundle Tag Info'!$A$1," ",CHAR(10),'Bundle Tag Info'!$A$2," ",'Bundle Tag Info'!$A$3,CHAR(10),'Bundle Tag Info'!U$6,CHAR(10),'Bundle Tag Info'!U$36),"")</f>
        <v/>
      </c>
      <c r="V31" s="19" t="str">
        <f>IF('Bundle Tag Info'!V$36&lt;&gt;"",CONCATENATE('Bundle Tag Info'!$A$1," ",CHAR(10),'Bundle Tag Info'!$A$2," ",'Bundle Tag Info'!$A$3,CHAR(10),'Bundle Tag Info'!V$6,CHAR(10),'Bundle Tag Info'!V$36),"")</f>
        <v/>
      </c>
      <c r="W31" s="19" t="str">
        <f>IF('Bundle Tag Info'!W$36&lt;&gt;"",CONCATENATE('Bundle Tag Info'!$A$1," ",CHAR(10),'Bundle Tag Info'!$A$2," ",'Bundle Tag Info'!$A$3,CHAR(10),'Bundle Tag Info'!W$6,CHAR(10),'Bundle Tag Info'!W$36),"")</f>
        <v/>
      </c>
      <c r="X31" s="19" t="str">
        <f>IF('Bundle Tag Info'!X$36&lt;&gt;"",CONCATENATE('Bundle Tag Info'!$A$1," ",CHAR(10),'Bundle Tag Info'!$A$2," ",'Bundle Tag Info'!$A$3,CHAR(10),'Bundle Tag Info'!X$6,CHAR(10),'Bundle Tag Info'!X$36),"")</f>
        <v/>
      </c>
      <c r="Y31" s="19" t="str">
        <f>IF('Bundle Tag Info'!Y$36&lt;&gt;"",CONCATENATE('Bundle Tag Info'!$A$1," ",CHAR(10),'Bundle Tag Info'!$A$2," ",'Bundle Tag Info'!$A$3,CHAR(10),'Bundle Tag Info'!Y$6,CHAR(10),'Bundle Tag Info'!Y$36),"")</f>
        <v/>
      </c>
      <c r="Z31" s="19" t="str">
        <f>IF('Bundle Tag Info'!Z$36&lt;&gt;"",CONCATENATE('Bundle Tag Info'!$A$1," ",CHAR(10),'Bundle Tag Info'!$A$2," ",'Bundle Tag Info'!$A$3,CHAR(10),'Bundle Tag Info'!Z$6,CHAR(10),'Bundle Tag Info'!Z$36),"")</f>
        <v/>
      </c>
      <c r="AA31" s="19" t="str">
        <f>IF('Bundle Tag Info'!AA$36&lt;&gt;"",CONCATENATE('Bundle Tag Info'!$A$1," ",CHAR(10),'Bundle Tag Info'!$A$2," ",'Bundle Tag Info'!$A$3,CHAR(10),'Bundle Tag Info'!AA$6,CHAR(10),'Bundle Tag Info'!AA$36),"")</f>
        <v/>
      </c>
      <c r="AB31" s="19" t="str">
        <f>IF('Bundle Tag Info'!AB$36&lt;&gt;"",CONCATENATE('Bundle Tag Info'!$A$1," ",CHAR(10),'Bundle Tag Info'!$A$2," ",'Bundle Tag Info'!$A$3,CHAR(10),'Bundle Tag Info'!AB$6,CHAR(10),'Bundle Tag Info'!AB$36),"")</f>
        <v/>
      </c>
      <c r="AC31" s="19" t="str">
        <f>IF('Bundle Tag Info'!AC$36&lt;&gt;"",CONCATENATE('Bundle Tag Info'!$A$1," ",CHAR(10),'Bundle Tag Info'!$A$2," ",'Bundle Tag Info'!$A$3,CHAR(10),'Bundle Tag Info'!AC$6,CHAR(10),'Bundle Tag Info'!AC$36),"")</f>
        <v/>
      </c>
      <c r="AD31" s="1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FE75-55C9-4716-944C-F27D31808764}">
  <dimension ref="A1:AD54"/>
  <sheetViews>
    <sheetView workbookViewId="0">
      <selection activeCell="C12" sqref="C12"/>
    </sheetView>
  </sheetViews>
  <sheetFormatPr defaultRowHeight="12.65" customHeight="1" x14ac:dyDescent="0.35"/>
  <cols>
    <col min="1" max="30" width="20.7265625" customWidth="1"/>
  </cols>
  <sheetData>
    <row r="1" spans="1:30" ht="12.65" customHeight="1" x14ac:dyDescent="0.35">
      <c r="A1" s="18" t="s">
        <v>1517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12.65" customHeight="1" x14ac:dyDescent="0.35">
      <c r="A2" s="19" t="str">
        <f>IF('Bundle Tag Info'!A$7&lt;&gt;"",CONCATENATE('Bundle Tag Info'!$A$1," ",CHAR(10),'Bundle Tag Info'!$A$2," ",'Bundle Tag Info'!$A$3,CHAR(10),'Bundle Tag Info'!A$6,CHAR(10),'Bundle Tag Info'!A$7),"")</f>
        <v>NOC-A #1 
J0400 A.2
CONSOLE
EL</v>
      </c>
      <c r="J2" s="19" t="str">
        <f>IF('Bundle Tag Info'!J$7&lt;&gt;"",CONCATENATE('Bundle Tag Info'!$A$1," ",CHAR(10),'Bundle Tag Info'!$A$2," ",'Bundle Tag Info'!$A$3,CHAR(10),'Bundle Tag Info'!J$6,CHAR(10),'Bundle Tag Info'!J$7),"")</f>
        <v/>
      </c>
      <c r="K2" s="19" t="str">
        <f>IF('Bundle Tag Info'!K$7&lt;&gt;"",CONCATENATE('Bundle Tag Info'!$A$1," ",CHAR(10),'Bundle Tag Info'!$A$2," ",'Bundle Tag Info'!$A$3,CHAR(10),'Bundle Tag Info'!K$6,CHAR(10),'Bundle Tag Info'!K$7),"")</f>
        <v/>
      </c>
      <c r="L2" s="19" t="str">
        <f>IF('Bundle Tag Info'!L$7&lt;&gt;"",CONCATENATE('Bundle Tag Info'!$A$1," ",CHAR(10),'Bundle Tag Info'!$A$2," ",'Bundle Tag Info'!$A$3,CHAR(10),'Bundle Tag Info'!L$6,CHAR(10),'Bundle Tag Info'!L$7),"")</f>
        <v/>
      </c>
      <c r="M2" s="19" t="str">
        <f>IF('Bundle Tag Info'!M$7&lt;&gt;"",CONCATENATE('Bundle Tag Info'!$A$1," ",CHAR(10),'Bundle Tag Info'!$A$2," ",'Bundle Tag Info'!$A$3,CHAR(10),'Bundle Tag Info'!M$6,CHAR(10),'Bundle Tag Info'!M$7),"")</f>
        <v/>
      </c>
      <c r="N2" s="19" t="str">
        <f>IF('Bundle Tag Info'!N$7&lt;&gt;"",CONCATENATE('Bundle Tag Info'!$A$1," ",CHAR(10),'Bundle Tag Info'!$A$2," ",'Bundle Tag Info'!$A$3,CHAR(10),'Bundle Tag Info'!N$6,CHAR(10),'Bundle Tag Info'!N$7),"")</f>
        <v/>
      </c>
      <c r="O2" s="19" t="str">
        <f>IF('Bundle Tag Info'!O$7&lt;&gt;"",CONCATENATE('Bundle Tag Info'!$A$1," ",CHAR(10),'Bundle Tag Info'!$A$2," ",'Bundle Tag Info'!$A$3,CHAR(10),'Bundle Tag Info'!O$6,CHAR(10),'Bundle Tag Info'!O$7),"")</f>
        <v/>
      </c>
      <c r="P2" s="19" t="str">
        <f>IF('Bundle Tag Info'!P$7&lt;&gt;"",CONCATENATE('Bundle Tag Info'!$A$1," ",CHAR(10),'Bundle Tag Info'!$A$2," ",'Bundle Tag Info'!$A$3,CHAR(10),'Bundle Tag Info'!P$6,CHAR(10),'Bundle Tag Info'!P$7),"")</f>
        <v/>
      </c>
      <c r="Q2" s="19" t="str">
        <f>IF('Bundle Tag Info'!Q$7&lt;&gt;"",CONCATENATE('Bundle Tag Info'!$A$1," ",CHAR(10),'Bundle Tag Info'!$A$2," ",'Bundle Tag Info'!$A$3,CHAR(10),'Bundle Tag Info'!Q$6,CHAR(10),'Bundle Tag Info'!Q$7),"")</f>
        <v/>
      </c>
      <c r="R2" s="19" t="str">
        <f>IF('Bundle Tag Info'!R$7&lt;&gt;"",CONCATENATE('Bundle Tag Info'!$A$1," ",CHAR(10),'Bundle Tag Info'!$A$2," ",'Bundle Tag Info'!$A$3,CHAR(10),'Bundle Tag Info'!R$6,CHAR(10),'Bundle Tag Info'!R$7),"")</f>
        <v/>
      </c>
      <c r="S2" s="19" t="str">
        <f>IF('Bundle Tag Info'!S$7&lt;&gt;"",CONCATENATE('Bundle Tag Info'!$A$1," ",CHAR(10),'Bundle Tag Info'!$A$2," ",'Bundle Tag Info'!$A$3,CHAR(10),'Bundle Tag Info'!S$6,CHAR(10),'Bundle Tag Info'!S$7),"")</f>
        <v/>
      </c>
      <c r="T2" s="19" t="str">
        <f>IF('Bundle Tag Info'!T$7&lt;&gt;"",CONCATENATE('Bundle Tag Info'!$A$1," ",CHAR(10),'Bundle Tag Info'!$A$2," ",'Bundle Tag Info'!$A$3,CHAR(10),'Bundle Tag Info'!T$6,CHAR(10),'Bundle Tag Info'!T$7),"")</f>
        <v/>
      </c>
      <c r="U2" s="19" t="str">
        <f>IF('Bundle Tag Info'!U$7&lt;&gt;"",CONCATENATE('Bundle Tag Info'!$A$1," ",CHAR(10),'Bundle Tag Info'!$A$2," ",'Bundle Tag Info'!$A$3,CHAR(10),'Bundle Tag Info'!U$6,CHAR(10),'Bundle Tag Info'!U$7),"")</f>
        <v/>
      </c>
      <c r="V2" s="19" t="str">
        <f>IF('Bundle Tag Info'!V$7&lt;&gt;"",CONCATENATE('Bundle Tag Info'!$A$1," ",CHAR(10),'Bundle Tag Info'!$A$2," ",'Bundle Tag Info'!$A$3,CHAR(10),'Bundle Tag Info'!V$6,CHAR(10),'Bundle Tag Info'!V$7),"")</f>
        <v/>
      </c>
      <c r="W2" s="19" t="str">
        <f>IF('Bundle Tag Info'!W$7&lt;&gt;"",CONCATENATE('Bundle Tag Info'!$A$1," ",CHAR(10),'Bundle Tag Info'!$A$2," ",'Bundle Tag Info'!$A$3,CHAR(10),'Bundle Tag Info'!W$6,CHAR(10),'Bundle Tag Info'!W$7),"")</f>
        <v/>
      </c>
      <c r="X2" s="19" t="str">
        <f>IF('Bundle Tag Info'!X$7&lt;&gt;"",CONCATENATE('Bundle Tag Info'!$A$1," ",CHAR(10),'Bundle Tag Info'!$A$2," ",'Bundle Tag Info'!$A$3,CHAR(10),'Bundle Tag Info'!X$6,CHAR(10),'Bundle Tag Info'!X$7),"")</f>
        <v/>
      </c>
      <c r="Y2" s="19" t="str">
        <f>IF('Bundle Tag Info'!Y$7&lt;&gt;"",CONCATENATE('Bundle Tag Info'!$A$1," ",CHAR(10),'Bundle Tag Info'!$A$2," ",'Bundle Tag Info'!$A$3,CHAR(10),'Bundle Tag Info'!Y$6,CHAR(10),'Bundle Tag Info'!Y$7),"")</f>
        <v/>
      </c>
      <c r="Z2" s="19" t="str">
        <f>IF('Bundle Tag Info'!Z$7&lt;&gt;"",CONCATENATE('Bundle Tag Info'!$A$1," ",CHAR(10),'Bundle Tag Info'!$A$2," ",'Bundle Tag Info'!$A$3,CHAR(10),'Bundle Tag Info'!Z$6,CHAR(10),'Bundle Tag Info'!Z$7),"")</f>
        <v/>
      </c>
      <c r="AA2" s="19" t="str">
        <f>IF('Bundle Tag Info'!AA$7&lt;&gt;"",CONCATENATE('Bundle Tag Info'!$A$1," ",CHAR(10),'Bundle Tag Info'!$A$2," ",'Bundle Tag Info'!$A$3,CHAR(10),'Bundle Tag Info'!AA$6,CHAR(10),'Bundle Tag Info'!AA$7),"")</f>
        <v/>
      </c>
      <c r="AB2" s="19" t="str">
        <f>IF('Bundle Tag Info'!AB$7&lt;&gt;"",CONCATENATE('Bundle Tag Info'!$A$1," ",CHAR(10),'Bundle Tag Info'!$A$2," ",'Bundle Tag Info'!$A$3,CHAR(10),'Bundle Tag Info'!AB$6,CHAR(10),'Bundle Tag Info'!AB$7),"")</f>
        <v/>
      </c>
      <c r="AC2" s="19" t="str">
        <f>IF('Bundle Tag Info'!AC$7&lt;&gt;"",CONCATENATE('Bundle Tag Info'!$A$1," ",CHAR(10),'Bundle Tag Info'!$A$2," ",'Bundle Tag Info'!$A$3,CHAR(10),'Bundle Tag Info'!AC$6,CHAR(10),'Bundle Tag Info'!AC$7),"")</f>
        <v/>
      </c>
      <c r="AD2" s="19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5" customHeight="1" x14ac:dyDescent="0.35">
      <c r="A3" s="19" t="str">
        <f>IF('Bundle Tag Info'!A$8&lt;&gt;"",CONCATENATE('Bundle Tag Info'!$A$1," ",CHAR(10),'Bundle Tag Info'!$A$2," ",'Bundle Tag Info'!$A$3,CHAR(10),'Bundle Tag Info'!A$6,CHAR(10),'Bundle Tag Info'!A$8),"")</f>
        <v>NOC-A #1 
J0400 A.2
CONSOLE
AT-PDR</v>
      </c>
      <c r="I3" s="19" t="str">
        <f>IF('Bundle Tag Info'!I$8&lt;&gt;"",CONCATENATE('Bundle Tag Info'!$A$1," ",CHAR(10),'Bundle Tag Info'!$A$2," ",'Bundle Tag Info'!$A$3,CHAR(10),'Bundle Tag Info'!I$6,CHAR(10),'Bundle Tag Info'!I$8),"")</f>
        <v/>
      </c>
      <c r="J3" s="19" t="str">
        <f>IF('Bundle Tag Info'!J$8&lt;&gt;"",CONCATENATE('Bundle Tag Info'!$A$1," ",CHAR(10),'Bundle Tag Info'!$A$2," ",'Bundle Tag Info'!$A$3,CHAR(10),'Bundle Tag Info'!J$6,CHAR(10),'Bundle Tag Info'!J$8),"")</f>
        <v/>
      </c>
      <c r="K3" s="19" t="str">
        <f>IF('Bundle Tag Info'!K$8&lt;&gt;"",CONCATENATE('Bundle Tag Info'!$A$1," ",CHAR(10),'Bundle Tag Info'!$A$2," ",'Bundle Tag Info'!$A$3,CHAR(10),'Bundle Tag Info'!K$6,CHAR(10),'Bundle Tag Info'!K$8),"")</f>
        <v/>
      </c>
      <c r="L3" s="19" t="str">
        <f>IF('Bundle Tag Info'!L$8&lt;&gt;"",CONCATENATE('Bundle Tag Info'!$A$1," ",CHAR(10),'Bundle Tag Info'!$A$2," ",'Bundle Tag Info'!$A$3,CHAR(10),'Bundle Tag Info'!L$6,CHAR(10),'Bundle Tag Info'!L$8),"")</f>
        <v/>
      </c>
      <c r="M3" s="19" t="str">
        <f>IF('Bundle Tag Info'!M$8&lt;&gt;"",CONCATENATE('Bundle Tag Info'!$A$1," ",CHAR(10),'Bundle Tag Info'!$A$2," ",'Bundle Tag Info'!$A$3,CHAR(10),'Bundle Tag Info'!M$6,CHAR(10),'Bundle Tag Info'!M$8),"")</f>
        <v/>
      </c>
      <c r="N3" s="19" t="str">
        <f>IF('Bundle Tag Info'!N$8&lt;&gt;"",CONCATENATE('Bundle Tag Info'!$A$1," ",CHAR(10),'Bundle Tag Info'!$A$2," ",'Bundle Tag Info'!$A$3,CHAR(10),'Bundle Tag Info'!N$6,CHAR(10),'Bundle Tag Info'!N$8),"")</f>
        <v/>
      </c>
      <c r="O3" s="19" t="str">
        <f>IF('Bundle Tag Info'!O$8&lt;&gt;"",CONCATENATE('Bundle Tag Info'!$A$1," ",CHAR(10),'Bundle Tag Info'!$A$2," ",'Bundle Tag Info'!$A$3,CHAR(10),'Bundle Tag Info'!O$6,CHAR(10),'Bundle Tag Info'!O$8),"")</f>
        <v/>
      </c>
      <c r="P3" s="19" t="str">
        <f>IF('Bundle Tag Info'!P$8&lt;&gt;"",CONCATENATE('Bundle Tag Info'!$A$1," ",CHAR(10),'Bundle Tag Info'!$A$2," ",'Bundle Tag Info'!$A$3,CHAR(10),'Bundle Tag Info'!P$6,CHAR(10),'Bundle Tag Info'!P$8),"")</f>
        <v/>
      </c>
      <c r="Q3" s="19" t="str">
        <f>IF('Bundle Tag Info'!Q$8&lt;&gt;"",CONCATENATE('Bundle Tag Info'!$A$1," ",CHAR(10),'Bundle Tag Info'!$A$2," ",'Bundle Tag Info'!$A$3,CHAR(10),'Bundle Tag Info'!Q$6,CHAR(10),'Bundle Tag Info'!Q$8),"")</f>
        <v/>
      </c>
      <c r="R3" s="19" t="str">
        <f>IF('Bundle Tag Info'!R$8&lt;&gt;"",CONCATENATE('Bundle Tag Info'!$A$1," ",CHAR(10),'Bundle Tag Info'!$A$2," ",'Bundle Tag Info'!$A$3,CHAR(10),'Bundle Tag Info'!R$6,CHAR(10),'Bundle Tag Info'!R$8),"")</f>
        <v/>
      </c>
      <c r="S3" s="19" t="str">
        <f>IF('Bundle Tag Info'!S$8&lt;&gt;"",CONCATENATE('Bundle Tag Info'!$A$1," ",CHAR(10),'Bundle Tag Info'!$A$2," ",'Bundle Tag Info'!$A$3,CHAR(10),'Bundle Tag Info'!S$6,CHAR(10),'Bundle Tag Info'!S$8),"")</f>
        <v/>
      </c>
      <c r="T3" s="19" t="str">
        <f>IF('Bundle Tag Info'!T$8&lt;&gt;"",CONCATENATE('Bundle Tag Info'!$A$1," ",CHAR(10),'Bundle Tag Info'!$A$2," ",'Bundle Tag Info'!$A$3,CHAR(10),'Bundle Tag Info'!T$6,CHAR(10),'Bundle Tag Info'!T$8),"")</f>
        <v/>
      </c>
      <c r="U3" s="19" t="str">
        <f>IF('Bundle Tag Info'!U$8&lt;&gt;"",CONCATENATE('Bundle Tag Info'!$A$1," ",CHAR(10),'Bundle Tag Info'!$A$2," ",'Bundle Tag Info'!$A$3,CHAR(10),'Bundle Tag Info'!U$6,CHAR(10),'Bundle Tag Info'!U$8),"")</f>
        <v/>
      </c>
      <c r="V3" s="19" t="str">
        <f>IF('Bundle Tag Info'!V$8&lt;&gt;"",CONCATENATE('Bundle Tag Info'!$A$1," ",CHAR(10),'Bundle Tag Info'!$A$2," ",'Bundle Tag Info'!$A$3,CHAR(10),'Bundle Tag Info'!V$6,CHAR(10),'Bundle Tag Info'!V$8),"")</f>
        <v/>
      </c>
      <c r="W3" s="19" t="str">
        <f>IF('Bundle Tag Info'!W$8&lt;&gt;"",CONCATENATE('Bundle Tag Info'!$A$1," ",CHAR(10),'Bundle Tag Info'!$A$2," ",'Bundle Tag Info'!$A$3,CHAR(10),'Bundle Tag Info'!W$6,CHAR(10),'Bundle Tag Info'!W$8),"")</f>
        <v/>
      </c>
      <c r="X3" s="19" t="str">
        <f>IF('Bundle Tag Info'!X$8&lt;&gt;"",CONCATENATE('Bundle Tag Info'!$A$1," ",CHAR(10),'Bundle Tag Info'!$A$2," ",'Bundle Tag Info'!$A$3,CHAR(10),'Bundle Tag Info'!X$6,CHAR(10),'Bundle Tag Info'!X$8),"")</f>
        <v/>
      </c>
      <c r="Y3" s="19" t="str">
        <f>IF('Bundle Tag Info'!Y$8&lt;&gt;"",CONCATENATE('Bundle Tag Info'!$A$1," ",CHAR(10),'Bundle Tag Info'!$A$2," ",'Bundle Tag Info'!$A$3,CHAR(10),'Bundle Tag Info'!Y$6,CHAR(10),'Bundle Tag Info'!Y$8),"")</f>
        <v/>
      </c>
      <c r="Z3" s="19" t="str">
        <f>IF('Bundle Tag Info'!Z$8&lt;&gt;"",CONCATENATE('Bundle Tag Info'!$A$1," ",CHAR(10),'Bundle Tag Info'!$A$2," ",'Bundle Tag Info'!$A$3,CHAR(10),'Bundle Tag Info'!Z$6,CHAR(10),'Bundle Tag Info'!Z$8),"")</f>
        <v/>
      </c>
      <c r="AA3" s="19" t="str">
        <f>IF('Bundle Tag Info'!AA$8&lt;&gt;"",CONCATENATE('Bundle Tag Info'!$A$1," ",CHAR(10),'Bundle Tag Info'!$A$2," ",'Bundle Tag Info'!$A$3,CHAR(10),'Bundle Tag Info'!AA$6,CHAR(10),'Bundle Tag Info'!AA$8),"")</f>
        <v/>
      </c>
      <c r="AB3" s="19" t="str">
        <f>IF('Bundle Tag Info'!AB$8&lt;&gt;"",CONCATENATE('Bundle Tag Info'!$A$1," ",CHAR(10),'Bundle Tag Info'!$A$2," ",'Bundle Tag Info'!$A$3,CHAR(10),'Bundle Tag Info'!AB$6,CHAR(10),'Bundle Tag Info'!AB$8),"")</f>
        <v/>
      </c>
      <c r="AC3" s="19" t="str">
        <f>IF('Bundle Tag Info'!AC$8&lt;&gt;"",CONCATENATE('Bundle Tag Info'!$A$1," ",CHAR(10),'Bundle Tag Info'!$A$2," ",'Bundle Tag Info'!$A$3,CHAR(10),'Bundle Tag Info'!AC$6,CHAR(10),'Bundle Tag Info'!AC$8),"")</f>
        <v/>
      </c>
      <c r="AD3" s="19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5" customHeight="1" x14ac:dyDescent="0.35">
      <c r="A4" s="19" t="str">
        <f>IF('Bundle Tag Info'!A$9&lt;&gt;"",CONCATENATE('Bundle Tag Info'!$A$1," ",CHAR(10),'Bundle Tag Info'!$A$2," ",'Bundle Tag Info'!$A$3,CHAR(10),'Bundle Tag Info'!A$6,CHAR(10),'Bundle Tag Info'!A$9),"")</f>
        <v>NOC-A #1 
J0400 A.2
CONSOLE
EL-PDR</v>
      </c>
      <c r="I4" s="19" t="str">
        <f>IF('Bundle Tag Info'!I$9&lt;&gt;"",CONCATENATE('Bundle Tag Info'!$A$1," ",CHAR(10),'Bundle Tag Info'!$A$2," ",'Bundle Tag Info'!$A$3,CHAR(10),'Bundle Tag Info'!I$6,CHAR(10),'Bundle Tag Info'!I$9),"")</f>
        <v/>
      </c>
      <c r="J4" s="19" t="str">
        <f>IF('Bundle Tag Info'!J$9&lt;&gt;"",CONCATENATE('Bundle Tag Info'!$A$1," ",CHAR(10),'Bundle Tag Info'!$A$2," ",'Bundle Tag Info'!$A$3,CHAR(10),'Bundle Tag Info'!J$6,CHAR(10),'Bundle Tag Info'!J$9),"")</f>
        <v/>
      </c>
      <c r="K4" s="19" t="str">
        <f>IF('Bundle Tag Info'!K$9&lt;&gt;"",CONCATENATE('Bundle Tag Info'!$A$1," ",CHAR(10),'Bundle Tag Info'!$A$2," ",'Bundle Tag Info'!$A$3,CHAR(10),'Bundle Tag Info'!K$6,CHAR(10),'Bundle Tag Info'!K$9),"")</f>
        <v/>
      </c>
      <c r="L4" s="19" t="str">
        <f>IF('Bundle Tag Info'!L$9&lt;&gt;"",CONCATENATE('Bundle Tag Info'!$A$1," ",CHAR(10),'Bundle Tag Info'!$A$2," ",'Bundle Tag Info'!$A$3,CHAR(10),'Bundle Tag Info'!L$6,CHAR(10),'Bundle Tag Info'!L$9),"")</f>
        <v/>
      </c>
      <c r="M4" s="19" t="str">
        <f>IF('Bundle Tag Info'!M$9&lt;&gt;"",CONCATENATE('Bundle Tag Info'!$A$1," ",CHAR(10),'Bundle Tag Info'!$A$2," ",'Bundle Tag Info'!$A$3,CHAR(10),'Bundle Tag Info'!M$6,CHAR(10),'Bundle Tag Info'!M$9),"")</f>
        <v/>
      </c>
      <c r="N4" s="19" t="str">
        <f>IF('Bundle Tag Info'!N$9&lt;&gt;"",CONCATENATE('Bundle Tag Info'!$A$1," ",CHAR(10),'Bundle Tag Info'!$A$2," ",'Bundle Tag Info'!$A$3,CHAR(10),'Bundle Tag Info'!N$6,CHAR(10),'Bundle Tag Info'!N$9),"")</f>
        <v/>
      </c>
      <c r="O4" s="19" t="str">
        <f>IF('Bundle Tag Info'!O$9&lt;&gt;"",CONCATENATE('Bundle Tag Info'!$A$1," ",CHAR(10),'Bundle Tag Info'!$A$2," ",'Bundle Tag Info'!$A$3,CHAR(10),'Bundle Tag Info'!O$6,CHAR(10),'Bundle Tag Info'!O$9),"")</f>
        <v/>
      </c>
      <c r="P4" s="19" t="str">
        <f>IF('Bundle Tag Info'!P$9&lt;&gt;"",CONCATENATE('Bundle Tag Info'!$A$1," ",CHAR(10),'Bundle Tag Info'!$A$2," ",'Bundle Tag Info'!$A$3,CHAR(10),'Bundle Tag Info'!P$6,CHAR(10),'Bundle Tag Info'!P$9),"")</f>
        <v/>
      </c>
      <c r="Q4" s="19" t="str">
        <f>IF('Bundle Tag Info'!Q$9&lt;&gt;"",CONCATENATE('Bundle Tag Info'!$A$1," ",CHAR(10),'Bundle Tag Info'!$A$2," ",'Bundle Tag Info'!$A$3,CHAR(10),'Bundle Tag Info'!Q$6,CHAR(10),'Bundle Tag Info'!Q$9),"")</f>
        <v/>
      </c>
      <c r="R4" s="19" t="str">
        <f>IF('Bundle Tag Info'!R$9&lt;&gt;"",CONCATENATE('Bundle Tag Info'!$A$1," ",CHAR(10),'Bundle Tag Info'!$A$2," ",'Bundle Tag Info'!$A$3,CHAR(10),'Bundle Tag Info'!R$6,CHAR(10),'Bundle Tag Info'!R$9),"")</f>
        <v/>
      </c>
      <c r="S4" s="19" t="str">
        <f>IF('Bundle Tag Info'!S$9&lt;&gt;"",CONCATENATE('Bundle Tag Info'!$A$1," ",CHAR(10),'Bundle Tag Info'!$A$2," ",'Bundle Tag Info'!$A$3,CHAR(10),'Bundle Tag Info'!S$6,CHAR(10),'Bundle Tag Info'!S$9),"")</f>
        <v/>
      </c>
      <c r="T4" s="19" t="str">
        <f>IF('Bundle Tag Info'!T$9&lt;&gt;"",CONCATENATE('Bundle Tag Info'!$A$1," ",CHAR(10),'Bundle Tag Info'!$A$2," ",'Bundle Tag Info'!$A$3,CHAR(10),'Bundle Tag Info'!T$6,CHAR(10),'Bundle Tag Info'!T$9),"")</f>
        <v/>
      </c>
      <c r="U4" s="19" t="str">
        <f>IF('Bundle Tag Info'!U$9&lt;&gt;"",CONCATENATE('Bundle Tag Info'!$A$1," ",CHAR(10),'Bundle Tag Info'!$A$2," ",'Bundle Tag Info'!$A$3,CHAR(10),'Bundle Tag Info'!U$6,CHAR(10),'Bundle Tag Info'!U$9),"")</f>
        <v/>
      </c>
      <c r="V4" s="19" t="str">
        <f>IF('Bundle Tag Info'!V$9&lt;&gt;"",CONCATENATE('Bundle Tag Info'!$A$1," ",CHAR(10),'Bundle Tag Info'!$A$2," ",'Bundle Tag Info'!$A$3,CHAR(10),'Bundle Tag Info'!V$6,CHAR(10),'Bundle Tag Info'!V$9),"")</f>
        <v/>
      </c>
      <c r="W4" s="19" t="str">
        <f>IF('Bundle Tag Info'!W$9&lt;&gt;"",CONCATENATE('Bundle Tag Info'!$A$1," ",CHAR(10),'Bundle Tag Info'!$A$2," ",'Bundle Tag Info'!$A$3,CHAR(10),'Bundle Tag Info'!W$6,CHAR(10),'Bundle Tag Info'!W$9),"")</f>
        <v/>
      </c>
      <c r="X4" s="19" t="str">
        <f>IF('Bundle Tag Info'!X$9&lt;&gt;"",CONCATENATE('Bundle Tag Info'!$A$1," ",CHAR(10),'Bundle Tag Info'!$A$2," ",'Bundle Tag Info'!$A$3,CHAR(10),'Bundle Tag Info'!X$6,CHAR(10),'Bundle Tag Info'!X$9),"")</f>
        <v/>
      </c>
      <c r="Y4" s="19" t="str">
        <f>IF('Bundle Tag Info'!Y$9&lt;&gt;"",CONCATENATE('Bundle Tag Info'!$A$1," ",CHAR(10),'Bundle Tag Info'!$A$2," ",'Bundle Tag Info'!$A$3,CHAR(10),'Bundle Tag Info'!Y$6,CHAR(10),'Bundle Tag Info'!Y$9),"")</f>
        <v/>
      </c>
      <c r="Z4" s="19" t="str">
        <f>IF('Bundle Tag Info'!Z$9&lt;&gt;"",CONCATENATE('Bundle Tag Info'!$A$1," ",CHAR(10),'Bundle Tag Info'!$A$2," ",'Bundle Tag Info'!$A$3,CHAR(10),'Bundle Tag Info'!Z$6,CHAR(10),'Bundle Tag Info'!Z$9),"")</f>
        <v/>
      </c>
      <c r="AA4" s="19" t="str">
        <f>IF('Bundle Tag Info'!AA$9&lt;&gt;"",CONCATENATE('Bundle Tag Info'!$A$1," ",CHAR(10),'Bundle Tag Info'!$A$2," ",'Bundle Tag Info'!$A$3,CHAR(10),'Bundle Tag Info'!AA$6,CHAR(10),'Bundle Tag Info'!AA$9),"")</f>
        <v/>
      </c>
      <c r="AB4" s="19" t="str">
        <f>IF('Bundle Tag Info'!AB$9&lt;&gt;"",CONCATENATE('Bundle Tag Info'!$A$1," ",CHAR(10),'Bundle Tag Info'!$A$2," ",'Bundle Tag Info'!$A$3,CHAR(10),'Bundle Tag Info'!AB$6,CHAR(10),'Bundle Tag Info'!AB$9),"")</f>
        <v/>
      </c>
      <c r="AC4" s="19" t="str">
        <f>IF('Bundle Tag Info'!AC$9&lt;&gt;"",CONCATENATE('Bundle Tag Info'!$A$1," ",CHAR(10),'Bundle Tag Info'!$A$2," ",'Bundle Tag Info'!$A$3,CHAR(10),'Bundle Tag Info'!AC$6,CHAR(10),'Bundle Tag Info'!AC$9),"")</f>
        <v/>
      </c>
      <c r="AD4" s="19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5" customHeight="1" x14ac:dyDescent="0.35">
      <c r="A5" s="19" t="str">
        <f>IF('Bundle Tag Info'!A$10&lt;&gt;"",CONCATENATE('Bundle Tag Info'!$A$1," ",CHAR(10),'Bundle Tag Info'!$A$2," ",'Bundle Tag Info'!$A$3,CHAR(10),'Bundle Tag Info'!A$6,CHAR(10),'Bundle Tag Info'!A$10),"")</f>
        <v>NOC-A #1 
J0400 A.2
CONSOLE
AZ-PDR</v>
      </c>
      <c r="I5" s="19" t="str">
        <f>IF('Bundle Tag Info'!I$10&lt;&gt;"",CONCATENATE('Bundle Tag Info'!$A$1," ",CHAR(10),'Bundle Tag Info'!$A$2," ",'Bundle Tag Info'!$A$3,CHAR(10),'Bundle Tag Info'!I$6,CHAR(10),'Bundle Tag Info'!I$10),"")</f>
        <v/>
      </c>
      <c r="J5" s="19" t="str">
        <f>IF('Bundle Tag Info'!J$10&lt;&gt;"",CONCATENATE('Bundle Tag Info'!$A$1," ",CHAR(10),'Bundle Tag Info'!$A$2," ",'Bundle Tag Info'!$A$3,CHAR(10),'Bundle Tag Info'!J$6,CHAR(10),'Bundle Tag Info'!J$10),"")</f>
        <v/>
      </c>
      <c r="K5" s="19" t="str">
        <f>IF('Bundle Tag Info'!K$10&lt;&gt;"",CONCATENATE('Bundle Tag Info'!$A$1," ",CHAR(10),'Bundle Tag Info'!$A$2," ",'Bundle Tag Info'!$A$3,CHAR(10),'Bundle Tag Info'!K$6,CHAR(10),'Bundle Tag Info'!K$10),"")</f>
        <v/>
      </c>
      <c r="L5" s="19" t="str">
        <f>IF('Bundle Tag Info'!L$10&lt;&gt;"",CONCATENATE('Bundle Tag Info'!$A$1," ",CHAR(10),'Bundle Tag Info'!$A$2," ",'Bundle Tag Info'!$A$3,CHAR(10),'Bundle Tag Info'!L$6,CHAR(10),'Bundle Tag Info'!L$10),"")</f>
        <v/>
      </c>
      <c r="M5" s="19" t="str">
        <f>IF('Bundle Tag Info'!M$10&lt;&gt;"",CONCATENATE('Bundle Tag Info'!$A$1," ",CHAR(10),'Bundle Tag Info'!$A$2," ",'Bundle Tag Info'!$A$3,CHAR(10),'Bundle Tag Info'!M$6,CHAR(10),'Bundle Tag Info'!M$10),"")</f>
        <v/>
      </c>
      <c r="N5" s="19" t="str">
        <f>IF('Bundle Tag Info'!N$10&lt;&gt;"",CONCATENATE('Bundle Tag Info'!$A$1," ",CHAR(10),'Bundle Tag Info'!$A$2," ",'Bundle Tag Info'!$A$3,CHAR(10),'Bundle Tag Info'!N$6,CHAR(10),'Bundle Tag Info'!N$10),"")</f>
        <v/>
      </c>
      <c r="O5" s="19" t="str">
        <f>IF('Bundle Tag Info'!O$10&lt;&gt;"",CONCATENATE('Bundle Tag Info'!$A$1," ",CHAR(10),'Bundle Tag Info'!$A$2," ",'Bundle Tag Info'!$A$3,CHAR(10),'Bundle Tag Info'!O$6,CHAR(10),'Bundle Tag Info'!O$10),"")</f>
        <v/>
      </c>
      <c r="P5" s="19" t="str">
        <f>IF('Bundle Tag Info'!P$10&lt;&gt;"",CONCATENATE('Bundle Tag Info'!$A$1," ",CHAR(10),'Bundle Tag Info'!$A$2," ",'Bundle Tag Info'!$A$3,CHAR(10),'Bundle Tag Info'!P$6,CHAR(10),'Bundle Tag Info'!P$10),"")</f>
        <v/>
      </c>
      <c r="Q5" s="19" t="str">
        <f>IF('Bundle Tag Info'!Q$10&lt;&gt;"",CONCATENATE('Bundle Tag Info'!$A$1," ",CHAR(10),'Bundle Tag Info'!$A$2," ",'Bundle Tag Info'!$A$3,CHAR(10),'Bundle Tag Info'!Q$6,CHAR(10),'Bundle Tag Info'!Q$10),"")</f>
        <v/>
      </c>
      <c r="R5" s="19" t="str">
        <f>IF('Bundle Tag Info'!R$10&lt;&gt;"",CONCATENATE('Bundle Tag Info'!$A$1," ",CHAR(10),'Bundle Tag Info'!$A$2," ",'Bundle Tag Info'!$A$3,CHAR(10),'Bundle Tag Info'!R$6,CHAR(10),'Bundle Tag Info'!R$10),"")</f>
        <v/>
      </c>
      <c r="S5" s="19" t="str">
        <f>IF('Bundle Tag Info'!S$10&lt;&gt;"",CONCATENATE('Bundle Tag Info'!$A$1," ",CHAR(10),'Bundle Tag Info'!$A$2," ",'Bundle Tag Info'!$A$3,CHAR(10),'Bundle Tag Info'!S$6,CHAR(10),'Bundle Tag Info'!S$10),"")</f>
        <v/>
      </c>
      <c r="T5" s="19" t="str">
        <f>IF('Bundle Tag Info'!T$10&lt;&gt;"",CONCATENATE('Bundle Tag Info'!$A$1," ",CHAR(10),'Bundle Tag Info'!$A$2," ",'Bundle Tag Info'!$A$3,CHAR(10),'Bundle Tag Info'!T$6,CHAR(10),'Bundle Tag Info'!T$10),"")</f>
        <v/>
      </c>
      <c r="U5" s="19" t="str">
        <f>IF('Bundle Tag Info'!U$10&lt;&gt;"",CONCATENATE('Bundle Tag Info'!$A$1," ",CHAR(10),'Bundle Tag Info'!$A$2," ",'Bundle Tag Info'!$A$3,CHAR(10),'Bundle Tag Info'!U$6,CHAR(10),'Bundle Tag Info'!U$10),"")</f>
        <v/>
      </c>
      <c r="V5" s="19" t="str">
        <f>IF('Bundle Tag Info'!V$10&lt;&gt;"",CONCATENATE('Bundle Tag Info'!$A$1," ",CHAR(10),'Bundle Tag Info'!$A$2," ",'Bundle Tag Info'!$A$3,CHAR(10),'Bundle Tag Info'!V$6,CHAR(10),'Bundle Tag Info'!V$10),"")</f>
        <v/>
      </c>
      <c r="W5" s="19" t="str">
        <f>IF('Bundle Tag Info'!W$10&lt;&gt;"",CONCATENATE('Bundle Tag Info'!$A$1," ",CHAR(10),'Bundle Tag Info'!$A$2," ",'Bundle Tag Info'!$A$3,CHAR(10),'Bundle Tag Info'!W$6,CHAR(10),'Bundle Tag Info'!W$10),"")</f>
        <v/>
      </c>
      <c r="X5" s="19" t="str">
        <f>IF('Bundle Tag Info'!X$10&lt;&gt;"",CONCATENATE('Bundle Tag Info'!$A$1," ",CHAR(10),'Bundle Tag Info'!$A$2," ",'Bundle Tag Info'!$A$3,CHAR(10),'Bundle Tag Info'!X$6,CHAR(10),'Bundle Tag Info'!X$10),"")</f>
        <v/>
      </c>
      <c r="Y5" s="19" t="str">
        <f>IF('Bundle Tag Info'!Y$10&lt;&gt;"",CONCATENATE('Bundle Tag Info'!$A$1," ",CHAR(10),'Bundle Tag Info'!$A$2," ",'Bundle Tag Info'!$A$3,CHAR(10),'Bundle Tag Info'!Y$6,CHAR(10),'Bundle Tag Info'!Y$10),"")</f>
        <v/>
      </c>
      <c r="Z5" s="19" t="str">
        <f>IF('Bundle Tag Info'!Z$10&lt;&gt;"",CONCATENATE('Bundle Tag Info'!$A$1," ",CHAR(10),'Bundle Tag Info'!$A$2," ",'Bundle Tag Info'!$A$3,CHAR(10),'Bundle Tag Info'!Z$6,CHAR(10),'Bundle Tag Info'!Z$10),"")</f>
        <v/>
      </c>
      <c r="AA5" s="19" t="str">
        <f>IF('Bundle Tag Info'!AA$10&lt;&gt;"",CONCATENATE('Bundle Tag Info'!$A$1," ",CHAR(10),'Bundle Tag Info'!$A$2," ",'Bundle Tag Info'!$A$3,CHAR(10),'Bundle Tag Info'!AA$6,CHAR(10),'Bundle Tag Info'!AA$10),"")</f>
        <v/>
      </c>
      <c r="AB5" s="19" t="str">
        <f>IF('Bundle Tag Info'!AB$10&lt;&gt;"",CONCATENATE('Bundle Tag Info'!$A$1," ",CHAR(10),'Bundle Tag Info'!$A$2," ",'Bundle Tag Info'!$A$3,CHAR(10),'Bundle Tag Info'!AB$6,CHAR(10),'Bundle Tag Info'!AB$10),"")</f>
        <v/>
      </c>
      <c r="AC5" s="19" t="str">
        <f>IF('Bundle Tag Info'!AC$10&lt;&gt;"",CONCATENATE('Bundle Tag Info'!$A$1," ",CHAR(10),'Bundle Tag Info'!$A$2," ",'Bundle Tag Info'!$A$3,CHAR(10),'Bundle Tag Info'!AC$6,CHAR(10),'Bundle Tag Info'!AC$10),"")</f>
        <v/>
      </c>
      <c r="AD5" s="19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5" customHeight="1" x14ac:dyDescent="0.35">
      <c r="A6" s="19" t="str">
        <f>IF('Bundle Tag Info'!B$7&lt;&gt;"",CONCATENATE('Bundle Tag Info'!$A$1," ",CHAR(10),'Bundle Tag Info'!$A$2," ",'Bundle Tag Info'!$A$3,CHAR(10),'Bundle Tag Info'!B$6,CHAR(10),'Bundle Tag Info'!B$7),"")</f>
        <v>NOC-A #1 
J0400 A.2
PWR SUPPLY
UJ/QS</v>
      </c>
      <c r="I6" s="19" t="str">
        <f>IF('Bundle Tag Info'!I$11&lt;&gt;"",CONCATENATE('Bundle Tag Info'!$A$1," ",CHAR(10),'Bundle Tag Info'!$A$2," ",'Bundle Tag Info'!$A$3,CHAR(10),'Bundle Tag Info'!I$6,CHAR(10),'Bundle Tag Info'!I$11),"")</f>
        <v/>
      </c>
      <c r="J6" s="19" t="str">
        <f>IF('Bundle Tag Info'!J$11&lt;&gt;"",CONCATENATE('Bundle Tag Info'!$A$1," ",CHAR(10),'Bundle Tag Info'!$A$2," ",'Bundle Tag Info'!$A$3,CHAR(10),'Bundle Tag Info'!J$6,CHAR(10),'Bundle Tag Info'!J$11),"")</f>
        <v/>
      </c>
      <c r="K6" s="19" t="str">
        <f>IF('Bundle Tag Info'!K$11&lt;&gt;"",CONCATENATE('Bundle Tag Info'!$A$1," ",CHAR(10),'Bundle Tag Info'!$A$2," ",'Bundle Tag Info'!$A$3,CHAR(10),'Bundle Tag Info'!K$6,CHAR(10),'Bundle Tag Info'!K$11),"")</f>
        <v/>
      </c>
      <c r="L6" s="19" t="str">
        <f>IF('Bundle Tag Info'!L$11&lt;&gt;"",CONCATENATE('Bundle Tag Info'!$A$1," ",CHAR(10),'Bundle Tag Info'!$A$2," ",'Bundle Tag Info'!$A$3,CHAR(10),'Bundle Tag Info'!L$6,CHAR(10),'Bundle Tag Info'!L$11),"")</f>
        <v/>
      </c>
      <c r="M6" s="19" t="str">
        <f>IF('Bundle Tag Info'!M$11&lt;&gt;"",CONCATENATE('Bundle Tag Info'!$A$1," ",CHAR(10),'Bundle Tag Info'!$A$2," ",'Bundle Tag Info'!$A$3,CHAR(10),'Bundle Tag Info'!M$6,CHAR(10),'Bundle Tag Info'!M$11),"")</f>
        <v/>
      </c>
      <c r="N6" s="19" t="str">
        <f>IF('Bundle Tag Info'!N$11&lt;&gt;"",CONCATENATE('Bundle Tag Info'!$A$1," ",CHAR(10),'Bundle Tag Info'!$A$2," ",'Bundle Tag Info'!$A$3,CHAR(10),'Bundle Tag Info'!N$6,CHAR(10),'Bundle Tag Info'!N$11),"")</f>
        <v/>
      </c>
      <c r="O6" s="19" t="str">
        <f>IF('Bundle Tag Info'!O$11&lt;&gt;"",CONCATENATE('Bundle Tag Info'!$A$1," ",CHAR(10),'Bundle Tag Info'!$A$2," ",'Bundle Tag Info'!$A$3,CHAR(10),'Bundle Tag Info'!O$6,CHAR(10),'Bundle Tag Info'!O$11),"")</f>
        <v/>
      </c>
      <c r="P6" s="19" t="str">
        <f>IF('Bundle Tag Info'!P$11&lt;&gt;"",CONCATENATE('Bundle Tag Info'!$A$1," ",CHAR(10),'Bundle Tag Info'!$A$2," ",'Bundle Tag Info'!$A$3,CHAR(10),'Bundle Tag Info'!P$6,CHAR(10),'Bundle Tag Info'!P$11),"")</f>
        <v/>
      </c>
      <c r="Q6" s="19" t="str">
        <f>IF('Bundle Tag Info'!Q$11&lt;&gt;"",CONCATENATE('Bundle Tag Info'!$A$1," ",CHAR(10),'Bundle Tag Info'!$A$2," ",'Bundle Tag Info'!$A$3,CHAR(10),'Bundle Tag Info'!Q$6,CHAR(10),'Bundle Tag Info'!Q$11),"")</f>
        <v/>
      </c>
      <c r="R6" s="19" t="str">
        <f>IF('Bundle Tag Info'!R$11&lt;&gt;"",CONCATENATE('Bundle Tag Info'!$A$1," ",CHAR(10),'Bundle Tag Info'!$A$2," ",'Bundle Tag Info'!$A$3,CHAR(10),'Bundle Tag Info'!R$6,CHAR(10),'Bundle Tag Info'!R$11),"")</f>
        <v/>
      </c>
      <c r="S6" s="19" t="str">
        <f>IF('Bundle Tag Info'!S$11&lt;&gt;"",CONCATENATE('Bundle Tag Info'!$A$1," ",CHAR(10),'Bundle Tag Info'!$A$2," ",'Bundle Tag Info'!$A$3,CHAR(10),'Bundle Tag Info'!S$6,CHAR(10),'Bundle Tag Info'!S$11),"")</f>
        <v/>
      </c>
      <c r="T6" s="19" t="str">
        <f>IF('Bundle Tag Info'!T$11&lt;&gt;"",CONCATENATE('Bundle Tag Info'!$A$1," ",CHAR(10),'Bundle Tag Info'!$A$2," ",'Bundle Tag Info'!$A$3,CHAR(10),'Bundle Tag Info'!T$6,CHAR(10),'Bundle Tag Info'!T$11),"")</f>
        <v/>
      </c>
      <c r="U6" s="19" t="str">
        <f>IF('Bundle Tag Info'!U$11&lt;&gt;"",CONCATENATE('Bundle Tag Info'!$A$1," ",CHAR(10),'Bundle Tag Info'!$A$2," ",'Bundle Tag Info'!$A$3,CHAR(10),'Bundle Tag Info'!U$6,CHAR(10),'Bundle Tag Info'!U$11),"")</f>
        <v/>
      </c>
      <c r="V6" s="19" t="str">
        <f>IF('Bundle Tag Info'!V$11&lt;&gt;"",CONCATENATE('Bundle Tag Info'!$A$1," ",CHAR(10),'Bundle Tag Info'!$A$2," ",'Bundle Tag Info'!$A$3,CHAR(10),'Bundle Tag Info'!V$6,CHAR(10),'Bundle Tag Info'!V$11),"")</f>
        <v/>
      </c>
      <c r="W6" s="19" t="str">
        <f>IF('Bundle Tag Info'!W$11&lt;&gt;"",CONCATENATE('Bundle Tag Info'!$A$1," ",CHAR(10),'Bundle Tag Info'!$A$2," ",'Bundle Tag Info'!$A$3,CHAR(10),'Bundle Tag Info'!W$6,CHAR(10),'Bundle Tag Info'!W$11),"")</f>
        <v/>
      </c>
      <c r="X6" s="19" t="str">
        <f>IF('Bundle Tag Info'!X$11&lt;&gt;"",CONCATENATE('Bundle Tag Info'!$A$1," ",CHAR(10),'Bundle Tag Info'!$A$2," ",'Bundle Tag Info'!$A$3,CHAR(10),'Bundle Tag Info'!X$6,CHAR(10),'Bundle Tag Info'!X$11),"")</f>
        <v/>
      </c>
      <c r="Y6" s="19" t="str">
        <f>IF('Bundle Tag Info'!Y$11&lt;&gt;"",CONCATENATE('Bundle Tag Info'!$A$1," ",CHAR(10),'Bundle Tag Info'!$A$2," ",'Bundle Tag Info'!$A$3,CHAR(10),'Bundle Tag Info'!Y$6,CHAR(10),'Bundle Tag Info'!Y$11),"")</f>
        <v/>
      </c>
      <c r="Z6" s="19" t="str">
        <f>IF('Bundle Tag Info'!Z$11&lt;&gt;"",CONCATENATE('Bundle Tag Info'!$A$1," ",CHAR(10),'Bundle Tag Info'!$A$2," ",'Bundle Tag Info'!$A$3,CHAR(10),'Bundle Tag Info'!Z$6,CHAR(10),'Bundle Tag Info'!Z$11),"")</f>
        <v/>
      </c>
      <c r="AA6" s="19" t="str">
        <f>IF('Bundle Tag Info'!AA$11&lt;&gt;"",CONCATENATE('Bundle Tag Info'!$A$1," ",CHAR(10),'Bundle Tag Info'!$A$2," ",'Bundle Tag Info'!$A$3,CHAR(10),'Bundle Tag Info'!AA$6,CHAR(10),'Bundle Tag Info'!AA$11),"")</f>
        <v/>
      </c>
      <c r="AB6" s="19" t="str">
        <f>IF('Bundle Tag Info'!AB$11&lt;&gt;"",CONCATENATE('Bundle Tag Info'!$A$1," ",CHAR(10),'Bundle Tag Info'!$A$2," ",'Bundle Tag Info'!$A$3,CHAR(10),'Bundle Tag Info'!AB$6,CHAR(10),'Bundle Tag Info'!AB$11),"")</f>
        <v/>
      </c>
      <c r="AC6" s="19" t="str">
        <f>IF('Bundle Tag Info'!AC$11&lt;&gt;"",CONCATENATE('Bundle Tag Info'!$A$1," ",CHAR(10),'Bundle Tag Info'!$A$2," ",'Bundle Tag Info'!$A$3,CHAR(10),'Bundle Tag Info'!AC$6,CHAR(10),'Bundle Tag Info'!AC$11),"")</f>
        <v/>
      </c>
      <c r="AD6" s="19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5" customHeight="1" x14ac:dyDescent="0.35">
      <c r="A7" s="19" t="str">
        <f>IF('Bundle Tag Info'!B$8&lt;&gt;"",CONCATENATE('Bundle Tag Info'!$A$1," ",CHAR(10),'Bundle Tag Info'!$A$2," ",'Bundle Tag Info'!$A$3,CHAR(10),'Bundle Tag Info'!B$6,CHAR(10),'Bundle Tag Info'!B$8),"")</f>
        <v>NOC-A #1 
J0400 A.2
PWR SUPPLY
UJ-LBACK</v>
      </c>
      <c r="I7" s="19" t="str">
        <f>IF('Bundle Tag Info'!I$12&lt;&gt;"",CONCATENATE('Bundle Tag Info'!$A$1," ",CHAR(10),'Bundle Tag Info'!$A$2," ",'Bundle Tag Info'!$A$3,CHAR(10),'Bundle Tag Info'!I$6,CHAR(10),'Bundle Tag Info'!I$12),"")</f>
        <v/>
      </c>
      <c r="J7" s="19" t="str">
        <f>IF('Bundle Tag Info'!J$12&lt;&gt;"",CONCATENATE('Bundle Tag Info'!$A$1," ",CHAR(10),'Bundle Tag Info'!$A$2," ",'Bundle Tag Info'!$A$3,CHAR(10),'Bundle Tag Info'!J$6,CHAR(10),'Bundle Tag Info'!J$12),"")</f>
        <v/>
      </c>
      <c r="K7" s="19" t="str">
        <f>IF('Bundle Tag Info'!K$12&lt;&gt;"",CONCATENATE('Bundle Tag Info'!$A$1," ",CHAR(10),'Bundle Tag Info'!$A$2," ",'Bundle Tag Info'!$A$3,CHAR(10),'Bundle Tag Info'!K$6,CHAR(10),'Bundle Tag Info'!K$12),"")</f>
        <v/>
      </c>
      <c r="L7" s="19" t="str">
        <f>IF('Bundle Tag Info'!L$12&lt;&gt;"",CONCATENATE('Bundle Tag Info'!$A$1," ",CHAR(10),'Bundle Tag Info'!$A$2," ",'Bundle Tag Info'!$A$3,CHAR(10),'Bundle Tag Info'!L$6,CHAR(10),'Bundle Tag Info'!L$12),"")</f>
        <v/>
      </c>
      <c r="M7" s="19" t="str">
        <f>IF('Bundle Tag Info'!M$12&lt;&gt;"",CONCATENATE('Bundle Tag Info'!$A$1," ",CHAR(10),'Bundle Tag Info'!$A$2," ",'Bundle Tag Info'!$A$3,CHAR(10),'Bundle Tag Info'!M$6,CHAR(10),'Bundle Tag Info'!M$12),"")</f>
        <v/>
      </c>
      <c r="N7" s="19" t="str">
        <f>IF('Bundle Tag Info'!N$12&lt;&gt;"",CONCATENATE('Bundle Tag Info'!$A$1," ",CHAR(10),'Bundle Tag Info'!$A$2," ",'Bundle Tag Info'!$A$3,CHAR(10),'Bundle Tag Info'!N$6,CHAR(10),'Bundle Tag Info'!N$12),"")</f>
        <v/>
      </c>
      <c r="O7" s="19" t="str">
        <f>IF('Bundle Tag Info'!O$12&lt;&gt;"",CONCATENATE('Bundle Tag Info'!$A$1," ",CHAR(10),'Bundle Tag Info'!$A$2," ",'Bundle Tag Info'!$A$3,CHAR(10),'Bundle Tag Info'!O$6,CHAR(10),'Bundle Tag Info'!O$12),"")</f>
        <v/>
      </c>
      <c r="P7" s="19" t="str">
        <f>IF('Bundle Tag Info'!P$12&lt;&gt;"",CONCATENATE('Bundle Tag Info'!$A$1," ",CHAR(10),'Bundle Tag Info'!$A$2," ",'Bundle Tag Info'!$A$3,CHAR(10),'Bundle Tag Info'!P$6,CHAR(10),'Bundle Tag Info'!P$12),"")</f>
        <v/>
      </c>
      <c r="Q7" s="19" t="str">
        <f>IF('Bundle Tag Info'!Q$12&lt;&gt;"",CONCATENATE('Bundle Tag Info'!$A$1," ",CHAR(10),'Bundle Tag Info'!$A$2," ",'Bundle Tag Info'!$A$3,CHAR(10),'Bundle Tag Info'!Q$6,CHAR(10),'Bundle Tag Info'!Q$12),"")</f>
        <v/>
      </c>
      <c r="R7" s="19" t="str">
        <f>IF('Bundle Tag Info'!R$12&lt;&gt;"",CONCATENATE('Bundle Tag Info'!$A$1," ",CHAR(10),'Bundle Tag Info'!$A$2," ",'Bundle Tag Info'!$A$3,CHAR(10),'Bundle Tag Info'!R$6,CHAR(10),'Bundle Tag Info'!R$12),"")</f>
        <v/>
      </c>
      <c r="S7" s="19" t="str">
        <f>IF('Bundle Tag Info'!S$12&lt;&gt;"",CONCATENATE('Bundle Tag Info'!$A$1," ",CHAR(10),'Bundle Tag Info'!$A$2," ",'Bundle Tag Info'!$A$3,CHAR(10),'Bundle Tag Info'!S$6,CHAR(10),'Bundle Tag Info'!S$12),"")</f>
        <v/>
      </c>
      <c r="T7" s="19" t="str">
        <f>IF('Bundle Tag Info'!T$12&lt;&gt;"",CONCATENATE('Bundle Tag Info'!$A$1," ",CHAR(10),'Bundle Tag Info'!$A$2," ",'Bundle Tag Info'!$A$3,CHAR(10),'Bundle Tag Info'!T$6,CHAR(10),'Bundle Tag Info'!T$12),"")</f>
        <v/>
      </c>
      <c r="U7" s="19" t="str">
        <f>IF('Bundle Tag Info'!U$12&lt;&gt;"",CONCATENATE('Bundle Tag Info'!$A$1," ",CHAR(10),'Bundle Tag Info'!$A$2," ",'Bundle Tag Info'!$A$3,CHAR(10),'Bundle Tag Info'!U$6,CHAR(10),'Bundle Tag Info'!U$12),"")</f>
        <v/>
      </c>
      <c r="V7" s="19" t="str">
        <f>IF('Bundle Tag Info'!V$12&lt;&gt;"",CONCATENATE('Bundle Tag Info'!$A$1," ",CHAR(10),'Bundle Tag Info'!$A$2," ",'Bundle Tag Info'!$A$3,CHAR(10),'Bundle Tag Info'!V$6,CHAR(10),'Bundle Tag Info'!V$12),"")</f>
        <v/>
      </c>
      <c r="W7" s="19" t="str">
        <f>IF('Bundle Tag Info'!W$12&lt;&gt;"",CONCATENATE('Bundle Tag Info'!$A$1," ",CHAR(10),'Bundle Tag Info'!$A$2," ",'Bundle Tag Info'!$A$3,CHAR(10),'Bundle Tag Info'!W$6,CHAR(10),'Bundle Tag Info'!W$12),"")</f>
        <v/>
      </c>
      <c r="X7" s="19" t="str">
        <f>IF('Bundle Tag Info'!X$12&lt;&gt;"",CONCATENATE('Bundle Tag Info'!$A$1," ",CHAR(10),'Bundle Tag Info'!$A$2," ",'Bundle Tag Info'!$A$3,CHAR(10),'Bundle Tag Info'!X$6,CHAR(10),'Bundle Tag Info'!X$12),"")</f>
        <v/>
      </c>
      <c r="Y7" s="19" t="str">
        <f>IF('Bundle Tag Info'!Y$12&lt;&gt;"",CONCATENATE('Bundle Tag Info'!$A$1," ",CHAR(10),'Bundle Tag Info'!$A$2," ",'Bundle Tag Info'!$A$3,CHAR(10),'Bundle Tag Info'!Y$6,CHAR(10),'Bundle Tag Info'!Y$12),"")</f>
        <v/>
      </c>
      <c r="Z7" s="19" t="str">
        <f>IF('Bundle Tag Info'!Z$12&lt;&gt;"",CONCATENATE('Bundle Tag Info'!$A$1," ",CHAR(10),'Bundle Tag Info'!$A$2," ",'Bundle Tag Info'!$A$3,CHAR(10),'Bundle Tag Info'!Z$6,CHAR(10),'Bundle Tag Info'!Z$12),"")</f>
        <v/>
      </c>
      <c r="AA7" s="19" t="str">
        <f>IF('Bundle Tag Info'!AA$12&lt;&gt;"",CONCATENATE('Bundle Tag Info'!$A$1," ",CHAR(10),'Bundle Tag Info'!$A$2," ",'Bundle Tag Info'!$A$3,CHAR(10),'Bundle Tag Info'!AA$6,CHAR(10),'Bundle Tag Info'!AA$12),"")</f>
        <v/>
      </c>
      <c r="AB7" s="19" t="str">
        <f>IF('Bundle Tag Info'!AB$12&lt;&gt;"",CONCATENATE('Bundle Tag Info'!$A$1," ",CHAR(10),'Bundle Tag Info'!$A$2," ",'Bundle Tag Info'!$A$3,CHAR(10),'Bundle Tag Info'!AB$6,CHAR(10),'Bundle Tag Info'!AB$12),"")</f>
        <v/>
      </c>
      <c r="AC7" s="19" t="str">
        <f>IF('Bundle Tag Info'!AC$12&lt;&gt;"",CONCATENATE('Bundle Tag Info'!$A$1," ",CHAR(10),'Bundle Tag Info'!$A$2," ",'Bundle Tag Info'!$A$3,CHAR(10),'Bundle Tag Info'!AC$6,CHAR(10),'Bundle Tag Info'!AC$12),"")</f>
        <v/>
      </c>
      <c r="AD7" s="19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5" customHeight="1" x14ac:dyDescent="0.35">
      <c r="A8" s="19" t="str">
        <f>IF('Bundle Tag Info'!B$9&lt;&gt;"",CONCATENATE('Bundle Tag Info'!$A$1," ",CHAR(10),'Bundle Tag Info'!$A$2," ",'Bundle Tag Info'!$A$3,CHAR(10),'Bundle Tag Info'!B$6,CHAR(10),'Bundle Tag Info'!B$9),"")</f>
        <v>NOC-A #1 
J0400 A.2
PWR SUPPLY
XT-LBACK</v>
      </c>
      <c r="I8" s="19" t="str">
        <f>IF('Bundle Tag Info'!I$13&lt;&gt;"",CONCATENATE('Bundle Tag Info'!$A$1," ",CHAR(10),'Bundle Tag Info'!$A$2," ",'Bundle Tag Info'!$A$3,CHAR(10),'Bundle Tag Info'!I$6,CHAR(10),'Bundle Tag Info'!I$13),"")</f>
        <v/>
      </c>
      <c r="J8" s="19" t="str">
        <f>IF('Bundle Tag Info'!J$13&lt;&gt;"",CONCATENATE('Bundle Tag Info'!$A$1," ",CHAR(10),'Bundle Tag Info'!$A$2," ",'Bundle Tag Info'!$A$3,CHAR(10),'Bundle Tag Info'!J$6,CHAR(10),'Bundle Tag Info'!J$13),"")</f>
        <v/>
      </c>
      <c r="K8" s="19" t="str">
        <f>IF('Bundle Tag Info'!K$13&lt;&gt;"",CONCATENATE('Bundle Tag Info'!$A$1," ",CHAR(10),'Bundle Tag Info'!$A$2," ",'Bundle Tag Info'!$A$3,CHAR(10),'Bundle Tag Info'!K$6,CHAR(10),'Bundle Tag Info'!K$13),"")</f>
        <v/>
      </c>
      <c r="L8" s="19" t="str">
        <f>IF('Bundle Tag Info'!L$13&lt;&gt;"",CONCATENATE('Bundle Tag Info'!$A$1," ",CHAR(10),'Bundle Tag Info'!$A$2," ",'Bundle Tag Info'!$A$3,CHAR(10),'Bundle Tag Info'!L$6,CHAR(10),'Bundle Tag Info'!L$13),"")</f>
        <v/>
      </c>
      <c r="M8" s="19" t="str">
        <f>IF('Bundle Tag Info'!M$13&lt;&gt;"",CONCATENATE('Bundle Tag Info'!$A$1," ",CHAR(10),'Bundle Tag Info'!$A$2," ",'Bundle Tag Info'!$A$3,CHAR(10),'Bundle Tag Info'!M$6,CHAR(10),'Bundle Tag Info'!M$13),"")</f>
        <v/>
      </c>
      <c r="N8" s="19" t="str">
        <f>IF('Bundle Tag Info'!N$13&lt;&gt;"",CONCATENATE('Bundle Tag Info'!$A$1," ",CHAR(10),'Bundle Tag Info'!$A$2," ",'Bundle Tag Info'!$A$3,CHAR(10),'Bundle Tag Info'!N$6,CHAR(10),'Bundle Tag Info'!N$13),"")</f>
        <v/>
      </c>
      <c r="O8" s="19" t="str">
        <f>IF('Bundle Tag Info'!O$13&lt;&gt;"",CONCATENATE('Bundle Tag Info'!$A$1," ",CHAR(10),'Bundle Tag Info'!$A$2," ",'Bundle Tag Info'!$A$3,CHAR(10),'Bundle Tag Info'!O$6,CHAR(10),'Bundle Tag Info'!O$13),"")</f>
        <v/>
      </c>
      <c r="P8" s="19" t="str">
        <f>IF('Bundle Tag Info'!P$13&lt;&gt;"",CONCATENATE('Bundle Tag Info'!$A$1," ",CHAR(10),'Bundle Tag Info'!$A$2," ",'Bundle Tag Info'!$A$3,CHAR(10),'Bundle Tag Info'!P$6,CHAR(10),'Bundle Tag Info'!P$13),"")</f>
        <v/>
      </c>
      <c r="Q8" s="19" t="str">
        <f>IF('Bundle Tag Info'!Q$13&lt;&gt;"",CONCATENATE('Bundle Tag Info'!$A$1," ",CHAR(10),'Bundle Tag Info'!$A$2," ",'Bundle Tag Info'!$A$3,CHAR(10),'Bundle Tag Info'!Q$6,CHAR(10),'Bundle Tag Info'!Q$13),"")</f>
        <v/>
      </c>
      <c r="R8" s="19" t="str">
        <f>IF('Bundle Tag Info'!R$13&lt;&gt;"",CONCATENATE('Bundle Tag Info'!$A$1," ",CHAR(10),'Bundle Tag Info'!$A$2," ",'Bundle Tag Info'!$A$3,CHAR(10),'Bundle Tag Info'!R$6,CHAR(10),'Bundle Tag Info'!R$13),"")</f>
        <v/>
      </c>
      <c r="S8" s="19" t="str">
        <f>IF('Bundle Tag Info'!S$13&lt;&gt;"",CONCATENATE('Bundle Tag Info'!$A$1," ",CHAR(10),'Bundle Tag Info'!$A$2," ",'Bundle Tag Info'!$A$3,CHAR(10),'Bundle Tag Info'!S$6,CHAR(10),'Bundle Tag Info'!S$13),"")</f>
        <v/>
      </c>
      <c r="T8" s="19" t="str">
        <f>IF('Bundle Tag Info'!T$13&lt;&gt;"",CONCATENATE('Bundle Tag Info'!$A$1," ",CHAR(10),'Bundle Tag Info'!$A$2," ",'Bundle Tag Info'!$A$3,CHAR(10),'Bundle Tag Info'!T$6,CHAR(10),'Bundle Tag Info'!T$13),"")</f>
        <v/>
      </c>
      <c r="U8" s="19" t="str">
        <f>IF('Bundle Tag Info'!U$13&lt;&gt;"",CONCATENATE('Bundle Tag Info'!$A$1," ",CHAR(10),'Bundle Tag Info'!$A$2," ",'Bundle Tag Info'!$A$3,CHAR(10),'Bundle Tag Info'!U$6,CHAR(10),'Bundle Tag Info'!U$13),"")</f>
        <v/>
      </c>
      <c r="V8" s="19" t="str">
        <f>IF('Bundle Tag Info'!V$13&lt;&gt;"",CONCATENATE('Bundle Tag Info'!$A$1," ",CHAR(10),'Bundle Tag Info'!$A$2," ",'Bundle Tag Info'!$A$3,CHAR(10),'Bundle Tag Info'!V$6,CHAR(10),'Bundle Tag Info'!V$13),"")</f>
        <v/>
      </c>
      <c r="W8" s="19" t="str">
        <f>IF('Bundle Tag Info'!W$13&lt;&gt;"",CONCATENATE('Bundle Tag Info'!$A$1," ",CHAR(10),'Bundle Tag Info'!$A$2," ",'Bundle Tag Info'!$A$3,CHAR(10),'Bundle Tag Info'!W$6,CHAR(10),'Bundle Tag Info'!W$13),"")</f>
        <v/>
      </c>
      <c r="X8" s="19" t="str">
        <f>IF('Bundle Tag Info'!X$13&lt;&gt;"",CONCATENATE('Bundle Tag Info'!$A$1," ",CHAR(10),'Bundle Tag Info'!$A$2," ",'Bundle Tag Info'!$A$3,CHAR(10),'Bundle Tag Info'!X$6,CHAR(10),'Bundle Tag Info'!X$13),"")</f>
        <v/>
      </c>
      <c r="Y8" s="19" t="str">
        <f>IF('Bundle Tag Info'!Y$13&lt;&gt;"",CONCATENATE('Bundle Tag Info'!$A$1," ",CHAR(10),'Bundle Tag Info'!$A$2," ",'Bundle Tag Info'!$A$3,CHAR(10),'Bundle Tag Info'!Y$6,CHAR(10),'Bundle Tag Info'!Y$13),"")</f>
        <v/>
      </c>
      <c r="Z8" s="19" t="str">
        <f>IF('Bundle Tag Info'!Z$13&lt;&gt;"",CONCATENATE('Bundle Tag Info'!$A$1," ",CHAR(10),'Bundle Tag Info'!$A$2," ",'Bundle Tag Info'!$A$3,CHAR(10),'Bundle Tag Info'!Z$6,CHAR(10),'Bundle Tag Info'!Z$13),"")</f>
        <v/>
      </c>
      <c r="AA8" s="19" t="str">
        <f>IF('Bundle Tag Info'!AA$13&lt;&gt;"",CONCATENATE('Bundle Tag Info'!$A$1," ",CHAR(10),'Bundle Tag Info'!$A$2," ",'Bundle Tag Info'!$A$3,CHAR(10),'Bundle Tag Info'!AA$6,CHAR(10),'Bundle Tag Info'!AA$13),"")</f>
        <v/>
      </c>
      <c r="AB8" s="19" t="str">
        <f>IF('Bundle Tag Info'!AB$13&lt;&gt;"",CONCATENATE('Bundle Tag Info'!$A$1," ",CHAR(10),'Bundle Tag Info'!$A$2," ",'Bundle Tag Info'!$A$3,CHAR(10),'Bundle Tag Info'!AB$6,CHAR(10),'Bundle Tag Info'!AB$13),"")</f>
        <v/>
      </c>
      <c r="AC8" s="19" t="str">
        <f>IF('Bundle Tag Info'!AC$13&lt;&gt;"",CONCATENATE('Bundle Tag Info'!$A$1," ",CHAR(10),'Bundle Tag Info'!$A$2," ",'Bundle Tag Info'!$A$3,CHAR(10),'Bundle Tag Info'!AC$6,CHAR(10),'Bundle Tag Info'!AC$13),"")</f>
        <v/>
      </c>
      <c r="AD8" s="19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5" customHeight="1" x14ac:dyDescent="0.35">
      <c r="A9" s="19" t="str">
        <f>IF('Bundle Tag Info'!B$10&lt;&gt;"",CONCATENATE('Bundle Tag Info'!$A$1," ",CHAR(10),'Bundle Tag Info'!$A$2," ",'Bundle Tag Info'!$A$3,CHAR(10),'Bundle Tag Info'!B$6,CHAR(10),'Bundle Tag Info'!B$10),"")</f>
        <v>NOC-A #1 
J0400 A.2
PWR SUPPLY
XT-LWALL</v>
      </c>
      <c r="H9" s="19" t="str">
        <f>IF('Bundle Tag Info'!H$14&lt;&gt;"",CONCATENATE('Bundle Tag Info'!$A$1," ",CHAR(10),'Bundle Tag Info'!$A$2," ",'Bundle Tag Info'!$A$3,CHAR(10),'Bundle Tag Info'!H$6,CHAR(10),'Bundle Tag Info'!H$14),"")</f>
        <v/>
      </c>
      <c r="I9" s="19" t="str">
        <f>IF('Bundle Tag Info'!I$14&lt;&gt;"",CONCATENATE('Bundle Tag Info'!$A$1," ",CHAR(10),'Bundle Tag Info'!$A$2," ",'Bundle Tag Info'!$A$3,CHAR(10),'Bundle Tag Info'!I$6,CHAR(10),'Bundle Tag Info'!I$14),"")</f>
        <v/>
      </c>
      <c r="J9" s="19" t="str">
        <f>IF('Bundle Tag Info'!J$14&lt;&gt;"",CONCATENATE('Bundle Tag Info'!$A$1," ",CHAR(10),'Bundle Tag Info'!$A$2," ",'Bundle Tag Info'!$A$3,CHAR(10),'Bundle Tag Info'!J$6,CHAR(10),'Bundle Tag Info'!J$14),"")</f>
        <v/>
      </c>
      <c r="K9" s="19" t="str">
        <f>IF('Bundle Tag Info'!K$14&lt;&gt;"",CONCATENATE('Bundle Tag Info'!$A$1," ",CHAR(10),'Bundle Tag Info'!$A$2," ",'Bundle Tag Info'!$A$3,CHAR(10),'Bundle Tag Info'!K$6,CHAR(10),'Bundle Tag Info'!K$14),"")</f>
        <v/>
      </c>
      <c r="L9" s="19" t="str">
        <f>IF('Bundle Tag Info'!L$14&lt;&gt;"",CONCATENATE('Bundle Tag Info'!$A$1," ",CHAR(10),'Bundle Tag Info'!$A$2," ",'Bundle Tag Info'!$A$3,CHAR(10),'Bundle Tag Info'!L$6,CHAR(10),'Bundle Tag Info'!L$14),"")</f>
        <v/>
      </c>
      <c r="M9" s="19" t="str">
        <f>IF('Bundle Tag Info'!M$14&lt;&gt;"",CONCATENATE('Bundle Tag Info'!$A$1," ",CHAR(10),'Bundle Tag Info'!$A$2," ",'Bundle Tag Info'!$A$3,CHAR(10),'Bundle Tag Info'!M$6,CHAR(10),'Bundle Tag Info'!M$14),"")</f>
        <v/>
      </c>
      <c r="N9" s="19" t="str">
        <f>IF('Bundle Tag Info'!N$14&lt;&gt;"",CONCATENATE('Bundle Tag Info'!$A$1," ",CHAR(10),'Bundle Tag Info'!$A$2," ",'Bundle Tag Info'!$A$3,CHAR(10),'Bundle Tag Info'!N$6,CHAR(10),'Bundle Tag Info'!N$14),"")</f>
        <v/>
      </c>
      <c r="O9" s="19" t="str">
        <f>IF('Bundle Tag Info'!O$14&lt;&gt;"",CONCATENATE('Bundle Tag Info'!$A$1," ",CHAR(10),'Bundle Tag Info'!$A$2," ",'Bundle Tag Info'!$A$3,CHAR(10),'Bundle Tag Info'!O$6,CHAR(10),'Bundle Tag Info'!O$14),"")</f>
        <v/>
      </c>
      <c r="P9" s="19" t="str">
        <f>IF('Bundle Tag Info'!P$14&lt;&gt;"",CONCATENATE('Bundle Tag Info'!$A$1," ",CHAR(10),'Bundle Tag Info'!$A$2," ",'Bundle Tag Info'!$A$3,CHAR(10),'Bundle Tag Info'!P$6,CHAR(10),'Bundle Tag Info'!P$14),"")</f>
        <v/>
      </c>
      <c r="Q9" s="19" t="str">
        <f>IF('Bundle Tag Info'!Q$14&lt;&gt;"",CONCATENATE('Bundle Tag Info'!$A$1," ",CHAR(10),'Bundle Tag Info'!$A$2," ",'Bundle Tag Info'!$A$3,CHAR(10),'Bundle Tag Info'!Q$6,CHAR(10),'Bundle Tag Info'!Q$14),"")</f>
        <v/>
      </c>
      <c r="R9" s="19" t="str">
        <f>IF('Bundle Tag Info'!R$14&lt;&gt;"",CONCATENATE('Bundle Tag Info'!$A$1," ",CHAR(10),'Bundle Tag Info'!$A$2," ",'Bundle Tag Info'!$A$3,CHAR(10),'Bundle Tag Info'!R$6,CHAR(10),'Bundle Tag Info'!R$14),"")</f>
        <v/>
      </c>
      <c r="S9" s="19" t="str">
        <f>IF('Bundle Tag Info'!S$14&lt;&gt;"",CONCATENATE('Bundle Tag Info'!$A$1," ",CHAR(10),'Bundle Tag Info'!$A$2," ",'Bundle Tag Info'!$A$3,CHAR(10),'Bundle Tag Info'!S$6,CHAR(10),'Bundle Tag Info'!S$14),"")</f>
        <v/>
      </c>
      <c r="T9" s="19" t="str">
        <f>IF('Bundle Tag Info'!T$14&lt;&gt;"",CONCATENATE('Bundle Tag Info'!$A$1," ",CHAR(10),'Bundle Tag Info'!$A$2," ",'Bundle Tag Info'!$A$3,CHAR(10),'Bundle Tag Info'!T$6,CHAR(10),'Bundle Tag Info'!T$14),"")</f>
        <v/>
      </c>
      <c r="U9" s="19" t="str">
        <f>IF('Bundle Tag Info'!U$14&lt;&gt;"",CONCATENATE('Bundle Tag Info'!$A$1," ",CHAR(10),'Bundle Tag Info'!$A$2," ",'Bundle Tag Info'!$A$3,CHAR(10),'Bundle Tag Info'!U$6,CHAR(10),'Bundle Tag Info'!U$14),"")</f>
        <v/>
      </c>
      <c r="V9" s="19" t="str">
        <f>IF('Bundle Tag Info'!V$14&lt;&gt;"",CONCATENATE('Bundle Tag Info'!$A$1," ",CHAR(10),'Bundle Tag Info'!$A$2," ",'Bundle Tag Info'!$A$3,CHAR(10),'Bundle Tag Info'!V$6,CHAR(10),'Bundle Tag Info'!V$14),"")</f>
        <v/>
      </c>
      <c r="W9" s="19" t="str">
        <f>IF('Bundle Tag Info'!W$14&lt;&gt;"",CONCATENATE('Bundle Tag Info'!$A$1," ",CHAR(10),'Bundle Tag Info'!$A$2," ",'Bundle Tag Info'!$A$3,CHAR(10),'Bundle Tag Info'!W$6,CHAR(10),'Bundle Tag Info'!W$14),"")</f>
        <v/>
      </c>
      <c r="X9" s="19" t="str">
        <f>IF('Bundle Tag Info'!X$14&lt;&gt;"",CONCATENATE('Bundle Tag Info'!$A$1," ",CHAR(10),'Bundle Tag Info'!$A$2," ",'Bundle Tag Info'!$A$3,CHAR(10),'Bundle Tag Info'!X$6,CHAR(10),'Bundle Tag Info'!X$14),"")</f>
        <v/>
      </c>
      <c r="Y9" s="19" t="str">
        <f>IF('Bundle Tag Info'!Y$14&lt;&gt;"",CONCATENATE('Bundle Tag Info'!$A$1," ",CHAR(10),'Bundle Tag Info'!$A$2," ",'Bundle Tag Info'!$A$3,CHAR(10),'Bundle Tag Info'!Y$6,CHAR(10),'Bundle Tag Info'!Y$14),"")</f>
        <v/>
      </c>
      <c r="Z9" s="19" t="str">
        <f>IF('Bundle Tag Info'!Z$14&lt;&gt;"",CONCATENATE('Bundle Tag Info'!$A$1," ",CHAR(10),'Bundle Tag Info'!$A$2," ",'Bundle Tag Info'!$A$3,CHAR(10),'Bundle Tag Info'!Z$6,CHAR(10),'Bundle Tag Info'!Z$14),"")</f>
        <v/>
      </c>
      <c r="AA9" s="19" t="str">
        <f>IF('Bundle Tag Info'!AA$14&lt;&gt;"",CONCATENATE('Bundle Tag Info'!$A$1," ",CHAR(10),'Bundle Tag Info'!$A$2," ",'Bundle Tag Info'!$A$3,CHAR(10),'Bundle Tag Info'!AA$6,CHAR(10),'Bundle Tag Info'!AA$14),"")</f>
        <v/>
      </c>
      <c r="AB9" s="19" t="str">
        <f>IF('Bundle Tag Info'!AB$14&lt;&gt;"",CONCATENATE('Bundle Tag Info'!$A$1," ",CHAR(10),'Bundle Tag Info'!$A$2," ",'Bundle Tag Info'!$A$3,CHAR(10),'Bundle Tag Info'!AB$6,CHAR(10),'Bundle Tag Info'!AB$14),"")</f>
        <v/>
      </c>
      <c r="AC9" s="19" t="str">
        <f>IF('Bundle Tag Info'!AC$14&lt;&gt;"",CONCATENATE('Bundle Tag Info'!$A$1," ",CHAR(10),'Bundle Tag Info'!$A$2," ",'Bundle Tag Info'!$A$3,CHAR(10),'Bundle Tag Info'!AC$6,CHAR(10),'Bundle Tag Info'!AC$14),"")</f>
        <v/>
      </c>
      <c r="AD9" s="19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5" customHeight="1" x14ac:dyDescent="0.35">
      <c r="A10" s="19" t="str">
        <f>IF('Bundle Tag Info'!C$7&lt;&gt;"",CONCATENATE('Bundle Tag Info'!$A$1," ",CHAR(10),'Bundle Tag Info'!$A$2," ",'Bundle Tag Info'!$A$3,CHAR(10),'Bundle Tag Info'!C$6,CHAR(10),'Bundle Tag Info'!C$7),"")</f>
        <v>NOC-A #1 
J0400 A.2
PWR DST RAIL
AT</v>
      </c>
      <c r="H10" s="19" t="str">
        <f>IF('Bundle Tag Info'!H$15&lt;&gt;"",CONCATENATE('Bundle Tag Info'!$A$1," ",CHAR(10),'Bundle Tag Info'!$A$2," ",'Bundle Tag Info'!$A$3,CHAR(10),'Bundle Tag Info'!H$6,CHAR(10),'Bundle Tag Info'!H$15),"")</f>
        <v/>
      </c>
      <c r="I10" s="19" t="str">
        <f>IF('Bundle Tag Info'!I$15&lt;&gt;"",CONCATENATE('Bundle Tag Info'!$A$1," ",CHAR(10),'Bundle Tag Info'!$A$2," ",'Bundle Tag Info'!$A$3,CHAR(10),'Bundle Tag Info'!I$6,CHAR(10),'Bundle Tag Info'!I$15),"")</f>
        <v/>
      </c>
      <c r="J10" s="19" t="str">
        <f>IF('Bundle Tag Info'!J$15&lt;&gt;"",CONCATENATE('Bundle Tag Info'!$A$1," ",CHAR(10),'Bundle Tag Info'!$A$2," ",'Bundle Tag Info'!$A$3,CHAR(10),'Bundle Tag Info'!J$6,CHAR(10),'Bundle Tag Info'!J$15),"")</f>
        <v/>
      </c>
      <c r="K10" s="19" t="str">
        <f>IF('Bundle Tag Info'!K$15&lt;&gt;"",CONCATENATE('Bundle Tag Info'!$A$1," ",CHAR(10),'Bundle Tag Info'!$A$2," ",'Bundle Tag Info'!$A$3,CHAR(10),'Bundle Tag Info'!K$6,CHAR(10),'Bundle Tag Info'!K$15),"")</f>
        <v/>
      </c>
      <c r="L10" s="19" t="str">
        <f>IF('Bundle Tag Info'!L$15&lt;&gt;"",CONCATENATE('Bundle Tag Info'!$A$1," ",CHAR(10),'Bundle Tag Info'!$A$2," ",'Bundle Tag Info'!$A$3,CHAR(10),'Bundle Tag Info'!L$6,CHAR(10),'Bundle Tag Info'!L$15),"")</f>
        <v/>
      </c>
      <c r="M10" s="19" t="str">
        <f>IF('Bundle Tag Info'!M$15&lt;&gt;"",CONCATENATE('Bundle Tag Info'!$A$1," ",CHAR(10),'Bundle Tag Info'!$A$2," ",'Bundle Tag Info'!$A$3,CHAR(10),'Bundle Tag Info'!M$6,CHAR(10),'Bundle Tag Info'!M$15),"")</f>
        <v/>
      </c>
      <c r="N10" s="19" t="str">
        <f>IF('Bundle Tag Info'!N$15&lt;&gt;"",CONCATENATE('Bundle Tag Info'!$A$1," ",CHAR(10),'Bundle Tag Info'!$A$2," ",'Bundle Tag Info'!$A$3,CHAR(10),'Bundle Tag Info'!N$6,CHAR(10),'Bundle Tag Info'!N$15),"")</f>
        <v/>
      </c>
      <c r="O10" s="19" t="str">
        <f>IF('Bundle Tag Info'!O$15&lt;&gt;"",CONCATENATE('Bundle Tag Info'!$A$1," ",CHAR(10),'Bundle Tag Info'!$A$2," ",'Bundle Tag Info'!$A$3,CHAR(10),'Bundle Tag Info'!O$6,CHAR(10),'Bundle Tag Info'!O$15),"")</f>
        <v/>
      </c>
      <c r="P10" s="19" t="str">
        <f>IF('Bundle Tag Info'!P$15&lt;&gt;"",CONCATENATE('Bundle Tag Info'!$A$1," ",CHAR(10),'Bundle Tag Info'!$A$2," ",'Bundle Tag Info'!$A$3,CHAR(10),'Bundle Tag Info'!P$6,CHAR(10),'Bundle Tag Info'!P$15),"")</f>
        <v/>
      </c>
      <c r="Q10" s="19" t="str">
        <f>IF('Bundle Tag Info'!Q$15&lt;&gt;"",CONCATENATE('Bundle Tag Info'!$A$1," ",CHAR(10),'Bundle Tag Info'!$A$2," ",'Bundle Tag Info'!$A$3,CHAR(10),'Bundle Tag Info'!Q$6,CHAR(10),'Bundle Tag Info'!Q$15),"")</f>
        <v/>
      </c>
      <c r="R10" s="19" t="str">
        <f>IF('Bundle Tag Info'!R$15&lt;&gt;"",CONCATENATE('Bundle Tag Info'!$A$1," ",CHAR(10),'Bundle Tag Info'!$A$2," ",'Bundle Tag Info'!$A$3,CHAR(10),'Bundle Tag Info'!R$6,CHAR(10),'Bundle Tag Info'!R$15),"")</f>
        <v/>
      </c>
      <c r="S10" s="19" t="str">
        <f>IF('Bundle Tag Info'!S$15&lt;&gt;"",CONCATENATE('Bundle Tag Info'!$A$1," ",CHAR(10),'Bundle Tag Info'!$A$2," ",'Bundle Tag Info'!$A$3,CHAR(10),'Bundle Tag Info'!S$6,CHAR(10),'Bundle Tag Info'!S$15),"")</f>
        <v/>
      </c>
      <c r="T10" s="19" t="str">
        <f>IF('Bundle Tag Info'!T$15&lt;&gt;"",CONCATENATE('Bundle Tag Info'!$A$1," ",CHAR(10),'Bundle Tag Info'!$A$2," ",'Bundle Tag Info'!$A$3,CHAR(10),'Bundle Tag Info'!T$6,CHAR(10),'Bundle Tag Info'!T$15),"")</f>
        <v/>
      </c>
      <c r="U10" s="19" t="str">
        <f>IF('Bundle Tag Info'!U$15&lt;&gt;"",CONCATENATE('Bundle Tag Info'!$A$1," ",CHAR(10),'Bundle Tag Info'!$A$2," ",'Bundle Tag Info'!$A$3,CHAR(10),'Bundle Tag Info'!U$6,CHAR(10),'Bundle Tag Info'!U$15),"")</f>
        <v/>
      </c>
      <c r="V10" s="19" t="str">
        <f>IF('Bundle Tag Info'!V$15&lt;&gt;"",CONCATENATE('Bundle Tag Info'!$A$1," ",CHAR(10),'Bundle Tag Info'!$A$2," ",'Bundle Tag Info'!$A$3,CHAR(10),'Bundle Tag Info'!V$6,CHAR(10),'Bundle Tag Info'!V$15),"")</f>
        <v/>
      </c>
      <c r="W10" s="19" t="str">
        <f>IF('Bundle Tag Info'!W$15&lt;&gt;"",CONCATENATE('Bundle Tag Info'!$A$1," ",CHAR(10),'Bundle Tag Info'!$A$2," ",'Bundle Tag Info'!$A$3,CHAR(10),'Bundle Tag Info'!W$6,CHAR(10),'Bundle Tag Info'!W$15),"")</f>
        <v/>
      </c>
      <c r="X10" s="19" t="str">
        <f>IF('Bundle Tag Info'!X$15&lt;&gt;"",CONCATENATE('Bundle Tag Info'!$A$1," ",CHAR(10),'Bundle Tag Info'!$A$2," ",'Bundle Tag Info'!$A$3,CHAR(10),'Bundle Tag Info'!X$6,CHAR(10),'Bundle Tag Info'!X$15),"")</f>
        <v/>
      </c>
      <c r="Y10" s="19" t="str">
        <f>IF('Bundle Tag Info'!Y$15&lt;&gt;"",CONCATENATE('Bundle Tag Info'!$A$1," ",CHAR(10),'Bundle Tag Info'!$A$2," ",'Bundle Tag Info'!$A$3,CHAR(10),'Bundle Tag Info'!Y$6,CHAR(10),'Bundle Tag Info'!Y$15),"")</f>
        <v/>
      </c>
      <c r="Z10" s="19" t="str">
        <f>IF('Bundle Tag Info'!Z$15&lt;&gt;"",CONCATENATE('Bundle Tag Info'!$A$1," ",CHAR(10),'Bundle Tag Info'!$A$2," ",'Bundle Tag Info'!$A$3,CHAR(10),'Bundle Tag Info'!Z$6,CHAR(10),'Bundle Tag Info'!Z$15),"")</f>
        <v/>
      </c>
      <c r="AA10" s="19" t="str">
        <f>IF('Bundle Tag Info'!AA$15&lt;&gt;"",CONCATENATE('Bundle Tag Info'!$A$1," ",CHAR(10),'Bundle Tag Info'!$A$2," ",'Bundle Tag Info'!$A$3,CHAR(10),'Bundle Tag Info'!AA$6,CHAR(10),'Bundle Tag Info'!AA$15),"")</f>
        <v/>
      </c>
      <c r="AB10" s="19" t="str">
        <f>IF('Bundle Tag Info'!AB$15&lt;&gt;"",CONCATENATE('Bundle Tag Info'!$A$1," ",CHAR(10),'Bundle Tag Info'!$A$2," ",'Bundle Tag Info'!$A$3,CHAR(10),'Bundle Tag Info'!AB$6,CHAR(10),'Bundle Tag Info'!AB$15),"")</f>
        <v/>
      </c>
      <c r="AC10" s="19" t="str">
        <f>IF('Bundle Tag Info'!AC$15&lt;&gt;"",CONCATENATE('Bundle Tag Info'!$A$1," ",CHAR(10),'Bundle Tag Info'!$A$2," ",'Bundle Tag Info'!$A$3,CHAR(10),'Bundle Tag Info'!AC$6,CHAR(10),'Bundle Tag Info'!AC$15),"")</f>
        <v/>
      </c>
      <c r="AD10" s="1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5" customHeight="1" x14ac:dyDescent="0.35">
      <c r="A11" s="19" t="str">
        <f>IF('Bundle Tag Info'!C$8&lt;&gt;"",CONCATENATE('Bundle Tag Info'!$A$1," ",CHAR(10),'Bundle Tag Info'!$A$2," ",'Bundle Tag Info'!$A$3,CHAR(10),'Bundle Tag Info'!C$6,CHAR(10),'Bundle Tag Info'!C$8),"")</f>
        <v>NOC-A #1 
J0400 A.2
PWR DST RAIL
FU/XT</v>
      </c>
      <c r="H11" s="19" t="str">
        <f>IF('Bundle Tag Info'!H$16&lt;&gt;"",CONCATENATE('Bundle Tag Info'!$A$1," ",CHAR(10),'Bundle Tag Info'!$A$2," ",'Bundle Tag Info'!$A$3,CHAR(10),'Bundle Tag Info'!H$6,CHAR(10),'Bundle Tag Info'!H$16),"")</f>
        <v/>
      </c>
      <c r="I11" s="19" t="str">
        <f>IF('Bundle Tag Info'!I$16&lt;&gt;"",CONCATENATE('Bundle Tag Info'!$A$1," ",CHAR(10),'Bundle Tag Info'!$A$2," ",'Bundle Tag Info'!$A$3,CHAR(10),'Bundle Tag Info'!I$6,CHAR(10),'Bundle Tag Info'!I$16),"")</f>
        <v/>
      </c>
      <c r="J11" s="19" t="str">
        <f>IF('Bundle Tag Info'!J$16&lt;&gt;"",CONCATENATE('Bundle Tag Info'!$A$1," ",CHAR(10),'Bundle Tag Info'!$A$2," ",'Bundle Tag Info'!$A$3,CHAR(10),'Bundle Tag Info'!J$6,CHAR(10),'Bundle Tag Info'!J$16),"")</f>
        <v/>
      </c>
      <c r="K11" s="19" t="str">
        <f>IF('Bundle Tag Info'!K$16&lt;&gt;"",CONCATENATE('Bundle Tag Info'!$A$1," ",CHAR(10),'Bundle Tag Info'!$A$2," ",'Bundle Tag Info'!$A$3,CHAR(10),'Bundle Tag Info'!K$6,CHAR(10),'Bundle Tag Info'!K$16),"")</f>
        <v/>
      </c>
      <c r="L11" s="19" t="str">
        <f>IF('Bundle Tag Info'!L$16&lt;&gt;"",CONCATENATE('Bundle Tag Info'!$A$1," ",CHAR(10),'Bundle Tag Info'!$A$2," ",'Bundle Tag Info'!$A$3,CHAR(10),'Bundle Tag Info'!L$6,CHAR(10),'Bundle Tag Info'!L$16),"")</f>
        <v/>
      </c>
      <c r="M11" s="19" t="str">
        <f>IF('Bundle Tag Info'!M$16&lt;&gt;"",CONCATENATE('Bundle Tag Info'!$A$1," ",CHAR(10),'Bundle Tag Info'!$A$2," ",'Bundle Tag Info'!$A$3,CHAR(10),'Bundle Tag Info'!M$6,CHAR(10),'Bundle Tag Info'!M$16),"")</f>
        <v/>
      </c>
      <c r="N11" s="19" t="str">
        <f>IF('Bundle Tag Info'!N$16&lt;&gt;"",CONCATENATE('Bundle Tag Info'!$A$1," ",CHAR(10),'Bundle Tag Info'!$A$2," ",'Bundle Tag Info'!$A$3,CHAR(10),'Bundle Tag Info'!N$6,CHAR(10),'Bundle Tag Info'!N$16),"")</f>
        <v/>
      </c>
      <c r="O11" s="19" t="str">
        <f>IF('Bundle Tag Info'!O$16&lt;&gt;"",CONCATENATE('Bundle Tag Info'!$A$1," ",CHAR(10),'Bundle Tag Info'!$A$2," ",'Bundle Tag Info'!$A$3,CHAR(10),'Bundle Tag Info'!O$6,CHAR(10),'Bundle Tag Info'!O$16),"")</f>
        <v/>
      </c>
      <c r="P11" s="19" t="str">
        <f>IF('Bundle Tag Info'!P$16&lt;&gt;"",CONCATENATE('Bundle Tag Info'!$A$1," ",CHAR(10),'Bundle Tag Info'!$A$2," ",'Bundle Tag Info'!$A$3,CHAR(10),'Bundle Tag Info'!P$6,CHAR(10),'Bundle Tag Info'!P$16),"")</f>
        <v/>
      </c>
      <c r="Q11" s="19" t="str">
        <f>IF('Bundle Tag Info'!Q$16&lt;&gt;"",CONCATENATE('Bundle Tag Info'!$A$1," ",CHAR(10),'Bundle Tag Info'!$A$2," ",'Bundle Tag Info'!$A$3,CHAR(10),'Bundle Tag Info'!Q$6,CHAR(10),'Bundle Tag Info'!Q$16),"")</f>
        <v/>
      </c>
      <c r="R11" s="19" t="str">
        <f>IF('Bundle Tag Info'!R$16&lt;&gt;"",CONCATENATE('Bundle Tag Info'!$A$1," ",CHAR(10),'Bundle Tag Info'!$A$2," ",'Bundle Tag Info'!$A$3,CHAR(10),'Bundle Tag Info'!R$6,CHAR(10),'Bundle Tag Info'!R$16),"")</f>
        <v/>
      </c>
      <c r="S11" s="19" t="str">
        <f>IF('Bundle Tag Info'!S$16&lt;&gt;"",CONCATENATE('Bundle Tag Info'!$A$1," ",CHAR(10),'Bundle Tag Info'!$A$2," ",'Bundle Tag Info'!$A$3,CHAR(10),'Bundle Tag Info'!S$6,CHAR(10),'Bundle Tag Info'!S$16),"")</f>
        <v/>
      </c>
      <c r="T11" s="19" t="str">
        <f>IF('Bundle Tag Info'!T$16&lt;&gt;"",CONCATENATE('Bundle Tag Info'!$A$1," ",CHAR(10),'Bundle Tag Info'!$A$2," ",'Bundle Tag Info'!$A$3,CHAR(10),'Bundle Tag Info'!T$6,CHAR(10),'Bundle Tag Info'!T$16),"")</f>
        <v/>
      </c>
      <c r="U11" s="19" t="str">
        <f>IF('Bundle Tag Info'!U$16&lt;&gt;"",CONCATENATE('Bundle Tag Info'!$A$1," ",CHAR(10),'Bundle Tag Info'!$A$2," ",'Bundle Tag Info'!$A$3,CHAR(10),'Bundle Tag Info'!U$6,CHAR(10),'Bundle Tag Info'!U$16),"")</f>
        <v/>
      </c>
      <c r="V11" s="19" t="str">
        <f>IF('Bundle Tag Info'!V$16&lt;&gt;"",CONCATENATE('Bundle Tag Info'!$A$1," ",CHAR(10),'Bundle Tag Info'!$A$2," ",'Bundle Tag Info'!$A$3,CHAR(10),'Bundle Tag Info'!V$6,CHAR(10),'Bundle Tag Info'!V$16),"")</f>
        <v/>
      </c>
      <c r="W11" s="19" t="str">
        <f>IF('Bundle Tag Info'!W$16&lt;&gt;"",CONCATENATE('Bundle Tag Info'!$A$1," ",CHAR(10),'Bundle Tag Info'!$A$2," ",'Bundle Tag Info'!$A$3,CHAR(10),'Bundle Tag Info'!W$6,CHAR(10),'Bundle Tag Info'!W$16),"")</f>
        <v/>
      </c>
      <c r="X11" s="19" t="str">
        <f>IF('Bundle Tag Info'!X$16&lt;&gt;"",CONCATENATE('Bundle Tag Info'!$A$1," ",CHAR(10),'Bundle Tag Info'!$A$2," ",'Bundle Tag Info'!$A$3,CHAR(10),'Bundle Tag Info'!X$6,CHAR(10),'Bundle Tag Info'!X$16),"")</f>
        <v/>
      </c>
      <c r="Y11" s="19" t="str">
        <f>IF('Bundle Tag Info'!Y$16&lt;&gt;"",CONCATENATE('Bundle Tag Info'!$A$1," ",CHAR(10),'Bundle Tag Info'!$A$2," ",'Bundle Tag Info'!$A$3,CHAR(10),'Bundle Tag Info'!Y$6,CHAR(10),'Bundle Tag Info'!Y$16),"")</f>
        <v/>
      </c>
      <c r="Z11" s="19" t="str">
        <f>IF('Bundle Tag Info'!Z$16&lt;&gt;"",CONCATENATE('Bundle Tag Info'!$A$1," ",CHAR(10),'Bundle Tag Info'!$A$2," ",'Bundle Tag Info'!$A$3,CHAR(10),'Bundle Tag Info'!Z$6,CHAR(10),'Bundle Tag Info'!Z$16),"")</f>
        <v/>
      </c>
      <c r="AA11" s="19" t="str">
        <f>IF('Bundle Tag Info'!AA$16&lt;&gt;"",CONCATENATE('Bundle Tag Info'!$A$1," ",CHAR(10),'Bundle Tag Info'!$A$2," ",'Bundle Tag Info'!$A$3,CHAR(10),'Bundle Tag Info'!AA$6,CHAR(10),'Bundle Tag Info'!AA$16),"")</f>
        <v/>
      </c>
      <c r="AB11" s="19" t="str">
        <f>IF('Bundle Tag Info'!AB$16&lt;&gt;"",CONCATENATE('Bundle Tag Info'!$A$1," ",CHAR(10),'Bundle Tag Info'!$A$2," ",'Bundle Tag Info'!$A$3,CHAR(10),'Bundle Tag Info'!AB$6,CHAR(10),'Bundle Tag Info'!AB$16),"")</f>
        <v/>
      </c>
      <c r="AC11" s="19" t="str">
        <f>IF('Bundle Tag Info'!AC$16&lt;&gt;"",CONCATENATE('Bundle Tag Info'!$A$1," ",CHAR(10),'Bundle Tag Info'!$A$2," ",'Bundle Tag Info'!$A$3,CHAR(10),'Bundle Tag Info'!AC$6,CHAR(10),'Bundle Tag Info'!AC$16),"")</f>
        <v/>
      </c>
      <c r="AD11" s="1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5" customHeight="1" x14ac:dyDescent="0.35">
      <c r="A12" s="19" t="str">
        <f>IF('Bundle Tag Info'!C$9&lt;&gt;"",CONCATENATE('Bundle Tag Info'!$A$1," ",CHAR(10),'Bundle Tag Info'!$A$2," ",'Bundle Tag Info'!$A$3,CHAR(10),'Bundle Tag Info'!C$6,CHAR(10),'Bundle Tag Info'!C$9),"")</f>
        <v>NOC-A #1 
J0400 A.2
PWR DST RAIL
XT-LBACK</v>
      </c>
      <c r="G12" s="19" t="str">
        <f>IF('Bundle Tag Info'!G$17&lt;&gt;"",CONCATENATE('Bundle Tag Info'!$A$1," ",CHAR(10),'Bundle Tag Info'!$A$2," ",'Bundle Tag Info'!$A$3,CHAR(10),'Bundle Tag Info'!G$6,CHAR(10),'Bundle Tag Info'!G$17),"")</f>
        <v/>
      </c>
      <c r="H12" s="19" t="str">
        <f>IF('Bundle Tag Info'!H$17&lt;&gt;"",CONCATENATE('Bundle Tag Info'!$A$1," ",CHAR(10),'Bundle Tag Info'!$A$2," ",'Bundle Tag Info'!$A$3,CHAR(10),'Bundle Tag Info'!H$6,CHAR(10),'Bundle Tag Info'!H$17),"")</f>
        <v/>
      </c>
      <c r="I12" s="19" t="str">
        <f>IF('Bundle Tag Info'!I$17&lt;&gt;"",CONCATENATE('Bundle Tag Info'!$A$1," ",CHAR(10),'Bundle Tag Info'!$A$2," ",'Bundle Tag Info'!$A$3,CHAR(10),'Bundle Tag Info'!I$6,CHAR(10),'Bundle Tag Info'!I$17),"")</f>
        <v/>
      </c>
      <c r="J12" s="19" t="str">
        <f>IF('Bundle Tag Info'!J$17&lt;&gt;"",CONCATENATE('Bundle Tag Info'!$A$1," ",CHAR(10),'Bundle Tag Info'!$A$2," ",'Bundle Tag Info'!$A$3,CHAR(10),'Bundle Tag Info'!J$6,CHAR(10),'Bundle Tag Info'!J$17),"")</f>
        <v/>
      </c>
      <c r="K12" s="19" t="str">
        <f>IF('Bundle Tag Info'!K$17&lt;&gt;"",CONCATENATE('Bundle Tag Info'!$A$1," ",CHAR(10),'Bundle Tag Info'!$A$2," ",'Bundle Tag Info'!$A$3,CHAR(10),'Bundle Tag Info'!K$6,CHAR(10),'Bundle Tag Info'!K$17),"")</f>
        <v/>
      </c>
      <c r="L12" s="19" t="str">
        <f>IF('Bundle Tag Info'!L$17&lt;&gt;"",CONCATENATE('Bundle Tag Info'!$A$1," ",CHAR(10),'Bundle Tag Info'!$A$2," ",'Bundle Tag Info'!$A$3,CHAR(10),'Bundle Tag Info'!L$6,CHAR(10),'Bundle Tag Info'!L$17),"")</f>
        <v/>
      </c>
      <c r="M12" s="19" t="str">
        <f>IF('Bundle Tag Info'!M$17&lt;&gt;"",CONCATENATE('Bundle Tag Info'!$A$1," ",CHAR(10),'Bundle Tag Info'!$A$2," ",'Bundle Tag Info'!$A$3,CHAR(10),'Bundle Tag Info'!M$6,CHAR(10),'Bundle Tag Info'!M$17),"")</f>
        <v/>
      </c>
      <c r="N12" s="19" t="str">
        <f>IF('Bundle Tag Info'!N$17&lt;&gt;"",CONCATENATE('Bundle Tag Info'!$A$1," ",CHAR(10),'Bundle Tag Info'!$A$2," ",'Bundle Tag Info'!$A$3,CHAR(10),'Bundle Tag Info'!N$6,CHAR(10),'Bundle Tag Info'!N$17),"")</f>
        <v/>
      </c>
      <c r="O12" s="19" t="str">
        <f>IF('Bundle Tag Info'!O$17&lt;&gt;"",CONCATENATE('Bundle Tag Info'!$A$1," ",CHAR(10),'Bundle Tag Info'!$A$2," ",'Bundle Tag Info'!$A$3,CHAR(10),'Bundle Tag Info'!O$6,CHAR(10),'Bundle Tag Info'!O$17),"")</f>
        <v/>
      </c>
      <c r="P12" s="19" t="str">
        <f>IF('Bundle Tag Info'!P$17&lt;&gt;"",CONCATENATE('Bundle Tag Info'!$A$1," ",CHAR(10),'Bundle Tag Info'!$A$2," ",'Bundle Tag Info'!$A$3,CHAR(10),'Bundle Tag Info'!P$6,CHAR(10),'Bundle Tag Info'!P$17),"")</f>
        <v/>
      </c>
      <c r="Q12" s="19" t="str">
        <f>IF('Bundle Tag Info'!Q$17&lt;&gt;"",CONCATENATE('Bundle Tag Info'!$A$1," ",CHAR(10),'Bundle Tag Info'!$A$2," ",'Bundle Tag Info'!$A$3,CHAR(10),'Bundle Tag Info'!Q$6,CHAR(10),'Bundle Tag Info'!Q$17),"")</f>
        <v/>
      </c>
      <c r="R12" s="19" t="str">
        <f>IF('Bundle Tag Info'!R$17&lt;&gt;"",CONCATENATE('Bundle Tag Info'!$A$1," ",CHAR(10),'Bundle Tag Info'!$A$2," ",'Bundle Tag Info'!$A$3,CHAR(10),'Bundle Tag Info'!R$6,CHAR(10),'Bundle Tag Info'!R$17),"")</f>
        <v/>
      </c>
      <c r="S12" s="19" t="str">
        <f>IF('Bundle Tag Info'!S$17&lt;&gt;"",CONCATENATE('Bundle Tag Info'!$A$1," ",CHAR(10),'Bundle Tag Info'!$A$2," ",'Bundle Tag Info'!$A$3,CHAR(10),'Bundle Tag Info'!S$6,CHAR(10),'Bundle Tag Info'!S$17),"")</f>
        <v/>
      </c>
      <c r="T12" s="19" t="str">
        <f>IF('Bundle Tag Info'!T$17&lt;&gt;"",CONCATENATE('Bundle Tag Info'!$A$1," ",CHAR(10),'Bundle Tag Info'!$A$2," ",'Bundle Tag Info'!$A$3,CHAR(10),'Bundle Tag Info'!T$6,CHAR(10),'Bundle Tag Info'!T$17),"")</f>
        <v/>
      </c>
      <c r="U12" s="19" t="str">
        <f>IF('Bundle Tag Info'!U$17&lt;&gt;"",CONCATENATE('Bundle Tag Info'!$A$1," ",CHAR(10),'Bundle Tag Info'!$A$2," ",'Bundle Tag Info'!$A$3,CHAR(10),'Bundle Tag Info'!U$6,CHAR(10),'Bundle Tag Info'!U$17),"")</f>
        <v/>
      </c>
      <c r="V12" s="19" t="str">
        <f>IF('Bundle Tag Info'!V$17&lt;&gt;"",CONCATENATE('Bundle Tag Info'!$A$1," ",CHAR(10),'Bundle Tag Info'!$A$2," ",'Bundle Tag Info'!$A$3,CHAR(10),'Bundle Tag Info'!V$6,CHAR(10),'Bundle Tag Info'!V$17),"")</f>
        <v/>
      </c>
      <c r="W12" s="19" t="str">
        <f>IF('Bundle Tag Info'!W$17&lt;&gt;"",CONCATENATE('Bundle Tag Info'!$A$1," ",CHAR(10),'Bundle Tag Info'!$A$2," ",'Bundle Tag Info'!$A$3,CHAR(10),'Bundle Tag Info'!W$6,CHAR(10),'Bundle Tag Info'!W$17),"")</f>
        <v/>
      </c>
      <c r="X12" s="19" t="str">
        <f>IF('Bundle Tag Info'!X$17&lt;&gt;"",CONCATENATE('Bundle Tag Info'!$A$1," ",CHAR(10),'Bundle Tag Info'!$A$2," ",'Bundle Tag Info'!$A$3,CHAR(10),'Bundle Tag Info'!X$6,CHAR(10),'Bundle Tag Info'!X$17),"")</f>
        <v/>
      </c>
      <c r="Y12" s="19" t="str">
        <f>IF('Bundle Tag Info'!Y$17&lt;&gt;"",CONCATENATE('Bundle Tag Info'!$A$1," ",CHAR(10),'Bundle Tag Info'!$A$2," ",'Bundle Tag Info'!$A$3,CHAR(10),'Bundle Tag Info'!Y$6,CHAR(10),'Bundle Tag Info'!Y$17),"")</f>
        <v/>
      </c>
      <c r="Z12" s="19" t="str">
        <f>IF('Bundle Tag Info'!Z$17&lt;&gt;"",CONCATENATE('Bundle Tag Info'!$A$1," ",CHAR(10),'Bundle Tag Info'!$A$2," ",'Bundle Tag Info'!$A$3,CHAR(10),'Bundle Tag Info'!Z$6,CHAR(10),'Bundle Tag Info'!Z$17),"")</f>
        <v/>
      </c>
      <c r="AA12" s="19" t="str">
        <f>IF('Bundle Tag Info'!AA$17&lt;&gt;"",CONCATENATE('Bundle Tag Info'!$A$1," ",CHAR(10),'Bundle Tag Info'!$A$2," ",'Bundle Tag Info'!$A$3,CHAR(10),'Bundle Tag Info'!AA$6,CHAR(10),'Bundle Tag Info'!AA$17),"")</f>
        <v/>
      </c>
      <c r="AB12" s="19" t="str">
        <f>IF('Bundle Tag Info'!AB$17&lt;&gt;"",CONCATENATE('Bundle Tag Info'!$A$1," ",CHAR(10),'Bundle Tag Info'!$A$2," ",'Bundle Tag Info'!$A$3,CHAR(10),'Bundle Tag Info'!AB$6,CHAR(10),'Bundle Tag Info'!AB$17),"")</f>
        <v/>
      </c>
      <c r="AC12" s="19" t="str">
        <f>IF('Bundle Tag Info'!AC$17&lt;&gt;"",CONCATENATE('Bundle Tag Info'!$A$1," ",CHAR(10),'Bundle Tag Info'!$A$2," ",'Bundle Tag Info'!$A$3,CHAR(10),'Bundle Tag Info'!AC$6,CHAR(10),'Bundle Tag Info'!AC$17),"")</f>
        <v/>
      </c>
      <c r="AD12" s="1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5" customHeight="1" x14ac:dyDescent="0.35">
      <c r="A13" s="19" t="str">
        <f>IF('Bundle Tag Info'!C$10&lt;&gt;"",CONCATENATE('Bundle Tag Info'!$A$1," ",CHAR(10),'Bundle Tag Info'!$A$2," ",'Bundle Tag Info'!$A$3,CHAR(10),'Bundle Tag Info'!C$6,CHAR(10),'Bundle Tag Info'!C$10),"")</f>
        <v>NOC-A #1 
J0400 A.2
PWR DST RAIL
XT-LWALL</v>
      </c>
      <c r="G13" s="19" t="str">
        <f>IF('Bundle Tag Info'!G$18&lt;&gt;"",CONCATENATE('Bundle Tag Info'!$A$1," ",CHAR(10),'Bundle Tag Info'!$A$2," ",'Bundle Tag Info'!$A$3,CHAR(10),'Bundle Tag Info'!G$6,CHAR(10),'Bundle Tag Info'!G$18),"")</f>
        <v/>
      </c>
      <c r="H13" s="19" t="str">
        <f>IF('Bundle Tag Info'!H$18&lt;&gt;"",CONCATENATE('Bundle Tag Info'!$A$1," ",CHAR(10),'Bundle Tag Info'!$A$2," ",'Bundle Tag Info'!$A$3,CHAR(10),'Bundle Tag Info'!H$6,CHAR(10),'Bundle Tag Info'!H$18),"")</f>
        <v/>
      </c>
      <c r="I13" s="19" t="str">
        <f>IF('Bundle Tag Info'!I$18&lt;&gt;"",CONCATENATE('Bundle Tag Info'!$A$1," ",CHAR(10),'Bundle Tag Info'!$A$2," ",'Bundle Tag Info'!$A$3,CHAR(10),'Bundle Tag Info'!I$6,CHAR(10),'Bundle Tag Info'!I$18),"")</f>
        <v/>
      </c>
      <c r="J13" s="19" t="str">
        <f>IF('Bundle Tag Info'!J$18&lt;&gt;"",CONCATENATE('Bundle Tag Info'!$A$1," ",CHAR(10),'Bundle Tag Info'!$A$2," ",'Bundle Tag Info'!$A$3,CHAR(10),'Bundle Tag Info'!J$6,CHAR(10),'Bundle Tag Info'!J$18),"")</f>
        <v/>
      </c>
      <c r="K13" s="19" t="str">
        <f>IF('Bundle Tag Info'!K$18&lt;&gt;"",CONCATENATE('Bundle Tag Info'!$A$1," ",CHAR(10),'Bundle Tag Info'!$A$2," ",'Bundle Tag Info'!$A$3,CHAR(10),'Bundle Tag Info'!K$6,CHAR(10),'Bundle Tag Info'!K$18),"")</f>
        <v/>
      </c>
      <c r="L13" s="19" t="str">
        <f>IF('Bundle Tag Info'!L$18&lt;&gt;"",CONCATENATE('Bundle Tag Info'!$A$1," ",CHAR(10),'Bundle Tag Info'!$A$2," ",'Bundle Tag Info'!$A$3,CHAR(10),'Bundle Tag Info'!L$6,CHAR(10),'Bundle Tag Info'!L$18),"")</f>
        <v/>
      </c>
      <c r="M13" s="19" t="str">
        <f>IF('Bundle Tag Info'!M$18&lt;&gt;"",CONCATENATE('Bundle Tag Info'!$A$1," ",CHAR(10),'Bundle Tag Info'!$A$2," ",'Bundle Tag Info'!$A$3,CHAR(10),'Bundle Tag Info'!M$6,CHAR(10),'Bundle Tag Info'!M$18),"")</f>
        <v/>
      </c>
      <c r="N13" s="19" t="str">
        <f>IF('Bundle Tag Info'!N$18&lt;&gt;"",CONCATENATE('Bundle Tag Info'!$A$1," ",CHAR(10),'Bundle Tag Info'!$A$2," ",'Bundle Tag Info'!$A$3,CHAR(10),'Bundle Tag Info'!N$6,CHAR(10),'Bundle Tag Info'!N$18),"")</f>
        <v/>
      </c>
      <c r="O13" s="19" t="str">
        <f>IF('Bundle Tag Info'!O$18&lt;&gt;"",CONCATENATE('Bundle Tag Info'!$A$1," ",CHAR(10),'Bundle Tag Info'!$A$2," ",'Bundle Tag Info'!$A$3,CHAR(10),'Bundle Tag Info'!O$6,CHAR(10),'Bundle Tag Info'!O$18),"")</f>
        <v/>
      </c>
      <c r="P13" s="19" t="str">
        <f>IF('Bundle Tag Info'!P$18&lt;&gt;"",CONCATENATE('Bundle Tag Info'!$A$1," ",CHAR(10),'Bundle Tag Info'!$A$2," ",'Bundle Tag Info'!$A$3,CHAR(10),'Bundle Tag Info'!P$6,CHAR(10),'Bundle Tag Info'!P$18),"")</f>
        <v/>
      </c>
      <c r="Q13" s="19" t="str">
        <f>IF('Bundle Tag Info'!Q$18&lt;&gt;"",CONCATENATE('Bundle Tag Info'!$A$1," ",CHAR(10),'Bundle Tag Info'!$A$2," ",'Bundle Tag Info'!$A$3,CHAR(10),'Bundle Tag Info'!Q$6,CHAR(10),'Bundle Tag Info'!Q$18),"")</f>
        <v/>
      </c>
      <c r="R13" s="19" t="str">
        <f>IF('Bundle Tag Info'!R$18&lt;&gt;"",CONCATENATE('Bundle Tag Info'!$A$1," ",CHAR(10),'Bundle Tag Info'!$A$2," ",'Bundle Tag Info'!$A$3,CHAR(10),'Bundle Tag Info'!R$6,CHAR(10),'Bundle Tag Info'!R$18),"")</f>
        <v/>
      </c>
      <c r="S13" s="19" t="str">
        <f>IF('Bundle Tag Info'!S$18&lt;&gt;"",CONCATENATE('Bundle Tag Info'!$A$1," ",CHAR(10),'Bundle Tag Info'!$A$2," ",'Bundle Tag Info'!$A$3,CHAR(10),'Bundle Tag Info'!S$6,CHAR(10),'Bundle Tag Info'!S$18),"")</f>
        <v/>
      </c>
      <c r="T13" s="19" t="str">
        <f>IF('Bundle Tag Info'!T$18&lt;&gt;"",CONCATENATE('Bundle Tag Info'!$A$1," ",CHAR(10),'Bundle Tag Info'!$A$2," ",'Bundle Tag Info'!$A$3,CHAR(10),'Bundle Tag Info'!T$6,CHAR(10),'Bundle Tag Info'!T$18),"")</f>
        <v/>
      </c>
      <c r="U13" s="19" t="str">
        <f>IF('Bundle Tag Info'!U$18&lt;&gt;"",CONCATENATE('Bundle Tag Info'!$A$1," ",CHAR(10),'Bundle Tag Info'!$A$2," ",'Bundle Tag Info'!$A$3,CHAR(10),'Bundle Tag Info'!U$6,CHAR(10),'Bundle Tag Info'!U$18),"")</f>
        <v/>
      </c>
      <c r="V13" s="19" t="str">
        <f>IF('Bundle Tag Info'!V$18&lt;&gt;"",CONCATENATE('Bundle Tag Info'!$A$1," ",CHAR(10),'Bundle Tag Info'!$A$2," ",'Bundle Tag Info'!$A$3,CHAR(10),'Bundle Tag Info'!V$6,CHAR(10),'Bundle Tag Info'!V$18),"")</f>
        <v/>
      </c>
      <c r="W13" s="19" t="str">
        <f>IF('Bundle Tag Info'!W$18&lt;&gt;"",CONCATENATE('Bundle Tag Info'!$A$1," ",CHAR(10),'Bundle Tag Info'!$A$2," ",'Bundle Tag Info'!$A$3,CHAR(10),'Bundle Tag Info'!W$6,CHAR(10),'Bundle Tag Info'!W$18),"")</f>
        <v/>
      </c>
      <c r="X13" s="19" t="str">
        <f>IF('Bundle Tag Info'!X$18&lt;&gt;"",CONCATENATE('Bundle Tag Info'!$A$1," ",CHAR(10),'Bundle Tag Info'!$A$2," ",'Bundle Tag Info'!$A$3,CHAR(10),'Bundle Tag Info'!X$6,CHAR(10),'Bundle Tag Info'!X$18),"")</f>
        <v/>
      </c>
      <c r="Y13" s="19" t="str">
        <f>IF('Bundle Tag Info'!Y$18&lt;&gt;"",CONCATENATE('Bundle Tag Info'!$A$1," ",CHAR(10),'Bundle Tag Info'!$A$2," ",'Bundle Tag Info'!$A$3,CHAR(10),'Bundle Tag Info'!Y$6,CHAR(10),'Bundle Tag Info'!Y$18),"")</f>
        <v/>
      </c>
      <c r="Z13" s="19" t="str">
        <f>IF('Bundle Tag Info'!Z$18&lt;&gt;"",CONCATENATE('Bundle Tag Info'!$A$1," ",CHAR(10),'Bundle Tag Info'!$A$2," ",'Bundle Tag Info'!$A$3,CHAR(10),'Bundle Tag Info'!Z$6,CHAR(10),'Bundle Tag Info'!Z$18),"")</f>
        <v/>
      </c>
      <c r="AA13" s="19" t="str">
        <f>IF('Bundle Tag Info'!AA$18&lt;&gt;"",CONCATENATE('Bundle Tag Info'!$A$1," ",CHAR(10),'Bundle Tag Info'!$A$2," ",'Bundle Tag Info'!$A$3,CHAR(10),'Bundle Tag Info'!AA$6,CHAR(10),'Bundle Tag Info'!AA$18),"")</f>
        <v/>
      </c>
      <c r="AB13" s="19" t="str">
        <f>IF('Bundle Tag Info'!AB$18&lt;&gt;"",CONCATENATE('Bundle Tag Info'!$A$1," ",CHAR(10),'Bundle Tag Info'!$A$2," ",'Bundle Tag Info'!$A$3,CHAR(10),'Bundle Tag Info'!AB$6,CHAR(10),'Bundle Tag Info'!AB$18),"")</f>
        <v/>
      </c>
      <c r="AC13" s="19" t="str">
        <f>IF('Bundle Tag Info'!AC$18&lt;&gt;"",CONCATENATE('Bundle Tag Info'!$A$1," ",CHAR(10),'Bundle Tag Info'!$A$2," ",'Bundle Tag Info'!$A$3,CHAR(10),'Bundle Tag Info'!AC$6,CHAR(10),'Bundle Tag Info'!AC$18),"")</f>
        <v/>
      </c>
      <c r="AD13" s="1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5" customHeight="1" x14ac:dyDescent="0.35">
      <c r="A14" s="19" t="str">
        <f>IF('Bundle Tag Info'!C$11&lt;&gt;"",CONCATENATE('Bundle Tag Info'!$A$1," ",CHAR(10),'Bundle Tag Info'!$A$2," ",'Bundle Tag Info'!$A$3,CHAR(10),'Bundle Tag Info'!C$6,CHAR(10),'Bundle Tag Info'!C$11),"")</f>
        <v>NOC-A #1 
J0400 A.2
PWR DST RAIL
FU/XT-RWALL</v>
      </c>
      <c r="G14" s="19" t="str">
        <f>IF('Bundle Tag Info'!G$19&lt;&gt;"",CONCATENATE('Bundle Tag Info'!$A$1," ",CHAR(10),'Bundle Tag Info'!$A$2," ",'Bundle Tag Info'!$A$3,CHAR(10),'Bundle Tag Info'!G$6,CHAR(10),'Bundle Tag Info'!G$19),"")</f>
        <v/>
      </c>
      <c r="H14" s="19" t="str">
        <f>IF('Bundle Tag Info'!H$19&lt;&gt;"",CONCATENATE('Bundle Tag Info'!$A$1," ",CHAR(10),'Bundle Tag Info'!$A$2," ",'Bundle Tag Info'!$A$3,CHAR(10),'Bundle Tag Info'!H$6,CHAR(10),'Bundle Tag Info'!H$19),"")</f>
        <v/>
      </c>
      <c r="I14" s="19" t="str">
        <f>IF('Bundle Tag Info'!I$19&lt;&gt;"",CONCATENATE('Bundle Tag Info'!$A$1," ",CHAR(10),'Bundle Tag Info'!$A$2," ",'Bundle Tag Info'!$A$3,CHAR(10),'Bundle Tag Info'!I$6,CHAR(10),'Bundle Tag Info'!I$19),"")</f>
        <v/>
      </c>
      <c r="J14" s="19" t="str">
        <f>IF('Bundle Tag Info'!J$19&lt;&gt;"",CONCATENATE('Bundle Tag Info'!$A$1," ",CHAR(10),'Bundle Tag Info'!$A$2," ",'Bundle Tag Info'!$A$3,CHAR(10),'Bundle Tag Info'!J$6,CHAR(10),'Bundle Tag Info'!J$19),"")</f>
        <v/>
      </c>
      <c r="K14" s="19" t="str">
        <f>IF('Bundle Tag Info'!K$19&lt;&gt;"",CONCATENATE('Bundle Tag Info'!$A$1," ",CHAR(10),'Bundle Tag Info'!$A$2," ",'Bundle Tag Info'!$A$3,CHAR(10),'Bundle Tag Info'!K$6,CHAR(10),'Bundle Tag Info'!K$19),"")</f>
        <v/>
      </c>
      <c r="L14" s="19" t="str">
        <f>IF('Bundle Tag Info'!L$19&lt;&gt;"",CONCATENATE('Bundle Tag Info'!$A$1," ",CHAR(10),'Bundle Tag Info'!$A$2," ",'Bundle Tag Info'!$A$3,CHAR(10),'Bundle Tag Info'!L$6,CHAR(10),'Bundle Tag Info'!L$19),"")</f>
        <v/>
      </c>
      <c r="M14" s="19" t="str">
        <f>IF('Bundle Tag Info'!M$19&lt;&gt;"",CONCATENATE('Bundle Tag Info'!$A$1," ",CHAR(10),'Bundle Tag Info'!$A$2," ",'Bundle Tag Info'!$A$3,CHAR(10),'Bundle Tag Info'!M$6,CHAR(10),'Bundle Tag Info'!M$19),"")</f>
        <v/>
      </c>
      <c r="N14" s="19" t="str">
        <f>IF('Bundle Tag Info'!N$19&lt;&gt;"",CONCATENATE('Bundle Tag Info'!$A$1," ",CHAR(10),'Bundle Tag Info'!$A$2," ",'Bundle Tag Info'!$A$3,CHAR(10),'Bundle Tag Info'!N$6,CHAR(10),'Bundle Tag Info'!N$19),"")</f>
        <v/>
      </c>
      <c r="O14" s="19" t="str">
        <f>IF('Bundle Tag Info'!O$19&lt;&gt;"",CONCATENATE('Bundle Tag Info'!$A$1," ",CHAR(10),'Bundle Tag Info'!$A$2," ",'Bundle Tag Info'!$A$3,CHAR(10),'Bundle Tag Info'!O$6,CHAR(10),'Bundle Tag Info'!O$19),"")</f>
        <v/>
      </c>
      <c r="P14" s="19" t="str">
        <f>IF('Bundle Tag Info'!P$19&lt;&gt;"",CONCATENATE('Bundle Tag Info'!$A$1," ",CHAR(10),'Bundle Tag Info'!$A$2," ",'Bundle Tag Info'!$A$3,CHAR(10),'Bundle Tag Info'!P$6,CHAR(10),'Bundle Tag Info'!P$19),"")</f>
        <v/>
      </c>
      <c r="Q14" s="19" t="str">
        <f>IF('Bundle Tag Info'!Q$19&lt;&gt;"",CONCATENATE('Bundle Tag Info'!$A$1," ",CHAR(10),'Bundle Tag Info'!$A$2," ",'Bundle Tag Info'!$A$3,CHAR(10),'Bundle Tag Info'!Q$6,CHAR(10),'Bundle Tag Info'!Q$19),"")</f>
        <v/>
      </c>
      <c r="R14" s="19" t="str">
        <f>IF('Bundle Tag Info'!R$19&lt;&gt;"",CONCATENATE('Bundle Tag Info'!$A$1," ",CHAR(10),'Bundle Tag Info'!$A$2," ",'Bundle Tag Info'!$A$3,CHAR(10),'Bundle Tag Info'!R$6,CHAR(10),'Bundle Tag Info'!R$19),"")</f>
        <v/>
      </c>
      <c r="S14" s="19" t="str">
        <f>IF('Bundle Tag Info'!S$19&lt;&gt;"",CONCATENATE('Bundle Tag Info'!$A$1," ",CHAR(10),'Bundle Tag Info'!$A$2," ",'Bundle Tag Info'!$A$3,CHAR(10),'Bundle Tag Info'!S$6,CHAR(10),'Bundle Tag Info'!S$19),"")</f>
        <v/>
      </c>
      <c r="T14" s="19" t="str">
        <f>IF('Bundle Tag Info'!T$19&lt;&gt;"",CONCATENATE('Bundle Tag Info'!$A$1," ",CHAR(10),'Bundle Tag Info'!$A$2," ",'Bundle Tag Info'!$A$3,CHAR(10),'Bundle Tag Info'!T$6,CHAR(10),'Bundle Tag Info'!T$19),"")</f>
        <v/>
      </c>
      <c r="U14" s="19" t="str">
        <f>IF('Bundle Tag Info'!U$19&lt;&gt;"",CONCATENATE('Bundle Tag Info'!$A$1," ",CHAR(10),'Bundle Tag Info'!$A$2," ",'Bundle Tag Info'!$A$3,CHAR(10),'Bundle Tag Info'!U$6,CHAR(10),'Bundle Tag Info'!U$19),"")</f>
        <v/>
      </c>
      <c r="V14" s="19" t="str">
        <f>IF('Bundle Tag Info'!V$19&lt;&gt;"",CONCATENATE('Bundle Tag Info'!$A$1," ",CHAR(10),'Bundle Tag Info'!$A$2," ",'Bundle Tag Info'!$A$3,CHAR(10),'Bundle Tag Info'!V$6,CHAR(10),'Bundle Tag Info'!V$19),"")</f>
        <v/>
      </c>
      <c r="W14" s="19" t="str">
        <f>IF('Bundle Tag Info'!W$19&lt;&gt;"",CONCATENATE('Bundle Tag Info'!$A$1," ",CHAR(10),'Bundle Tag Info'!$A$2," ",'Bundle Tag Info'!$A$3,CHAR(10),'Bundle Tag Info'!W$6,CHAR(10),'Bundle Tag Info'!W$19),"")</f>
        <v/>
      </c>
      <c r="X14" s="19" t="str">
        <f>IF('Bundle Tag Info'!X$19&lt;&gt;"",CONCATENATE('Bundle Tag Info'!$A$1," ",CHAR(10),'Bundle Tag Info'!$A$2," ",'Bundle Tag Info'!$A$3,CHAR(10),'Bundle Tag Info'!X$6,CHAR(10),'Bundle Tag Info'!X$19),"")</f>
        <v/>
      </c>
      <c r="Y14" s="19" t="str">
        <f>IF('Bundle Tag Info'!Y$19&lt;&gt;"",CONCATENATE('Bundle Tag Info'!$A$1," ",CHAR(10),'Bundle Tag Info'!$A$2," ",'Bundle Tag Info'!$A$3,CHAR(10),'Bundle Tag Info'!Y$6,CHAR(10),'Bundle Tag Info'!Y$19),"")</f>
        <v/>
      </c>
      <c r="Z14" s="19" t="str">
        <f>IF('Bundle Tag Info'!Z$19&lt;&gt;"",CONCATENATE('Bundle Tag Info'!$A$1," ",CHAR(10),'Bundle Tag Info'!$A$2," ",'Bundle Tag Info'!$A$3,CHAR(10),'Bundle Tag Info'!Z$6,CHAR(10),'Bundle Tag Info'!Z$19),"")</f>
        <v/>
      </c>
      <c r="AA14" s="19" t="str">
        <f>IF('Bundle Tag Info'!AA$19&lt;&gt;"",CONCATENATE('Bundle Tag Info'!$A$1," ",CHAR(10),'Bundle Tag Info'!$A$2," ",'Bundle Tag Info'!$A$3,CHAR(10),'Bundle Tag Info'!AA$6,CHAR(10),'Bundle Tag Info'!AA$19),"")</f>
        <v/>
      </c>
      <c r="AB14" s="19" t="str">
        <f>IF('Bundle Tag Info'!AB$19&lt;&gt;"",CONCATENATE('Bundle Tag Info'!$A$1," ",CHAR(10),'Bundle Tag Info'!$A$2," ",'Bundle Tag Info'!$A$3,CHAR(10),'Bundle Tag Info'!AB$6,CHAR(10),'Bundle Tag Info'!AB$19),"")</f>
        <v/>
      </c>
      <c r="AC14" s="19" t="str">
        <f>IF('Bundle Tag Info'!AC$19&lt;&gt;"",CONCATENATE('Bundle Tag Info'!$A$1," ",CHAR(10),'Bundle Tag Info'!$A$2," ",'Bundle Tag Info'!$A$3,CHAR(10),'Bundle Tag Info'!AC$6,CHAR(10),'Bundle Tag Info'!AC$19),"")</f>
        <v/>
      </c>
      <c r="AD14" s="1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5" customHeight="1" x14ac:dyDescent="0.35">
      <c r="A15" s="19" t="str">
        <f>IF('Bundle Tag Info'!D$7&lt;&gt;"",CONCATENATE('Bundle Tag Info'!$A$1," ",CHAR(10),'Bundle Tag Info'!$A$2," ",'Bundle Tag Info'!$A$3,CHAR(10),'Bundle Tag Info'!D$6,CHAR(10),'Bundle Tag Info'!D$7),"")</f>
        <v>NOC-A #1 
J0400 A.2
ORBIT
AP-LBACK</v>
      </c>
      <c r="G15" s="19" t="str">
        <f>IF('Bundle Tag Info'!G$20&lt;&gt;"",CONCATENATE('Bundle Tag Info'!$A$1," ",CHAR(10),'Bundle Tag Info'!$A$2," ",'Bundle Tag Info'!$A$3,CHAR(10),'Bundle Tag Info'!G$6,CHAR(10),'Bundle Tag Info'!G$20),"")</f>
        <v/>
      </c>
      <c r="H15" s="19" t="str">
        <f>IF('Bundle Tag Info'!H$20&lt;&gt;"",CONCATENATE('Bundle Tag Info'!$A$1," ",CHAR(10),'Bundle Tag Info'!$A$2," ",'Bundle Tag Info'!$A$3,CHAR(10),'Bundle Tag Info'!H$6,CHAR(10),'Bundle Tag Info'!H$20),"")</f>
        <v/>
      </c>
      <c r="I15" s="19" t="str">
        <f>IF('Bundle Tag Info'!I$20&lt;&gt;"",CONCATENATE('Bundle Tag Info'!$A$1," ",CHAR(10),'Bundle Tag Info'!$A$2," ",'Bundle Tag Info'!$A$3,CHAR(10),'Bundle Tag Info'!I$6,CHAR(10),'Bundle Tag Info'!I$20),"")</f>
        <v/>
      </c>
      <c r="J15" s="19" t="str">
        <f>IF('Bundle Tag Info'!J$20&lt;&gt;"",CONCATENATE('Bundle Tag Info'!$A$1," ",CHAR(10),'Bundle Tag Info'!$A$2," ",'Bundle Tag Info'!$A$3,CHAR(10),'Bundle Tag Info'!J$6,CHAR(10),'Bundle Tag Info'!J$20),"")</f>
        <v/>
      </c>
      <c r="K15" s="19" t="str">
        <f>IF('Bundle Tag Info'!K$20&lt;&gt;"",CONCATENATE('Bundle Tag Info'!$A$1," ",CHAR(10),'Bundle Tag Info'!$A$2," ",'Bundle Tag Info'!$A$3,CHAR(10),'Bundle Tag Info'!K$6,CHAR(10),'Bundle Tag Info'!K$20),"")</f>
        <v/>
      </c>
      <c r="L15" s="19" t="str">
        <f>IF('Bundle Tag Info'!L$20&lt;&gt;"",CONCATENATE('Bundle Tag Info'!$A$1," ",CHAR(10),'Bundle Tag Info'!$A$2," ",'Bundle Tag Info'!$A$3,CHAR(10),'Bundle Tag Info'!L$6,CHAR(10),'Bundle Tag Info'!L$20),"")</f>
        <v/>
      </c>
      <c r="M15" s="19" t="str">
        <f>IF('Bundle Tag Info'!M$20&lt;&gt;"",CONCATENATE('Bundle Tag Info'!$A$1," ",CHAR(10),'Bundle Tag Info'!$A$2," ",'Bundle Tag Info'!$A$3,CHAR(10),'Bundle Tag Info'!M$6,CHAR(10),'Bundle Tag Info'!M$20),"")</f>
        <v/>
      </c>
      <c r="N15" s="19" t="str">
        <f>IF('Bundle Tag Info'!N$20&lt;&gt;"",CONCATENATE('Bundle Tag Info'!$A$1," ",CHAR(10),'Bundle Tag Info'!$A$2," ",'Bundle Tag Info'!$A$3,CHAR(10),'Bundle Tag Info'!N$6,CHAR(10),'Bundle Tag Info'!N$20),"")</f>
        <v/>
      </c>
      <c r="O15" s="19" t="str">
        <f>IF('Bundle Tag Info'!O$20&lt;&gt;"",CONCATENATE('Bundle Tag Info'!$A$1," ",CHAR(10),'Bundle Tag Info'!$A$2," ",'Bundle Tag Info'!$A$3,CHAR(10),'Bundle Tag Info'!O$6,CHAR(10),'Bundle Tag Info'!O$20),"")</f>
        <v/>
      </c>
      <c r="P15" s="19" t="str">
        <f>IF('Bundle Tag Info'!P$20&lt;&gt;"",CONCATENATE('Bundle Tag Info'!$A$1," ",CHAR(10),'Bundle Tag Info'!$A$2," ",'Bundle Tag Info'!$A$3,CHAR(10),'Bundle Tag Info'!P$6,CHAR(10),'Bundle Tag Info'!P$20),"")</f>
        <v/>
      </c>
      <c r="Q15" s="19" t="str">
        <f>IF('Bundle Tag Info'!Q$20&lt;&gt;"",CONCATENATE('Bundle Tag Info'!$A$1," ",CHAR(10),'Bundle Tag Info'!$A$2," ",'Bundle Tag Info'!$A$3,CHAR(10),'Bundle Tag Info'!Q$6,CHAR(10),'Bundle Tag Info'!Q$20),"")</f>
        <v/>
      </c>
      <c r="R15" s="19" t="str">
        <f>IF('Bundle Tag Info'!R$20&lt;&gt;"",CONCATENATE('Bundle Tag Info'!$A$1," ",CHAR(10),'Bundle Tag Info'!$A$2," ",'Bundle Tag Info'!$A$3,CHAR(10),'Bundle Tag Info'!R$6,CHAR(10),'Bundle Tag Info'!R$20),"")</f>
        <v/>
      </c>
      <c r="S15" s="19" t="str">
        <f>IF('Bundle Tag Info'!S$20&lt;&gt;"",CONCATENATE('Bundle Tag Info'!$A$1," ",CHAR(10),'Bundle Tag Info'!$A$2," ",'Bundle Tag Info'!$A$3,CHAR(10),'Bundle Tag Info'!S$6,CHAR(10),'Bundle Tag Info'!S$20),"")</f>
        <v/>
      </c>
      <c r="T15" s="19" t="str">
        <f>IF('Bundle Tag Info'!T$20&lt;&gt;"",CONCATENATE('Bundle Tag Info'!$A$1," ",CHAR(10),'Bundle Tag Info'!$A$2," ",'Bundle Tag Info'!$A$3,CHAR(10),'Bundle Tag Info'!T$6,CHAR(10),'Bundle Tag Info'!T$20),"")</f>
        <v/>
      </c>
      <c r="U15" s="19" t="str">
        <f>IF('Bundle Tag Info'!U$20&lt;&gt;"",CONCATENATE('Bundle Tag Info'!$A$1," ",CHAR(10),'Bundle Tag Info'!$A$2," ",'Bundle Tag Info'!$A$3,CHAR(10),'Bundle Tag Info'!U$6,CHAR(10),'Bundle Tag Info'!U$20),"")</f>
        <v/>
      </c>
      <c r="V15" s="19" t="str">
        <f>IF('Bundle Tag Info'!V$20&lt;&gt;"",CONCATENATE('Bundle Tag Info'!$A$1," ",CHAR(10),'Bundle Tag Info'!$A$2," ",'Bundle Tag Info'!$A$3,CHAR(10),'Bundle Tag Info'!V$6,CHAR(10),'Bundle Tag Info'!V$20),"")</f>
        <v/>
      </c>
      <c r="W15" s="19" t="str">
        <f>IF('Bundle Tag Info'!W$20&lt;&gt;"",CONCATENATE('Bundle Tag Info'!$A$1," ",CHAR(10),'Bundle Tag Info'!$A$2," ",'Bundle Tag Info'!$A$3,CHAR(10),'Bundle Tag Info'!W$6,CHAR(10),'Bundle Tag Info'!W$20),"")</f>
        <v/>
      </c>
      <c r="X15" s="19" t="str">
        <f>IF('Bundle Tag Info'!X$20&lt;&gt;"",CONCATENATE('Bundle Tag Info'!$A$1," ",CHAR(10),'Bundle Tag Info'!$A$2," ",'Bundle Tag Info'!$A$3,CHAR(10),'Bundle Tag Info'!X$6,CHAR(10),'Bundle Tag Info'!X$20),"")</f>
        <v/>
      </c>
      <c r="Y15" s="19" t="str">
        <f>IF('Bundle Tag Info'!Y$20&lt;&gt;"",CONCATENATE('Bundle Tag Info'!$A$1," ",CHAR(10),'Bundle Tag Info'!$A$2," ",'Bundle Tag Info'!$A$3,CHAR(10),'Bundle Tag Info'!Y$6,CHAR(10),'Bundle Tag Info'!Y$20),"")</f>
        <v/>
      </c>
      <c r="Z15" s="19" t="str">
        <f>IF('Bundle Tag Info'!Z$20&lt;&gt;"",CONCATENATE('Bundle Tag Info'!$A$1," ",CHAR(10),'Bundle Tag Info'!$A$2," ",'Bundle Tag Info'!$A$3,CHAR(10),'Bundle Tag Info'!Z$6,CHAR(10),'Bundle Tag Info'!Z$20),"")</f>
        <v/>
      </c>
      <c r="AA15" s="19" t="str">
        <f>IF('Bundle Tag Info'!AA$20&lt;&gt;"",CONCATENATE('Bundle Tag Info'!$A$1," ",CHAR(10),'Bundle Tag Info'!$A$2," ",'Bundle Tag Info'!$A$3,CHAR(10),'Bundle Tag Info'!AA$6,CHAR(10),'Bundle Tag Info'!AA$20),"")</f>
        <v/>
      </c>
      <c r="AB15" s="19" t="str">
        <f>IF('Bundle Tag Info'!AB$20&lt;&gt;"",CONCATENATE('Bundle Tag Info'!$A$1," ",CHAR(10),'Bundle Tag Info'!$A$2," ",'Bundle Tag Info'!$A$3,CHAR(10),'Bundle Tag Info'!AB$6,CHAR(10),'Bundle Tag Info'!AB$20),"")</f>
        <v/>
      </c>
      <c r="AC15" s="19" t="str">
        <f>IF('Bundle Tag Info'!AC$20&lt;&gt;"",CONCATENATE('Bundle Tag Info'!$A$1," ",CHAR(10),'Bundle Tag Info'!$A$2," ",'Bundle Tag Info'!$A$3,CHAR(10),'Bundle Tag Info'!AC$6,CHAR(10),'Bundle Tag Info'!AC$20),"")</f>
        <v/>
      </c>
      <c r="AD15" s="1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5" customHeight="1" x14ac:dyDescent="0.35">
      <c r="A16" s="19" t="str">
        <f>IF('Bundle Tag Info'!D$8&lt;&gt;"",CONCATENATE('Bundle Tag Info'!$A$1," ",CHAR(10),'Bundle Tag Info'!$A$2," ",'Bundle Tag Info'!$A$3,CHAR(10),'Bundle Tag Info'!D$6,CHAR(10),'Bundle Tag Info'!D$8),"")</f>
        <v>NOC-A #1 
J0400 A.2
ORBIT
AP/UV-LWALL</v>
      </c>
      <c r="G16" s="19" t="str">
        <f>IF('Bundle Tag Info'!G$21&lt;&gt;"",CONCATENATE('Bundle Tag Info'!$A$1," ",CHAR(10),'Bundle Tag Info'!$A$2," ",'Bundle Tag Info'!$A$3,CHAR(10),'Bundle Tag Info'!G$6,CHAR(10),'Bundle Tag Info'!G$21),"")</f>
        <v/>
      </c>
      <c r="H16" s="19" t="str">
        <f>IF('Bundle Tag Info'!H$21&lt;&gt;"",CONCATENATE('Bundle Tag Info'!$A$1," ",CHAR(10),'Bundle Tag Info'!$A$2," ",'Bundle Tag Info'!$A$3,CHAR(10),'Bundle Tag Info'!H$6,CHAR(10),'Bundle Tag Info'!H$21),"")</f>
        <v/>
      </c>
      <c r="I16" s="19" t="str">
        <f>IF('Bundle Tag Info'!I$21&lt;&gt;"",CONCATENATE('Bundle Tag Info'!$A$1," ",CHAR(10),'Bundle Tag Info'!$A$2," ",'Bundle Tag Info'!$A$3,CHAR(10),'Bundle Tag Info'!I$6,CHAR(10),'Bundle Tag Info'!I$21),"")</f>
        <v/>
      </c>
      <c r="J16" s="19" t="str">
        <f>IF('Bundle Tag Info'!J$21&lt;&gt;"",CONCATENATE('Bundle Tag Info'!$A$1," ",CHAR(10),'Bundle Tag Info'!$A$2," ",'Bundle Tag Info'!$A$3,CHAR(10),'Bundle Tag Info'!J$6,CHAR(10),'Bundle Tag Info'!J$21),"")</f>
        <v/>
      </c>
      <c r="K16" s="19" t="str">
        <f>IF('Bundle Tag Info'!K$21&lt;&gt;"",CONCATENATE('Bundle Tag Info'!$A$1," ",CHAR(10),'Bundle Tag Info'!$A$2," ",'Bundle Tag Info'!$A$3,CHAR(10),'Bundle Tag Info'!K$6,CHAR(10),'Bundle Tag Info'!K$21),"")</f>
        <v/>
      </c>
      <c r="L16" s="19" t="str">
        <f>IF('Bundle Tag Info'!L$21&lt;&gt;"",CONCATENATE('Bundle Tag Info'!$A$1," ",CHAR(10),'Bundle Tag Info'!$A$2," ",'Bundle Tag Info'!$A$3,CHAR(10),'Bundle Tag Info'!L$6,CHAR(10),'Bundle Tag Info'!L$21),"")</f>
        <v/>
      </c>
      <c r="M16" s="19" t="str">
        <f>IF('Bundle Tag Info'!M$21&lt;&gt;"",CONCATENATE('Bundle Tag Info'!$A$1," ",CHAR(10),'Bundle Tag Info'!$A$2," ",'Bundle Tag Info'!$A$3,CHAR(10),'Bundle Tag Info'!M$6,CHAR(10),'Bundle Tag Info'!M$21),"")</f>
        <v/>
      </c>
      <c r="N16" s="19" t="str">
        <f>IF('Bundle Tag Info'!N$21&lt;&gt;"",CONCATENATE('Bundle Tag Info'!$A$1," ",CHAR(10),'Bundle Tag Info'!$A$2," ",'Bundle Tag Info'!$A$3,CHAR(10),'Bundle Tag Info'!N$6,CHAR(10),'Bundle Tag Info'!N$21),"")</f>
        <v/>
      </c>
      <c r="O16" s="19" t="str">
        <f>IF('Bundle Tag Info'!O$21&lt;&gt;"",CONCATENATE('Bundle Tag Info'!$A$1," ",CHAR(10),'Bundle Tag Info'!$A$2," ",'Bundle Tag Info'!$A$3,CHAR(10),'Bundle Tag Info'!O$6,CHAR(10),'Bundle Tag Info'!O$21),"")</f>
        <v/>
      </c>
      <c r="P16" s="19" t="str">
        <f>IF('Bundle Tag Info'!P$21&lt;&gt;"",CONCATENATE('Bundle Tag Info'!$A$1," ",CHAR(10),'Bundle Tag Info'!$A$2," ",'Bundle Tag Info'!$A$3,CHAR(10),'Bundle Tag Info'!P$6,CHAR(10),'Bundle Tag Info'!P$21),"")</f>
        <v/>
      </c>
      <c r="Q16" s="19" t="str">
        <f>IF('Bundle Tag Info'!Q$21&lt;&gt;"",CONCATENATE('Bundle Tag Info'!$A$1," ",CHAR(10),'Bundle Tag Info'!$A$2," ",'Bundle Tag Info'!$A$3,CHAR(10),'Bundle Tag Info'!Q$6,CHAR(10),'Bundle Tag Info'!Q$21),"")</f>
        <v/>
      </c>
      <c r="R16" s="19" t="str">
        <f>IF('Bundle Tag Info'!R$21&lt;&gt;"",CONCATENATE('Bundle Tag Info'!$A$1," ",CHAR(10),'Bundle Tag Info'!$A$2," ",'Bundle Tag Info'!$A$3,CHAR(10),'Bundle Tag Info'!R$6,CHAR(10),'Bundle Tag Info'!R$21),"")</f>
        <v/>
      </c>
      <c r="S16" s="19" t="str">
        <f>IF('Bundle Tag Info'!S$21&lt;&gt;"",CONCATENATE('Bundle Tag Info'!$A$1," ",CHAR(10),'Bundle Tag Info'!$A$2," ",'Bundle Tag Info'!$A$3,CHAR(10),'Bundle Tag Info'!S$6,CHAR(10),'Bundle Tag Info'!S$21),"")</f>
        <v/>
      </c>
      <c r="T16" s="19" t="str">
        <f>IF('Bundle Tag Info'!T$21&lt;&gt;"",CONCATENATE('Bundle Tag Info'!$A$1," ",CHAR(10),'Bundle Tag Info'!$A$2," ",'Bundle Tag Info'!$A$3,CHAR(10),'Bundle Tag Info'!T$6,CHAR(10),'Bundle Tag Info'!T$21),"")</f>
        <v/>
      </c>
      <c r="U16" s="19" t="str">
        <f>IF('Bundle Tag Info'!U$21&lt;&gt;"",CONCATENATE('Bundle Tag Info'!$A$1," ",CHAR(10),'Bundle Tag Info'!$A$2," ",'Bundle Tag Info'!$A$3,CHAR(10),'Bundle Tag Info'!U$6,CHAR(10),'Bundle Tag Info'!U$21),"")</f>
        <v/>
      </c>
      <c r="V16" s="19" t="str">
        <f>IF('Bundle Tag Info'!V$21&lt;&gt;"",CONCATENATE('Bundle Tag Info'!$A$1," ",CHAR(10),'Bundle Tag Info'!$A$2," ",'Bundle Tag Info'!$A$3,CHAR(10),'Bundle Tag Info'!V$6,CHAR(10),'Bundle Tag Info'!V$21),"")</f>
        <v/>
      </c>
      <c r="W16" s="19" t="str">
        <f>IF('Bundle Tag Info'!W$21&lt;&gt;"",CONCATENATE('Bundle Tag Info'!$A$1," ",CHAR(10),'Bundle Tag Info'!$A$2," ",'Bundle Tag Info'!$A$3,CHAR(10),'Bundle Tag Info'!W$6,CHAR(10),'Bundle Tag Info'!W$21),"")</f>
        <v/>
      </c>
      <c r="X16" s="19" t="str">
        <f>IF('Bundle Tag Info'!X$21&lt;&gt;"",CONCATENATE('Bundle Tag Info'!$A$1," ",CHAR(10),'Bundle Tag Info'!$A$2," ",'Bundle Tag Info'!$A$3,CHAR(10),'Bundle Tag Info'!X$6,CHAR(10),'Bundle Tag Info'!X$21),"")</f>
        <v/>
      </c>
      <c r="Y16" s="19" t="str">
        <f>IF('Bundle Tag Info'!Y$21&lt;&gt;"",CONCATENATE('Bundle Tag Info'!$A$1," ",CHAR(10),'Bundle Tag Info'!$A$2," ",'Bundle Tag Info'!$A$3,CHAR(10),'Bundle Tag Info'!Y$6,CHAR(10),'Bundle Tag Info'!Y$21),"")</f>
        <v/>
      </c>
      <c r="Z16" s="19" t="str">
        <f>IF('Bundle Tag Info'!Z$21&lt;&gt;"",CONCATENATE('Bundle Tag Info'!$A$1," ",CHAR(10),'Bundle Tag Info'!$A$2," ",'Bundle Tag Info'!$A$3,CHAR(10),'Bundle Tag Info'!Z$6,CHAR(10),'Bundle Tag Info'!Z$21),"")</f>
        <v/>
      </c>
      <c r="AA16" s="19" t="str">
        <f>IF('Bundle Tag Info'!AA$21&lt;&gt;"",CONCATENATE('Bundle Tag Info'!$A$1," ",CHAR(10),'Bundle Tag Info'!$A$2," ",'Bundle Tag Info'!$A$3,CHAR(10),'Bundle Tag Info'!AA$6,CHAR(10),'Bundle Tag Info'!AA$21),"")</f>
        <v/>
      </c>
      <c r="AB16" s="19" t="str">
        <f>IF('Bundle Tag Info'!AB$21&lt;&gt;"",CONCATENATE('Bundle Tag Info'!$A$1," ",CHAR(10),'Bundle Tag Info'!$A$2," ",'Bundle Tag Info'!$A$3,CHAR(10),'Bundle Tag Info'!AB$6,CHAR(10),'Bundle Tag Info'!AB$21),"")</f>
        <v/>
      </c>
      <c r="AC16" s="19" t="str">
        <f>IF('Bundle Tag Info'!AC$21&lt;&gt;"",CONCATENATE('Bundle Tag Info'!$A$1," ",CHAR(10),'Bundle Tag Info'!$A$2," ",'Bundle Tag Info'!$A$3,CHAR(10),'Bundle Tag Info'!AC$6,CHAR(10),'Bundle Tag Info'!AC$21),"")</f>
        <v/>
      </c>
      <c r="AD16" s="1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5" customHeight="1" x14ac:dyDescent="0.35">
      <c r="A17" s="19" t="str">
        <f>IF('Bundle Tag Info'!D$9&lt;&gt;"",CONCATENATE('Bundle Tag Info'!$A$1," ",CHAR(10),'Bundle Tag Info'!$A$2," ",'Bundle Tag Info'!$A$3,CHAR(10),'Bundle Tag Info'!D$6,CHAR(10),'Bundle Tag Info'!D$9),"")</f>
        <v>NOC-A #1 
J0400 A.2
ORBIT
UV-RWALL</v>
      </c>
      <c r="G17" s="19" t="str">
        <f>IF('Bundle Tag Info'!G$22&lt;&gt;"",CONCATENATE('Bundle Tag Info'!$A$1," ",CHAR(10),'Bundle Tag Info'!$A$2," ",'Bundle Tag Info'!$A$3,CHAR(10),'Bundle Tag Info'!G$6,CHAR(10),'Bundle Tag Info'!G$22),"")</f>
        <v/>
      </c>
      <c r="H17" s="19" t="str">
        <f>IF('Bundle Tag Info'!H$22&lt;&gt;"",CONCATENATE('Bundle Tag Info'!$A$1," ",CHAR(10),'Bundle Tag Info'!$A$2," ",'Bundle Tag Info'!$A$3,CHAR(10),'Bundle Tag Info'!H$6,CHAR(10),'Bundle Tag Info'!H$22),"")</f>
        <v/>
      </c>
      <c r="I17" s="19" t="str">
        <f>IF('Bundle Tag Info'!I$22&lt;&gt;"",CONCATENATE('Bundle Tag Info'!$A$1," ",CHAR(10),'Bundle Tag Info'!$A$2," ",'Bundle Tag Info'!$A$3,CHAR(10),'Bundle Tag Info'!I$6,CHAR(10),'Bundle Tag Info'!I$22),"")</f>
        <v/>
      </c>
      <c r="J17" s="19" t="str">
        <f>IF('Bundle Tag Info'!J$22&lt;&gt;"",CONCATENATE('Bundle Tag Info'!$A$1," ",CHAR(10),'Bundle Tag Info'!$A$2," ",'Bundle Tag Info'!$A$3,CHAR(10),'Bundle Tag Info'!J$6,CHAR(10),'Bundle Tag Info'!J$22),"")</f>
        <v/>
      </c>
      <c r="K17" s="19" t="str">
        <f>IF('Bundle Tag Info'!K$22&lt;&gt;"",CONCATENATE('Bundle Tag Info'!$A$1," ",CHAR(10),'Bundle Tag Info'!$A$2," ",'Bundle Tag Info'!$A$3,CHAR(10),'Bundle Tag Info'!K$6,CHAR(10),'Bundle Tag Info'!K$22),"")</f>
        <v/>
      </c>
      <c r="L17" s="19" t="str">
        <f>IF('Bundle Tag Info'!L$22&lt;&gt;"",CONCATENATE('Bundle Tag Info'!$A$1," ",CHAR(10),'Bundle Tag Info'!$A$2," ",'Bundle Tag Info'!$A$3,CHAR(10),'Bundle Tag Info'!L$6,CHAR(10),'Bundle Tag Info'!L$22),"")</f>
        <v/>
      </c>
      <c r="M17" s="19" t="str">
        <f>IF('Bundle Tag Info'!M$22&lt;&gt;"",CONCATENATE('Bundle Tag Info'!$A$1," ",CHAR(10),'Bundle Tag Info'!$A$2," ",'Bundle Tag Info'!$A$3,CHAR(10),'Bundle Tag Info'!M$6,CHAR(10),'Bundle Tag Info'!M$22),"")</f>
        <v/>
      </c>
      <c r="N17" s="19" t="str">
        <f>IF('Bundle Tag Info'!N$22&lt;&gt;"",CONCATENATE('Bundle Tag Info'!$A$1," ",CHAR(10),'Bundle Tag Info'!$A$2," ",'Bundle Tag Info'!$A$3,CHAR(10),'Bundle Tag Info'!N$6,CHAR(10),'Bundle Tag Info'!N$22),"")</f>
        <v/>
      </c>
      <c r="O17" s="19" t="str">
        <f>IF('Bundle Tag Info'!O$22&lt;&gt;"",CONCATENATE('Bundle Tag Info'!$A$1," ",CHAR(10),'Bundle Tag Info'!$A$2," ",'Bundle Tag Info'!$A$3,CHAR(10),'Bundle Tag Info'!O$6,CHAR(10),'Bundle Tag Info'!O$22),"")</f>
        <v/>
      </c>
      <c r="P17" s="19" t="str">
        <f>IF('Bundle Tag Info'!P$22&lt;&gt;"",CONCATENATE('Bundle Tag Info'!$A$1," ",CHAR(10),'Bundle Tag Info'!$A$2," ",'Bundle Tag Info'!$A$3,CHAR(10),'Bundle Tag Info'!P$6,CHAR(10),'Bundle Tag Info'!P$22),"")</f>
        <v/>
      </c>
      <c r="Q17" s="19" t="str">
        <f>IF('Bundle Tag Info'!Q$22&lt;&gt;"",CONCATENATE('Bundle Tag Info'!$A$1," ",CHAR(10),'Bundle Tag Info'!$A$2," ",'Bundle Tag Info'!$A$3,CHAR(10),'Bundle Tag Info'!Q$6,CHAR(10),'Bundle Tag Info'!Q$22),"")</f>
        <v/>
      </c>
      <c r="R17" s="19" t="str">
        <f>IF('Bundle Tag Info'!R$22&lt;&gt;"",CONCATENATE('Bundle Tag Info'!$A$1," ",CHAR(10),'Bundle Tag Info'!$A$2," ",'Bundle Tag Info'!$A$3,CHAR(10),'Bundle Tag Info'!R$6,CHAR(10),'Bundle Tag Info'!R$22),"")</f>
        <v/>
      </c>
      <c r="S17" s="19" t="str">
        <f>IF('Bundle Tag Info'!S$22&lt;&gt;"",CONCATENATE('Bundle Tag Info'!$A$1," ",CHAR(10),'Bundle Tag Info'!$A$2," ",'Bundle Tag Info'!$A$3,CHAR(10),'Bundle Tag Info'!S$6,CHAR(10),'Bundle Tag Info'!S$22),"")</f>
        <v/>
      </c>
      <c r="T17" s="19" t="str">
        <f>IF('Bundle Tag Info'!T$22&lt;&gt;"",CONCATENATE('Bundle Tag Info'!$A$1," ",CHAR(10),'Bundle Tag Info'!$A$2," ",'Bundle Tag Info'!$A$3,CHAR(10),'Bundle Tag Info'!T$6,CHAR(10),'Bundle Tag Info'!T$22),"")</f>
        <v/>
      </c>
      <c r="U17" s="19" t="str">
        <f>IF('Bundle Tag Info'!U$22&lt;&gt;"",CONCATENATE('Bundle Tag Info'!$A$1," ",CHAR(10),'Bundle Tag Info'!$A$2," ",'Bundle Tag Info'!$A$3,CHAR(10),'Bundle Tag Info'!U$6,CHAR(10),'Bundle Tag Info'!U$22),"")</f>
        <v/>
      </c>
      <c r="V17" s="19" t="str">
        <f>IF('Bundle Tag Info'!V$22&lt;&gt;"",CONCATENATE('Bundle Tag Info'!$A$1," ",CHAR(10),'Bundle Tag Info'!$A$2," ",'Bundle Tag Info'!$A$3,CHAR(10),'Bundle Tag Info'!V$6,CHAR(10),'Bundle Tag Info'!V$22),"")</f>
        <v/>
      </c>
      <c r="W17" s="19" t="str">
        <f>IF('Bundle Tag Info'!W$22&lt;&gt;"",CONCATENATE('Bundle Tag Info'!$A$1," ",CHAR(10),'Bundle Tag Info'!$A$2," ",'Bundle Tag Info'!$A$3,CHAR(10),'Bundle Tag Info'!W$6,CHAR(10),'Bundle Tag Info'!W$22),"")</f>
        <v/>
      </c>
      <c r="X17" s="19" t="str">
        <f>IF('Bundle Tag Info'!X$22&lt;&gt;"",CONCATENATE('Bundle Tag Info'!$A$1," ",CHAR(10),'Bundle Tag Info'!$A$2," ",'Bundle Tag Info'!$A$3,CHAR(10),'Bundle Tag Info'!X$6,CHAR(10),'Bundle Tag Info'!X$22),"")</f>
        <v/>
      </c>
      <c r="Y17" s="19" t="str">
        <f>IF('Bundle Tag Info'!Y$22&lt;&gt;"",CONCATENATE('Bundle Tag Info'!$A$1," ",CHAR(10),'Bundle Tag Info'!$A$2," ",'Bundle Tag Info'!$A$3,CHAR(10),'Bundle Tag Info'!Y$6,CHAR(10),'Bundle Tag Info'!Y$22),"")</f>
        <v/>
      </c>
      <c r="Z17" s="19" t="str">
        <f>IF('Bundle Tag Info'!Z$22&lt;&gt;"",CONCATENATE('Bundle Tag Info'!$A$1," ",CHAR(10),'Bundle Tag Info'!$A$2," ",'Bundle Tag Info'!$A$3,CHAR(10),'Bundle Tag Info'!Z$6,CHAR(10),'Bundle Tag Info'!Z$22),"")</f>
        <v/>
      </c>
      <c r="AA17" s="19" t="str">
        <f>IF('Bundle Tag Info'!AA$22&lt;&gt;"",CONCATENATE('Bundle Tag Info'!$A$1," ",CHAR(10),'Bundle Tag Info'!$A$2," ",'Bundle Tag Info'!$A$3,CHAR(10),'Bundle Tag Info'!AA$6,CHAR(10),'Bundle Tag Info'!AA$22),"")</f>
        <v/>
      </c>
      <c r="AB17" s="19" t="str">
        <f>IF('Bundle Tag Info'!AB$22&lt;&gt;"",CONCATENATE('Bundle Tag Info'!$A$1," ",CHAR(10),'Bundle Tag Info'!$A$2," ",'Bundle Tag Info'!$A$3,CHAR(10),'Bundle Tag Info'!AB$6,CHAR(10),'Bundle Tag Info'!AB$22),"")</f>
        <v/>
      </c>
      <c r="AC17" s="19" t="str">
        <f>IF('Bundle Tag Info'!AC$22&lt;&gt;"",CONCATENATE('Bundle Tag Info'!$A$1," ",CHAR(10),'Bundle Tag Info'!$A$2," ",'Bundle Tag Info'!$A$3,CHAR(10),'Bundle Tag Info'!AC$6,CHAR(10),'Bundle Tag Info'!AC$22),"")</f>
        <v/>
      </c>
      <c r="AD17" s="1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5" customHeight="1" x14ac:dyDescent="0.35">
      <c r="A18" s="19" t="str">
        <f>IF('Bundle Tag Info'!E$7&lt;&gt;"",CONCATENATE('Bundle Tag Info'!$A$1," ",CHAR(10),'Bundle Tag Info'!$A$2," ",'Bundle Tag Info'!$A$3,CHAR(10),'Bundle Tag Info'!E$6,CHAR(10),'Bundle Tag Info'!E$7),"")</f>
        <v>NOC-A #1 
J0400 A.2
LS WALL
FU</v>
      </c>
      <c r="G18" s="19" t="str">
        <f>IF('Bundle Tag Info'!G$23&lt;&gt;"",CONCATENATE('Bundle Tag Info'!$A$1," ",CHAR(10),'Bundle Tag Info'!$A$2," ",'Bundle Tag Info'!$A$3,CHAR(10),'Bundle Tag Info'!G$6,CHAR(10),'Bundle Tag Info'!G$23),"")</f>
        <v/>
      </c>
      <c r="H18" s="19" t="str">
        <f>IF('Bundle Tag Info'!H$23&lt;&gt;"",CONCATENATE('Bundle Tag Info'!$A$1," ",CHAR(10),'Bundle Tag Info'!$A$2," ",'Bundle Tag Info'!$A$3,CHAR(10),'Bundle Tag Info'!H$6,CHAR(10),'Bundle Tag Info'!H$23),"")</f>
        <v/>
      </c>
      <c r="I18" s="19" t="str">
        <f>IF('Bundle Tag Info'!I$23&lt;&gt;"",CONCATENATE('Bundle Tag Info'!$A$1," ",CHAR(10),'Bundle Tag Info'!$A$2," ",'Bundle Tag Info'!$A$3,CHAR(10),'Bundle Tag Info'!I$6,CHAR(10),'Bundle Tag Info'!I$23),"")</f>
        <v/>
      </c>
      <c r="J18" s="19" t="str">
        <f>IF('Bundle Tag Info'!J$23&lt;&gt;"",CONCATENATE('Bundle Tag Info'!$A$1," ",CHAR(10),'Bundle Tag Info'!$A$2," ",'Bundle Tag Info'!$A$3,CHAR(10),'Bundle Tag Info'!J$6,CHAR(10),'Bundle Tag Info'!J$23),"")</f>
        <v/>
      </c>
      <c r="K18" s="19" t="str">
        <f>IF('Bundle Tag Info'!K$23&lt;&gt;"",CONCATENATE('Bundle Tag Info'!$A$1," ",CHAR(10),'Bundle Tag Info'!$A$2," ",'Bundle Tag Info'!$A$3,CHAR(10),'Bundle Tag Info'!K$6,CHAR(10),'Bundle Tag Info'!K$23),"")</f>
        <v/>
      </c>
      <c r="L18" s="19" t="str">
        <f>IF('Bundle Tag Info'!L$23&lt;&gt;"",CONCATENATE('Bundle Tag Info'!$A$1," ",CHAR(10),'Bundle Tag Info'!$A$2," ",'Bundle Tag Info'!$A$3,CHAR(10),'Bundle Tag Info'!L$6,CHAR(10),'Bundle Tag Info'!L$23),"")</f>
        <v/>
      </c>
      <c r="M18" s="19" t="str">
        <f>IF('Bundle Tag Info'!M$23&lt;&gt;"",CONCATENATE('Bundle Tag Info'!$A$1," ",CHAR(10),'Bundle Tag Info'!$A$2," ",'Bundle Tag Info'!$A$3,CHAR(10),'Bundle Tag Info'!M$6,CHAR(10),'Bundle Tag Info'!M$23),"")</f>
        <v/>
      </c>
      <c r="N18" s="19" t="str">
        <f>IF('Bundle Tag Info'!N$23&lt;&gt;"",CONCATENATE('Bundle Tag Info'!$A$1," ",CHAR(10),'Bundle Tag Info'!$A$2," ",'Bundle Tag Info'!$A$3,CHAR(10),'Bundle Tag Info'!N$6,CHAR(10),'Bundle Tag Info'!N$23),"")</f>
        <v/>
      </c>
      <c r="O18" s="19" t="str">
        <f>IF('Bundle Tag Info'!O$23&lt;&gt;"",CONCATENATE('Bundle Tag Info'!$A$1," ",CHAR(10),'Bundle Tag Info'!$A$2," ",'Bundle Tag Info'!$A$3,CHAR(10),'Bundle Tag Info'!O$6,CHAR(10),'Bundle Tag Info'!O$23),"")</f>
        <v/>
      </c>
      <c r="P18" s="19" t="str">
        <f>IF('Bundle Tag Info'!P$23&lt;&gt;"",CONCATENATE('Bundle Tag Info'!$A$1," ",CHAR(10),'Bundle Tag Info'!$A$2," ",'Bundle Tag Info'!$A$3,CHAR(10),'Bundle Tag Info'!P$6,CHAR(10),'Bundle Tag Info'!P$23),"")</f>
        <v/>
      </c>
      <c r="Q18" s="19" t="str">
        <f>IF('Bundle Tag Info'!Q$23&lt;&gt;"",CONCATENATE('Bundle Tag Info'!$A$1," ",CHAR(10),'Bundle Tag Info'!$A$2," ",'Bundle Tag Info'!$A$3,CHAR(10),'Bundle Tag Info'!Q$6,CHAR(10),'Bundle Tag Info'!Q$23),"")</f>
        <v/>
      </c>
      <c r="R18" s="19" t="str">
        <f>IF('Bundle Tag Info'!R$23&lt;&gt;"",CONCATENATE('Bundle Tag Info'!$A$1," ",CHAR(10),'Bundle Tag Info'!$A$2," ",'Bundle Tag Info'!$A$3,CHAR(10),'Bundle Tag Info'!R$6,CHAR(10),'Bundle Tag Info'!R$23),"")</f>
        <v/>
      </c>
      <c r="S18" s="19" t="str">
        <f>IF('Bundle Tag Info'!S$23&lt;&gt;"",CONCATENATE('Bundle Tag Info'!$A$1," ",CHAR(10),'Bundle Tag Info'!$A$2," ",'Bundle Tag Info'!$A$3,CHAR(10),'Bundle Tag Info'!S$6,CHAR(10),'Bundle Tag Info'!S$23),"")</f>
        <v/>
      </c>
      <c r="T18" s="19" t="str">
        <f>IF('Bundle Tag Info'!T$23&lt;&gt;"",CONCATENATE('Bundle Tag Info'!$A$1," ",CHAR(10),'Bundle Tag Info'!$A$2," ",'Bundle Tag Info'!$A$3,CHAR(10),'Bundle Tag Info'!T$6,CHAR(10),'Bundle Tag Info'!T$23),"")</f>
        <v/>
      </c>
      <c r="U18" s="19" t="str">
        <f>IF('Bundle Tag Info'!U$23&lt;&gt;"",CONCATENATE('Bundle Tag Info'!$A$1," ",CHAR(10),'Bundle Tag Info'!$A$2," ",'Bundle Tag Info'!$A$3,CHAR(10),'Bundle Tag Info'!U$6,CHAR(10),'Bundle Tag Info'!U$23),"")</f>
        <v/>
      </c>
      <c r="V18" s="19" t="str">
        <f>IF('Bundle Tag Info'!V$23&lt;&gt;"",CONCATENATE('Bundle Tag Info'!$A$1," ",CHAR(10),'Bundle Tag Info'!$A$2," ",'Bundle Tag Info'!$A$3,CHAR(10),'Bundle Tag Info'!V$6,CHAR(10),'Bundle Tag Info'!V$23),"")</f>
        <v/>
      </c>
      <c r="W18" s="19" t="str">
        <f>IF('Bundle Tag Info'!W$23&lt;&gt;"",CONCATENATE('Bundle Tag Info'!$A$1," ",CHAR(10),'Bundle Tag Info'!$A$2," ",'Bundle Tag Info'!$A$3,CHAR(10),'Bundle Tag Info'!W$6,CHAR(10),'Bundle Tag Info'!W$23),"")</f>
        <v/>
      </c>
      <c r="X18" s="19" t="str">
        <f>IF('Bundle Tag Info'!X$23&lt;&gt;"",CONCATENATE('Bundle Tag Info'!$A$1," ",CHAR(10),'Bundle Tag Info'!$A$2," ",'Bundle Tag Info'!$A$3,CHAR(10),'Bundle Tag Info'!X$6,CHAR(10),'Bundle Tag Info'!X$23),"")</f>
        <v/>
      </c>
      <c r="Y18" s="19" t="str">
        <f>IF('Bundle Tag Info'!Y$23&lt;&gt;"",CONCATENATE('Bundle Tag Info'!$A$1," ",CHAR(10),'Bundle Tag Info'!$A$2," ",'Bundle Tag Info'!$A$3,CHAR(10),'Bundle Tag Info'!Y$6,CHAR(10),'Bundle Tag Info'!Y$23),"")</f>
        <v/>
      </c>
      <c r="Z18" s="19" t="str">
        <f>IF('Bundle Tag Info'!Z$23&lt;&gt;"",CONCATENATE('Bundle Tag Info'!$A$1," ",CHAR(10),'Bundle Tag Info'!$A$2," ",'Bundle Tag Info'!$A$3,CHAR(10),'Bundle Tag Info'!Z$6,CHAR(10),'Bundle Tag Info'!Z$23),"")</f>
        <v/>
      </c>
      <c r="AA18" s="19" t="str">
        <f>IF('Bundle Tag Info'!AA$23&lt;&gt;"",CONCATENATE('Bundle Tag Info'!$A$1," ",CHAR(10),'Bundle Tag Info'!$A$2," ",'Bundle Tag Info'!$A$3,CHAR(10),'Bundle Tag Info'!AA$6,CHAR(10),'Bundle Tag Info'!AA$23),"")</f>
        <v/>
      </c>
      <c r="AB18" s="19" t="str">
        <f>IF('Bundle Tag Info'!AB$23&lt;&gt;"",CONCATENATE('Bundle Tag Info'!$A$1," ",CHAR(10),'Bundle Tag Info'!$A$2," ",'Bundle Tag Info'!$A$3,CHAR(10),'Bundle Tag Info'!AB$6,CHAR(10),'Bundle Tag Info'!AB$23),"")</f>
        <v/>
      </c>
      <c r="AC18" s="19" t="str">
        <f>IF('Bundle Tag Info'!AC$23&lt;&gt;"",CONCATENATE('Bundle Tag Info'!$A$1," ",CHAR(10),'Bundle Tag Info'!$A$2," ",'Bundle Tag Info'!$A$3,CHAR(10),'Bundle Tag Info'!AC$6,CHAR(10),'Bundle Tag Info'!AC$23),"")</f>
        <v/>
      </c>
      <c r="AD18" s="1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5" customHeight="1" x14ac:dyDescent="0.35">
      <c r="A19" s="19" t="str">
        <f>IF('Bundle Tag Info'!E$8&lt;&gt;"",CONCATENATE('Bundle Tag Info'!$A$1," ",CHAR(10),'Bundle Tag Info'!$A$2," ",'Bundle Tag Info'!$A$3,CHAR(10),'Bundle Tag Info'!E$6,CHAR(10),'Bundle Tag Info'!E$8),"")</f>
        <v>NOC-A #1 
J0400 A.2
LS WALL
KA A1</v>
      </c>
      <c r="G19" s="19" t="str">
        <f>IF('Bundle Tag Info'!G$24&lt;&gt;"",CONCATENATE('Bundle Tag Info'!$A$1," ",CHAR(10),'Bundle Tag Info'!$A$2," ",'Bundle Tag Info'!$A$3,CHAR(10),'Bundle Tag Info'!G$6,CHAR(10),'Bundle Tag Info'!G$24),"")</f>
        <v/>
      </c>
      <c r="H19" s="19" t="str">
        <f>IF('Bundle Tag Info'!H$24&lt;&gt;"",CONCATENATE('Bundle Tag Info'!$A$1," ",CHAR(10),'Bundle Tag Info'!$A$2," ",'Bundle Tag Info'!$A$3,CHAR(10),'Bundle Tag Info'!H$6,CHAR(10),'Bundle Tag Info'!H$24),"")</f>
        <v/>
      </c>
      <c r="I19" s="19" t="str">
        <f>IF('Bundle Tag Info'!I$24&lt;&gt;"",CONCATENATE('Bundle Tag Info'!$A$1," ",CHAR(10),'Bundle Tag Info'!$A$2," ",'Bundle Tag Info'!$A$3,CHAR(10),'Bundle Tag Info'!I$6,CHAR(10),'Bundle Tag Info'!I$24),"")</f>
        <v/>
      </c>
      <c r="J19" s="19" t="str">
        <f>IF('Bundle Tag Info'!J$24&lt;&gt;"",CONCATENATE('Bundle Tag Info'!$A$1," ",CHAR(10),'Bundle Tag Info'!$A$2," ",'Bundle Tag Info'!$A$3,CHAR(10),'Bundle Tag Info'!J$6,CHAR(10),'Bundle Tag Info'!J$24),"")</f>
        <v/>
      </c>
      <c r="K19" s="19" t="str">
        <f>IF('Bundle Tag Info'!K$24&lt;&gt;"",CONCATENATE('Bundle Tag Info'!$A$1," ",CHAR(10),'Bundle Tag Info'!$A$2," ",'Bundle Tag Info'!$A$3,CHAR(10),'Bundle Tag Info'!K$6,CHAR(10),'Bundle Tag Info'!K$24),"")</f>
        <v/>
      </c>
      <c r="L19" s="19" t="str">
        <f>IF('Bundle Tag Info'!L$24&lt;&gt;"",CONCATENATE('Bundle Tag Info'!$A$1," ",CHAR(10),'Bundle Tag Info'!$A$2," ",'Bundle Tag Info'!$A$3,CHAR(10),'Bundle Tag Info'!L$6,CHAR(10),'Bundle Tag Info'!L$24),"")</f>
        <v/>
      </c>
      <c r="M19" s="19" t="str">
        <f>IF('Bundle Tag Info'!M$24&lt;&gt;"",CONCATENATE('Bundle Tag Info'!$A$1," ",CHAR(10),'Bundle Tag Info'!$A$2," ",'Bundle Tag Info'!$A$3,CHAR(10),'Bundle Tag Info'!M$6,CHAR(10),'Bundle Tag Info'!M$24),"")</f>
        <v/>
      </c>
      <c r="N19" s="19" t="str">
        <f>IF('Bundle Tag Info'!N$24&lt;&gt;"",CONCATENATE('Bundle Tag Info'!$A$1," ",CHAR(10),'Bundle Tag Info'!$A$2," ",'Bundle Tag Info'!$A$3,CHAR(10),'Bundle Tag Info'!N$6,CHAR(10),'Bundle Tag Info'!N$24),"")</f>
        <v/>
      </c>
      <c r="O19" s="19" t="str">
        <f>IF('Bundle Tag Info'!O$24&lt;&gt;"",CONCATENATE('Bundle Tag Info'!$A$1," ",CHAR(10),'Bundle Tag Info'!$A$2," ",'Bundle Tag Info'!$A$3,CHAR(10),'Bundle Tag Info'!O$6,CHAR(10),'Bundle Tag Info'!O$24),"")</f>
        <v/>
      </c>
      <c r="P19" s="19" t="str">
        <f>IF('Bundle Tag Info'!P$24&lt;&gt;"",CONCATENATE('Bundle Tag Info'!$A$1," ",CHAR(10),'Bundle Tag Info'!$A$2," ",'Bundle Tag Info'!$A$3,CHAR(10),'Bundle Tag Info'!P$6,CHAR(10),'Bundle Tag Info'!P$24),"")</f>
        <v/>
      </c>
      <c r="Q19" s="19" t="str">
        <f>IF('Bundle Tag Info'!Q$24&lt;&gt;"",CONCATENATE('Bundle Tag Info'!$A$1," ",CHAR(10),'Bundle Tag Info'!$A$2," ",'Bundle Tag Info'!$A$3,CHAR(10),'Bundle Tag Info'!Q$6,CHAR(10),'Bundle Tag Info'!Q$24),"")</f>
        <v/>
      </c>
      <c r="R19" s="19" t="str">
        <f>IF('Bundle Tag Info'!R$24&lt;&gt;"",CONCATENATE('Bundle Tag Info'!$A$1," ",CHAR(10),'Bundle Tag Info'!$A$2," ",'Bundle Tag Info'!$A$3,CHAR(10),'Bundle Tag Info'!R$6,CHAR(10),'Bundle Tag Info'!R$24),"")</f>
        <v/>
      </c>
      <c r="S19" s="19" t="str">
        <f>IF('Bundle Tag Info'!S$24&lt;&gt;"",CONCATENATE('Bundle Tag Info'!$A$1," ",CHAR(10),'Bundle Tag Info'!$A$2," ",'Bundle Tag Info'!$A$3,CHAR(10),'Bundle Tag Info'!S$6,CHAR(10),'Bundle Tag Info'!S$24),"")</f>
        <v/>
      </c>
      <c r="T19" s="19" t="str">
        <f>IF('Bundle Tag Info'!T$24&lt;&gt;"",CONCATENATE('Bundle Tag Info'!$A$1," ",CHAR(10),'Bundle Tag Info'!$A$2," ",'Bundle Tag Info'!$A$3,CHAR(10),'Bundle Tag Info'!T$6,CHAR(10),'Bundle Tag Info'!T$24),"")</f>
        <v/>
      </c>
      <c r="U19" s="19" t="str">
        <f>IF('Bundle Tag Info'!U$24&lt;&gt;"",CONCATENATE('Bundle Tag Info'!$A$1," ",CHAR(10),'Bundle Tag Info'!$A$2," ",'Bundle Tag Info'!$A$3,CHAR(10),'Bundle Tag Info'!U$6,CHAR(10),'Bundle Tag Info'!U$24),"")</f>
        <v/>
      </c>
      <c r="V19" s="19" t="str">
        <f>IF('Bundle Tag Info'!V$24&lt;&gt;"",CONCATENATE('Bundle Tag Info'!$A$1," ",CHAR(10),'Bundle Tag Info'!$A$2," ",'Bundle Tag Info'!$A$3,CHAR(10),'Bundle Tag Info'!V$6,CHAR(10),'Bundle Tag Info'!V$24),"")</f>
        <v/>
      </c>
      <c r="W19" s="19" t="str">
        <f>IF('Bundle Tag Info'!W$24&lt;&gt;"",CONCATENATE('Bundle Tag Info'!$A$1," ",CHAR(10),'Bundle Tag Info'!$A$2," ",'Bundle Tag Info'!$A$3,CHAR(10),'Bundle Tag Info'!W$6,CHAR(10),'Bundle Tag Info'!W$24),"")</f>
        <v/>
      </c>
      <c r="X19" s="19" t="str">
        <f>IF('Bundle Tag Info'!X$24&lt;&gt;"",CONCATENATE('Bundle Tag Info'!$A$1," ",CHAR(10),'Bundle Tag Info'!$A$2," ",'Bundle Tag Info'!$A$3,CHAR(10),'Bundle Tag Info'!X$6,CHAR(10),'Bundle Tag Info'!X$24),"")</f>
        <v/>
      </c>
      <c r="Y19" s="19" t="str">
        <f>IF('Bundle Tag Info'!Y$24&lt;&gt;"",CONCATENATE('Bundle Tag Info'!$A$1," ",CHAR(10),'Bundle Tag Info'!$A$2," ",'Bundle Tag Info'!$A$3,CHAR(10),'Bundle Tag Info'!Y$6,CHAR(10),'Bundle Tag Info'!Y$24),"")</f>
        <v/>
      </c>
      <c r="Z19" s="19" t="str">
        <f>IF('Bundle Tag Info'!Z$24&lt;&gt;"",CONCATENATE('Bundle Tag Info'!$A$1," ",CHAR(10),'Bundle Tag Info'!$A$2," ",'Bundle Tag Info'!$A$3,CHAR(10),'Bundle Tag Info'!Z$6,CHAR(10),'Bundle Tag Info'!Z$24),"")</f>
        <v/>
      </c>
      <c r="AA19" s="19" t="str">
        <f>IF('Bundle Tag Info'!AA$24&lt;&gt;"",CONCATENATE('Bundle Tag Info'!$A$1," ",CHAR(10),'Bundle Tag Info'!$A$2," ",'Bundle Tag Info'!$A$3,CHAR(10),'Bundle Tag Info'!AA$6,CHAR(10),'Bundle Tag Info'!AA$24),"")</f>
        <v/>
      </c>
      <c r="AB19" s="19" t="str">
        <f>IF('Bundle Tag Info'!AB$24&lt;&gt;"",CONCATENATE('Bundle Tag Info'!$A$1," ",CHAR(10),'Bundle Tag Info'!$A$2," ",'Bundle Tag Info'!$A$3,CHAR(10),'Bundle Tag Info'!AB$6,CHAR(10),'Bundle Tag Info'!AB$24),"")</f>
        <v/>
      </c>
      <c r="AC19" s="19" t="str">
        <f>IF('Bundle Tag Info'!AC$24&lt;&gt;"",CONCATENATE('Bundle Tag Info'!$A$1," ",CHAR(10),'Bundle Tag Info'!$A$2," ",'Bundle Tag Info'!$A$3,CHAR(10),'Bundle Tag Info'!AC$6,CHAR(10),'Bundle Tag Info'!AC$24),"")</f>
        <v/>
      </c>
      <c r="AD19" s="19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5" customHeight="1" x14ac:dyDescent="0.35">
      <c r="A20" s="19" t="str">
        <f>IF('Bundle Tag Info'!E$9&lt;&gt;"",CONCATENATE('Bundle Tag Info'!$A$1," ",CHAR(10),'Bundle Tag Info'!$A$2," ",'Bundle Tag Info'!$A$3,CHAR(10),'Bundle Tag Info'!E$6,CHAR(10),'Bundle Tag Info'!E$9),"")</f>
        <v>NOC-A #1 
J0400 A.2
LS WALL
KA A2</v>
      </c>
      <c r="G20" s="19" t="str">
        <f>IF('Bundle Tag Info'!G$25&lt;&gt;"",CONCATENATE('Bundle Tag Info'!$A$1," ",CHAR(10),'Bundle Tag Info'!$A$2," ",'Bundle Tag Info'!$A$3,CHAR(10),'Bundle Tag Info'!G$6,CHAR(10),'Bundle Tag Info'!G$25),"")</f>
        <v/>
      </c>
      <c r="H20" s="19" t="str">
        <f>IF('Bundle Tag Info'!H$25&lt;&gt;"",CONCATENATE('Bundle Tag Info'!$A$1," ",CHAR(10),'Bundle Tag Info'!$A$2," ",'Bundle Tag Info'!$A$3,CHAR(10),'Bundle Tag Info'!H$6,CHAR(10),'Bundle Tag Info'!H$25),"")</f>
        <v/>
      </c>
      <c r="I20" s="19" t="str">
        <f>IF('Bundle Tag Info'!I$25&lt;&gt;"",CONCATENATE('Bundle Tag Info'!$A$1," ",CHAR(10),'Bundle Tag Info'!$A$2," ",'Bundle Tag Info'!$A$3,CHAR(10),'Bundle Tag Info'!I$6,CHAR(10),'Bundle Tag Info'!I$25),"")</f>
        <v/>
      </c>
      <c r="J20" s="19" t="str">
        <f>IF('Bundle Tag Info'!J$25&lt;&gt;"",CONCATENATE('Bundle Tag Info'!$A$1," ",CHAR(10),'Bundle Tag Info'!$A$2," ",'Bundle Tag Info'!$A$3,CHAR(10),'Bundle Tag Info'!J$6,CHAR(10),'Bundle Tag Info'!J$25),"")</f>
        <v/>
      </c>
      <c r="K20" s="19" t="str">
        <f>IF('Bundle Tag Info'!K$25&lt;&gt;"",CONCATENATE('Bundle Tag Info'!$A$1," ",CHAR(10),'Bundle Tag Info'!$A$2," ",'Bundle Tag Info'!$A$3,CHAR(10),'Bundle Tag Info'!K$6,CHAR(10),'Bundle Tag Info'!K$25),"")</f>
        <v/>
      </c>
      <c r="L20" s="19" t="str">
        <f>IF('Bundle Tag Info'!L$25&lt;&gt;"",CONCATENATE('Bundle Tag Info'!$A$1," ",CHAR(10),'Bundle Tag Info'!$A$2," ",'Bundle Tag Info'!$A$3,CHAR(10),'Bundle Tag Info'!L$6,CHAR(10),'Bundle Tag Info'!L$25),"")</f>
        <v/>
      </c>
      <c r="M20" s="19" t="str">
        <f>IF('Bundle Tag Info'!M$25&lt;&gt;"",CONCATENATE('Bundle Tag Info'!$A$1," ",CHAR(10),'Bundle Tag Info'!$A$2," ",'Bundle Tag Info'!$A$3,CHAR(10),'Bundle Tag Info'!M$6,CHAR(10),'Bundle Tag Info'!M$25),"")</f>
        <v/>
      </c>
      <c r="N20" s="19" t="str">
        <f>IF('Bundle Tag Info'!N$25&lt;&gt;"",CONCATENATE('Bundle Tag Info'!$A$1," ",CHAR(10),'Bundle Tag Info'!$A$2," ",'Bundle Tag Info'!$A$3,CHAR(10),'Bundle Tag Info'!N$6,CHAR(10),'Bundle Tag Info'!N$25),"")</f>
        <v/>
      </c>
      <c r="O20" s="19" t="str">
        <f>IF('Bundle Tag Info'!O$25&lt;&gt;"",CONCATENATE('Bundle Tag Info'!$A$1," ",CHAR(10),'Bundle Tag Info'!$A$2," ",'Bundle Tag Info'!$A$3,CHAR(10),'Bundle Tag Info'!O$6,CHAR(10),'Bundle Tag Info'!O$25),"")</f>
        <v/>
      </c>
      <c r="P20" s="19" t="str">
        <f>IF('Bundle Tag Info'!P$25&lt;&gt;"",CONCATENATE('Bundle Tag Info'!$A$1," ",CHAR(10),'Bundle Tag Info'!$A$2," ",'Bundle Tag Info'!$A$3,CHAR(10),'Bundle Tag Info'!P$6,CHAR(10),'Bundle Tag Info'!P$25),"")</f>
        <v/>
      </c>
      <c r="Q20" s="19" t="str">
        <f>IF('Bundle Tag Info'!Q$25&lt;&gt;"",CONCATENATE('Bundle Tag Info'!$A$1," ",CHAR(10),'Bundle Tag Info'!$A$2," ",'Bundle Tag Info'!$A$3,CHAR(10),'Bundle Tag Info'!Q$6,CHAR(10),'Bundle Tag Info'!Q$25),"")</f>
        <v/>
      </c>
      <c r="R20" s="19" t="str">
        <f>IF('Bundle Tag Info'!R$25&lt;&gt;"",CONCATENATE('Bundle Tag Info'!$A$1," ",CHAR(10),'Bundle Tag Info'!$A$2," ",'Bundle Tag Info'!$A$3,CHAR(10),'Bundle Tag Info'!R$6,CHAR(10),'Bundle Tag Info'!R$25),"")</f>
        <v/>
      </c>
      <c r="S20" s="19" t="str">
        <f>IF('Bundle Tag Info'!S$25&lt;&gt;"",CONCATENATE('Bundle Tag Info'!$A$1," ",CHAR(10),'Bundle Tag Info'!$A$2," ",'Bundle Tag Info'!$A$3,CHAR(10),'Bundle Tag Info'!S$6,CHAR(10),'Bundle Tag Info'!S$25),"")</f>
        <v/>
      </c>
      <c r="T20" s="19" t="str">
        <f>IF('Bundle Tag Info'!T$25&lt;&gt;"",CONCATENATE('Bundle Tag Info'!$A$1," ",CHAR(10),'Bundle Tag Info'!$A$2," ",'Bundle Tag Info'!$A$3,CHAR(10),'Bundle Tag Info'!T$6,CHAR(10),'Bundle Tag Info'!T$25),"")</f>
        <v/>
      </c>
      <c r="U20" s="19" t="str">
        <f>IF('Bundle Tag Info'!U$25&lt;&gt;"",CONCATENATE('Bundle Tag Info'!$A$1," ",CHAR(10),'Bundle Tag Info'!$A$2," ",'Bundle Tag Info'!$A$3,CHAR(10),'Bundle Tag Info'!U$6,CHAR(10),'Bundle Tag Info'!U$25),"")</f>
        <v/>
      </c>
      <c r="V20" s="19" t="str">
        <f>IF('Bundle Tag Info'!V$25&lt;&gt;"",CONCATENATE('Bundle Tag Info'!$A$1," ",CHAR(10),'Bundle Tag Info'!$A$2," ",'Bundle Tag Info'!$A$3,CHAR(10),'Bundle Tag Info'!V$6,CHAR(10),'Bundle Tag Info'!V$25),"")</f>
        <v/>
      </c>
      <c r="W20" s="19" t="str">
        <f>IF('Bundle Tag Info'!W$25&lt;&gt;"",CONCATENATE('Bundle Tag Info'!$A$1," ",CHAR(10),'Bundle Tag Info'!$A$2," ",'Bundle Tag Info'!$A$3,CHAR(10),'Bundle Tag Info'!W$6,CHAR(10),'Bundle Tag Info'!W$25),"")</f>
        <v/>
      </c>
      <c r="X20" s="19" t="str">
        <f>IF('Bundle Tag Info'!X$25&lt;&gt;"",CONCATENATE('Bundle Tag Info'!$A$1," ",CHAR(10),'Bundle Tag Info'!$A$2," ",'Bundle Tag Info'!$A$3,CHAR(10),'Bundle Tag Info'!X$6,CHAR(10),'Bundle Tag Info'!X$25),"")</f>
        <v/>
      </c>
      <c r="Y20" s="19" t="str">
        <f>IF('Bundle Tag Info'!Y$25&lt;&gt;"",CONCATENATE('Bundle Tag Info'!$A$1," ",CHAR(10),'Bundle Tag Info'!$A$2," ",'Bundle Tag Info'!$A$3,CHAR(10),'Bundle Tag Info'!Y$6,CHAR(10),'Bundle Tag Info'!Y$25),"")</f>
        <v/>
      </c>
      <c r="Z20" s="19" t="str">
        <f>IF('Bundle Tag Info'!Z$25&lt;&gt;"",CONCATENATE('Bundle Tag Info'!$A$1," ",CHAR(10),'Bundle Tag Info'!$A$2," ",'Bundle Tag Info'!$A$3,CHAR(10),'Bundle Tag Info'!Z$6,CHAR(10),'Bundle Tag Info'!Z$25),"")</f>
        <v/>
      </c>
      <c r="AA20" s="19" t="str">
        <f>IF('Bundle Tag Info'!AA$25&lt;&gt;"",CONCATENATE('Bundle Tag Info'!$A$1," ",CHAR(10),'Bundle Tag Info'!$A$2," ",'Bundle Tag Info'!$A$3,CHAR(10),'Bundle Tag Info'!AA$6,CHAR(10),'Bundle Tag Info'!AA$25),"")</f>
        <v/>
      </c>
      <c r="AB20" s="19" t="str">
        <f>IF('Bundle Tag Info'!AB$25&lt;&gt;"",CONCATENATE('Bundle Tag Info'!$A$1," ",CHAR(10),'Bundle Tag Info'!$A$2," ",'Bundle Tag Info'!$A$3,CHAR(10),'Bundle Tag Info'!AB$6,CHAR(10),'Bundle Tag Info'!AB$25),"")</f>
        <v/>
      </c>
      <c r="AC20" s="19" t="str">
        <f>IF('Bundle Tag Info'!AC$25&lt;&gt;"",CONCATENATE('Bundle Tag Info'!$A$1," ",CHAR(10),'Bundle Tag Info'!$A$2," ",'Bundle Tag Info'!$A$3,CHAR(10),'Bundle Tag Info'!AC$6,CHAR(10),'Bundle Tag Info'!AC$25),"")</f>
        <v/>
      </c>
      <c r="AD20" s="1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5" customHeight="1" x14ac:dyDescent="0.35">
      <c r="A21" s="19" t="str">
        <f>IF('Bundle Tag Info'!E$10&lt;&gt;"",CONCATENATE('Bundle Tag Info'!$A$1," ",CHAR(10),'Bundle Tag Info'!$A$2," ",'Bundle Tag Info'!$A$3,CHAR(10),'Bundle Tag Info'!E$6,CHAR(10),'Bundle Tag Info'!E$10),"")</f>
        <v>NOC-A #1 
J0400 A.2
LS WALL
KA</v>
      </c>
      <c r="G21" s="19" t="str">
        <f>IF('Bundle Tag Info'!G$26&lt;&gt;"",CONCATENATE('Bundle Tag Info'!$A$1," ",CHAR(10),'Bundle Tag Info'!$A$2," ",'Bundle Tag Info'!$A$3,CHAR(10),'Bundle Tag Info'!G$6,CHAR(10),'Bundle Tag Info'!G$26),"")</f>
        <v/>
      </c>
      <c r="H21" s="19" t="str">
        <f>IF('Bundle Tag Info'!H$26&lt;&gt;"",CONCATENATE('Bundle Tag Info'!$A$1," ",CHAR(10),'Bundle Tag Info'!$A$2," ",'Bundle Tag Info'!$A$3,CHAR(10),'Bundle Tag Info'!H$6,CHAR(10),'Bundle Tag Info'!H$26),"")</f>
        <v/>
      </c>
      <c r="I21" s="19" t="str">
        <f>IF('Bundle Tag Info'!I$26&lt;&gt;"",CONCATENATE('Bundle Tag Info'!$A$1," ",CHAR(10),'Bundle Tag Info'!$A$2," ",'Bundle Tag Info'!$A$3,CHAR(10),'Bundle Tag Info'!I$6,CHAR(10),'Bundle Tag Info'!I$26),"")</f>
        <v/>
      </c>
      <c r="J21" s="19" t="str">
        <f>IF('Bundle Tag Info'!J$26&lt;&gt;"",CONCATENATE('Bundle Tag Info'!$A$1," ",CHAR(10),'Bundle Tag Info'!$A$2," ",'Bundle Tag Info'!$A$3,CHAR(10),'Bundle Tag Info'!J$6,CHAR(10),'Bundle Tag Info'!J$26),"")</f>
        <v/>
      </c>
      <c r="K21" s="19" t="str">
        <f>IF('Bundle Tag Info'!K$26&lt;&gt;"",CONCATENATE('Bundle Tag Info'!$A$1," ",CHAR(10),'Bundle Tag Info'!$A$2," ",'Bundle Tag Info'!$A$3,CHAR(10),'Bundle Tag Info'!K$6,CHAR(10),'Bundle Tag Info'!K$26),"")</f>
        <v/>
      </c>
      <c r="L21" s="19" t="str">
        <f>IF('Bundle Tag Info'!L$26&lt;&gt;"",CONCATENATE('Bundle Tag Info'!$A$1," ",CHAR(10),'Bundle Tag Info'!$A$2," ",'Bundle Tag Info'!$A$3,CHAR(10),'Bundle Tag Info'!L$6,CHAR(10),'Bundle Tag Info'!L$26),"")</f>
        <v/>
      </c>
      <c r="M21" s="19" t="str">
        <f>IF('Bundle Tag Info'!M$26&lt;&gt;"",CONCATENATE('Bundle Tag Info'!$A$1," ",CHAR(10),'Bundle Tag Info'!$A$2," ",'Bundle Tag Info'!$A$3,CHAR(10),'Bundle Tag Info'!M$6,CHAR(10),'Bundle Tag Info'!M$26),"")</f>
        <v/>
      </c>
      <c r="N21" s="19" t="str">
        <f>IF('Bundle Tag Info'!N$26&lt;&gt;"",CONCATENATE('Bundle Tag Info'!$A$1," ",CHAR(10),'Bundle Tag Info'!$A$2," ",'Bundle Tag Info'!$A$3,CHAR(10),'Bundle Tag Info'!N$6,CHAR(10),'Bundle Tag Info'!N$26),"")</f>
        <v/>
      </c>
      <c r="O21" s="19" t="str">
        <f>IF('Bundle Tag Info'!O$26&lt;&gt;"",CONCATENATE('Bundle Tag Info'!$A$1," ",CHAR(10),'Bundle Tag Info'!$A$2," ",'Bundle Tag Info'!$A$3,CHAR(10),'Bundle Tag Info'!O$6,CHAR(10),'Bundle Tag Info'!O$26),"")</f>
        <v/>
      </c>
      <c r="P21" s="19" t="str">
        <f>IF('Bundle Tag Info'!P$26&lt;&gt;"",CONCATENATE('Bundle Tag Info'!$A$1," ",CHAR(10),'Bundle Tag Info'!$A$2," ",'Bundle Tag Info'!$A$3,CHAR(10),'Bundle Tag Info'!P$6,CHAR(10),'Bundle Tag Info'!P$26),"")</f>
        <v/>
      </c>
      <c r="Q21" s="19" t="str">
        <f>IF('Bundle Tag Info'!Q$26&lt;&gt;"",CONCATENATE('Bundle Tag Info'!$A$1," ",CHAR(10),'Bundle Tag Info'!$A$2," ",'Bundle Tag Info'!$A$3,CHAR(10),'Bundle Tag Info'!Q$6,CHAR(10),'Bundle Tag Info'!Q$26),"")</f>
        <v/>
      </c>
      <c r="R21" s="19" t="str">
        <f>IF('Bundle Tag Info'!R$26&lt;&gt;"",CONCATENATE('Bundle Tag Info'!$A$1," ",CHAR(10),'Bundle Tag Info'!$A$2," ",'Bundle Tag Info'!$A$3,CHAR(10),'Bundle Tag Info'!R$6,CHAR(10),'Bundle Tag Info'!R$26),"")</f>
        <v/>
      </c>
      <c r="S21" s="19" t="str">
        <f>IF('Bundle Tag Info'!S$26&lt;&gt;"",CONCATENATE('Bundle Tag Info'!$A$1," ",CHAR(10),'Bundle Tag Info'!$A$2," ",'Bundle Tag Info'!$A$3,CHAR(10),'Bundle Tag Info'!S$6,CHAR(10),'Bundle Tag Info'!S$26),"")</f>
        <v/>
      </c>
      <c r="T21" s="19" t="str">
        <f>IF('Bundle Tag Info'!T$26&lt;&gt;"",CONCATENATE('Bundle Tag Info'!$A$1," ",CHAR(10),'Bundle Tag Info'!$A$2," ",'Bundle Tag Info'!$A$3,CHAR(10),'Bundle Tag Info'!T$6,CHAR(10),'Bundle Tag Info'!T$26),"")</f>
        <v/>
      </c>
      <c r="U21" s="19" t="str">
        <f>IF('Bundle Tag Info'!U$26&lt;&gt;"",CONCATENATE('Bundle Tag Info'!$A$1," ",CHAR(10),'Bundle Tag Info'!$A$2," ",'Bundle Tag Info'!$A$3,CHAR(10),'Bundle Tag Info'!U$6,CHAR(10),'Bundle Tag Info'!U$26),"")</f>
        <v/>
      </c>
      <c r="V21" s="19" t="str">
        <f>IF('Bundle Tag Info'!V$26&lt;&gt;"",CONCATENATE('Bundle Tag Info'!$A$1," ",CHAR(10),'Bundle Tag Info'!$A$2," ",'Bundle Tag Info'!$A$3,CHAR(10),'Bundle Tag Info'!V$6,CHAR(10),'Bundle Tag Info'!V$26),"")</f>
        <v/>
      </c>
      <c r="W21" s="19" t="str">
        <f>IF('Bundle Tag Info'!W$26&lt;&gt;"",CONCATENATE('Bundle Tag Info'!$A$1," ",CHAR(10),'Bundle Tag Info'!$A$2," ",'Bundle Tag Info'!$A$3,CHAR(10),'Bundle Tag Info'!W$6,CHAR(10),'Bundle Tag Info'!W$26),"")</f>
        <v/>
      </c>
      <c r="X21" s="19" t="str">
        <f>IF('Bundle Tag Info'!X$26&lt;&gt;"",CONCATENATE('Bundle Tag Info'!$A$1," ",CHAR(10),'Bundle Tag Info'!$A$2," ",'Bundle Tag Info'!$A$3,CHAR(10),'Bundle Tag Info'!X$6,CHAR(10),'Bundle Tag Info'!X$26),"")</f>
        <v/>
      </c>
      <c r="Y21" s="19" t="str">
        <f>IF('Bundle Tag Info'!Y$26&lt;&gt;"",CONCATENATE('Bundle Tag Info'!$A$1," ",CHAR(10),'Bundle Tag Info'!$A$2," ",'Bundle Tag Info'!$A$3,CHAR(10),'Bundle Tag Info'!Y$6,CHAR(10),'Bundle Tag Info'!Y$26),"")</f>
        <v/>
      </c>
      <c r="Z21" s="19" t="str">
        <f>IF('Bundle Tag Info'!Z$26&lt;&gt;"",CONCATENATE('Bundle Tag Info'!$A$1," ",CHAR(10),'Bundle Tag Info'!$A$2," ",'Bundle Tag Info'!$A$3,CHAR(10),'Bundle Tag Info'!Z$6,CHAR(10),'Bundle Tag Info'!Z$26),"")</f>
        <v/>
      </c>
      <c r="AA21" s="19" t="str">
        <f>IF('Bundle Tag Info'!AA$26&lt;&gt;"",CONCATENATE('Bundle Tag Info'!$A$1," ",CHAR(10),'Bundle Tag Info'!$A$2," ",'Bundle Tag Info'!$A$3,CHAR(10),'Bundle Tag Info'!AA$6,CHAR(10),'Bundle Tag Info'!AA$26),"")</f>
        <v/>
      </c>
      <c r="AB21" s="19" t="str">
        <f>IF('Bundle Tag Info'!AB$26&lt;&gt;"",CONCATENATE('Bundle Tag Info'!$A$1," ",CHAR(10),'Bundle Tag Info'!$A$2," ",'Bundle Tag Info'!$A$3,CHAR(10),'Bundle Tag Info'!AB$6,CHAR(10),'Bundle Tag Info'!AB$26),"")</f>
        <v/>
      </c>
      <c r="AC21" s="19" t="str">
        <f>IF('Bundle Tag Info'!AC$26&lt;&gt;"",CONCATENATE('Bundle Tag Info'!$A$1," ",CHAR(10),'Bundle Tag Info'!$A$2," ",'Bundle Tag Info'!$A$3,CHAR(10),'Bundle Tag Info'!AC$6,CHAR(10),'Bundle Tag Info'!AC$26),"")</f>
        <v/>
      </c>
      <c r="AD21" s="1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5" customHeight="1" x14ac:dyDescent="0.35">
      <c r="A22" s="19" t="str">
        <f>IF('Bundle Tag Info'!E$11&lt;&gt;"",CONCATENATE('Bundle Tag Info'!$A$1," ",CHAR(10),'Bundle Tag Info'!$A$2," ",'Bundle Tag Info'!$A$3,CHAR(10),'Bundle Tag Info'!E$6,CHAR(10),'Bundle Tag Info'!E$11),"")</f>
        <v>NOC-A #1 
J0400 A.2
LS WALL
XT</v>
      </c>
      <c r="F22" s="19" t="str">
        <f>IF('Bundle Tag Info'!F$27&lt;&gt;"",CONCATENATE('Bundle Tag Info'!$A$1," ",CHAR(10),'Bundle Tag Info'!$A$2," ",'Bundle Tag Info'!$A$3,CHAR(10),'Bundle Tag Info'!F$6,CHAR(10),'Bundle Tag Info'!F$27),"")</f>
        <v/>
      </c>
      <c r="G22" s="19" t="str">
        <f>IF('Bundle Tag Info'!G$27&lt;&gt;"",CONCATENATE('Bundle Tag Info'!$A$1," ",CHAR(10),'Bundle Tag Info'!$A$2," ",'Bundle Tag Info'!$A$3,CHAR(10),'Bundle Tag Info'!G$6,CHAR(10),'Bundle Tag Info'!G$27),"")</f>
        <v/>
      </c>
      <c r="H22" s="19" t="str">
        <f>IF('Bundle Tag Info'!H$27&lt;&gt;"",CONCATENATE('Bundle Tag Info'!$A$1," ",CHAR(10),'Bundle Tag Info'!$A$2," ",'Bundle Tag Info'!$A$3,CHAR(10),'Bundle Tag Info'!H$6,CHAR(10),'Bundle Tag Info'!H$27),"")</f>
        <v/>
      </c>
      <c r="I22" s="19" t="str">
        <f>IF('Bundle Tag Info'!I$27&lt;&gt;"",CONCATENATE('Bundle Tag Info'!$A$1," ",CHAR(10),'Bundle Tag Info'!$A$2," ",'Bundle Tag Info'!$A$3,CHAR(10),'Bundle Tag Info'!I$6,CHAR(10),'Bundle Tag Info'!I$27),"")</f>
        <v/>
      </c>
      <c r="J22" s="19" t="str">
        <f>IF('Bundle Tag Info'!J$27&lt;&gt;"",CONCATENATE('Bundle Tag Info'!$A$1," ",CHAR(10),'Bundle Tag Info'!$A$2," ",'Bundle Tag Info'!$A$3,CHAR(10),'Bundle Tag Info'!J$6,CHAR(10),'Bundle Tag Info'!J$27),"")</f>
        <v/>
      </c>
      <c r="K22" s="19" t="str">
        <f>IF('Bundle Tag Info'!K$27&lt;&gt;"",CONCATENATE('Bundle Tag Info'!$A$1," ",CHAR(10),'Bundle Tag Info'!$A$2," ",'Bundle Tag Info'!$A$3,CHAR(10),'Bundle Tag Info'!K$6,CHAR(10),'Bundle Tag Info'!K$27),"")</f>
        <v/>
      </c>
      <c r="L22" s="19" t="str">
        <f>IF('Bundle Tag Info'!L$27&lt;&gt;"",CONCATENATE('Bundle Tag Info'!$A$1," ",CHAR(10),'Bundle Tag Info'!$A$2," ",'Bundle Tag Info'!$A$3,CHAR(10),'Bundle Tag Info'!L$6,CHAR(10),'Bundle Tag Info'!L$27),"")</f>
        <v/>
      </c>
      <c r="M22" s="19" t="str">
        <f>IF('Bundle Tag Info'!M$27&lt;&gt;"",CONCATENATE('Bundle Tag Info'!$A$1," ",CHAR(10),'Bundle Tag Info'!$A$2," ",'Bundle Tag Info'!$A$3,CHAR(10),'Bundle Tag Info'!M$6,CHAR(10),'Bundle Tag Info'!M$27),"")</f>
        <v/>
      </c>
      <c r="N22" s="19" t="str">
        <f>IF('Bundle Tag Info'!N$27&lt;&gt;"",CONCATENATE('Bundle Tag Info'!$A$1," ",CHAR(10),'Bundle Tag Info'!$A$2," ",'Bundle Tag Info'!$A$3,CHAR(10),'Bundle Tag Info'!N$6,CHAR(10),'Bundle Tag Info'!N$27),"")</f>
        <v/>
      </c>
      <c r="O22" s="19" t="str">
        <f>IF('Bundle Tag Info'!O$27&lt;&gt;"",CONCATENATE('Bundle Tag Info'!$A$1," ",CHAR(10),'Bundle Tag Info'!$A$2," ",'Bundle Tag Info'!$A$3,CHAR(10),'Bundle Tag Info'!O$6,CHAR(10),'Bundle Tag Info'!O$27),"")</f>
        <v/>
      </c>
      <c r="P22" s="19" t="str">
        <f>IF('Bundle Tag Info'!P$27&lt;&gt;"",CONCATENATE('Bundle Tag Info'!$A$1," ",CHAR(10),'Bundle Tag Info'!$A$2," ",'Bundle Tag Info'!$A$3,CHAR(10),'Bundle Tag Info'!P$6,CHAR(10),'Bundle Tag Info'!P$27),"")</f>
        <v/>
      </c>
      <c r="Q22" s="19" t="str">
        <f>IF('Bundle Tag Info'!Q$27&lt;&gt;"",CONCATENATE('Bundle Tag Info'!$A$1," ",CHAR(10),'Bundle Tag Info'!$A$2," ",'Bundle Tag Info'!$A$3,CHAR(10),'Bundle Tag Info'!Q$6,CHAR(10),'Bundle Tag Info'!Q$27),"")</f>
        <v/>
      </c>
      <c r="R22" s="19" t="str">
        <f>IF('Bundle Tag Info'!R$27&lt;&gt;"",CONCATENATE('Bundle Tag Info'!$A$1," ",CHAR(10),'Bundle Tag Info'!$A$2," ",'Bundle Tag Info'!$A$3,CHAR(10),'Bundle Tag Info'!R$6,CHAR(10),'Bundle Tag Info'!R$27),"")</f>
        <v/>
      </c>
      <c r="S22" s="19" t="str">
        <f>IF('Bundle Tag Info'!S$27&lt;&gt;"",CONCATENATE('Bundle Tag Info'!$A$1," ",CHAR(10),'Bundle Tag Info'!$A$2," ",'Bundle Tag Info'!$A$3,CHAR(10),'Bundle Tag Info'!S$6,CHAR(10),'Bundle Tag Info'!S$27),"")</f>
        <v/>
      </c>
      <c r="T22" s="19" t="str">
        <f>IF('Bundle Tag Info'!T$27&lt;&gt;"",CONCATENATE('Bundle Tag Info'!$A$1," ",CHAR(10),'Bundle Tag Info'!$A$2," ",'Bundle Tag Info'!$A$3,CHAR(10),'Bundle Tag Info'!T$6,CHAR(10),'Bundle Tag Info'!T$27),"")</f>
        <v/>
      </c>
      <c r="U22" s="19" t="str">
        <f>IF('Bundle Tag Info'!U$27&lt;&gt;"",CONCATENATE('Bundle Tag Info'!$A$1," ",CHAR(10),'Bundle Tag Info'!$A$2," ",'Bundle Tag Info'!$A$3,CHAR(10),'Bundle Tag Info'!U$6,CHAR(10),'Bundle Tag Info'!U$27),"")</f>
        <v/>
      </c>
      <c r="V22" s="19" t="str">
        <f>IF('Bundle Tag Info'!V$27&lt;&gt;"",CONCATENATE('Bundle Tag Info'!$A$1," ",CHAR(10),'Bundle Tag Info'!$A$2," ",'Bundle Tag Info'!$A$3,CHAR(10),'Bundle Tag Info'!V$6,CHAR(10),'Bundle Tag Info'!V$27),"")</f>
        <v/>
      </c>
      <c r="W22" s="19" t="str">
        <f>IF('Bundle Tag Info'!W$27&lt;&gt;"",CONCATENATE('Bundle Tag Info'!$A$1," ",CHAR(10),'Bundle Tag Info'!$A$2," ",'Bundle Tag Info'!$A$3,CHAR(10),'Bundle Tag Info'!W$6,CHAR(10),'Bundle Tag Info'!W$27),"")</f>
        <v/>
      </c>
      <c r="X22" s="19" t="str">
        <f>IF('Bundle Tag Info'!X$27&lt;&gt;"",CONCATENATE('Bundle Tag Info'!$A$1," ",CHAR(10),'Bundle Tag Info'!$A$2," ",'Bundle Tag Info'!$A$3,CHAR(10),'Bundle Tag Info'!X$6,CHAR(10),'Bundle Tag Info'!X$27),"")</f>
        <v/>
      </c>
      <c r="Y22" s="19" t="str">
        <f>IF('Bundle Tag Info'!Y$27&lt;&gt;"",CONCATENATE('Bundle Tag Info'!$A$1," ",CHAR(10),'Bundle Tag Info'!$A$2," ",'Bundle Tag Info'!$A$3,CHAR(10),'Bundle Tag Info'!Y$6,CHAR(10),'Bundle Tag Info'!Y$27),"")</f>
        <v/>
      </c>
      <c r="Z22" s="19" t="str">
        <f>IF('Bundle Tag Info'!Z$27&lt;&gt;"",CONCATENATE('Bundle Tag Info'!$A$1," ",CHAR(10),'Bundle Tag Info'!$A$2," ",'Bundle Tag Info'!$A$3,CHAR(10),'Bundle Tag Info'!Z$6,CHAR(10),'Bundle Tag Info'!Z$27),"")</f>
        <v/>
      </c>
      <c r="AA22" s="19" t="str">
        <f>IF('Bundle Tag Info'!AA$27&lt;&gt;"",CONCATENATE('Bundle Tag Info'!$A$1," ",CHAR(10),'Bundle Tag Info'!$A$2," ",'Bundle Tag Info'!$A$3,CHAR(10),'Bundle Tag Info'!AA$6,CHAR(10),'Bundle Tag Info'!AA$27),"")</f>
        <v/>
      </c>
      <c r="AB22" s="19" t="str">
        <f>IF('Bundle Tag Info'!AB$27&lt;&gt;"",CONCATENATE('Bundle Tag Info'!$A$1," ",CHAR(10),'Bundle Tag Info'!$A$2," ",'Bundle Tag Info'!$A$3,CHAR(10),'Bundle Tag Info'!AB$6,CHAR(10),'Bundle Tag Info'!AB$27),"")</f>
        <v/>
      </c>
      <c r="AC22" s="19" t="str">
        <f>IF('Bundle Tag Info'!AC$27&lt;&gt;"",CONCATENATE('Bundle Tag Info'!$A$1," ",CHAR(10),'Bundle Tag Info'!$A$2," ",'Bundle Tag Info'!$A$3,CHAR(10),'Bundle Tag Info'!AC$6,CHAR(10),'Bundle Tag Info'!AC$27),"")</f>
        <v/>
      </c>
      <c r="AD22" s="1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5" customHeight="1" x14ac:dyDescent="0.35">
      <c r="A23" s="19" t="str">
        <f>IF('Bundle Tag Info'!E$12&lt;&gt;"",CONCATENATE('Bundle Tag Info'!$A$1," ",CHAR(10),'Bundle Tag Info'!$A$2," ",'Bundle Tag Info'!$A$3,CHAR(10),'Bundle Tag Info'!E$6,CHAR(10),'Bundle Tag Info'!E$12),"")</f>
        <v>NOC-A #1 
J0400 A.2
LS WALL
FU/XT-ISO</v>
      </c>
      <c r="F23" s="19" t="str">
        <f>IF('Bundle Tag Info'!F$28&lt;&gt;"",CONCATENATE('Bundle Tag Info'!$A$1," ",CHAR(10),'Bundle Tag Info'!$A$2," ",'Bundle Tag Info'!$A$3,CHAR(10),'Bundle Tag Info'!F$6,CHAR(10),'Bundle Tag Info'!F$28),"")</f>
        <v/>
      </c>
      <c r="G23" s="19" t="str">
        <f>IF('Bundle Tag Info'!G$28&lt;&gt;"",CONCATENATE('Bundle Tag Info'!$A$1," ",CHAR(10),'Bundle Tag Info'!$A$2," ",'Bundle Tag Info'!$A$3,CHAR(10),'Bundle Tag Info'!G$6,CHAR(10),'Bundle Tag Info'!G$28),"")</f>
        <v/>
      </c>
      <c r="H23" s="19" t="str">
        <f>IF('Bundle Tag Info'!H$28&lt;&gt;"",CONCATENATE('Bundle Tag Info'!$A$1," ",CHAR(10),'Bundle Tag Info'!$A$2," ",'Bundle Tag Info'!$A$3,CHAR(10),'Bundle Tag Info'!H$6,CHAR(10),'Bundle Tag Info'!H$28),"")</f>
        <v/>
      </c>
      <c r="I23" s="19" t="str">
        <f>IF('Bundle Tag Info'!I$28&lt;&gt;"",CONCATENATE('Bundle Tag Info'!$A$1," ",CHAR(10),'Bundle Tag Info'!$A$2," ",'Bundle Tag Info'!$A$3,CHAR(10),'Bundle Tag Info'!I$6,CHAR(10),'Bundle Tag Info'!I$28),"")</f>
        <v/>
      </c>
      <c r="J23" s="19" t="str">
        <f>IF('Bundle Tag Info'!J$28&lt;&gt;"",CONCATENATE('Bundle Tag Info'!$A$1," ",CHAR(10),'Bundle Tag Info'!$A$2," ",'Bundle Tag Info'!$A$3,CHAR(10),'Bundle Tag Info'!J$6,CHAR(10),'Bundle Tag Info'!J$28),"")</f>
        <v/>
      </c>
      <c r="K23" s="19" t="str">
        <f>IF('Bundle Tag Info'!K$28&lt;&gt;"",CONCATENATE('Bundle Tag Info'!$A$1," ",CHAR(10),'Bundle Tag Info'!$A$2," ",'Bundle Tag Info'!$A$3,CHAR(10),'Bundle Tag Info'!K$6,CHAR(10),'Bundle Tag Info'!K$28),"")</f>
        <v/>
      </c>
      <c r="L23" s="19" t="str">
        <f>IF('Bundle Tag Info'!L$28&lt;&gt;"",CONCATENATE('Bundle Tag Info'!$A$1," ",CHAR(10),'Bundle Tag Info'!$A$2," ",'Bundle Tag Info'!$A$3,CHAR(10),'Bundle Tag Info'!L$6,CHAR(10),'Bundle Tag Info'!L$28),"")</f>
        <v/>
      </c>
      <c r="M23" s="19" t="str">
        <f>IF('Bundle Tag Info'!M$28&lt;&gt;"",CONCATENATE('Bundle Tag Info'!$A$1," ",CHAR(10),'Bundle Tag Info'!$A$2," ",'Bundle Tag Info'!$A$3,CHAR(10),'Bundle Tag Info'!M$6,CHAR(10),'Bundle Tag Info'!M$28),"")</f>
        <v/>
      </c>
      <c r="N23" s="19" t="str">
        <f>IF('Bundle Tag Info'!N$28&lt;&gt;"",CONCATENATE('Bundle Tag Info'!$A$1," ",CHAR(10),'Bundle Tag Info'!$A$2," ",'Bundle Tag Info'!$A$3,CHAR(10),'Bundle Tag Info'!N$6,CHAR(10),'Bundle Tag Info'!N$28),"")</f>
        <v/>
      </c>
      <c r="O23" s="19" t="str">
        <f>IF('Bundle Tag Info'!O$28&lt;&gt;"",CONCATENATE('Bundle Tag Info'!$A$1," ",CHAR(10),'Bundle Tag Info'!$A$2," ",'Bundle Tag Info'!$A$3,CHAR(10),'Bundle Tag Info'!O$6,CHAR(10),'Bundle Tag Info'!O$28),"")</f>
        <v/>
      </c>
      <c r="P23" s="19" t="str">
        <f>IF('Bundle Tag Info'!P$28&lt;&gt;"",CONCATENATE('Bundle Tag Info'!$A$1," ",CHAR(10),'Bundle Tag Info'!$A$2," ",'Bundle Tag Info'!$A$3,CHAR(10),'Bundle Tag Info'!P$6,CHAR(10),'Bundle Tag Info'!P$28),"")</f>
        <v/>
      </c>
      <c r="Q23" s="19" t="str">
        <f>IF('Bundle Tag Info'!Q$28&lt;&gt;"",CONCATENATE('Bundle Tag Info'!$A$1," ",CHAR(10),'Bundle Tag Info'!$A$2," ",'Bundle Tag Info'!$A$3,CHAR(10),'Bundle Tag Info'!Q$6,CHAR(10),'Bundle Tag Info'!Q$28),"")</f>
        <v/>
      </c>
      <c r="R23" s="19" t="str">
        <f>IF('Bundle Tag Info'!R$28&lt;&gt;"",CONCATENATE('Bundle Tag Info'!$A$1," ",CHAR(10),'Bundle Tag Info'!$A$2," ",'Bundle Tag Info'!$A$3,CHAR(10),'Bundle Tag Info'!R$6,CHAR(10),'Bundle Tag Info'!R$28),"")</f>
        <v/>
      </c>
      <c r="S23" s="19" t="str">
        <f>IF('Bundle Tag Info'!S$28&lt;&gt;"",CONCATENATE('Bundle Tag Info'!$A$1," ",CHAR(10),'Bundle Tag Info'!$A$2," ",'Bundle Tag Info'!$A$3,CHAR(10),'Bundle Tag Info'!S$6,CHAR(10),'Bundle Tag Info'!S$28),"")</f>
        <v/>
      </c>
      <c r="T23" s="19" t="str">
        <f>IF('Bundle Tag Info'!T$28&lt;&gt;"",CONCATENATE('Bundle Tag Info'!$A$1," ",CHAR(10),'Bundle Tag Info'!$A$2," ",'Bundle Tag Info'!$A$3,CHAR(10),'Bundle Tag Info'!T$6,CHAR(10),'Bundle Tag Info'!T$28),"")</f>
        <v/>
      </c>
      <c r="U23" s="19" t="str">
        <f>IF('Bundle Tag Info'!U$28&lt;&gt;"",CONCATENATE('Bundle Tag Info'!$A$1," ",CHAR(10),'Bundle Tag Info'!$A$2," ",'Bundle Tag Info'!$A$3,CHAR(10),'Bundle Tag Info'!U$6,CHAR(10),'Bundle Tag Info'!U$28),"")</f>
        <v/>
      </c>
      <c r="V23" s="19" t="str">
        <f>IF('Bundle Tag Info'!V$28&lt;&gt;"",CONCATENATE('Bundle Tag Info'!$A$1," ",CHAR(10),'Bundle Tag Info'!$A$2," ",'Bundle Tag Info'!$A$3,CHAR(10),'Bundle Tag Info'!V$6,CHAR(10),'Bundle Tag Info'!V$28),"")</f>
        <v/>
      </c>
      <c r="W23" s="19" t="str">
        <f>IF('Bundle Tag Info'!W$28&lt;&gt;"",CONCATENATE('Bundle Tag Info'!$A$1," ",CHAR(10),'Bundle Tag Info'!$A$2," ",'Bundle Tag Info'!$A$3,CHAR(10),'Bundle Tag Info'!W$6,CHAR(10),'Bundle Tag Info'!W$28),"")</f>
        <v/>
      </c>
      <c r="X23" s="19" t="str">
        <f>IF('Bundle Tag Info'!X$28&lt;&gt;"",CONCATENATE('Bundle Tag Info'!$A$1," ",CHAR(10),'Bundle Tag Info'!$A$2," ",'Bundle Tag Info'!$A$3,CHAR(10),'Bundle Tag Info'!X$6,CHAR(10),'Bundle Tag Info'!X$28),"")</f>
        <v/>
      </c>
      <c r="Y23" s="19" t="str">
        <f>IF('Bundle Tag Info'!Y$28&lt;&gt;"",CONCATENATE('Bundle Tag Info'!$A$1," ",CHAR(10),'Bundle Tag Info'!$A$2," ",'Bundle Tag Info'!$A$3,CHAR(10),'Bundle Tag Info'!Y$6,CHAR(10),'Bundle Tag Info'!Y$28),"")</f>
        <v/>
      </c>
      <c r="Z23" s="19" t="str">
        <f>IF('Bundle Tag Info'!Z$28&lt;&gt;"",CONCATENATE('Bundle Tag Info'!$A$1," ",CHAR(10),'Bundle Tag Info'!$A$2," ",'Bundle Tag Info'!$A$3,CHAR(10),'Bundle Tag Info'!Z$6,CHAR(10),'Bundle Tag Info'!Z$28),"")</f>
        <v/>
      </c>
      <c r="AA23" s="19" t="str">
        <f>IF('Bundle Tag Info'!AA$28&lt;&gt;"",CONCATENATE('Bundle Tag Info'!$A$1," ",CHAR(10),'Bundle Tag Info'!$A$2," ",'Bundle Tag Info'!$A$3,CHAR(10),'Bundle Tag Info'!AA$6,CHAR(10),'Bundle Tag Info'!AA$28),"")</f>
        <v/>
      </c>
      <c r="AB23" s="19" t="str">
        <f>IF('Bundle Tag Info'!AB$28&lt;&gt;"",CONCATENATE('Bundle Tag Info'!$A$1," ",CHAR(10),'Bundle Tag Info'!$A$2," ",'Bundle Tag Info'!$A$3,CHAR(10),'Bundle Tag Info'!AB$6,CHAR(10),'Bundle Tag Info'!AB$28),"")</f>
        <v/>
      </c>
      <c r="AC23" s="19" t="str">
        <f>IF('Bundle Tag Info'!AC$28&lt;&gt;"",CONCATENATE('Bundle Tag Info'!$A$1," ",CHAR(10),'Bundle Tag Info'!$A$2," ",'Bundle Tag Info'!$A$3,CHAR(10),'Bundle Tag Info'!AC$6,CHAR(10),'Bundle Tag Info'!AC$28),"")</f>
        <v/>
      </c>
      <c r="AD23" s="1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5" customHeight="1" x14ac:dyDescent="0.35">
      <c r="A24" s="19" t="str">
        <f>IF('Bundle Tag Info'!E$13&lt;&gt;"",CONCATENATE('Bundle Tag Info'!$A$1," ",CHAR(10),'Bundle Tag Info'!$A$2," ",'Bundle Tag Info'!$A$3,CHAR(10),'Bundle Tag Info'!E$6,CHAR(10),'Bundle Tag Info'!E$13),"")</f>
        <v>NOC-A #1 
J0400 A.2
LS WALL
FU-LBACK</v>
      </c>
      <c r="F24" s="19" t="str">
        <f>IF('Bundle Tag Info'!F$29&lt;&gt;"",CONCATENATE('Bundle Tag Info'!$A$1," ",CHAR(10),'Bundle Tag Info'!$A$2," ",'Bundle Tag Info'!$A$3,CHAR(10),'Bundle Tag Info'!F$6,CHAR(10),'Bundle Tag Info'!F$29),"")</f>
        <v/>
      </c>
      <c r="G24" s="19" t="str">
        <f>IF('Bundle Tag Info'!G$29&lt;&gt;"",CONCATENATE('Bundle Tag Info'!$A$1," ",CHAR(10),'Bundle Tag Info'!$A$2," ",'Bundle Tag Info'!$A$3,CHAR(10),'Bundle Tag Info'!G$6,CHAR(10),'Bundle Tag Info'!G$29),"")</f>
        <v/>
      </c>
      <c r="H24" s="19" t="str">
        <f>IF('Bundle Tag Info'!H$29&lt;&gt;"",CONCATENATE('Bundle Tag Info'!$A$1," ",CHAR(10),'Bundle Tag Info'!$A$2," ",'Bundle Tag Info'!$A$3,CHAR(10),'Bundle Tag Info'!H$6,CHAR(10),'Bundle Tag Info'!H$29),"")</f>
        <v/>
      </c>
      <c r="I24" s="19" t="str">
        <f>IF('Bundle Tag Info'!I$29&lt;&gt;"",CONCATENATE('Bundle Tag Info'!$A$1," ",CHAR(10),'Bundle Tag Info'!$A$2," ",'Bundle Tag Info'!$A$3,CHAR(10),'Bundle Tag Info'!I$6,CHAR(10),'Bundle Tag Info'!I$29),"")</f>
        <v/>
      </c>
      <c r="J24" s="19" t="str">
        <f>IF('Bundle Tag Info'!J$29&lt;&gt;"",CONCATENATE('Bundle Tag Info'!$A$1," ",CHAR(10),'Bundle Tag Info'!$A$2," ",'Bundle Tag Info'!$A$3,CHAR(10),'Bundle Tag Info'!J$6,CHAR(10),'Bundle Tag Info'!J$29),"")</f>
        <v/>
      </c>
      <c r="K24" s="19" t="str">
        <f>IF('Bundle Tag Info'!K$29&lt;&gt;"",CONCATENATE('Bundle Tag Info'!$A$1," ",CHAR(10),'Bundle Tag Info'!$A$2," ",'Bundle Tag Info'!$A$3,CHAR(10),'Bundle Tag Info'!K$6,CHAR(10),'Bundle Tag Info'!K$29),"")</f>
        <v/>
      </c>
      <c r="L24" s="19" t="str">
        <f>IF('Bundle Tag Info'!L$29&lt;&gt;"",CONCATENATE('Bundle Tag Info'!$A$1," ",CHAR(10),'Bundle Tag Info'!$A$2," ",'Bundle Tag Info'!$A$3,CHAR(10),'Bundle Tag Info'!L$6,CHAR(10),'Bundle Tag Info'!L$29),"")</f>
        <v/>
      </c>
      <c r="M24" s="19" t="str">
        <f>IF('Bundle Tag Info'!M$29&lt;&gt;"",CONCATENATE('Bundle Tag Info'!$A$1," ",CHAR(10),'Bundle Tag Info'!$A$2," ",'Bundle Tag Info'!$A$3,CHAR(10),'Bundle Tag Info'!M$6,CHAR(10),'Bundle Tag Info'!M$29),"")</f>
        <v/>
      </c>
      <c r="N24" s="19" t="str">
        <f>IF('Bundle Tag Info'!N$29&lt;&gt;"",CONCATENATE('Bundle Tag Info'!$A$1," ",CHAR(10),'Bundle Tag Info'!$A$2," ",'Bundle Tag Info'!$A$3,CHAR(10),'Bundle Tag Info'!N$6,CHAR(10),'Bundle Tag Info'!N$29),"")</f>
        <v/>
      </c>
      <c r="O24" s="19" t="str">
        <f>IF('Bundle Tag Info'!O$29&lt;&gt;"",CONCATENATE('Bundle Tag Info'!$A$1," ",CHAR(10),'Bundle Tag Info'!$A$2," ",'Bundle Tag Info'!$A$3,CHAR(10),'Bundle Tag Info'!O$6,CHAR(10),'Bundle Tag Info'!O$29),"")</f>
        <v/>
      </c>
      <c r="P24" s="19" t="str">
        <f>IF('Bundle Tag Info'!P$29&lt;&gt;"",CONCATENATE('Bundle Tag Info'!$A$1," ",CHAR(10),'Bundle Tag Info'!$A$2," ",'Bundle Tag Info'!$A$3,CHAR(10),'Bundle Tag Info'!P$6,CHAR(10),'Bundle Tag Info'!P$29),"")</f>
        <v/>
      </c>
      <c r="Q24" s="19" t="str">
        <f>IF('Bundle Tag Info'!Q$29&lt;&gt;"",CONCATENATE('Bundle Tag Info'!$A$1," ",CHAR(10),'Bundle Tag Info'!$A$2," ",'Bundle Tag Info'!$A$3,CHAR(10),'Bundle Tag Info'!Q$6,CHAR(10),'Bundle Tag Info'!Q$29),"")</f>
        <v/>
      </c>
      <c r="R24" s="19" t="str">
        <f>IF('Bundle Tag Info'!R$29&lt;&gt;"",CONCATENATE('Bundle Tag Info'!$A$1," ",CHAR(10),'Bundle Tag Info'!$A$2," ",'Bundle Tag Info'!$A$3,CHAR(10),'Bundle Tag Info'!R$6,CHAR(10),'Bundle Tag Info'!R$29),"")</f>
        <v/>
      </c>
      <c r="S24" s="19" t="str">
        <f>IF('Bundle Tag Info'!S$29&lt;&gt;"",CONCATENATE('Bundle Tag Info'!$A$1," ",CHAR(10),'Bundle Tag Info'!$A$2," ",'Bundle Tag Info'!$A$3,CHAR(10),'Bundle Tag Info'!S$6,CHAR(10),'Bundle Tag Info'!S$29),"")</f>
        <v/>
      </c>
      <c r="T24" s="19" t="str">
        <f>IF('Bundle Tag Info'!T$29&lt;&gt;"",CONCATENATE('Bundle Tag Info'!$A$1," ",CHAR(10),'Bundle Tag Info'!$A$2," ",'Bundle Tag Info'!$A$3,CHAR(10),'Bundle Tag Info'!T$6,CHAR(10),'Bundle Tag Info'!T$29),"")</f>
        <v/>
      </c>
      <c r="U24" s="19" t="str">
        <f>IF('Bundle Tag Info'!U$29&lt;&gt;"",CONCATENATE('Bundle Tag Info'!$A$1," ",CHAR(10),'Bundle Tag Info'!$A$2," ",'Bundle Tag Info'!$A$3,CHAR(10),'Bundle Tag Info'!U$6,CHAR(10),'Bundle Tag Info'!U$29),"")</f>
        <v/>
      </c>
      <c r="V24" s="19" t="str">
        <f>IF('Bundle Tag Info'!V$29&lt;&gt;"",CONCATENATE('Bundle Tag Info'!$A$1," ",CHAR(10),'Bundle Tag Info'!$A$2," ",'Bundle Tag Info'!$A$3,CHAR(10),'Bundle Tag Info'!V$6,CHAR(10),'Bundle Tag Info'!V$29),"")</f>
        <v/>
      </c>
      <c r="W24" s="19" t="str">
        <f>IF('Bundle Tag Info'!W$29&lt;&gt;"",CONCATENATE('Bundle Tag Info'!$A$1," ",CHAR(10),'Bundle Tag Info'!$A$2," ",'Bundle Tag Info'!$A$3,CHAR(10),'Bundle Tag Info'!W$6,CHAR(10),'Bundle Tag Info'!W$29),"")</f>
        <v/>
      </c>
      <c r="X24" s="19" t="str">
        <f>IF('Bundle Tag Info'!X$29&lt;&gt;"",CONCATENATE('Bundle Tag Info'!$A$1," ",CHAR(10),'Bundle Tag Info'!$A$2," ",'Bundle Tag Info'!$A$3,CHAR(10),'Bundle Tag Info'!X$6,CHAR(10),'Bundle Tag Info'!X$29),"")</f>
        <v/>
      </c>
      <c r="Y24" s="19" t="str">
        <f>IF('Bundle Tag Info'!Y$29&lt;&gt;"",CONCATENATE('Bundle Tag Info'!$A$1," ",CHAR(10),'Bundle Tag Info'!$A$2," ",'Bundle Tag Info'!$A$3,CHAR(10),'Bundle Tag Info'!Y$6,CHAR(10),'Bundle Tag Info'!Y$29),"")</f>
        <v/>
      </c>
      <c r="Z24" s="19" t="str">
        <f>IF('Bundle Tag Info'!Z$29&lt;&gt;"",CONCATENATE('Bundle Tag Info'!$A$1," ",CHAR(10),'Bundle Tag Info'!$A$2," ",'Bundle Tag Info'!$A$3,CHAR(10),'Bundle Tag Info'!Z$6,CHAR(10),'Bundle Tag Info'!Z$29),"")</f>
        <v/>
      </c>
      <c r="AA24" s="19" t="str">
        <f>IF('Bundle Tag Info'!AA$29&lt;&gt;"",CONCATENATE('Bundle Tag Info'!$A$1," ",CHAR(10),'Bundle Tag Info'!$A$2," ",'Bundle Tag Info'!$A$3,CHAR(10),'Bundle Tag Info'!AA$6,CHAR(10),'Bundle Tag Info'!AA$29),"")</f>
        <v/>
      </c>
      <c r="AB24" s="19" t="str">
        <f>IF('Bundle Tag Info'!AB$29&lt;&gt;"",CONCATENATE('Bundle Tag Info'!$A$1," ",CHAR(10),'Bundle Tag Info'!$A$2," ",'Bundle Tag Info'!$A$3,CHAR(10),'Bundle Tag Info'!AB$6,CHAR(10),'Bundle Tag Info'!AB$29),"")</f>
        <v/>
      </c>
      <c r="AC24" s="19" t="str">
        <f>IF('Bundle Tag Info'!AC$29&lt;&gt;"",CONCATENATE('Bundle Tag Info'!$A$1," ",CHAR(10),'Bundle Tag Info'!$A$2," ",'Bundle Tag Info'!$A$3,CHAR(10),'Bundle Tag Info'!AC$6,CHAR(10),'Bundle Tag Info'!AC$29),"")</f>
        <v/>
      </c>
      <c r="AD24" s="1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5" customHeight="1" x14ac:dyDescent="0.35">
      <c r="A25" s="19" t="str">
        <f>IF('Bundle Tag Info'!E$14&lt;&gt;"",CONCATENATE('Bundle Tag Info'!$A$1," ",CHAR(10),'Bundle Tag Info'!$A$2," ",'Bundle Tag Info'!$A$3,CHAR(10),'Bundle Tag Info'!E$6,CHAR(10),'Bundle Tag Info'!E$14),"")</f>
        <v>NOC-A #1 
J0400 A.2
LS WALL
KA A1/A2-LBACK</v>
      </c>
      <c r="F25" s="19" t="str">
        <f>IF('Bundle Tag Info'!F$30&lt;&gt;"",CONCATENATE('Bundle Tag Info'!$A$1," ",CHAR(10),'Bundle Tag Info'!$A$2," ",'Bundle Tag Info'!$A$3,CHAR(10),'Bundle Tag Info'!F$6,CHAR(10),'Bundle Tag Info'!F$30),"")</f>
        <v/>
      </c>
      <c r="G25" s="19" t="str">
        <f>IF('Bundle Tag Info'!G$30&lt;&gt;"",CONCATENATE('Bundle Tag Info'!$A$1," ",CHAR(10),'Bundle Tag Info'!$A$2," ",'Bundle Tag Info'!$A$3,CHAR(10),'Bundle Tag Info'!G$6,CHAR(10),'Bundle Tag Info'!G$30),"")</f>
        <v/>
      </c>
      <c r="H25" s="19" t="str">
        <f>IF('Bundle Tag Info'!H$30&lt;&gt;"",CONCATENATE('Bundle Tag Info'!$A$1," ",CHAR(10),'Bundle Tag Info'!$A$2," ",'Bundle Tag Info'!$A$3,CHAR(10),'Bundle Tag Info'!H$6,CHAR(10),'Bundle Tag Info'!H$30),"")</f>
        <v/>
      </c>
      <c r="I25" s="19" t="str">
        <f>IF('Bundle Tag Info'!I$30&lt;&gt;"",CONCATENATE('Bundle Tag Info'!$A$1," ",CHAR(10),'Bundle Tag Info'!$A$2," ",'Bundle Tag Info'!$A$3,CHAR(10),'Bundle Tag Info'!I$6,CHAR(10),'Bundle Tag Info'!I$30),"")</f>
        <v/>
      </c>
      <c r="J25" s="19" t="str">
        <f>IF('Bundle Tag Info'!J$30&lt;&gt;"",CONCATENATE('Bundle Tag Info'!$A$1," ",CHAR(10),'Bundle Tag Info'!$A$2," ",'Bundle Tag Info'!$A$3,CHAR(10),'Bundle Tag Info'!J$6,CHAR(10),'Bundle Tag Info'!J$30),"")</f>
        <v/>
      </c>
      <c r="K25" s="19" t="str">
        <f>IF('Bundle Tag Info'!K$30&lt;&gt;"",CONCATENATE('Bundle Tag Info'!$A$1," ",CHAR(10),'Bundle Tag Info'!$A$2," ",'Bundle Tag Info'!$A$3,CHAR(10),'Bundle Tag Info'!K$6,CHAR(10),'Bundle Tag Info'!K$30),"")</f>
        <v/>
      </c>
      <c r="L25" s="19" t="str">
        <f>IF('Bundle Tag Info'!L$30&lt;&gt;"",CONCATENATE('Bundle Tag Info'!$A$1," ",CHAR(10),'Bundle Tag Info'!$A$2," ",'Bundle Tag Info'!$A$3,CHAR(10),'Bundle Tag Info'!L$6,CHAR(10),'Bundle Tag Info'!L$30),"")</f>
        <v/>
      </c>
      <c r="M25" s="19" t="str">
        <f>IF('Bundle Tag Info'!M$30&lt;&gt;"",CONCATENATE('Bundle Tag Info'!$A$1," ",CHAR(10),'Bundle Tag Info'!$A$2," ",'Bundle Tag Info'!$A$3,CHAR(10),'Bundle Tag Info'!M$6,CHAR(10),'Bundle Tag Info'!M$30),"")</f>
        <v/>
      </c>
      <c r="N25" s="19" t="str">
        <f>IF('Bundle Tag Info'!N$30&lt;&gt;"",CONCATENATE('Bundle Tag Info'!$A$1," ",CHAR(10),'Bundle Tag Info'!$A$2," ",'Bundle Tag Info'!$A$3,CHAR(10),'Bundle Tag Info'!N$6,CHAR(10),'Bundle Tag Info'!N$30),"")</f>
        <v/>
      </c>
      <c r="O25" s="19" t="str">
        <f>IF('Bundle Tag Info'!O$30&lt;&gt;"",CONCATENATE('Bundle Tag Info'!$A$1," ",CHAR(10),'Bundle Tag Info'!$A$2," ",'Bundle Tag Info'!$A$3,CHAR(10),'Bundle Tag Info'!O$6,CHAR(10),'Bundle Tag Info'!O$30),"")</f>
        <v/>
      </c>
      <c r="P25" s="19" t="str">
        <f>IF('Bundle Tag Info'!P$30&lt;&gt;"",CONCATENATE('Bundle Tag Info'!$A$1," ",CHAR(10),'Bundle Tag Info'!$A$2," ",'Bundle Tag Info'!$A$3,CHAR(10),'Bundle Tag Info'!P$6,CHAR(10),'Bundle Tag Info'!P$30),"")</f>
        <v/>
      </c>
      <c r="Q25" s="19" t="str">
        <f>IF('Bundle Tag Info'!Q$30&lt;&gt;"",CONCATENATE('Bundle Tag Info'!$A$1," ",CHAR(10),'Bundle Tag Info'!$A$2," ",'Bundle Tag Info'!$A$3,CHAR(10),'Bundle Tag Info'!Q$6,CHAR(10),'Bundle Tag Info'!Q$30),"")</f>
        <v/>
      </c>
      <c r="R25" s="19" t="str">
        <f>IF('Bundle Tag Info'!R$30&lt;&gt;"",CONCATENATE('Bundle Tag Info'!$A$1," ",CHAR(10),'Bundle Tag Info'!$A$2," ",'Bundle Tag Info'!$A$3,CHAR(10),'Bundle Tag Info'!R$6,CHAR(10),'Bundle Tag Info'!R$30),"")</f>
        <v/>
      </c>
      <c r="S25" s="19" t="str">
        <f>IF('Bundle Tag Info'!S$30&lt;&gt;"",CONCATENATE('Bundle Tag Info'!$A$1," ",CHAR(10),'Bundle Tag Info'!$A$2," ",'Bundle Tag Info'!$A$3,CHAR(10),'Bundle Tag Info'!S$6,CHAR(10),'Bundle Tag Info'!S$30),"")</f>
        <v/>
      </c>
      <c r="T25" s="19" t="str">
        <f>IF('Bundle Tag Info'!T$30&lt;&gt;"",CONCATENATE('Bundle Tag Info'!$A$1," ",CHAR(10),'Bundle Tag Info'!$A$2," ",'Bundle Tag Info'!$A$3,CHAR(10),'Bundle Tag Info'!T$6,CHAR(10),'Bundle Tag Info'!T$30),"")</f>
        <v/>
      </c>
      <c r="U25" s="19" t="str">
        <f>IF('Bundle Tag Info'!U$30&lt;&gt;"",CONCATENATE('Bundle Tag Info'!$A$1," ",CHAR(10),'Bundle Tag Info'!$A$2," ",'Bundle Tag Info'!$A$3,CHAR(10),'Bundle Tag Info'!U$6,CHAR(10),'Bundle Tag Info'!U$30),"")</f>
        <v/>
      </c>
      <c r="V25" s="19" t="str">
        <f>IF('Bundle Tag Info'!V$30&lt;&gt;"",CONCATENATE('Bundle Tag Info'!$A$1," ",CHAR(10),'Bundle Tag Info'!$A$2," ",'Bundle Tag Info'!$A$3,CHAR(10),'Bundle Tag Info'!V$6,CHAR(10),'Bundle Tag Info'!V$30),"")</f>
        <v/>
      </c>
      <c r="W25" s="19" t="str">
        <f>IF('Bundle Tag Info'!W$30&lt;&gt;"",CONCATENATE('Bundle Tag Info'!$A$1," ",CHAR(10),'Bundle Tag Info'!$A$2," ",'Bundle Tag Info'!$A$3,CHAR(10),'Bundle Tag Info'!W$6,CHAR(10),'Bundle Tag Info'!W$30),"")</f>
        <v/>
      </c>
      <c r="X25" s="19" t="str">
        <f>IF('Bundle Tag Info'!X$30&lt;&gt;"",CONCATENATE('Bundle Tag Info'!$A$1," ",CHAR(10),'Bundle Tag Info'!$A$2," ",'Bundle Tag Info'!$A$3,CHAR(10),'Bundle Tag Info'!X$6,CHAR(10),'Bundle Tag Info'!X$30),"")</f>
        <v/>
      </c>
      <c r="Y25" s="19" t="str">
        <f>IF('Bundle Tag Info'!Y$30&lt;&gt;"",CONCATENATE('Bundle Tag Info'!$A$1," ",CHAR(10),'Bundle Tag Info'!$A$2," ",'Bundle Tag Info'!$A$3,CHAR(10),'Bundle Tag Info'!Y$6,CHAR(10),'Bundle Tag Info'!Y$30),"")</f>
        <v/>
      </c>
      <c r="Z25" s="19" t="str">
        <f>IF('Bundle Tag Info'!Z$30&lt;&gt;"",CONCATENATE('Bundle Tag Info'!$A$1," ",CHAR(10),'Bundle Tag Info'!$A$2," ",'Bundle Tag Info'!$A$3,CHAR(10),'Bundle Tag Info'!Z$6,CHAR(10),'Bundle Tag Info'!Z$30),"")</f>
        <v/>
      </c>
      <c r="AA25" s="19" t="str">
        <f>IF('Bundle Tag Info'!AA$30&lt;&gt;"",CONCATENATE('Bundle Tag Info'!$A$1," ",CHAR(10),'Bundle Tag Info'!$A$2," ",'Bundle Tag Info'!$A$3,CHAR(10),'Bundle Tag Info'!AA$6,CHAR(10),'Bundle Tag Info'!AA$30),"")</f>
        <v/>
      </c>
      <c r="AB25" s="19" t="str">
        <f>IF('Bundle Tag Info'!AB$30&lt;&gt;"",CONCATENATE('Bundle Tag Info'!$A$1," ",CHAR(10),'Bundle Tag Info'!$A$2," ",'Bundle Tag Info'!$A$3,CHAR(10),'Bundle Tag Info'!AB$6,CHAR(10),'Bundle Tag Info'!AB$30),"")</f>
        <v/>
      </c>
      <c r="AC25" s="19" t="str">
        <f>IF('Bundle Tag Info'!AC$30&lt;&gt;"",CONCATENATE('Bundle Tag Info'!$A$1," ",CHAR(10),'Bundle Tag Info'!$A$2," ",'Bundle Tag Info'!$A$3,CHAR(10),'Bundle Tag Info'!AC$6,CHAR(10),'Bundle Tag Info'!AC$30),"")</f>
        <v/>
      </c>
      <c r="AD25" s="1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5" customHeight="1" x14ac:dyDescent="0.35">
      <c r="A26" s="19" t="str">
        <f>IF('Bundle Tag Info'!E$15&lt;&gt;"",CONCATENATE('Bundle Tag Info'!$A$1," ",CHAR(10),'Bundle Tag Info'!$A$2," ",'Bundle Tag Info'!$A$3,CHAR(10),'Bundle Tag Info'!E$6,CHAR(10),'Bundle Tag Info'!E$15),"")</f>
        <v>NOC-A #1 
J0400 A.2
LS WALL
KA-LBACK</v>
      </c>
      <c r="F26" s="19" t="str">
        <f>IF('Bundle Tag Info'!F$31&lt;&gt;"",CONCATENATE('Bundle Tag Info'!$A$1," ",CHAR(10),'Bundle Tag Info'!$A$2," ",'Bundle Tag Info'!$A$3,CHAR(10),'Bundle Tag Info'!F$6,CHAR(10),'Bundle Tag Info'!F$31),"")</f>
        <v/>
      </c>
      <c r="G26" s="19" t="str">
        <f>IF('Bundle Tag Info'!G$31&lt;&gt;"",CONCATENATE('Bundle Tag Info'!$A$1," ",CHAR(10),'Bundle Tag Info'!$A$2," ",'Bundle Tag Info'!$A$3,CHAR(10),'Bundle Tag Info'!G$6,CHAR(10),'Bundle Tag Info'!G$31),"")</f>
        <v/>
      </c>
      <c r="H26" s="19" t="str">
        <f>IF('Bundle Tag Info'!H$31&lt;&gt;"",CONCATENATE('Bundle Tag Info'!$A$1," ",CHAR(10),'Bundle Tag Info'!$A$2," ",'Bundle Tag Info'!$A$3,CHAR(10),'Bundle Tag Info'!H$6,CHAR(10),'Bundle Tag Info'!H$31),"")</f>
        <v/>
      </c>
      <c r="I26" s="19" t="str">
        <f>IF('Bundle Tag Info'!I$31&lt;&gt;"",CONCATENATE('Bundle Tag Info'!$A$1," ",CHAR(10),'Bundle Tag Info'!$A$2," ",'Bundle Tag Info'!$A$3,CHAR(10),'Bundle Tag Info'!I$6,CHAR(10),'Bundle Tag Info'!I$31),"")</f>
        <v/>
      </c>
      <c r="J26" s="19" t="str">
        <f>IF('Bundle Tag Info'!J$31&lt;&gt;"",CONCATENATE('Bundle Tag Info'!$A$1," ",CHAR(10),'Bundle Tag Info'!$A$2," ",'Bundle Tag Info'!$A$3,CHAR(10),'Bundle Tag Info'!J$6,CHAR(10),'Bundle Tag Info'!J$31),"")</f>
        <v/>
      </c>
      <c r="K26" s="19" t="str">
        <f>IF('Bundle Tag Info'!K$31&lt;&gt;"",CONCATENATE('Bundle Tag Info'!$A$1," ",CHAR(10),'Bundle Tag Info'!$A$2," ",'Bundle Tag Info'!$A$3,CHAR(10),'Bundle Tag Info'!K$6,CHAR(10),'Bundle Tag Info'!K$31),"")</f>
        <v/>
      </c>
      <c r="L26" s="19" t="str">
        <f>IF('Bundle Tag Info'!L$31&lt;&gt;"",CONCATENATE('Bundle Tag Info'!$A$1," ",CHAR(10),'Bundle Tag Info'!$A$2," ",'Bundle Tag Info'!$A$3,CHAR(10),'Bundle Tag Info'!L$6,CHAR(10),'Bundle Tag Info'!L$31),"")</f>
        <v/>
      </c>
      <c r="M26" s="19" t="str">
        <f>IF('Bundle Tag Info'!M$31&lt;&gt;"",CONCATENATE('Bundle Tag Info'!$A$1," ",CHAR(10),'Bundle Tag Info'!$A$2," ",'Bundle Tag Info'!$A$3,CHAR(10),'Bundle Tag Info'!M$6,CHAR(10),'Bundle Tag Info'!M$31),"")</f>
        <v/>
      </c>
      <c r="N26" s="19" t="str">
        <f>IF('Bundle Tag Info'!N$31&lt;&gt;"",CONCATENATE('Bundle Tag Info'!$A$1," ",CHAR(10),'Bundle Tag Info'!$A$2," ",'Bundle Tag Info'!$A$3,CHAR(10),'Bundle Tag Info'!N$6,CHAR(10),'Bundle Tag Info'!N$31),"")</f>
        <v/>
      </c>
      <c r="O26" s="19" t="str">
        <f>IF('Bundle Tag Info'!O$31&lt;&gt;"",CONCATENATE('Bundle Tag Info'!$A$1," ",CHAR(10),'Bundle Tag Info'!$A$2," ",'Bundle Tag Info'!$A$3,CHAR(10),'Bundle Tag Info'!O$6,CHAR(10),'Bundle Tag Info'!O$31),"")</f>
        <v/>
      </c>
      <c r="P26" s="19" t="str">
        <f>IF('Bundle Tag Info'!P$31&lt;&gt;"",CONCATENATE('Bundle Tag Info'!$A$1," ",CHAR(10),'Bundle Tag Info'!$A$2," ",'Bundle Tag Info'!$A$3,CHAR(10),'Bundle Tag Info'!P$6,CHAR(10),'Bundle Tag Info'!P$31),"")</f>
        <v/>
      </c>
      <c r="Q26" s="19" t="str">
        <f>IF('Bundle Tag Info'!Q$31&lt;&gt;"",CONCATENATE('Bundle Tag Info'!$A$1," ",CHAR(10),'Bundle Tag Info'!$A$2," ",'Bundle Tag Info'!$A$3,CHAR(10),'Bundle Tag Info'!Q$6,CHAR(10),'Bundle Tag Info'!Q$31),"")</f>
        <v/>
      </c>
      <c r="R26" s="19" t="str">
        <f>IF('Bundle Tag Info'!R$31&lt;&gt;"",CONCATENATE('Bundle Tag Info'!$A$1," ",CHAR(10),'Bundle Tag Info'!$A$2," ",'Bundle Tag Info'!$A$3,CHAR(10),'Bundle Tag Info'!R$6,CHAR(10),'Bundle Tag Info'!R$31),"")</f>
        <v/>
      </c>
      <c r="S26" s="19" t="str">
        <f>IF('Bundle Tag Info'!S$31&lt;&gt;"",CONCATENATE('Bundle Tag Info'!$A$1," ",CHAR(10),'Bundle Tag Info'!$A$2," ",'Bundle Tag Info'!$A$3,CHAR(10),'Bundle Tag Info'!S$6,CHAR(10),'Bundle Tag Info'!S$31),"")</f>
        <v/>
      </c>
      <c r="T26" s="19" t="str">
        <f>IF('Bundle Tag Info'!T$31&lt;&gt;"",CONCATENATE('Bundle Tag Info'!$A$1," ",CHAR(10),'Bundle Tag Info'!$A$2," ",'Bundle Tag Info'!$A$3,CHAR(10),'Bundle Tag Info'!T$6,CHAR(10),'Bundle Tag Info'!T$31),"")</f>
        <v/>
      </c>
      <c r="U26" s="19" t="str">
        <f>IF('Bundle Tag Info'!U$31&lt;&gt;"",CONCATENATE('Bundle Tag Info'!$A$1," ",CHAR(10),'Bundle Tag Info'!$A$2," ",'Bundle Tag Info'!$A$3,CHAR(10),'Bundle Tag Info'!U$6,CHAR(10),'Bundle Tag Info'!U$31),"")</f>
        <v/>
      </c>
      <c r="V26" s="19" t="str">
        <f>IF('Bundle Tag Info'!V$31&lt;&gt;"",CONCATENATE('Bundle Tag Info'!$A$1," ",CHAR(10),'Bundle Tag Info'!$A$2," ",'Bundle Tag Info'!$A$3,CHAR(10),'Bundle Tag Info'!V$6,CHAR(10),'Bundle Tag Info'!V$31),"")</f>
        <v/>
      </c>
      <c r="W26" s="19" t="str">
        <f>IF('Bundle Tag Info'!W$31&lt;&gt;"",CONCATENATE('Bundle Tag Info'!$A$1," ",CHAR(10),'Bundle Tag Info'!$A$2," ",'Bundle Tag Info'!$A$3,CHAR(10),'Bundle Tag Info'!W$6,CHAR(10),'Bundle Tag Info'!W$31),"")</f>
        <v/>
      </c>
      <c r="X26" s="19" t="str">
        <f>IF('Bundle Tag Info'!X$31&lt;&gt;"",CONCATENATE('Bundle Tag Info'!$A$1," ",CHAR(10),'Bundle Tag Info'!$A$2," ",'Bundle Tag Info'!$A$3,CHAR(10),'Bundle Tag Info'!X$6,CHAR(10),'Bundle Tag Info'!X$31),"")</f>
        <v/>
      </c>
      <c r="Y26" s="19" t="str">
        <f>IF('Bundle Tag Info'!Y$31&lt;&gt;"",CONCATENATE('Bundle Tag Info'!$A$1," ",CHAR(10),'Bundle Tag Info'!$A$2," ",'Bundle Tag Info'!$A$3,CHAR(10),'Bundle Tag Info'!Y$6,CHAR(10),'Bundle Tag Info'!Y$31),"")</f>
        <v/>
      </c>
      <c r="Z26" s="19" t="str">
        <f>IF('Bundle Tag Info'!Z$31&lt;&gt;"",CONCATENATE('Bundle Tag Info'!$A$1," ",CHAR(10),'Bundle Tag Info'!$A$2," ",'Bundle Tag Info'!$A$3,CHAR(10),'Bundle Tag Info'!Z$6,CHAR(10),'Bundle Tag Info'!Z$31),"")</f>
        <v/>
      </c>
      <c r="AA26" s="19" t="str">
        <f>IF('Bundle Tag Info'!AA$31&lt;&gt;"",CONCATENATE('Bundle Tag Info'!$A$1," ",CHAR(10),'Bundle Tag Info'!$A$2," ",'Bundle Tag Info'!$A$3,CHAR(10),'Bundle Tag Info'!AA$6,CHAR(10),'Bundle Tag Info'!AA$31),"")</f>
        <v/>
      </c>
      <c r="AB26" s="19" t="str">
        <f>IF('Bundle Tag Info'!AB$31&lt;&gt;"",CONCATENATE('Bundle Tag Info'!$A$1," ",CHAR(10),'Bundle Tag Info'!$A$2," ",'Bundle Tag Info'!$A$3,CHAR(10),'Bundle Tag Info'!AB$6,CHAR(10),'Bundle Tag Info'!AB$31),"")</f>
        <v/>
      </c>
      <c r="AC26" s="19" t="str">
        <f>IF('Bundle Tag Info'!AC$31&lt;&gt;"",CONCATENATE('Bundle Tag Info'!$A$1," ",CHAR(10),'Bundle Tag Info'!$A$2," ",'Bundle Tag Info'!$A$3,CHAR(10),'Bundle Tag Info'!AC$6,CHAR(10),'Bundle Tag Info'!AC$31),"")</f>
        <v/>
      </c>
      <c r="AD26" s="1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5" customHeight="1" x14ac:dyDescent="0.35">
      <c r="A27" s="19" t="str">
        <f>IF('Bundle Tag Info'!E$16&lt;&gt;"",CONCATENATE('Bundle Tag Info'!$A$1," ",CHAR(10),'Bundle Tag Info'!$A$2," ",'Bundle Tag Info'!$A$3,CHAR(10),'Bundle Tag Info'!E$6,CHAR(10),'Bundle Tag Info'!E$16),"")</f>
        <v>NOC-A #1 
J0400 A.2
LS WALL
XT-LBACK</v>
      </c>
      <c r="F27" s="19" t="str">
        <f>IF('Bundle Tag Info'!F$32&lt;&gt;"",CONCATENATE('Bundle Tag Info'!$A$1," ",CHAR(10),'Bundle Tag Info'!$A$2," ",'Bundle Tag Info'!$A$3,CHAR(10),'Bundle Tag Info'!F$6,CHAR(10),'Bundle Tag Info'!F$32),"")</f>
        <v/>
      </c>
      <c r="G27" s="19" t="str">
        <f>IF('Bundle Tag Info'!G$32&lt;&gt;"",CONCATENATE('Bundle Tag Info'!$A$1," ",CHAR(10),'Bundle Tag Info'!$A$2," ",'Bundle Tag Info'!$A$3,CHAR(10),'Bundle Tag Info'!G$6,CHAR(10),'Bundle Tag Info'!G$32),"")</f>
        <v/>
      </c>
      <c r="H27" s="19" t="str">
        <f>IF('Bundle Tag Info'!H$32&lt;&gt;"",CONCATENATE('Bundle Tag Info'!$A$1," ",CHAR(10),'Bundle Tag Info'!$A$2," ",'Bundle Tag Info'!$A$3,CHAR(10),'Bundle Tag Info'!H$6,CHAR(10),'Bundle Tag Info'!H$32),"")</f>
        <v/>
      </c>
      <c r="I27" s="19" t="str">
        <f>IF('Bundle Tag Info'!I$32&lt;&gt;"",CONCATENATE('Bundle Tag Info'!$A$1," ",CHAR(10),'Bundle Tag Info'!$A$2," ",'Bundle Tag Info'!$A$3,CHAR(10),'Bundle Tag Info'!I$6,CHAR(10),'Bundle Tag Info'!I$32),"")</f>
        <v/>
      </c>
      <c r="J27" s="19" t="str">
        <f>IF('Bundle Tag Info'!J$32&lt;&gt;"",CONCATENATE('Bundle Tag Info'!$A$1," ",CHAR(10),'Bundle Tag Info'!$A$2," ",'Bundle Tag Info'!$A$3,CHAR(10),'Bundle Tag Info'!J$6,CHAR(10),'Bundle Tag Info'!J$32),"")</f>
        <v/>
      </c>
      <c r="K27" s="19" t="str">
        <f>IF('Bundle Tag Info'!K$32&lt;&gt;"",CONCATENATE('Bundle Tag Info'!$A$1," ",CHAR(10),'Bundle Tag Info'!$A$2," ",'Bundle Tag Info'!$A$3,CHAR(10),'Bundle Tag Info'!K$6,CHAR(10),'Bundle Tag Info'!K$32),"")</f>
        <v/>
      </c>
      <c r="L27" s="19" t="str">
        <f>IF('Bundle Tag Info'!L$32&lt;&gt;"",CONCATENATE('Bundle Tag Info'!$A$1," ",CHAR(10),'Bundle Tag Info'!$A$2," ",'Bundle Tag Info'!$A$3,CHAR(10),'Bundle Tag Info'!L$6,CHAR(10),'Bundle Tag Info'!L$32),"")</f>
        <v/>
      </c>
      <c r="M27" s="19" t="str">
        <f>IF('Bundle Tag Info'!M$32&lt;&gt;"",CONCATENATE('Bundle Tag Info'!$A$1," ",CHAR(10),'Bundle Tag Info'!$A$2," ",'Bundle Tag Info'!$A$3,CHAR(10),'Bundle Tag Info'!M$6,CHAR(10),'Bundle Tag Info'!M$32),"")</f>
        <v/>
      </c>
      <c r="N27" s="19" t="str">
        <f>IF('Bundle Tag Info'!N$32&lt;&gt;"",CONCATENATE('Bundle Tag Info'!$A$1," ",CHAR(10),'Bundle Tag Info'!$A$2," ",'Bundle Tag Info'!$A$3,CHAR(10),'Bundle Tag Info'!N$6,CHAR(10),'Bundle Tag Info'!N$32),"")</f>
        <v/>
      </c>
      <c r="O27" s="19" t="str">
        <f>IF('Bundle Tag Info'!O$32&lt;&gt;"",CONCATENATE('Bundle Tag Info'!$A$1," ",CHAR(10),'Bundle Tag Info'!$A$2," ",'Bundle Tag Info'!$A$3,CHAR(10),'Bundle Tag Info'!O$6,CHAR(10),'Bundle Tag Info'!O$32),"")</f>
        <v/>
      </c>
      <c r="P27" s="19" t="str">
        <f>IF('Bundle Tag Info'!P$32&lt;&gt;"",CONCATENATE('Bundle Tag Info'!$A$1," ",CHAR(10),'Bundle Tag Info'!$A$2," ",'Bundle Tag Info'!$A$3,CHAR(10),'Bundle Tag Info'!P$6,CHAR(10),'Bundle Tag Info'!P$32),"")</f>
        <v/>
      </c>
      <c r="Q27" s="19" t="str">
        <f>IF('Bundle Tag Info'!Q$32&lt;&gt;"",CONCATENATE('Bundle Tag Info'!$A$1," ",CHAR(10),'Bundle Tag Info'!$A$2," ",'Bundle Tag Info'!$A$3,CHAR(10),'Bundle Tag Info'!Q$6,CHAR(10),'Bundle Tag Info'!Q$32),"")</f>
        <v/>
      </c>
      <c r="R27" s="19" t="str">
        <f>IF('Bundle Tag Info'!R$32&lt;&gt;"",CONCATENATE('Bundle Tag Info'!$A$1," ",CHAR(10),'Bundle Tag Info'!$A$2," ",'Bundle Tag Info'!$A$3,CHAR(10),'Bundle Tag Info'!R$6,CHAR(10),'Bundle Tag Info'!R$32),"")</f>
        <v/>
      </c>
      <c r="S27" s="19" t="str">
        <f>IF('Bundle Tag Info'!S$32&lt;&gt;"",CONCATENATE('Bundle Tag Info'!$A$1," ",CHAR(10),'Bundle Tag Info'!$A$2," ",'Bundle Tag Info'!$A$3,CHAR(10),'Bundle Tag Info'!S$6,CHAR(10),'Bundle Tag Info'!S$32),"")</f>
        <v/>
      </c>
      <c r="T27" s="19" t="str">
        <f>IF('Bundle Tag Info'!T$32&lt;&gt;"",CONCATENATE('Bundle Tag Info'!$A$1," ",CHAR(10),'Bundle Tag Info'!$A$2," ",'Bundle Tag Info'!$A$3,CHAR(10),'Bundle Tag Info'!T$6,CHAR(10),'Bundle Tag Info'!T$32),"")</f>
        <v/>
      </c>
      <c r="U27" s="19" t="str">
        <f>IF('Bundle Tag Info'!U$32&lt;&gt;"",CONCATENATE('Bundle Tag Info'!$A$1," ",CHAR(10),'Bundle Tag Info'!$A$2," ",'Bundle Tag Info'!$A$3,CHAR(10),'Bundle Tag Info'!U$6,CHAR(10),'Bundle Tag Info'!U$32),"")</f>
        <v/>
      </c>
      <c r="V27" s="19" t="str">
        <f>IF('Bundle Tag Info'!V$32&lt;&gt;"",CONCATENATE('Bundle Tag Info'!$A$1," ",CHAR(10),'Bundle Tag Info'!$A$2," ",'Bundle Tag Info'!$A$3,CHAR(10),'Bundle Tag Info'!V$6,CHAR(10),'Bundle Tag Info'!V$32),"")</f>
        <v/>
      </c>
      <c r="W27" s="19" t="str">
        <f>IF('Bundle Tag Info'!W$32&lt;&gt;"",CONCATENATE('Bundle Tag Info'!$A$1," ",CHAR(10),'Bundle Tag Info'!$A$2," ",'Bundle Tag Info'!$A$3,CHAR(10),'Bundle Tag Info'!W$6,CHAR(10),'Bundle Tag Info'!W$32),"")</f>
        <v/>
      </c>
      <c r="X27" s="19" t="str">
        <f>IF('Bundle Tag Info'!X$32&lt;&gt;"",CONCATENATE('Bundle Tag Info'!$A$1," ",CHAR(10),'Bundle Tag Info'!$A$2," ",'Bundle Tag Info'!$A$3,CHAR(10),'Bundle Tag Info'!X$6,CHAR(10),'Bundle Tag Info'!X$32),"")</f>
        <v/>
      </c>
      <c r="Y27" s="19" t="str">
        <f>IF('Bundle Tag Info'!Y$32&lt;&gt;"",CONCATENATE('Bundle Tag Info'!$A$1," ",CHAR(10),'Bundle Tag Info'!$A$2," ",'Bundle Tag Info'!$A$3,CHAR(10),'Bundle Tag Info'!Y$6,CHAR(10),'Bundle Tag Info'!Y$32),"")</f>
        <v/>
      </c>
      <c r="Z27" s="19" t="str">
        <f>IF('Bundle Tag Info'!Z$32&lt;&gt;"",CONCATENATE('Bundle Tag Info'!$A$1," ",CHAR(10),'Bundle Tag Info'!$A$2," ",'Bundle Tag Info'!$A$3,CHAR(10),'Bundle Tag Info'!Z$6,CHAR(10),'Bundle Tag Info'!Z$32),"")</f>
        <v/>
      </c>
      <c r="AA27" s="19" t="str">
        <f>IF('Bundle Tag Info'!AA$32&lt;&gt;"",CONCATENATE('Bundle Tag Info'!$A$1," ",CHAR(10),'Bundle Tag Info'!$A$2," ",'Bundle Tag Info'!$A$3,CHAR(10),'Bundle Tag Info'!AA$6,CHAR(10),'Bundle Tag Info'!AA$32),"")</f>
        <v/>
      </c>
      <c r="AB27" s="19" t="str">
        <f>IF('Bundle Tag Info'!AB$32&lt;&gt;"",CONCATENATE('Bundle Tag Info'!$A$1," ",CHAR(10),'Bundle Tag Info'!$A$2," ",'Bundle Tag Info'!$A$3,CHAR(10),'Bundle Tag Info'!AB$6,CHAR(10),'Bundle Tag Info'!AB$32),"")</f>
        <v/>
      </c>
      <c r="AC27" s="19" t="str">
        <f>IF('Bundle Tag Info'!AC$32&lt;&gt;"",CONCATENATE('Bundle Tag Info'!$A$1," ",CHAR(10),'Bundle Tag Info'!$A$2," ",'Bundle Tag Info'!$A$3,CHAR(10),'Bundle Tag Info'!AC$6,CHAR(10),'Bundle Tag Info'!AC$32),"")</f>
        <v/>
      </c>
      <c r="AD27" s="1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5" customHeight="1" x14ac:dyDescent="0.35">
      <c r="A28" s="19" t="str">
        <f>IF('Bundle Tag Info'!E$17&lt;&gt;"",CONCATENATE('Bundle Tag Info'!$A$1," ",CHAR(10),'Bundle Tag Info'!$A$2," ",'Bundle Tag Info'!$A$3,CHAR(10),'Bundle Tag Info'!E$6,CHAR(10),'Bundle Tag Info'!E$17),"")</f>
        <v>NOC-A #1 
J0400 A.2
LS WALL
XT9K-LBACK</v>
      </c>
      <c r="F28" s="19" t="str">
        <f>IF('Bundle Tag Info'!F$33&lt;&gt;"",CONCATENATE('Bundle Tag Info'!$A$1," ",CHAR(10),'Bundle Tag Info'!$A$2," ",'Bundle Tag Info'!$A$3,CHAR(10),'Bundle Tag Info'!F$6,CHAR(10),'Bundle Tag Info'!F$33),"")</f>
        <v/>
      </c>
      <c r="G28" s="19" t="str">
        <f>IF('Bundle Tag Info'!G$33&lt;&gt;"",CONCATENATE('Bundle Tag Info'!$A$1," ",CHAR(10),'Bundle Tag Info'!$A$2," ",'Bundle Tag Info'!$A$3,CHAR(10),'Bundle Tag Info'!G$6,CHAR(10),'Bundle Tag Info'!G$33),"")</f>
        <v/>
      </c>
      <c r="H28" s="19" t="str">
        <f>IF('Bundle Tag Info'!H$33&lt;&gt;"",CONCATENATE('Bundle Tag Info'!$A$1," ",CHAR(10),'Bundle Tag Info'!$A$2," ",'Bundle Tag Info'!$A$3,CHAR(10),'Bundle Tag Info'!H$6,CHAR(10),'Bundle Tag Info'!H$33),"")</f>
        <v/>
      </c>
      <c r="I28" s="19" t="str">
        <f>IF('Bundle Tag Info'!I$33&lt;&gt;"",CONCATENATE('Bundle Tag Info'!$A$1," ",CHAR(10),'Bundle Tag Info'!$A$2," ",'Bundle Tag Info'!$A$3,CHAR(10),'Bundle Tag Info'!I$6,CHAR(10),'Bundle Tag Info'!I$33),"")</f>
        <v/>
      </c>
      <c r="J28" s="19" t="str">
        <f>IF('Bundle Tag Info'!J$33&lt;&gt;"",CONCATENATE('Bundle Tag Info'!$A$1," ",CHAR(10),'Bundle Tag Info'!$A$2," ",'Bundle Tag Info'!$A$3,CHAR(10),'Bundle Tag Info'!J$6,CHAR(10),'Bundle Tag Info'!J$33),"")</f>
        <v/>
      </c>
      <c r="K28" s="19" t="str">
        <f>IF('Bundle Tag Info'!K$33&lt;&gt;"",CONCATENATE('Bundle Tag Info'!$A$1," ",CHAR(10),'Bundle Tag Info'!$A$2," ",'Bundle Tag Info'!$A$3,CHAR(10),'Bundle Tag Info'!K$6,CHAR(10),'Bundle Tag Info'!K$33),"")</f>
        <v/>
      </c>
      <c r="L28" s="19" t="str">
        <f>IF('Bundle Tag Info'!L$33&lt;&gt;"",CONCATENATE('Bundle Tag Info'!$A$1," ",CHAR(10),'Bundle Tag Info'!$A$2," ",'Bundle Tag Info'!$A$3,CHAR(10),'Bundle Tag Info'!L$6,CHAR(10),'Bundle Tag Info'!L$33),"")</f>
        <v/>
      </c>
      <c r="M28" s="19" t="str">
        <f>IF('Bundle Tag Info'!M$33&lt;&gt;"",CONCATENATE('Bundle Tag Info'!$A$1," ",CHAR(10),'Bundle Tag Info'!$A$2," ",'Bundle Tag Info'!$A$3,CHAR(10),'Bundle Tag Info'!M$6,CHAR(10),'Bundle Tag Info'!M$33),"")</f>
        <v/>
      </c>
      <c r="N28" s="19" t="str">
        <f>IF('Bundle Tag Info'!N$33&lt;&gt;"",CONCATENATE('Bundle Tag Info'!$A$1," ",CHAR(10),'Bundle Tag Info'!$A$2," ",'Bundle Tag Info'!$A$3,CHAR(10),'Bundle Tag Info'!N$6,CHAR(10),'Bundle Tag Info'!N$33),"")</f>
        <v/>
      </c>
      <c r="O28" s="19" t="str">
        <f>IF('Bundle Tag Info'!O$33&lt;&gt;"",CONCATENATE('Bundle Tag Info'!$A$1," ",CHAR(10),'Bundle Tag Info'!$A$2," ",'Bundle Tag Info'!$A$3,CHAR(10),'Bundle Tag Info'!O$6,CHAR(10),'Bundle Tag Info'!O$33),"")</f>
        <v/>
      </c>
      <c r="P28" s="19" t="str">
        <f>IF('Bundle Tag Info'!P$33&lt;&gt;"",CONCATENATE('Bundle Tag Info'!$A$1," ",CHAR(10),'Bundle Tag Info'!$A$2," ",'Bundle Tag Info'!$A$3,CHAR(10),'Bundle Tag Info'!P$6,CHAR(10),'Bundle Tag Info'!P$33),"")</f>
        <v/>
      </c>
      <c r="Q28" s="19" t="str">
        <f>IF('Bundle Tag Info'!Q$33&lt;&gt;"",CONCATENATE('Bundle Tag Info'!$A$1," ",CHAR(10),'Bundle Tag Info'!$A$2," ",'Bundle Tag Info'!$A$3,CHAR(10),'Bundle Tag Info'!Q$6,CHAR(10),'Bundle Tag Info'!Q$33),"")</f>
        <v/>
      </c>
      <c r="R28" s="19" t="str">
        <f>IF('Bundle Tag Info'!R$33&lt;&gt;"",CONCATENATE('Bundle Tag Info'!$A$1," ",CHAR(10),'Bundle Tag Info'!$A$2," ",'Bundle Tag Info'!$A$3,CHAR(10),'Bundle Tag Info'!R$6,CHAR(10),'Bundle Tag Info'!R$33),"")</f>
        <v/>
      </c>
      <c r="S28" s="19" t="str">
        <f>IF('Bundle Tag Info'!S$33&lt;&gt;"",CONCATENATE('Bundle Tag Info'!$A$1," ",CHAR(10),'Bundle Tag Info'!$A$2," ",'Bundle Tag Info'!$A$3,CHAR(10),'Bundle Tag Info'!S$6,CHAR(10),'Bundle Tag Info'!S$33),"")</f>
        <v/>
      </c>
      <c r="T28" s="19" t="str">
        <f>IF('Bundle Tag Info'!T$33&lt;&gt;"",CONCATENATE('Bundle Tag Info'!$A$1," ",CHAR(10),'Bundle Tag Info'!$A$2," ",'Bundle Tag Info'!$A$3,CHAR(10),'Bundle Tag Info'!T$6,CHAR(10),'Bundle Tag Info'!T$33),"")</f>
        <v/>
      </c>
      <c r="U28" s="19" t="str">
        <f>IF('Bundle Tag Info'!U$33&lt;&gt;"",CONCATENATE('Bundle Tag Info'!$A$1," ",CHAR(10),'Bundle Tag Info'!$A$2," ",'Bundle Tag Info'!$A$3,CHAR(10),'Bundle Tag Info'!U$6,CHAR(10),'Bundle Tag Info'!U$33),"")</f>
        <v/>
      </c>
      <c r="V28" s="19" t="str">
        <f>IF('Bundle Tag Info'!V$33&lt;&gt;"",CONCATENATE('Bundle Tag Info'!$A$1," ",CHAR(10),'Bundle Tag Info'!$A$2," ",'Bundle Tag Info'!$A$3,CHAR(10),'Bundle Tag Info'!V$6,CHAR(10),'Bundle Tag Info'!V$33),"")</f>
        <v/>
      </c>
      <c r="W28" s="19" t="str">
        <f>IF('Bundle Tag Info'!W$33&lt;&gt;"",CONCATENATE('Bundle Tag Info'!$A$1," ",CHAR(10),'Bundle Tag Info'!$A$2," ",'Bundle Tag Info'!$A$3,CHAR(10),'Bundle Tag Info'!W$6,CHAR(10),'Bundle Tag Info'!W$33),"")</f>
        <v/>
      </c>
      <c r="X28" s="19" t="str">
        <f>IF('Bundle Tag Info'!X$33&lt;&gt;"",CONCATENATE('Bundle Tag Info'!$A$1," ",CHAR(10),'Bundle Tag Info'!$A$2," ",'Bundle Tag Info'!$A$3,CHAR(10),'Bundle Tag Info'!X$6,CHAR(10),'Bundle Tag Info'!X$33),"")</f>
        <v/>
      </c>
      <c r="Y28" s="19" t="str">
        <f>IF('Bundle Tag Info'!Y$33&lt;&gt;"",CONCATENATE('Bundle Tag Info'!$A$1," ",CHAR(10),'Bundle Tag Info'!$A$2," ",'Bundle Tag Info'!$A$3,CHAR(10),'Bundle Tag Info'!Y$6,CHAR(10),'Bundle Tag Info'!Y$33),"")</f>
        <v/>
      </c>
      <c r="Z28" s="19" t="str">
        <f>IF('Bundle Tag Info'!Z$33&lt;&gt;"",CONCATENATE('Bundle Tag Info'!$A$1," ",CHAR(10),'Bundle Tag Info'!$A$2," ",'Bundle Tag Info'!$A$3,CHAR(10),'Bundle Tag Info'!Z$6,CHAR(10),'Bundle Tag Info'!Z$33),"")</f>
        <v/>
      </c>
      <c r="AA28" s="19" t="str">
        <f>IF('Bundle Tag Info'!AA$33&lt;&gt;"",CONCATENATE('Bundle Tag Info'!$A$1," ",CHAR(10),'Bundle Tag Info'!$A$2," ",'Bundle Tag Info'!$A$3,CHAR(10),'Bundle Tag Info'!AA$6,CHAR(10),'Bundle Tag Info'!AA$33),"")</f>
        <v/>
      </c>
      <c r="AB28" s="19" t="str">
        <f>IF('Bundle Tag Info'!AB$33&lt;&gt;"",CONCATENATE('Bundle Tag Info'!$A$1," ",CHAR(10),'Bundle Tag Info'!$A$2," ",'Bundle Tag Info'!$A$3,CHAR(10),'Bundle Tag Info'!AB$6,CHAR(10),'Bundle Tag Info'!AB$33),"")</f>
        <v/>
      </c>
      <c r="AC28" s="19" t="str">
        <f>IF('Bundle Tag Info'!AC$33&lt;&gt;"",CONCATENATE('Bundle Tag Info'!$A$1," ",CHAR(10),'Bundle Tag Info'!$A$2," ",'Bundle Tag Info'!$A$3,CHAR(10),'Bundle Tag Info'!AC$6,CHAR(10),'Bundle Tag Info'!AC$33),"")</f>
        <v/>
      </c>
      <c r="AD28" s="1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5" customHeight="1" x14ac:dyDescent="0.35">
      <c r="A29" s="19" t="str">
        <f>IF('Bundle Tag Info'!E$18&lt;&gt;"",CONCATENATE('Bundle Tag Info'!$A$1," ",CHAR(10),'Bundle Tag Info'!$A$2," ",'Bundle Tag Info'!$A$3,CHAR(10),'Bundle Tag Info'!E$6,CHAR(10),'Bundle Tag Info'!E$18),"")</f>
        <v>NOC-A #1 
J0400 A.2
LS WALL
FU-RWALL</v>
      </c>
      <c r="F29" s="19" t="str">
        <f>IF('Bundle Tag Info'!F$34&lt;&gt;"",CONCATENATE('Bundle Tag Info'!$A$1," ",CHAR(10),'Bundle Tag Info'!$A$2," ",'Bundle Tag Info'!$A$3,CHAR(10),'Bundle Tag Info'!F$6,CHAR(10),'Bundle Tag Info'!F$34),"")</f>
        <v/>
      </c>
      <c r="G29" s="19" t="str">
        <f>IF('Bundle Tag Info'!G$34&lt;&gt;"",CONCATENATE('Bundle Tag Info'!$A$1," ",CHAR(10),'Bundle Tag Info'!$A$2," ",'Bundle Tag Info'!$A$3,CHAR(10),'Bundle Tag Info'!G$6,CHAR(10),'Bundle Tag Info'!G$34),"")</f>
        <v/>
      </c>
      <c r="H29" s="19" t="str">
        <f>IF('Bundle Tag Info'!H$34&lt;&gt;"",CONCATENATE('Bundle Tag Info'!$A$1," ",CHAR(10),'Bundle Tag Info'!$A$2," ",'Bundle Tag Info'!$A$3,CHAR(10),'Bundle Tag Info'!H$6,CHAR(10),'Bundle Tag Info'!H$34),"")</f>
        <v/>
      </c>
      <c r="I29" s="19" t="str">
        <f>IF('Bundle Tag Info'!I$34&lt;&gt;"",CONCATENATE('Bundle Tag Info'!$A$1," ",CHAR(10),'Bundle Tag Info'!$A$2," ",'Bundle Tag Info'!$A$3,CHAR(10),'Bundle Tag Info'!I$6,CHAR(10),'Bundle Tag Info'!I$34),"")</f>
        <v/>
      </c>
      <c r="J29" s="19" t="str">
        <f>IF('Bundle Tag Info'!J$34&lt;&gt;"",CONCATENATE('Bundle Tag Info'!$A$1," ",CHAR(10),'Bundle Tag Info'!$A$2," ",'Bundle Tag Info'!$A$3,CHAR(10),'Bundle Tag Info'!J$6,CHAR(10),'Bundle Tag Info'!J$34),"")</f>
        <v/>
      </c>
      <c r="K29" s="19" t="str">
        <f>IF('Bundle Tag Info'!K$34&lt;&gt;"",CONCATENATE('Bundle Tag Info'!$A$1," ",CHAR(10),'Bundle Tag Info'!$A$2," ",'Bundle Tag Info'!$A$3,CHAR(10),'Bundle Tag Info'!K$6,CHAR(10),'Bundle Tag Info'!K$34),"")</f>
        <v/>
      </c>
      <c r="L29" s="19" t="str">
        <f>IF('Bundle Tag Info'!L$34&lt;&gt;"",CONCATENATE('Bundle Tag Info'!$A$1," ",CHAR(10),'Bundle Tag Info'!$A$2," ",'Bundle Tag Info'!$A$3,CHAR(10),'Bundle Tag Info'!L$6,CHAR(10),'Bundle Tag Info'!L$34),"")</f>
        <v/>
      </c>
      <c r="M29" s="19" t="str">
        <f>IF('Bundle Tag Info'!M$34&lt;&gt;"",CONCATENATE('Bundle Tag Info'!$A$1," ",CHAR(10),'Bundle Tag Info'!$A$2," ",'Bundle Tag Info'!$A$3,CHAR(10),'Bundle Tag Info'!M$6,CHAR(10),'Bundle Tag Info'!M$34),"")</f>
        <v/>
      </c>
      <c r="N29" s="19" t="str">
        <f>IF('Bundle Tag Info'!N$34&lt;&gt;"",CONCATENATE('Bundle Tag Info'!$A$1," ",CHAR(10),'Bundle Tag Info'!$A$2," ",'Bundle Tag Info'!$A$3,CHAR(10),'Bundle Tag Info'!N$6,CHAR(10),'Bundle Tag Info'!N$34),"")</f>
        <v/>
      </c>
      <c r="O29" s="19" t="str">
        <f>IF('Bundle Tag Info'!O$34&lt;&gt;"",CONCATENATE('Bundle Tag Info'!$A$1," ",CHAR(10),'Bundle Tag Info'!$A$2," ",'Bundle Tag Info'!$A$3,CHAR(10),'Bundle Tag Info'!O$6,CHAR(10),'Bundle Tag Info'!O$34),"")</f>
        <v/>
      </c>
      <c r="P29" s="19" t="str">
        <f>IF('Bundle Tag Info'!P$34&lt;&gt;"",CONCATENATE('Bundle Tag Info'!$A$1," ",CHAR(10),'Bundle Tag Info'!$A$2," ",'Bundle Tag Info'!$A$3,CHAR(10),'Bundle Tag Info'!P$6,CHAR(10),'Bundle Tag Info'!P$34),"")</f>
        <v/>
      </c>
      <c r="Q29" s="19" t="str">
        <f>IF('Bundle Tag Info'!Q$34&lt;&gt;"",CONCATENATE('Bundle Tag Info'!$A$1," ",CHAR(10),'Bundle Tag Info'!$A$2," ",'Bundle Tag Info'!$A$3,CHAR(10),'Bundle Tag Info'!Q$6,CHAR(10),'Bundle Tag Info'!Q$34),"")</f>
        <v/>
      </c>
      <c r="R29" s="19" t="str">
        <f>IF('Bundle Tag Info'!R$34&lt;&gt;"",CONCATENATE('Bundle Tag Info'!$A$1," ",CHAR(10),'Bundle Tag Info'!$A$2," ",'Bundle Tag Info'!$A$3,CHAR(10),'Bundle Tag Info'!R$6,CHAR(10),'Bundle Tag Info'!R$34),"")</f>
        <v/>
      </c>
      <c r="S29" s="19" t="str">
        <f>IF('Bundle Tag Info'!S$34&lt;&gt;"",CONCATENATE('Bundle Tag Info'!$A$1," ",CHAR(10),'Bundle Tag Info'!$A$2," ",'Bundle Tag Info'!$A$3,CHAR(10),'Bundle Tag Info'!S$6,CHAR(10),'Bundle Tag Info'!S$34),"")</f>
        <v/>
      </c>
      <c r="T29" s="19" t="str">
        <f>IF('Bundle Tag Info'!T$34&lt;&gt;"",CONCATENATE('Bundle Tag Info'!$A$1," ",CHAR(10),'Bundle Tag Info'!$A$2," ",'Bundle Tag Info'!$A$3,CHAR(10),'Bundle Tag Info'!T$6,CHAR(10),'Bundle Tag Info'!T$34),"")</f>
        <v/>
      </c>
      <c r="U29" s="19" t="str">
        <f>IF('Bundle Tag Info'!U$34&lt;&gt;"",CONCATENATE('Bundle Tag Info'!$A$1," ",CHAR(10),'Bundle Tag Info'!$A$2," ",'Bundle Tag Info'!$A$3,CHAR(10),'Bundle Tag Info'!U$6,CHAR(10),'Bundle Tag Info'!U$34),"")</f>
        <v/>
      </c>
      <c r="V29" s="19" t="str">
        <f>IF('Bundle Tag Info'!V$34&lt;&gt;"",CONCATENATE('Bundle Tag Info'!$A$1," ",CHAR(10),'Bundle Tag Info'!$A$2," ",'Bundle Tag Info'!$A$3,CHAR(10),'Bundle Tag Info'!V$6,CHAR(10),'Bundle Tag Info'!V$34),"")</f>
        <v/>
      </c>
      <c r="W29" s="19" t="str">
        <f>IF('Bundle Tag Info'!W$34&lt;&gt;"",CONCATENATE('Bundle Tag Info'!$A$1," ",CHAR(10),'Bundle Tag Info'!$A$2," ",'Bundle Tag Info'!$A$3,CHAR(10),'Bundle Tag Info'!W$6,CHAR(10),'Bundle Tag Info'!W$34),"")</f>
        <v/>
      </c>
      <c r="X29" s="19" t="str">
        <f>IF('Bundle Tag Info'!X$34&lt;&gt;"",CONCATENATE('Bundle Tag Info'!$A$1," ",CHAR(10),'Bundle Tag Info'!$A$2," ",'Bundle Tag Info'!$A$3,CHAR(10),'Bundle Tag Info'!X$6,CHAR(10),'Bundle Tag Info'!X$34),"")</f>
        <v/>
      </c>
      <c r="Y29" s="19" t="str">
        <f>IF('Bundle Tag Info'!Y$34&lt;&gt;"",CONCATENATE('Bundle Tag Info'!$A$1," ",CHAR(10),'Bundle Tag Info'!$A$2," ",'Bundle Tag Info'!$A$3,CHAR(10),'Bundle Tag Info'!Y$6,CHAR(10),'Bundle Tag Info'!Y$34),"")</f>
        <v/>
      </c>
      <c r="Z29" s="19" t="str">
        <f>IF('Bundle Tag Info'!Z$34&lt;&gt;"",CONCATENATE('Bundle Tag Info'!$A$1," ",CHAR(10),'Bundle Tag Info'!$A$2," ",'Bundle Tag Info'!$A$3,CHAR(10),'Bundle Tag Info'!Z$6,CHAR(10),'Bundle Tag Info'!Z$34),"")</f>
        <v/>
      </c>
      <c r="AA29" s="19" t="str">
        <f>IF('Bundle Tag Info'!AA$34&lt;&gt;"",CONCATENATE('Bundle Tag Info'!$A$1," ",CHAR(10),'Bundle Tag Info'!$A$2," ",'Bundle Tag Info'!$A$3,CHAR(10),'Bundle Tag Info'!AA$6,CHAR(10),'Bundle Tag Info'!AA$34),"")</f>
        <v/>
      </c>
      <c r="AB29" s="19" t="str">
        <f>IF('Bundle Tag Info'!AB$34&lt;&gt;"",CONCATENATE('Bundle Tag Info'!$A$1," ",CHAR(10),'Bundle Tag Info'!$A$2," ",'Bundle Tag Info'!$A$3,CHAR(10),'Bundle Tag Info'!AB$6,CHAR(10),'Bundle Tag Info'!AB$34),"")</f>
        <v/>
      </c>
      <c r="AC29" s="19" t="str">
        <f>IF('Bundle Tag Info'!AC$34&lt;&gt;"",CONCATENATE('Bundle Tag Info'!$A$1," ",CHAR(10),'Bundle Tag Info'!$A$2," ",'Bundle Tag Info'!$A$3,CHAR(10),'Bundle Tag Info'!AC$6,CHAR(10),'Bundle Tag Info'!AC$34),"")</f>
        <v/>
      </c>
      <c r="AD29" s="19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5" customHeight="1" x14ac:dyDescent="0.35">
      <c r="A30" s="19" t="str">
        <f>IF('Bundle Tag Info'!E$19&lt;&gt;"",CONCATENATE('Bundle Tag Info'!$A$1," ",CHAR(10),'Bundle Tag Info'!$A$2," ",'Bundle Tag Info'!$A$3,CHAR(10),'Bundle Tag Info'!E$6,CHAR(10),'Bundle Tag Info'!E$19),"")</f>
        <v>NOC-A #1 
J0400 A.2
LS WALL
KA A1-RWALL</v>
      </c>
      <c r="F30" s="19" t="str">
        <f>IF('Bundle Tag Info'!F$35&lt;&gt;"",CONCATENATE('Bundle Tag Info'!$A$1," ",CHAR(10),'Bundle Tag Info'!$A$2," ",'Bundle Tag Info'!$A$3,CHAR(10),'Bundle Tag Info'!F$6,CHAR(10),'Bundle Tag Info'!F$35),"")</f>
        <v/>
      </c>
      <c r="G30" s="19" t="str">
        <f>IF('Bundle Tag Info'!G$35&lt;&gt;"",CONCATENATE('Bundle Tag Info'!$A$1," ",CHAR(10),'Bundle Tag Info'!$A$2," ",'Bundle Tag Info'!$A$3,CHAR(10),'Bundle Tag Info'!G$6,CHAR(10),'Bundle Tag Info'!G$35),"")</f>
        <v/>
      </c>
      <c r="H30" s="19" t="str">
        <f>IF('Bundle Tag Info'!H$35&lt;&gt;"",CONCATENATE('Bundle Tag Info'!$A$1," ",CHAR(10),'Bundle Tag Info'!$A$2," ",'Bundle Tag Info'!$A$3,CHAR(10),'Bundle Tag Info'!H$6,CHAR(10),'Bundle Tag Info'!H$35),"")</f>
        <v/>
      </c>
      <c r="I30" s="19" t="str">
        <f>IF('Bundle Tag Info'!I$35&lt;&gt;"",CONCATENATE('Bundle Tag Info'!$A$1," ",CHAR(10),'Bundle Tag Info'!$A$2," ",'Bundle Tag Info'!$A$3,CHAR(10),'Bundle Tag Info'!I$6,CHAR(10),'Bundle Tag Info'!I$35),"")</f>
        <v/>
      </c>
      <c r="J30" s="19" t="str">
        <f>IF('Bundle Tag Info'!J$35&lt;&gt;"",CONCATENATE('Bundle Tag Info'!$A$1," ",CHAR(10),'Bundle Tag Info'!$A$2," ",'Bundle Tag Info'!$A$3,CHAR(10),'Bundle Tag Info'!J$6,CHAR(10),'Bundle Tag Info'!J$35),"")</f>
        <v/>
      </c>
      <c r="K30" s="19" t="str">
        <f>IF('Bundle Tag Info'!K$35&lt;&gt;"",CONCATENATE('Bundle Tag Info'!$A$1," ",CHAR(10),'Bundle Tag Info'!$A$2," ",'Bundle Tag Info'!$A$3,CHAR(10),'Bundle Tag Info'!K$6,CHAR(10),'Bundle Tag Info'!K$35),"")</f>
        <v/>
      </c>
      <c r="L30" s="19" t="str">
        <f>IF('Bundle Tag Info'!L$35&lt;&gt;"",CONCATENATE('Bundle Tag Info'!$A$1," ",CHAR(10),'Bundle Tag Info'!$A$2," ",'Bundle Tag Info'!$A$3,CHAR(10),'Bundle Tag Info'!L$6,CHAR(10),'Bundle Tag Info'!L$35),"")</f>
        <v/>
      </c>
      <c r="M30" s="19" t="str">
        <f>IF('Bundle Tag Info'!M$35&lt;&gt;"",CONCATENATE('Bundle Tag Info'!$A$1," ",CHAR(10),'Bundle Tag Info'!$A$2," ",'Bundle Tag Info'!$A$3,CHAR(10),'Bundle Tag Info'!M$6,CHAR(10),'Bundle Tag Info'!M$35),"")</f>
        <v/>
      </c>
      <c r="N30" s="19" t="str">
        <f>IF('Bundle Tag Info'!N$35&lt;&gt;"",CONCATENATE('Bundle Tag Info'!$A$1," ",CHAR(10),'Bundle Tag Info'!$A$2," ",'Bundle Tag Info'!$A$3,CHAR(10),'Bundle Tag Info'!N$6,CHAR(10),'Bundle Tag Info'!N$35),"")</f>
        <v/>
      </c>
      <c r="O30" s="19" t="str">
        <f>IF('Bundle Tag Info'!O$35&lt;&gt;"",CONCATENATE('Bundle Tag Info'!$A$1," ",CHAR(10),'Bundle Tag Info'!$A$2," ",'Bundle Tag Info'!$A$3,CHAR(10),'Bundle Tag Info'!O$6,CHAR(10),'Bundle Tag Info'!O$35),"")</f>
        <v/>
      </c>
      <c r="P30" s="19" t="str">
        <f>IF('Bundle Tag Info'!P$35&lt;&gt;"",CONCATENATE('Bundle Tag Info'!$A$1," ",CHAR(10),'Bundle Tag Info'!$A$2," ",'Bundle Tag Info'!$A$3,CHAR(10),'Bundle Tag Info'!P$6,CHAR(10),'Bundle Tag Info'!P$35),"")</f>
        <v/>
      </c>
      <c r="Q30" s="19" t="str">
        <f>IF('Bundle Tag Info'!Q$35&lt;&gt;"",CONCATENATE('Bundle Tag Info'!$A$1," ",CHAR(10),'Bundle Tag Info'!$A$2," ",'Bundle Tag Info'!$A$3,CHAR(10),'Bundle Tag Info'!Q$6,CHAR(10),'Bundle Tag Info'!Q$35),"")</f>
        <v/>
      </c>
      <c r="R30" s="19" t="str">
        <f>IF('Bundle Tag Info'!R$35&lt;&gt;"",CONCATENATE('Bundle Tag Info'!$A$1," ",CHAR(10),'Bundle Tag Info'!$A$2," ",'Bundle Tag Info'!$A$3,CHAR(10),'Bundle Tag Info'!R$6,CHAR(10),'Bundle Tag Info'!R$35),"")</f>
        <v/>
      </c>
      <c r="S30" s="19" t="str">
        <f>IF('Bundle Tag Info'!S$35&lt;&gt;"",CONCATENATE('Bundle Tag Info'!$A$1," ",CHAR(10),'Bundle Tag Info'!$A$2," ",'Bundle Tag Info'!$A$3,CHAR(10),'Bundle Tag Info'!S$6,CHAR(10),'Bundle Tag Info'!S$35),"")</f>
        <v/>
      </c>
      <c r="T30" s="19" t="str">
        <f>IF('Bundle Tag Info'!T$35&lt;&gt;"",CONCATENATE('Bundle Tag Info'!$A$1," ",CHAR(10),'Bundle Tag Info'!$A$2," ",'Bundle Tag Info'!$A$3,CHAR(10),'Bundle Tag Info'!T$6,CHAR(10),'Bundle Tag Info'!T$35),"")</f>
        <v/>
      </c>
      <c r="U30" s="19" t="str">
        <f>IF('Bundle Tag Info'!U$35&lt;&gt;"",CONCATENATE('Bundle Tag Info'!$A$1," ",CHAR(10),'Bundle Tag Info'!$A$2," ",'Bundle Tag Info'!$A$3,CHAR(10),'Bundle Tag Info'!U$6,CHAR(10),'Bundle Tag Info'!U$35),"")</f>
        <v/>
      </c>
      <c r="V30" s="19" t="str">
        <f>IF('Bundle Tag Info'!V$35&lt;&gt;"",CONCATENATE('Bundle Tag Info'!$A$1," ",CHAR(10),'Bundle Tag Info'!$A$2," ",'Bundle Tag Info'!$A$3,CHAR(10),'Bundle Tag Info'!V$6,CHAR(10),'Bundle Tag Info'!V$35),"")</f>
        <v/>
      </c>
      <c r="W30" s="19" t="str">
        <f>IF('Bundle Tag Info'!W$35&lt;&gt;"",CONCATENATE('Bundle Tag Info'!$A$1," ",CHAR(10),'Bundle Tag Info'!$A$2," ",'Bundle Tag Info'!$A$3,CHAR(10),'Bundle Tag Info'!W$6,CHAR(10),'Bundle Tag Info'!W$35),"")</f>
        <v/>
      </c>
      <c r="X30" s="19" t="str">
        <f>IF('Bundle Tag Info'!X$35&lt;&gt;"",CONCATENATE('Bundle Tag Info'!$A$1," ",CHAR(10),'Bundle Tag Info'!$A$2," ",'Bundle Tag Info'!$A$3,CHAR(10),'Bundle Tag Info'!X$6,CHAR(10),'Bundle Tag Info'!X$35),"")</f>
        <v/>
      </c>
      <c r="Y30" s="19" t="str">
        <f>IF('Bundle Tag Info'!Y$35&lt;&gt;"",CONCATENATE('Bundle Tag Info'!$A$1," ",CHAR(10),'Bundle Tag Info'!$A$2," ",'Bundle Tag Info'!$A$3,CHAR(10),'Bundle Tag Info'!Y$6,CHAR(10),'Bundle Tag Info'!Y$35),"")</f>
        <v/>
      </c>
      <c r="Z30" s="19" t="str">
        <f>IF('Bundle Tag Info'!Z$35&lt;&gt;"",CONCATENATE('Bundle Tag Info'!$A$1," ",CHAR(10),'Bundle Tag Info'!$A$2," ",'Bundle Tag Info'!$A$3,CHAR(10),'Bundle Tag Info'!Z$6,CHAR(10),'Bundle Tag Info'!Z$35),"")</f>
        <v/>
      </c>
      <c r="AA30" s="19" t="str">
        <f>IF('Bundle Tag Info'!AA$35&lt;&gt;"",CONCATENATE('Bundle Tag Info'!$A$1," ",CHAR(10),'Bundle Tag Info'!$A$2," ",'Bundle Tag Info'!$A$3,CHAR(10),'Bundle Tag Info'!AA$6,CHAR(10),'Bundle Tag Info'!AA$35),"")</f>
        <v/>
      </c>
      <c r="AB30" s="19" t="str">
        <f>IF('Bundle Tag Info'!AB$35&lt;&gt;"",CONCATENATE('Bundle Tag Info'!$A$1," ",CHAR(10),'Bundle Tag Info'!$A$2," ",'Bundle Tag Info'!$A$3,CHAR(10),'Bundle Tag Info'!AB$6,CHAR(10),'Bundle Tag Info'!AB$35),"")</f>
        <v/>
      </c>
      <c r="AC30" s="19" t="str">
        <f>IF('Bundle Tag Info'!AC$35&lt;&gt;"",CONCATENATE('Bundle Tag Info'!$A$1," ",CHAR(10),'Bundle Tag Info'!$A$2," ",'Bundle Tag Info'!$A$3,CHAR(10),'Bundle Tag Info'!AC$6,CHAR(10),'Bundle Tag Info'!AC$35),"")</f>
        <v/>
      </c>
      <c r="AD30" s="1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5" customHeight="1" x14ac:dyDescent="0.35">
      <c r="A31" s="19" t="str">
        <f>IF('Bundle Tag Info'!E$20&lt;&gt;"",CONCATENATE('Bundle Tag Info'!$A$1," ",CHAR(10),'Bundle Tag Info'!$A$2," ",'Bundle Tag Info'!$A$3,CHAR(10),'Bundle Tag Info'!E$6,CHAR(10),'Bundle Tag Info'!E$20),"")</f>
        <v>NOC-A #1 
J0400 A.2
LS WALL
KA A2-RWALL</v>
      </c>
      <c r="F31" s="19" t="str">
        <f>IF('Bundle Tag Info'!F$36&lt;&gt;"",CONCATENATE('Bundle Tag Info'!$A$1," ",CHAR(10),'Bundle Tag Info'!$A$2," ",'Bundle Tag Info'!$A$3,CHAR(10),'Bundle Tag Info'!F$6,CHAR(10),'Bundle Tag Info'!F$36),"")</f>
        <v/>
      </c>
      <c r="G31" s="19" t="str">
        <f>IF('Bundle Tag Info'!G$36&lt;&gt;"",CONCATENATE('Bundle Tag Info'!$A$1," ",CHAR(10),'Bundle Tag Info'!$A$2," ",'Bundle Tag Info'!$A$3,CHAR(10),'Bundle Tag Info'!G$6,CHAR(10),'Bundle Tag Info'!G$36),"")</f>
        <v/>
      </c>
      <c r="H31" s="19" t="str">
        <f>IF('Bundle Tag Info'!H$36&lt;&gt;"",CONCATENATE('Bundle Tag Info'!$A$1," ",CHAR(10),'Bundle Tag Info'!$A$2," ",'Bundle Tag Info'!$A$3,CHAR(10),'Bundle Tag Info'!H$6,CHAR(10),'Bundle Tag Info'!H$36),"")</f>
        <v/>
      </c>
      <c r="I31" s="19" t="str">
        <f>IF('Bundle Tag Info'!I$36&lt;&gt;"",CONCATENATE('Bundle Tag Info'!$A$1," ",CHAR(10),'Bundle Tag Info'!$A$2," ",'Bundle Tag Info'!$A$3,CHAR(10),'Bundle Tag Info'!I$6,CHAR(10),'Bundle Tag Info'!I$36),"")</f>
        <v/>
      </c>
      <c r="J31" s="19" t="str">
        <f>IF('Bundle Tag Info'!J$36&lt;&gt;"",CONCATENATE('Bundle Tag Info'!$A$1," ",CHAR(10),'Bundle Tag Info'!$A$2," ",'Bundle Tag Info'!$A$3,CHAR(10),'Bundle Tag Info'!J$6,CHAR(10),'Bundle Tag Info'!J$36),"")</f>
        <v/>
      </c>
      <c r="K31" s="19" t="str">
        <f>IF('Bundle Tag Info'!K$36&lt;&gt;"",CONCATENATE('Bundle Tag Info'!$A$1," ",CHAR(10),'Bundle Tag Info'!$A$2," ",'Bundle Tag Info'!$A$3,CHAR(10),'Bundle Tag Info'!K$6,CHAR(10),'Bundle Tag Info'!K$36),"")</f>
        <v/>
      </c>
      <c r="L31" s="19" t="str">
        <f>IF('Bundle Tag Info'!L$36&lt;&gt;"",CONCATENATE('Bundle Tag Info'!$A$1," ",CHAR(10),'Bundle Tag Info'!$A$2," ",'Bundle Tag Info'!$A$3,CHAR(10),'Bundle Tag Info'!L$6,CHAR(10),'Bundle Tag Info'!L$36),"")</f>
        <v/>
      </c>
      <c r="M31" s="19" t="str">
        <f>IF('Bundle Tag Info'!M$36&lt;&gt;"",CONCATENATE('Bundle Tag Info'!$A$1," ",CHAR(10),'Bundle Tag Info'!$A$2," ",'Bundle Tag Info'!$A$3,CHAR(10),'Bundle Tag Info'!M$6,CHAR(10),'Bundle Tag Info'!M$36),"")</f>
        <v/>
      </c>
      <c r="N31" s="19" t="str">
        <f>IF('Bundle Tag Info'!N$36&lt;&gt;"",CONCATENATE('Bundle Tag Info'!$A$1," ",CHAR(10),'Bundle Tag Info'!$A$2," ",'Bundle Tag Info'!$A$3,CHAR(10),'Bundle Tag Info'!N$6,CHAR(10),'Bundle Tag Info'!N$36),"")</f>
        <v/>
      </c>
      <c r="O31" s="19" t="str">
        <f>IF('Bundle Tag Info'!O$36&lt;&gt;"",CONCATENATE('Bundle Tag Info'!$A$1," ",CHAR(10),'Bundle Tag Info'!$A$2," ",'Bundle Tag Info'!$A$3,CHAR(10),'Bundle Tag Info'!O$6,CHAR(10),'Bundle Tag Info'!O$36),"")</f>
        <v/>
      </c>
      <c r="P31" s="19" t="str">
        <f>IF('Bundle Tag Info'!P$36&lt;&gt;"",CONCATENATE('Bundle Tag Info'!$A$1," ",CHAR(10),'Bundle Tag Info'!$A$2," ",'Bundle Tag Info'!$A$3,CHAR(10),'Bundle Tag Info'!P$6,CHAR(10),'Bundle Tag Info'!P$36),"")</f>
        <v/>
      </c>
      <c r="Q31" s="19" t="str">
        <f>IF('Bundle Tag Info'!Q$36&lt;&gt;"",CONCATENATE('Bundle Tag Info'!$A$1," ",CHAR(10),'Bundle Tag Info'!$A$2," ",'Bundle Tag Info'!$A$3,CHAR(10),'Bundle Tag Info'!Q$6,CHAR(10),'Bundle Tag Info'!Q$36),"")</f>
        <v/>
      </c>
      <c r="R31" s="19" t="str">
        <f>IF('Bundle Tag Info'!R$36&lt;&gt;"",CONCATENATE('Bundle Tag Info'!$A$1," ",CHAR(10),'Bundle Tag Info'!$A$2," ",'Bundle Tag Info'!$A$3,CHAR(10),'Bundle Tag Info'!R$6,CHAR(10),'Bundle Tag Info'!R$36),"")</f>
        <v/>
      </c>
      <c r="S31" s="19" t="str">
        <f>IF('Bundle Tag Info'!S$36&lt;&gt;"",CONCATENATE('Bundle Tag Info'!$A$1," ",CHAR(10),'Bundle Tag Info'!$A$2," ",'Bundle Tag Info'!$A$3,CHAR(10),'Bundle Tag Info'!S$6,CHAR(10),'Bundle Tag Info'!S$36),"")</f>
        <v/>
      </c>
      <c r="T31" s="19" t="str">
        <f>IF('Bundle Tag Info'!T$36&lt;&gt;"",CONCATENATE('Bundle Tag Info'!$A$1," ",CHAR(10),'Bundle Tag Info'!$A$2," ",'Bundle Tag Info'!$A$3,CHAR(10),'Bundle Tag Info'!T$6,CHAR(10),'Bundle Tag Info'!T$36),"")</f>
        <v/>
      </c>
      <c r="U31" s="19" t="str">
        <f>IF('Bundle Tag Info'!U$36&lt;&gt;"",CONCATENATE('Bundle Tag Info'!$A$1," ",CHAR(10),'Bundle Tag Info'!$A$2," ",'Bundle Tag Info'!$A$3,CHAR(10),'Bundle Tag Info'!U$6,CHAR(10),'Bundle Tag Info'!U$36),"")</f>
        <v/>
      </c>
      <c r="V31" s="19" t="str">
        <f>IF('Bundle Tag Info'!V$36&lt;&gt;"",CONCATENATE('Bundle Tag Info'!$A$1," ",CHAR(10),'Bundle Tag Info'!$A$2," ",'Bundle Tag Info'!$A$3,CHAR(10),'Bundle Tag Info'!V$6,CHAR(10),'Bundle Tag Info'!V$36),"")</f>
        <v/>
      </c>
      <c r="W31" s="19" t="str">
        <f>IF('Bundle Tag Info'!W$36&lt;&gt;"",CONCATENATE('Bundle Tag Info'!$A$1," ",CHAR(10),'Bundle Tag Info'!$A$2," ",'Bundle Tag Info'!$A$3,CHAR(10),'Bundle Tag Info'!W$6,CHAR(10),'Bundle Tag Info'!W$36),"")</f>
        <v/>
      </c>
      <c r="X31" s="19" t="str">
        <f>IF('Bundle Tag Info'!X$36&lt;&gt;"",CONCATENATE('Bundle Tag Info'!$A$1," ",CHAR(10),'Bundle Tag Info'!$A$2," ",'Bundle Tag Info'!$A$3,CHAR(10),'Bundle Tag Info'!X$6,CHAR(10),'Bundle Tag Info'!X$36),"")</f>
        <v/>
      </c>
      <c r="Y31" s="19" t="str">
        <f>IF('Bundle Tag Info'!Y$36&lt;&gt;"",CONCATENATE('Bundle Tag Info'!$A$1," ",CHAR(10),'Bundle Tag Info'!$A$2," ",'Bundle Tag Info'!$A$3,CHAR(10),'Bundle Tag Info'!Y$6,CHAR(10),'Bundle Tag Info'!Y$36),"")</f>
        <v/>
      </c>
      <c r="Z31" s="19" t="str">
        <f>IF('Bundle Tag Info'!Z$36&lt;&gt;"",CONCATENATE('Bundle Tag Info'!$A$1," ",CHAR(10),'Bundle Tag Info'!$A$2," ",'Bundle Tag Info'!$A$3,CHAR(10),'Bundle Tag Info'!Z$6,CHAR(10),'Bundle Tag Info'!Z$36),"")</f>
        <v/>
      </c>
      <c r="AA31" s="19" t="str">
        <f>IF('Bundle Tag Info'!AA$36&lt;&gt;"",CONCATENATE('Bundle Tag Info'!$A$1," ",CHAR(10),'Bundle Tag Info'!$A$2," ",'Bundle Tag Info'!$A$3,CHAR(10),'Bundle Tag Info'!AA$6,CHAR(10),'Bundle Tag Info'!AA$36),"")</f>
        <v/>
      </c>
      <c r="AB31" s="19" t="str">
        <f>IF('Bundle Tag Info'!AB$36&lt;&gt;"",CONCATENATE('Bundle Tag Info'!$A$1," ",CHAR(10),'Bundle Tag Info'!$A$2," ",'Bundle Tag Info'!$A$3,CHAR(10),'Bundle Tag Info'!AB$6,CHAR(10),'Bundle Tag Info'!AB$36),"")</f>
        <v/>
      </c>
      <c r="AC31" s="19" t="str">
        <f>IF('Bundle Tag Info'!AC$36&lt;&gt;"",CONCATENATE('Bundle Tag Info'!$A$1," ",CHAR(10),'Bundle Tag Info'!$A$2," ",'Bundle Tag Info'!$A$3,CHAR(10),'Bundle Tag Info'!AC$6,CHAR(10),'Bundle Tag Info'!AC$36),"")</f>
        <v/>
      </c>
      <c r="AD31" s="19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5" customHeight="1" x14ac:dyDescent="0.35">
      <c r="A32" s="19" t="str">
        <f>IF('Bundle Tag Info'!E$21&lt;&gt;"",CONCATENATE('Bundle Tag Info'!$A$1," ",CHAR(10),'Bundle Tag Info'!$A$2," ",'Bundle Tag Info'!$A$3,CHAR(10),'Bundle Tag Info'!E$6,CHAR(10),'Bundle Tag Info'!E$21),"")</f>
        <v>NOC-A #1 
J0400 A.2
LS WALL
KA-RWALL</v>
      </c>
    </row>
    <row r="33" spans="1:1" ht="12.65" customHeight="1" x14ac:dyDescent="0.35">
      <c r="A33" s="19" t="str">
        <f>IF('Bundle Tag Info'!E$22&lt;&gt;"",CONCATENATE('Bundle Tag Info'!$A$1," ",CHAR(10),'Bundle Tag Info'!$A$2," ",'Bundle Tag Info'!$A$3,CHAR(10),'Bundle Tag Info'!E$6,CHAR(10),'Bundle Tag Info'!E$22),"")</f>
        <v>NOC-A #1 
J0400 A.2
LS WALL
XT-RWALL</v>
      </c>
    </row>
    <row r="34" spans="1:1" ht="12.65" customHeight="1" x14ac:dyDescent="0.35">
      <c r="A34" s="19" t="str">
        <f>IF('Bundle Tag Info'!E$23&lt;&gt;"",CONCATENATE('Bundle Tag Info'!$A$1," ",CHAR(10),'Bundle Tag Info'!$A$2," ",'Bundle Tag Info'!$A$3,CHAR(10),'Bundle Tag Info'!E$6,CHAR(10),'Bundle Tag Info'!E$23),"")</f>
        <v>NOC-A #1 
J0400 A.2
LS WALL
XT9K-RWALL</v>
      </c>
    </row>
    <row r="35" spans="1:1" ht="12.65" customHeight="1" x14ac:dyDescent="0.35">
      <c r="A35" s="19" t="str">
        <f>IF('Bundle Tag Info'!F$7&lt;&gt;"",CONCATENATE('Bundle Tag Info'!$A$1," ",CHAR(10),'Bundle Tag Info'!$A$2," ",'Bundle Tag Info'!$A$3,CHAR(10),'Bundle Tag Info'!F$6,CHAR(10),'Bundle Tag Info'!F$7),"")</f>
        <v>NOC-A #1 
J0400 A.2
L BACK
PC</v>
      </c>
    </row>
    <row r="36" spans="1:1" ht="12.65" customHeight="1" x14ac:dyDescent="0.35">
      <c r="A36" s="19" t="str">
        <f>IF('Bundle Tag Info'!F$8&lt;&gt;"",CONCATENATE('Bundle Tag Info'!$A$1," ",CHAR(10),'Bundle Tag Info'!$A$2," ",'Bundle Tag Info'!$A$3,CHAR(10),'Bundle Tag Info'!F$6,CHAR(10),'Bundle Tag Info'!F$8),"")</f>
        <v>NOC-A #1 
J0400 A.2
L BACK
AF/AU</v>
      </c>
    </row>
    <row r="37" spans="1:1" ht="12.65" customHeight="1" x14ac:dyDescent="0.35">
      <c r="A37" s="19" t="str">
        <f>IF('Bundle Tag Info'!F$9&lt;&gt;"",CONCATENATE('Bundle Tag Info'!$A$1," ",CHAR(10),'Bundle Tag Info'!$A$2," ",'Bundle Tag Info'!$A$3,CHAR(10),'Bundle Tag Info'!F$6,CHAR(10),'Bundle Tag Info'!F$9),"")</f>
        <v>NOC-A #1 
J0400 A.2
L BACK
KA A1/A2</v>
      </c>
    </row>
    <row r="38" spans="1:1" ht="12.65" customHeight="1" x14ac:dyDescent="0.35">
      <c r="A38" s="19" t="str">
        <f>IF('Bundle Tag Info'!F$10&lt;&gt;"",CONCATENATE('Bundle Tag Info'!$A$1," ",CHAR(10),'Bundle Tag Info'!$A$2," ",'Bundle Tag Info'!$A$3,CHAR(10),'Bundle Tag Info'!F$6,CHAR(10),'Bundle Tag Info'!F$10),"")</f>
        <v>NOC-A #1 
J0400 A.2
L BACK
KA RED</v>
      </c>
    </row>
    <row r="39" spans="1:1" ht="12.65" customHeight="1" x14ac:dyDescent="0.35">
      <c r="A39" s="19" t="str">
        <f>IF('Bundle Tag Info'!F$11&lt;&gt;"",CONCATENATE('Bundle Tag Info'!$A$1," ",CHAR(10),'Bundle Tag Info'!$A$2," ",'Bundle Tag Info'!$A$3,CHAR(10),'Bundle Tag Info'!F$6,CHAR(10),'Bundle Tag Info'!F$11),"")</f>
        <v>NOC-A #1 
J0400 A.2
L BACK
KT L/S</v>
      </c>
    </row>
    <row r="40" spans="1:1" ht="12.65" customHeight="1" x14ac:dyDescent="0.35">
      <c r="A40" s="19" t="str">
        <f>IF('Bundle Tag Info'!F$12&lt;&gt;"",CONCATENATE('Bundle Tag Info'!$A$1," ",CHAR(10),'Bundle Tag Info'!$A$2," ",'Bundle Tag Info'!$A$3,CHAR(10),'Bundle Tag Info'!F$6,CHAR(10),'Bundle Tag Info'!F$12),"")</f>
        <v>NOC-A #1 
J0400 A.2
L BACK
KT R/S</v>
      </c>
    </row>
    <row r="41" spans="1:1" ht="12.65" customHeight="1" x14ac:dyDescent="0.35">
      <c r="A41" s="19" t="str">
        <f>IF('Bundle Tag Info'!F$13&lt;&gt;"",CONCATENATE('Bundle Tag Info'!$A$1," ",CHAR(10),'Bundle Tag Info'!$A$2," ",'Bundle Tag Info'!$A$3,CHAR(10),'Bundle Tag Info'!F$6,CHAR(10),'Bundle Tag Info'!F$13),"")</f>
        <v>NOC-A #1 
J0400 A.2
L BACK
AF-ISO</v>
      </c>
    </row>
    <row r="42" spans="1:1" ht="12.65" customHeight="1" x14ac:dyDescent="0.35">
      <c r="A42" s="19" t="str">
        <f>IF('Bundle Tag Info'!F$14&lt;&gt;"",CONCATENATE('Bundle Tag Info'!$A$1," ",CHAR(10),'Bundle Tag Info'!$A$2," ",'Bundle Tag Info'!$A$3,CHAR(10),'Bundle Tag Info'!F$6,CHAR(10),'Bundle Tag Info'!F$14),"")</f>
        <v>NOC-A #1 
J0400 A.2
L BACK
KT L/S-RWALL</v>
      </c>
    </row>
    <row r="43" spans="1:1" ht="12.65" customHeight="1" x14ac:dyDescent="0.35">
      <c r="A43" s="19" t="str">
        <f>IF('Bundle Tag Info'!F$15&lt;&gt;"",CONCATENATE('Bundle Tag Info'!$A$1," ",CHAR(10),'Bundle Tag Info'!$A$2," ",'Bundle Tag Info'!$A$3,CHAR(10),'Bundle Tag Info'!F$6,CHAR(10),'Bundle Tag Info'!F$15),"")</f>
        <v>NOC-A #1 
J0400 A.2
L BACK
KT R/S-RWALL</v>
      </c>
    </row>
    <row r="44" spans="1:1" ht="12.65" customHeight="1" x14ac:dyDescent="0.35">
      <c r="A44" s="19" t="str">
        <f>IF('Bundle Tag Info'!F$16&lt;&gt;"",CONCATENATE('Bundle Tag Info'!$A$1," ",CHAR(10),'Bundle Tag Info'!$A$2," ",'Bundle Tag Info'!$A$3,CHAR(10),'Bundle Tag Info'!F$6,CHAR(10),'Bundle Tag Info'!F$16),"")</f>
        <v>NOC-A #1 
J0400 A.2
L BACK
AF/XT-RWALL</v>
      </c>
    </row>
    <row r="45" spans="1:1" ht="12.65" customHeight="1" x14ac:dyDescent="0.35">
      <c r="A45" s="19" t="str">
        <f>IF('Bundle Tag Info'!G$7&lt;&gt;"",CONCATENATE('Bundle Tag Info'!$A$1," ",CHAR(10),'Bundle Tag Info'!$A$2," ",'Bundle Tag Info'!$A$3,CHAR(10),'Bundle Tag Info'!G$6,CHAR(10),'Bundle Tag Info'!G$7),"")</f>
        <v>NOC-A #1 
J0400 A.2
ISOLATOR
UAI</v>
      </c>
    </row>
    <row r="46" spans="1:1" ht="12.65" customHeight="1" x14ac:dyDescent="0.35">
      <c r="A46" s="19" t="str">
        <f>IF('Bundle Tag Info'!G$8&lt;&gt;"",CONCATENATE('Bundle Tag Info'!$A$1," ",CHAR(10),'Bundle Tag Info'!$A$2," ",'Bundle Tag Info'!$A$3,CHAR(10),'Bundle Tag Info'!G$6,CHAR(10),'Bundle Tag Info'!G$8),"")</f>
        <v>NOC-A #1 
J0400 A.2
ISOLATOR
UV</v>
      </c>
    </row>
    <row r="47" spans="1:1" ht="12.65" customHeight="1" x14ac:dyDescent="0.35">
      <c r="A47" s="19" t="str">
        <f>IF('Bundle Tag Info'!G$9&lt;&gt;"",CONCATENATE('Bundle Tag Info'!$A$1," ",CHAR(10),'Bundle Tag Info'!$A$2," ",'Bundle Tag Info'!$A$3,CHAR(10),'Bundle Tag Info'!G$6,CHAR(10),'Bundle Tag Info'!G$9),"")</f>
        <v>NOC-A #1 
J0400 A.2
ISOLATOR
UAI-RWALL</v>
      </c>
    </row>
    <row r="48" spans="1:1" ht="12.65" customHeight="1" x14ac:dyDescent="0.35">
      <c r="A48" s="19" t="str">
        <f>IF('Bundle Tag Info'!H$7&lt;&gt;"",CONCATENATE('Bundle Tag Info'!$A$1," ",CHAR(10),'Bundle Tag Info'!$A$2," ",'Bundle Tag Info'!$A$3,CHAR(10),'Bundle Tag Info'!H$6,CHAR(10),'Bundle Tag Info'!H$7),"")</f>
        <v>NOC-A #1 
J0400 A.2
RS WALL
AF/AU060s</v>
      </c>
    </row>
    <row r="49" spans="1:1" ht="12.65" customHeight="1" x14ac:dyDescent="0.35">
      <c r="A49" s="19" t="str">
        <f>IF('Bundle Tag Info'!H$8&lt;&gt;"",CONCATENATE('Bundle Tag Info'!$A$1," ",CHAR(10),'Bundle Tag Info'!$A$2," ",'Bundle Tag Info'!$A$3,CHAR(10),'Bundle Tag Info'!H$6,CHAR(10),'Bundle Tag Info'!H$8),"")</f>
        <v>NOC-A #1 
J0400 A.2
RS WALL
AF/AU070s</v>
      </c>
    </row>
    <row r="50" spans="1:1" ht="12.65" customHeight="1" x14ac:dyDescent="0.35">
      <c r="A50" s="19" t="str">
        <f>IF('Bundle Tag Info'!H$9&lt;&gt;"",CONCATENATE('Bundle Tag Info'!$A$1," ",CHAR(10),'Bundle Tag Info'!$A$2," ",'Bundle Tag Info'!$A$3,CHAR(10),'Bundle Tag Info'!H$6,CHAR(10),'Bundle Tag Info'!H$9),"")</f>
        <v>NOC-A #1 
J0400 A.2
RS WALL
AF/AU140s</v>
      </c>
    </row>
    <row r="51" spans="1:1" ht="12.65" customHeight="1" x14ac:dyDescent="0.35">
      <c r="A51" s="19" t="str">
        <f>IF('Bundle Tag Info'!H$10&lt;&gt;"",CONCATENATE('Bundle Tag Info'!$A$1," ",CHAR(10),'Bundle Tag Info'!$A$2," ",'Bundle Tag Info'!$A$3,CHAR(10),'Bundle Tag Info'!H$6,CHAR(10),'Bundle Tag Info'!H$10),"")</f>
        <v>NOC-A #1 
J0400 A.2
RS WALL
AF/AU0180s</v>
      </c>
    </row>
    <row r="52" spans="1:1" ht="12.65" customHeight="1" x14ac:dyDescent="0.35">
      <c r="A52" s="19" t="str">
        <f>IF('Bundle Tag Info'!H$11&lt;&gt;"",CONCATENATE('Bundle Tag Info'!$A$1," ",CHAR(10),'Bundle Tag Info'!$A$2," ",'Bundle Tag Info'!$A$3,CHAR(10),'Bundle Tag Info'!H$6,CHAR(10),'Bundle Tag Info'!H$11),"")</f>
        <v>NOC-A #1 
J0400 A.2
RS WALL
AF/AU1200s</v>
      </c>
    </row>
    <row r="53" spans="1:1" ht="12.65" customHeight="1" x14ac:dyDescent="0.35">
      <c r="A53" s="19" t="str">
        <f>IF('Bundle Tag Info'!H$12&lt;&gt;"",CONCATENATE('Bundle Tag Info'!$A$1," ",CHAR(10),'Bundle Tag Info'!$A$2," ",'Bundle Tag Info'!$A$3,CHAR(10),'Bundle Tag Info'!H$6,CHAR(10),'Bundle Tag Info'!H$12),"")</f>
        <v>NOC-A #1 
J0400 A.2
RS WALL
XT</v>
      </c>
    </row>
    <row r="54" spans="1:1" ht="12.65" customHeight="1" x14ac:dyDescent="0.35">
      <c r="A54" s="19" t="str">
        <f>IF('Bundle Tag Info'!I$7&lt;&gt;"",CONCATENATE('Bundle Tag Info'!$A$1," ",CHAR(10),'Bundle Tag Info'!$A$2," ",'Bundle Tag Info'!$A$3,CHAR(10),'Bundle Tag Info'!I$6,CHAR(10),'Bundle Tag Info'!I$7),"")</f>
        <v>NOC-A #1 
J0400 A.2
JB44
UA1200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Panel Errors</vt:lpstr>
      <vt:lpstr>CONSOLE_S</vt:lpstr>
      <vt:lpstr>POWER SUPPLY_S</vt:lpstr>
      <vt:lpstr>PWR DISTRIBUTION RAIL_S</vt:lpstr>
      <vt:lpstr>OBRIT_S</vt:lpstr>
      <vt:lpstr>LS WALL_S</vt:lpstr>
      <vt:lpstr>L BACK_S</vt:lpstr>
      <vt:lpstr>ISO_S</vt:lpstr>
      <vt:lpstr>RS WALL_S</vt:lpstr>
      <vt:lpstr>JB44_S</vt:lpstr>
      <vt:lpstr>Bundle Tag Info</vt:lpstr>
      <vt:lpstr>Bundle Tags2</vt:lpstr>
      <vt:lpstr>ALL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2026-02-12T07:07:13Z</cp:lastPrinted>
  <dcterms:created xsi:type="dcterms:W3CDTF">2026-01-29T08:52:52Z</dcterms:created>
  <dcterms:modified xsi:type="dcterms:W3CDTF">2026-03-03T03:47:12Z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2026-01-29T08:53:06Z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0fed3d0a-279c-487c-953c-c250d38bf839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