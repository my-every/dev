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541 BP-KEMD\"/>
    </mc:Choice>
  </mc:AlternateContent>
  <xr:revisionPtr revIDLastSave="0" documentId="13_ncr:1_{D835B39F-44D6-438A-B106-B3AF07F3930F}" xr6:coauthVersionLast="47" xr6:coauthVersionMax="47" xr10:uidLastSave="{00000000-0000-0000-0000-000000000000}"/>
  <bookViews>
    <workbookView xWindow="28680" yWindow="-120" windowWidth="29040" windowHeight="15720" tabRatio="1000" activeTab="4" xr2:uid="{00000000-000D-0000-FFFF-FFFF00000000}"/>
  </bookViews>
  <sheets>
    <sheet name="JB70_S" sheetId="23" r:id="rId1"/>
    <sheet name="JB70 R RAIL_S" sheetId="31" r:id="rId2"/>
    <sheet name="JB70 L RAIL_S" sheetId="30" r:id="rId3"/>
    <sheet name="PLC_S" sheetId="26" r:id="rId4"/>
    <sheet name="A_S" sheetId="24" r:id="rId5"/>
    <sheet name="B_S" sheetId="25" r:id="rId6"/>
    <sheet name="GEAR BOX PANEL_S" sheetId="18" r:id="rId7"/>
    <sheet name="JB73" sheetId="32" r:id="rId8"/>
    <sheet name="BOP PANEL_S" sheetId="17" r:id="rId9"/>
    <sheet name="JB74 L RAIL" sheetId="33" r:id="rId10"/>
    <sheet name="JB74 R RAIL" sheetId="34" r:id="rId11"/>
    <sheet name="Bundle Tag Info" sheetId="28" r:id="rId12"/>
    <sheet name="Bundle Tags2" sheetId="29" r:id="rId13"/>
    <sheet name="ALL" sheetId="35" r:id="rId14"/>
  </sheets>
  <definedNames>
    <definedName name="_xlnm._FilterDatabase" localSheetId="4" hidden="1">A_S!$H$1:$H$185</definedName>
    <definedName name="_xlnm._FilterDatabase" localSheetId="5" hidden="1">B_S!$H$1:$H$275</definedName>
    <definedName name="_xlnm._FilterDatabase" localSheetId="8" hidden="1">'BOP PANEL_S'!$H$1:$H$394</definedName>
    <definedName name="_xlnm._FilterDatabase" localSheetId="6" hidden="1">'GEAR BOX PANEL_S'!$H$1:$H$114</definedName>
    <definedName name="_xlnm._FilterDatabase" localSheetId="2" hidden="1">'JB70 L RAIL_S'!$H$1:$H$130</definedName>
    <definedName name="_xlnm._FilterDatabase" localSheetId="1" hidden="1">'JB70 R RAIL_S'!$H$1:$H$126</definedName>
    <definedName name="_xlnm._FilterDatabase" localSheetId="0" hidden="1">JB70_S!$H$1:$H$134</definedName>
    <definedName name="_xlnm._FilterDatabase" localSheetId="7" hidden="1">'JB73'!$H$1:$H$123</definedName>
    <definedName name="_xlnm._FilterDatabase" localSheetId="9" hidden="1">'JB74 L RAIL'!$H$1:$H$402</definedName>
    <definedName name="_xlnm._FilterDatabase" localSheetId="10" hidden="1">'JB74 R RAIL'!$H$1:$H$393</definedName>
    <definedName name="_xlnm._FilterDatabase" localSheetId="3" hidden="1">PLC_S!$H$1:$H$33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5" l="1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A36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A35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A34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A33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A65" i="35"/>
  <c r="A45" i="35"/>
  <c r="A32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A64" i="35"/>
  <c r="A44" i="35"/>
  <c r="A31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A63" i="35"/>
  <c r="A56" i="35"/>
  <c r="A43" i="35"/>
  <c r="A30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A62" i="35"/>
  <c r="A55" i="35"/>
  <c r="A42" i="35"/>
  <c r="A29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A61" i="35"/>
  <c r="A54" i="35"/>
  <c r="A41" i="35"/>
  <c r="A28" i="35"/>
  <c r="A23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A60" i="35"/>
  <c r="A53" i="35"/>
  <c r="A49" i="35"/>
  <c r="A40" i="35"/>
  <c r="A27" i="35"/>
  <c r="A22" i="35"/>
  <c r="A18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A68" i="35"/>
  <c r="A59" i="35"/>
  <c r="A52" i="35"/>
  <c r="A48" i="35"/>
  <c r="A39" i="35"/>
  <c r="A26" i="35"/>
  <c r="A21" i="35"/>
  <c r="A17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A67" i="35"/>
  <c r="A58" i="35"/>
  <c r="A51" i="35"/>
  <c r="A47" i="35"/>
  <c r="A38" i="35"/>
  <c r="A25" i="35"/>
  <c r="A20" i="35"/>
  <c r="A16" i="35"/>
  <c r="A14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A66" i="35"/>
  <c r="A57" i="35"/>
  <c r="A50" i="35"/>
  <c r="A46" i="35"/>
  <c r="A37" i="35"/>
  <c r="A24" i="35"/>
  <c r="A19" i="35"/>
  <c r="A15" i="35"/>
  <c r="A13" i="35"/>
  <c r="A2" i="35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A31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A30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A29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A28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27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A26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A25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A24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A23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A22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A21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A20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A19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A18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A17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A16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B15" i="29"/>
  <c r="A15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A14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B13" i="29"/>
  <c r="A13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B12" i="29"/>
  <c r="A12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B11" i="29"/>
  <c r="A11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A10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B9" i="29"/>
  <c r="A9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B8" i="29"/>
  <c r="A8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B7" i="29"/>
  <c r="A7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A6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A5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A4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B3" i="29"/>
  <c r="A3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A2" i="29"/>
  <c r="AD1" i="29"/>
  <c r="AC1" i="29"/>
  <c r="AB1" i="29"/>
  <c r="AA1" i="29"/>
  <c r="Z1" i="29"/>
  <c r="Y1" i="29"/>
  <c r="X1" i="29"/>
  <c r="W1" i="29"/>
  <c r="V1" i="29"/>
  <c r="U1" i="29"/>
  <c r="T1" i="29"/>
  <c r="S1" i="29"/>
  <c r="R1" i="29"/>
  <c r="Q1" i="29"/>
  <c r="P1" i="29"/>
  <c r="O1" i="29"/>
  <c r="N1" i="29"/>
  <c r="M1" i="29"/>
  <c r="L1" i="29"/>
  <c r="K1" i="29"/>
  <c r="J1" i="29"/>
  <c r="I1" i="29"/>
  <c r="H1" i="29"/>
  <c r="G1" i="29"/>
  <c r="F1" i="29"/>
  <c r="E1" i="29"/>
  <c r="D1" i="29"/>
  <c r="C1" i="29"/>
  <c r="B1" i="29"/>
  <c r="A1" i="29"/>
</calcChain>
</file>

<file path=xl/sharedStrings.xml><?xml version="1.0" encoding="utf-8"?>
<sst xmlns="http://schemas.openxmlformats.org/spreadsheetml/2006/main" count="5065" uniqueCount="1768">
  <si>
    <t>Project #</t>
  </si>
  <si>
    <t>4L541</t>
  </si>
  <si>
    <t>Project Name</t>
  </si>
  <si>
    <t>Kaskida</t>
  </si>
  <si>
    <t>Revision</t>
  </si>
  <si>
    <t>B</t>
  </si>
  <si>
    <t>Controls DE</t>
  </si>
  <si>
    <t>A. CHEN</t>
  </si>
  <si>
    <t>Phone:</t>
  </si>
  <si>
    <t>0</t>
  </si>
  <si>
    <t>Controls ME</t>
  </si>
  <si>
    <t>A. PLVAN</t>
  </si>
  <si>
    <t>Device ID</t>
  </si>
  <si>
    <t>Location</t>
  </si>
  <si>
    <t>BOP PANEL</t>
  </si>
  <si>
    <t>BA0007</t>
  </si>
  <si>
    <t>FU0007</t>
  </si>
  <si>
    <t>FU0008</t>
  </si>
  <si>
    <t>FU0140</t>
  </si>
  <si>
    <t>FU0141</t>
  </si>
  <si>
    <t>FU0142</t>
  </si>
  <si>
    <t>FU0180</t>
  </si>
  <si>
    <t>FU0181</t>
  </si>
  <si>
    <t>FU0184</t>
  </si>
  <si>
    <t>FU0187</t>
  </si>
  <si>
    <t>FU0570</t>
  </si>
  <si>
    <t>FU2901</t>
  </si>
  <si>
    <t>GEAR BOX PANEL</t>
  </si>
  <si>
    <t>FU0240</t>
  </si>
  <si>
    <t>FU0241</t>
  </si>
  <si>
    <t>FU0250</t>
  </si>
  <si>
    <t>FU0270</t>
  </si>
  <si>
    <t>FU0271</t>
  </si>
  <si>
    <t>FU0280</t>
  </si>
  <si>
    <t>FU0292</t>
  </si>
  <si>
    <t>FU0320</t>
  </si>
  <si>
    <t>AT1100</t>
  </si>
  <si>
    <t>JB70</t>
  </si>
  <si>
    <t>SA0471</t>
  </si>
  <si>
    <t>SA0473</t>
  </si>
  <si>
    <t>SA0474</t>
  </si>
  <si>
    <t>SB0471</t>
  </si>
  <si>
    <t>SB0472</t>
  </si>
  <si>
    <t>SB0473</t>
  </si>
  <si>
    <t>SB0474</t>
  </si>
  <si>
    <t>SH0470</t>
  </si>
  <si>
    <t>SH0471</t>
  </si>
  <si>
    <t>SH0472</t>
  </si>
  <si>
    <t>PANEL A</t>
  </si>
  <si>
    <t>FU0010</t>
  </si>
  <si>
    <t>FU0093</t>
  </si>
  <si>
    <t>FU0136</t>
  </si>
  <si>
    <t>FU0137</t>
  </si>
  <si>
    <t>FU0139</t>
  </si>
  <si>
    <t>FU0210</t>
  </si>
  <si>
    <t>PANEL B</t>
  </si>
  <si>
    <t>FU0120</t>
  </si>
  <si>
    <t>FU0121</t>
  </si>
  <si>
    <t>FU0130</t>
  </si>
  <si>
    <t>FU2900</t>
  </si>
  <si>
    <t>FU2904</t>
  </si>
  <si>
    <t>KA8307</t>
  </si>
  <si>
    <t>KA8310</t>
  </si>
  <si>
    <t>KA8311</t>
  </si>
  <si>
    <t>PLC PANEL</t>
  </si>
  <si>
    <t>FU0001</t>
  </si>
  <si>
    <t>FU0002</t>
  </si>
  <si>
    <t>FU1011</t>
  </si>
  <si>
    <t>From</t>
  </si>
  <si>
    <t>To</t>
  </si>
  <si>
    <t>Wire ID</t>
  </si>
  <si>
    <t>Wire No.</t>
  </si>
  <si>
    <t>Gauge/Size</t>
  </si>
  <si>
    <t>14</t>
  </si>
  <si>
    <t>20</t>
  </si>
  <si>
    <t>AT0680:NEG</t>
  </si>
  <si>
    <t>WHT</t>
  </si>
  <si>
    <t>XT0680:2</t>
  </si>
  <si>
    <t>AT0680:POS</t>
  </si>
  <si>
    <t>AT0680POS</t>
  </si>
  <si>
    <t>XT0680:1</t>
  </si>
  <si>
    <t>BA0001:V1(+)</t>
  </si>
  <si>
    <t>16</t>
  </si>
  <si>
    <t>FU0001:LD</t>
  </si>
  <si>
    <t>BA0002:V1(+)</t>
  </si>
  <si>
    <t>FU0002:LD</t>
  </si>
  <si>
    <t>BA0011:V1(+)</t>
  </si>
  <si>
    <t>FU1011:LD</t>
  </si>
  <si>
    <t>FU0680:LD</t>
  </si>
  <si>
    <t>BA0001:V1(-)</t>
  </si>
  <si>
    <t>XT0001:2</t>
  </si>
  <si>
    <t>BA0002:V1(-)</t>
  </si>
  <si>
    <t>XT0001:5</t>
  </si>
  <si>
    <t>FU0001:LI</t>
  </si>
  <si>
    <t>XT0001:1</t>
  </si>
  <si>
    <t>FU0002:LI</t>
  </si>
  <si>
    <t>XT0001:4</t>
  </si>
  <si>
    <t>UV0600:(-)</t>
  </si>
  <si>
    <t>XT0135:1</t>
  </si>
  <si>
    <t>UV0600:(+)</t>
  </si>
  <si>
    <t>FU0010:LD</t>
  </si>
  <si>
    <t>12</t>
  </si>
  <si>
    <t>BA0011:V1(-)</t>
  </si>
  <si>
    <t>XT0235:2</t>
  </si>
  <si>
    <t>FU0680:LI</t>
  </si>
  <si>
    <t>XT0233:4</t>
  </si>
  <si>
    <t>FU1011:LI</t>
  </si>
  <si>
    <t>XT0233:2</t>
  </si>
  <si>
    <t>XT0235:5</t>
  </si>
  <si>
    <t>XT0121:3</t>
  </si>
  <si>
    <t>XT0121:5</t>
  </si>
  <si>
    <t>XT0130:3</t>
  </si>
  <si>
    <t>XT0130:2</t>
  </si>
  <si>
    <t>XT0130:4</t>
  </si>
  <si>
    <t>XT0233:1</t>
  </si>
  <si>
    <t>XT0233:3</t>
  </si>
  <si>
    <t>XT0235:1</t>
  </si>
  <si>
    <t>XT0235:3</t>
  </si>
  <si>
    <t>AF1201:00</t>
  </si>
  <si>
    <t>KA0120:14</t>
  </si>
  <si>
    <t>AF1201:32</t>
  </si>
  <si>
    <t>KA4401:22</t>
  </si>
  <si>
    <t>AF1201:COM</t>
  </si>
  <si>
    <t>AF1201:V+</t>
  </si>
  <si>
    <t>FU0121:LD</t>
  </si>
  <si>
    <t>AF1202:COM</t>
  </si>
  <si>
    <t>AU1200N</t>
  </si>
  <si>
    <t>AU1200:COM</t>
  </si>
  <si>
    <t>AF1202:V+</t>
  </si>
  <si>
    <t>AU1200P</t>
  </si>
  <si>
    <t>AU1200:V+</t>
  </si>
  <si>
    <t>AF1207:COM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</si>
  <si>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</si>
  <si>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</si>
  <si>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</si>
  <si>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</si>
  <si>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</si>
  <si>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</si>
  <si>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</si>
  <si>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</si>
  <si>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</si>
  <si>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</si>
  <si>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</si>
  <si>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</si>
  <si>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AP0294:-</t>
  </si>
  <si>
    <t>AP0294:+</t>
  </si>
  <si>
    <t>FU2904:LD</t>
  </si>
  <si>
    <t>FU0120:LD</t>
  </si>
  <si>
    <t>FU0120:LI</t>
  </si>
  <si>
    <t>FU0130:LD</t>
  </si>
  <si>
    <t>FU0130:LI</t>
  </si>
  <si>
    <t>XT0130:1</t>
  </si>
  <si>
    <t>FU2900:LI</t>
  </si>
  <si>
    <t>FU2904:LI</t>
  </si>
  <si>
    <t>KA0120:12</t>
  </si>
  <si>
    <t>KA012012</t>
  </si>
  <si>
    <t>KA4401:21</t>
  </si>
  <si>
    <t>KA0120:A1</t>
  </si>
  <si>
    <t>KA0231A1</t>
  </si>
  <si>
    <t>XT0130:5</t>
  </si>
  <si>
    <t>KA0120:A2</t>
  </si>
  <si>
    <t>KA0131:12</t>
  </si>
  <si>
    <t>KA013721</t>
  </si>
  <si>
    <t>KA0137:21</t>
  </si>
  <si>
    <t>KA0131:A1</t>
  </si>
  <si>
    <t>KA0242:11</t>
  </si>
  <si>
    <t>KA0132:A1</t>
  </si>
  <si>
    <t>KA0131:A2</t>
  </si>
  <si>
    <t>KA0132:A2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</si>
  <si>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</si>
  <si>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</si>
  <si>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</si>
  <si>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</si>
  <si>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</si>
  <si>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</si>
  <si>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</si>
  <si>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</si>
  <si>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</si>
  <si>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</si>
  <si>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</si>
  <si>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</si>
  <si>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</si>
  <si>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KA0137:11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</si>
  <si>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</si>
  <si>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</si>
  <si>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</si>
  <si>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</si>
  <si>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</si>
  <si>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</si>
  <si>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</si>
  <si>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</si>
  <si>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</si>
  <si>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</si>
  <si>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</si>
  <si>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KA0137:24</t>
  </si>
  <si>
    <t>KA0136:14</t>
  </si>
  <si>
    <t>KA013821</t>
  </si>
  <si>
    <t>KA0138:21</t>
  </si>
  <si>
    <t>KA0136:A1</t>
  </si>
  <si>
    <t>PS32002</t>
  </si>
  <si>
    <t>XT0351:2</t>
  </si>
  <si>
    <t>KA0136:A2</t>
  </si>
  <si>
    <t>KA0137:14</t>
  </si>
  <si>
    <t>KA0137:A1</t>
  </si>
  <si>
    <t>KA0137A1</t>
  </si>
  <si>
    <t>KT0142:18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</si>
  <si>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</si>
  <si>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</si>
  <si>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</si>
  <si>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</si>
  <si>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</si>
  <si>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</si>
  <si>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</si>
  <si>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</si>
  <si>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</si>
  <si>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KA0231:11</t>
  </si>
  <si>
    <t>KA0231:A1</t>
  </si>
  <si>
    <t>KA0231:14</t>
  </si>
  <si>
    <t>KA0242:14</t>
  </si>
  <si>
    <t>KT0146:18</t>
  </si>
  <si>
    <t>KA0231:21</t>
  </si>
  <si>
    <t>KA023121</t>
  </si>
  <si>
    <t>KA0245:14</t>
  </si>
  <si>
    <t>KA0231:A2</t>
  </si>
  <si>
    <t>KA0234:A1</t>
  </si>
  <si>
    <t>XT0130:6</t>
  </si>
  <si>
    <t>KA0235:11</t>
  </si>
  <si>
    <t>KA024111</t>
  </si>
  <si>
    <t>KA0241:11</t>
  </si>
  <si>
    <t>KA0235:14</t>
  </si>
  <si>
    <t>KA0241:14</t>
  </si>
  <si>
    <t>ESTOP</t>
  </si>
  <si>
    <t>KA0236:11</t>
  </si>
  <si>
    <t>KA0244:11</t>
  </si>
  <si>
    <t>KA0237:11</t>
  </si>
  <si>
    <t>UCP_ESD</t>
  </si>
  <si>
    <t>KA0242:21</t>
  </si>
  <si>
    <t>KA0237:14</t>
  </si>
  <si>
    <t>PS32004</t>
  </si>
  <si>
    <t>KA0242:24</t>
  </si>
  <si>
    <t>KA0253:A2</t>
  </si>
  <si>
    <t>KA0231:24</t>
  </si>
  <si>
    <t>KA0241A1</t>
  </si>
  <si>
    <t>KA0241:A2</t>
  </si>
  <si>
    <t>KA0243:24</t>
  </si>
  <si>
    <t>KA024511</t>
  </si>
  <si>
    <t>KA0245:11</t>
  </si>
  <si>
    <t>KA0244:12</t>
  </si>
  <si>
    <t>KT0145A1</t>
  </si>
  <si>
    <t>KT0145:A1</t>
  </si>
  <si>
    <t>KA0253:11</t>
  </si>
  <si>
    <t>KA8311:11</t>
  </si>
  <si>
    <t>KA0253:14</t>
  </si>
  <si>
    <t>KA8311:14</t>
  </si>
  <si>
    <t>XT0121:1</t>
  </si>
  <si>
    <t>KA4401:A1</t>
  </si>
  <si>
    <t>PS44013</t>
  </si>
  <si>
    <t>XT0121:2</t>
  </si>
  <si>
    <t>KA9130:A1</t>
  </si>
  <si>
    <t>KA9130:A2</t>
  </si>
  <si>
    <t>XT0235:4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</si>
  <si>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</si>
  <si>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</si>
  <si>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</si>
  <si>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</si>
  <si>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</si>
  <si>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</si>
  <si>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</si>
  <si>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</si>
  <si>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</si>
  <si>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</si>
  <si>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</si>
  <si>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</si>
  <si>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</si>
  <si>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</si>
  <si>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</si>
  <si>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</si>
  <si>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</si>
  <si>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XT0351:5</t>
  </si>
  <si>
    <t>XT0351:6</t>
  </si>
  <si>
    <t>XT0520:3</t>
  </si>
  <si>
    <t>XT0520:2</t>
  </si>
  <si>
    <t>XT0520:1</t>
  </si>
  <si>
    <t>AF1207:00</t>
  </si>
  <si>
    <t>SB75122</t>
  </si>
  <si>
    <t>XT9070M:15</t>
  </si>
  <si>
    <t>AF1207:32</t>
  </si>
  <si>
    <t>SB75121</t>
  </si>
  <si>
    <t>XT9070M:14</t>
  </si>
  <si>
    <t>XT9070M:17</t>
  </si>
  <si>
    <t>XT9070M:16</t>
  </si>
  <si>
    <t>KA0248:A1</t>
  </si>
  <si>
    <t>XT9070M:33</t>
  </si>
  <si>
    <t>KA0701:11</t>
  </si>
  <si>
    <t>AP0612COM</t>
  </si>
  <si>
    <t>XT9070M:9</t>
  </si>
  <si>
    <t>KA0701:14</t>
  </si>
  <si>
    <t>AP0612TM</t>
  </si>
  <si>
    <t>XT9070M:10</t>
  </si>
  <si>
    <t>KA8307:11</t>
  </si>
  <si>
    <t>XT9070M:39</t>
  </si>
  <si>
    <t>KA8307:14</t>
  </si>
  <si>
    <t>XT9070M:38</t>
  </si>
  <si>
    <t>KA8310:11</t>
  </si>
  <si>
    <t>XT9070M:41</t>
  </si>
  <si>
    <t>KA8310:14</t>
  </si>
  <si>
    <t>XT9070M:40</t>
  </si>
  <si>
    <t>XT9070M:35</t>
  </si>
  <si>
    <t>XT9070M:34</t>
  </si>
  <si>
    <t>KA8312:11</t>
  </si>
  <si>
    <t>KA831211</t>
  </si>
  <si>
    <t>XT9070M:50</t>
  </si>
  <si>
    <t>KA8312:14</t>
  </si>
  <si>
    <t>KA831214</t>
  </si>
  <si>
    <t>XT9070M:51</t>
  </si>
  <si>
    <t>KA8314:11</t>
  </si>
  <si>
    <t>KA831411</t>
  </si>
  <si>
    <t>XT9070M:52</t>
  </si>
  <si>
    <t>KA8314:14</t>
  </si>
  <si>
    <t>KA831414</t>
  </si>
  <si>
    <t>XT9070M:53</t>
  </si>
  <si>
    <t>KA8315:11</t>
  </si>
  <si>
    <t>KA831511</t>
  </si>
  <si>
    <t>XT9070M:46</t>
  </si>
  <si>
    <t>KA8315:14</t>
  </si>
  <si>
    <t>KA831514</t>
  </si>
  <si>
    <t>XT9070M:47</t>
  </si>
  <si>
    <t>KA8316:11</t>
  </si>
  <si>
    <t>KA831611</t>
  </si>
  <si>
    <t>XT9070M:48</t>
  </si>
  <si>
    <t>KA8316:14</t>
  </si>
  <si>
    <t>KA831614</t>
  </si>
  <si>
    <t>XT9070M:49</t>
  </si>
  <si>
    <t>XT0237:1 B1</t>
  </si>
  <si>
    <t>SH0472X2</t>
  </si>
  <si>
    <t>SH0472:X2</t>
  </si>
  <si>
    <t>FU2900:LD</t>
  </si>
  <si>
    <t>AP0290:+</t>
  </si>
  <si>
    <t>KA0131:11</t>
  </si>
  <si>
    <t>KA0135A1</t>
  </si>
  <si>
    <t>KA0135:A1</t>
  </si>
  <si>
    <t>KA0131:14</t>
  </si>
  <si>
    <t>KA013114</t>
  </si>
  <si>
    <t>AF0092:06</t>
  </si>
  <si>
    <t>AF0082:02</t>
  </si>
  <si>
    <t>KA0133:A1</t>
  </si>
  <si>
    <t>KA0133A1</t>
  </si>
  <si>
    <t>AF0092:02</t>
  </si>
  <si>
    <t>KA0136:21</t>
  </si>
  <si>
    <t>KA013621</t>
  </si>
  <si>
    <t>AF0082:45</t>
  </si>
  <si>
    <t>KA0136:24</t>
  </si>
  <si>
    <t>KA013624</t>
  </si>
  <si>
    <t>AF0082:13</t>
  </si>
  <si>
    <t>KA0135:A2</t>
  </si>
  <si>
    <t>XT0136:2</t>
  </si>
  <si>
    <t>KA0144:A1</t>
  </si>
  <si>
    <t>AF0096:24</t>
  </si>
  <si>
    <t>KA0239:21</t>
  </si>
  <si>
    <t>AF0094:41</t>
  </si>
  <si>
    <t>KA0239:24</t>
  </si>
  <si>
    <t>AF0094:09</t>
  </si>
  <si>
    <t>AF0094:10</t>
  </si>
  <si>
    <t>KA0243:11</t>
  </si>
  <si>
    <t>AF0094:34</t>
  </si>
  <si>
    <t>KA0243:14</t>
  </si>
  <si>
    <t>AF0094:02</t>
  </si>
  <si>
    <t>KA0245:21</t>
  </si>
  <si>
    <t>AF0094:35</t>
  </si>
  <si>
    <t>KA0245:24</t>
  </si>
  <si>
    <t>AF0094:03</t>
  </si>
  <si>
    <t>KA0248:A2</t>
  </si>
  <si>
    <t>AF0094:28</t>
  </si>
  <si>
    <t>KA0701:A1</t>
  </si>
  <si>
    <t>KA0701A1</t>
  </si>
  <si>
    <t>AF0092:00</t>
  </si>
  <si>
    <t>KA0701:A2</t>
  </si>
  <si>
    <t>KA0701A2</t>
  </si>
  <si>
    <t>AF0092:16</t>
  </si>
  <si>
    <t>KA8307:A1</t>
  </si>
  <si>
    <t>AF0093:09</t>
  </si>
  <si>
    <t>KA8307:A2</t>
  </si>
  <si>
    <t>AF0093:25</t>
  </si>
  <si>
    <t>KA8310:A1</t>
  </si>
  <si>
    <t>AF0093:12</t>
  </si>
  <si>
    <t>KA8310:A2</t>
  </si>
  <si>
    <t>AF0093:28</t>
  </si>
  <si>
    <t>KA8311:A1</t>
  </si>
  <si>
    <t>AF0096:02</t>
  </si>
  <si>
    <t>KA8311:A2</t>
  </si>
  <si>
    <t>AF0096:18</t>
  </si>
  <si>
    <t>KA8312:A1</t>
  </si>
  <si>
    <t>AF0093:02</t>
  </si>
  <si>
    <t>KA8312:A2</t>
  </si>
  <si>
    <t>AF0093:18</t>
  </si>
  <si>
    <t>KA8314:A1</t>
  </si>
  <si>
    <t>AF0093:05</t>
  </si>
  <si>
    <t>KA8314:A2</t>
  </si>
  <si>
    <t>AF0093:21</t>
  </si>
  <si>
    <t>KA8315:A1</t>
  </si>
  <si>
    <t>AF0093:03</t>
  </si>
  <si>
    <t>KA8315:A2</t>
  </si>
  <si>
    <t>AF0093:19</t>
  </si>
  <si>
    <t>KA8316:A1</t>
  </si>
  <si>
    <t>AF0093:00</t>
  </si>
  <si>
    <t>KA8316:A2</t>
  </si>
  <si>
    <t>AF0093:16</t>
  </si>
  <si>
    <t>KA9130:11</t>
  </si>
  <si>
    <t>KA913011</t>
  </si>
  <si>
    <t>AF0091:36</t>
  </si>
  <si>
    <t>KA9130:14</t>
  </si>
  <si>
    <t>KA913014</t>
  </si>
  <si>
    <t>AF0091:04</t>
  </si>
  <si>
    <t>XT0136:3</t>
  </si>
  <si>
    <t>KT0146:15</t>
  </si>
  <si>
    <t>AF0096:08</t>
  </si>
  <si>
    <t>KT0146:A2</t>
  </si>
  <si>
    <t>KT0146A2</t>
  </si>
  <si>
    <t>AF0096:25</t>
  </si>
  <si>
    <t>KT0146:B1</t>
  </si>
  <si>
    <t>KT0146B1</t>
  </si>
  <si>
    <t>AF0096:09</t>
  </si>
  <si>
    <t>XT0138:4</t>
  </si>
  <si>
    <t>XT0134:4</t>
  </si>
  <si>
    <t>FU0210:LD</t>
  </si>
  <si>
    <t>FU9130:LI</t>
  </si>
  <si>
    <t>FU9130:LD</t>
  </si>
  <si>
    <t>AP0290:-</t>
  </si>
  <si>
    <t>XT0237:1 T2</t>
  </si>
  <si>
    <t>XT0237T2</t>
  </si>
  <si>
    <t>AF0086:04</t>
  </si>
  <si>
    <t>XT0351:1</t>
  </si>
  <si>
    <t>XT0136:1</t>
  </si>
  <si>
    <t>XT0081:1</t>
  </si>
  <si>
    <t>XT0081:2</t>
  </si>
  <si>
    <t>XT0134:1</t>
  </si>
  <si>
    <t>XT0134:2</t>
  </si>
  <si>
    <t>XT0134:3</t>
  </si>
  <si>
    <t>XT0135:2</t>
  </si>
  <si>
    <t>XT0135:3</t>
  </si>
  <si>
    <t>XT0135:4</t>
  </si>
  <si>
    <t>XT0138:1</t>
  </si>
  <si>
    <t>XT0138:2</t>
  </si>
  <si>
    <t>XT0138:3</t>
  </si>
  <si>
    <t>XT0139:1</t>
  </si>
  <si>
    <t>XT0139:3</t>
  </si>
  <si>
    <t>AF0082:COM</t>
  </si>
  <si>
    <t>AU0080N</t>
  </si>
  <si>
    <t>AU0080:COM</t>
  </si>
  <si>
    <t>AF0082:V+</t>
  </si>
  <si>
    <t>AU0080P</t>
  </si>
  <si>
    <t>AU0080:V+</t>
  </si>
  <si>
    <t>AF0083:00</t>
  </si>
  <si>
    <t>XT0089:2</t>
  </si>
  <si>
    <t>AF0083:01</t>
  </si>
  <si>
    <t>XT0089:3</t>
  </si>
  <si>
    <t>AF0083:04</t>
  </si>
  <si>
    <t>UJ0131VIN</t>
  </si>
  <si>
    <t>UJ0131:VIN</t>
  </si>
  <si>
    <t>AF0083:05</t>
  </si>
  <si>
    <t>AF0083:06</t>
  </si>
  <si>
    <t>UJ0131IOUT</t>
  </si>
  <si>
    <t>UJ0131:IOUT</t>
  </si>
  <si>
    <t>AF0083:07</t>
  </si>
  <si>
    <t>AF0086:01</t>
  </si>
  <si>
    <t>PC0470:INP_A</t>
  </si>
  <si>
    <t>AF0086:17</t>
  </si>
  <si>
    <t>PC0470:-PWR</t>
  </si>
  <si>
    <t>AF0086:33</t>
  </si>
  <si>
    <t>PC0470:+PWR</t>
  </si>
  <si>
    <t>AF0091:07</t>
  </si>
  <si>
    <t>UJ0131OK2</t>
  </si>
  <si>
    <t>UJ0131:OK2</t>
  </si>
  <si>
    <t>AF0091:39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</si>
  <si>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</si>
  <si>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</si>
  <si>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</si>
  <si>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</si>
  <si>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</si>
  <si>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</si>
  <si>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</si>
  <si>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</si>
  <si>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</si>
  <si>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AF0092:08</t>
  </si>
  <si>
    <t>KA3103:A1</t>
  </si>
  <si>
    <t>AF0092:24</t>
  </si>
  <si>
    <t>KA3103:A2</t>
  </si>
  <si>
    <t>AF0092:COM</t>
  </si>
  <si>
    <t>AF0093:01</t>
  </si>
  <si>
    <t>KA3220:A1</t>
  </si>
  <si>
    <t>AF0093:17</t>
  </si>
  <si>
    <t>KA3220:A2</t>
  </si>
  <si>
    <t>AF0093:COM</t>
  </si>
  <si>
    <t>AF0096:COM</t>
  </si>
  <si>
    <t>AF0096:V+</t>
  </si>
  <si>
    <t>FU0093:LD</t>
  </si>
  <si>
    <t>FU0010:LI</t>
  </si>
  <si>
    <t>FU0139:LI</t>
  </si>
  <si>
    <t>FU0011:LD</t>
  </si>
  <si>
    <t>UJ0131P</t>
  </si>
  <si>
    <t>UJ0131:+</t>
  </si>
  <si>
    <t>FU0137:LD</t>
  </si>
  <si>
    <t>FU0137:LI</t>
  </si>
  <si>
    <t>FU0139:LD</t>
  </si>
  <si>
    <t>FU0210:LI</t>
  </si>
  <si>
    <t>FU1300:LI</t>
  </si>
  <si>
    <t>XT0089:1</t>
  </si>
  <si>
    <t>UJ0131:-</t>
  </si>
  <si>
    <t>XT0011:1</t>
  </si>
  <si>
    <t>FU1100:LI</t>
  </si>
  <si>
    <t>AF0082:00</t>
  </si>
  <si>
    <t>SA0474B114</t>
  </si>
  <si>
    <t>SA0474:B2-14</t>
  </si>
  <si>
    <t>AF0082:01</t>
  </si>
  <si>
    <t>SA0474B214</t>
  </si>
  <si>
    <t>SA0474:B1-14</t>
  </si>
  <si>
    <t>AF0082:08</t>
  </si>
  <si>
    <t>XT9070M:19</t>
  </si>
  <si>
    <t>AF0082:32</t>
  </si>
  <si>
    <t>SA0474B113</t>
  </si>
  <si>
    <t>SA0474:B2-13</t>
  </si>
  <si>
    <t>AF0082:33</t>
  </si>
  <si>
    <t>SA0474B213</t>
  </si>
  <si>
    <t>SA0474:B1-13</t>
  </si>
  <si>
    <t>AF0082:40</t>
  </si>
  <si>
    <t>XT9070M:18</t>
  </si>
  <si>
    <t>AF0085:01</t>
  </si>
  <si>
    <t>SH047012</t>
  </si>
  <si>
    <t>SH0470:12</t>
  </si>
  <si>
    <t>AF0085:02</t>
  </si>
  <si>
    <t>SB047112</t>
  </si>
  <si>
    <t>SB0471:12</t>
  </si>
  <si>
    <t>AF0085:03</t>
  </si>
  <si>
    <t>SB047314</t>
  </si>
  <si>
    <t>SB0473:14</t>
  </si>
  <si>
    <t>AF0085:04</t>
  </si>
  <si>
    <t>SB047414</t>
  </si>
  <si>
    <t>SB0474:14</t>
  </si>
  <si>
    <t>AF0085:05</t>
  </si>
  <si>
    <t>SA0473W-B1</t>
  </si>
  <si>
    <t>SA0473:W-B1</t>
  </si>
  <si>
    <t>AF0085:06</t>
  </si>
  <si>
    <t>SA0473B-B1</t>
  </si>
  <si>
    <t>SA0473:B-B1</t>
  </si>
  <si>
    <t>AF0085:07</t>
  </si>
  <si>
    <t>SA0471B214</t>
  </si>
  <si>
    <t>SA0471:B2-14</t>
  </si>
  <si>
    <t>AF0085:08</t>
  </si>
  <si>
    <t>SA0471B114</t>
  </si>
  <si>
    <t>SA0471:B1-14</t>
  </si>
  <si>
    <t>AF0085:09</t>
  </si>
  <si>
    <t>SA0473B-A3</t>
  </si>
  <si>
    <t>SA0473:B-A3</t>
  </si>
  <si>
    <t>AF0085:1</t>
  </si>
  <si>
    <t>SH047114</t>
  </si>
  <si>
    <t>SH0471:14</t>
  </si>
  <si>
    <t>AF0085:3</t>
  </si>
  <si>
    <t>SH047113</t>
  </si>
  <si>
    <t>SH0471:13</t>
  </si>
  <si>
    <t>AF0085:33</t>
  </si>
  <si>
    <t>SH047011</t>
  </si>
  <si>
    <t>SH0470:11</t>
  </si>
  <si>
    <t>AF0085:34</t>
  </si>
  <si>
    <t>SB047111</t>
  </si>
  <si>
    <t>SB0471:11</t>
  </si>
  <si>
    <t>AF0085:35</t>
  </si>
  <si>
    <t>SB047313</t>
  </si>
  <si>
    <t>SB0473:13</t>
  </si>
  <si>
    <t>AF0085:36</t>
  </si>
  <si>
    <t>SB047413</t>
  </si>
  <si>
    <t>SB0474:13</t>
  </si>
  <si>
    <t>AF0085:37</t>
  </si>
  <si>
    <t>SA0473W-B2</t>
  </si>
  <si>
    <t>SA0473:W-B2</t>
  </si>
  <si>
    <t>AF0085:38</t>
  </si>
  <si>
    <t>SA0473B-B2</t>
  </si>
  <si>
    <t>SA0473:B-B2</t>
  </si>
  <si>
    <t>AF0085:39</t>
  </si>
  <si>
    <t>SA0471B213</t>
  </si>
  <si>
    <t>SA0471:B2-13</t>
  </si>
  <si>
    <t>AF0085:40</t>
  </si>
  <si>
    <t>SA0471B113</t>
  </si>
  <si>
    <t>SA0471:B1-13</t>
  </si>
  <si>
    <t>AF0085:41</t>
  </si>
  <si>
    <t>SA0473B-A4</t>
  </si>
  <si>
    <t>SA0473:B-A4</t>
  </si>
  <si>
    <t>AF0086:00</t>
  </si>
  <si>
    <t>SH0471X2</t>
  </si>
  <si>
    <t>SH0471:X2</t>
  </si>
  <si>
    <t>AF0086:1</t>
  </si>
  <si>
    <t>SH0470X2</t>
  </si>
  <si>
    <t>SH0470:X2</t>
  </si>
  <si>
    <t>AF0086:16</t>
  </si>
  <si>
    <t>SH0471X1</t>
  </si>
  <si>
    <t>SH0471:X1</t>
  </si>
  <si>
    <t>AF0086:2</t>
  </si>
  <si>
    <t>SH0470X1</t>
  </si>
  <si>
    <t>SH0470:X1</t>
  </si>
  <si>
    <t>AF0091:00</t>
  </si>
  <si>
    <t>AP0612NO</t>
  </si>
  <si>
    <t>XT9070M:2</t>
  </si>
  <si>
    <t>AF0091:01</t>
  </si>
  <si>
    <t>AP0628NC1</t>
  </si>
  <si>
    <t>XT9070M:4</t>
  </si>
  <si>
    <t>AF0091:02</t>
  </si>
  <si>
    <t>AP0628NC2</t>
  </si>
  <si>
    <t>XT9070M:6</t>
  </si>
  <si>
    <t>AF0091:03</t>
  </si>
  <si>
    <t>AP0628NC3</t>
  </si>
  <si>
    <t>XT9070M:8</t>
  </si>
  <si>
    <t>AF0091:32</t>
  </si>
  <si>
    <t>AP0612ARM</t>
  </si>
  <si>
    <t>XT9070M:1</t>
  </si>
  <si>
    <t>AF0091:33</t>
  </si>
  <si>
    <t>AP0628ARM1</t>
  </si>
  <si>
    <t>XT9070M:3</t>
  </si>
  <si>
    <t>AF0091:34</t>
  </si>
  <si>
    <t>AP0628ARM2</t>
  </si>
  <si>
    <t>XT9070M:5</t>
  </si>
  <si>
    <t>AF0091:35</t>
  </si>
  <si>
    <t>AP0628ARM3</t>
  </si>
  <si>
    <t>XT9070M:7</t>
  </si>
  <si>
    <t>AF0094:04</t>
  </si>
  <si>
    <t>SB0472B212</t>
  </si>
  <si>
    <t>SB0472:B2-12</t>
  </si>
  <si>
    <t>AF0094:12</t>
  </si>
  <si>
    <t>AF0094:36</t>
  </si>
  <si>
    <t>SB0472B211</t>
  </si>
  <si>
    <t>SB0472:B2-11</t>
  </si>
  <si>
    <t>AF0094:44</t>
  </si>
  <si>
    <t>XT9070M:32</t>
  </si>
  <si>
    <t>AF0095:00</t>
  </si>
  <si>
    <t>XT9070M:43</t>
  </si>
  <si>
    <t>AF0095:03</t>
  </si>
  <si>
    <t>XT9070M:45</t>
  </si>
  <si>
    <t>AF0095:04</t>
  </si>
  <si>
    <t>XT9070M:55</t>
  </si>
  <si>
    <t>AF0095:05</t>
  </si>
  <si>
    <t>XT9070M:27</t>
  </si>
  <si>
    <t>AF0095:07</t>
  </si>
  <si>
    <t>XT9070M:25</t>
  </si>
  <si>
    <t>AF0095:08</t>
  </si>
  <si>
    <t>XT9070M:23</t>
  </si>
  <si>
    <t>AF0095:12</t>
  </si>
  <si>
    <t>XT9070M:29</t>
  </si>
  <si>
    <t>AF0095:32</t>
  </si>
  <si>
    <t>XT9070M:42</t>
  </si>
  <si>
    <t>AF0095:35</t>
  </si>
  <si>
    <t>XT9070M:44</t>
  </si>
  <si>
    <t>AF0095:36</t>
  </si>
  <si>
    <t>XT9070M:54</t>
  </si>
  <si>
    <t>AF0095:37</t>
  </si>
  <si>
    <t>XT9070M:26</t>
  </si>
  <si>
    <t>AF0095:39</t>
  </si>
  <si>
    <t>XT9070M:24</t>
  </si>
  <si>
    <t>AF0095:40</t>
  </si>
  <si>
    <t>XT9070M:22</t>
  </si>
  <si>
    <t>AF0095:44</t>
  </si>
  <si>
    <t>XT9070M:28</t>
  </si>
  <si>
    <t>XT9070M:12</t>
  </si>
  <si>
    <t>AT1100:NEG</t>
  </si>
  <si>
    <t>UJ1100:24V(-)</t>
  </si>
  <si>
    <t>XT0137:1</t>
  </si>
  <si>
    <t>SH047111</t>
  </si>
  <si>
    <t>SH0471:11</t>
  </si>
  <si>
    <t>XT0137:2</t>
  </si>
  <si>
    <t>SB0472:B1-12</t>
  </si>
  <si>
    <t>XT0137:3</t>
  </si>
  <si>
    <t>ESTOPA</t>
  </si>
  <si>
    <t>SB0472:B1-11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</si>
  <si>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</si>
  <si>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</si>
  <si>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</si>
  <si>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</si>
  <si>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</si>
  <si>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</si>
  <si>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</si>
  <si>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</si>
  <si>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</si>
  <si>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XT9070M:11</t>
  </si>
  <si>
    <t>FU1100:LD</t>
  </si>
  <si>
    <t>BA1100:NEG</t>
  </si>
  <si>
    <t>BA1100N</t>
  </si>
  <si>
    <t>UJ1100:OUT1(-)</t>
  </si>
  <si>
    <t>BA1100:POS</t>
  </si>
  <si>
    <t>BA1100P</t>
  </si>
  <si>
    <t>UJ1100:OUT1(+)</t>
  </si>
  <si>
    <t>FU1100LD</t>
  </si>
  <si>
    <t>UJ1100:24V(+)</t>
  </si>
  <si>
    <t>SH0472:11</t>
  </si>
  <si>
    <t>SH047211</t>
  </si>
  <si>
    <t>XT0236:4</t>
  </si>
  <si>
    <t>SH0472:12</t>
  </si>
  <si>
    <t>SH047212</t>
  </si>
  <si>
    <t>XT0236:5</t>
  </si>
  <si>
    <t>SH0472:13</t>
  </si>
  <si>
    <t>XT0236:1</t>
  </si>
  <si>
    <t>SH0472:14</t>
  </si>
  <si>
    <t>XT0236:2</t>
  </si>
  <si>
    <t>SH0472:X1</t>
  </si>
  <si>
    <t>XT0236:3</t>
  </si>
  <si>
    <t>JB78</t>
  </si>
  <si>
    <t>XT0250:1</t>
  </si>
  <si>
    <t>XT0250:2</t>
  </si>
  <si>
    <t>XT0250:4</t>
  </si>
  <si>
    <t>XT0250:5</t>
  </si>
  <si>
    <t>XT0251:1</t>
  </si>
  <si>
    <t>XT0251:3</t>
  </si>
  <si>
    <t>XT0280:4</t>
  </si>
  <si>
    <t>XT0280:3</t>
  </si>
  <si>
    <t>XT0281:1</t>
  </si>
  <si>
    <t>XT0281:3</t>
  </si>
  <si>
    <t>XT0310:1</t>
  </si>
  <si>
    <t>AF0241:COM</t>
  </si>
  <si>
    <t>AF0241:V+</t>
  </si>
  <si>
    <t>FU0241:LD</t>
  </si>
  <si>
    <t>AF0242:COM</t>
  </si>
  <si>
    <t>AU0240N</t>
  </si>
  <si>
    <t>AU0240:COM</t>
  </si>
  <si>
    <t>AF0242:V+</t>
  </si>
  <si>
    <t>AU0240P</t>
  </si>
  <si>
    <t>AU0240:V+</t>
  </si>
  <si>
    <t>AF0271:COM</t>
  </si>
  <si>
    <t>AF0271:V+</t>
  </si>
  <si>
    <t>FU0271:LD</t>
  </si>
  <si>
    <t>AF0272:COM</t>
  </si>
  <si>
    <t>AU0270N</t>
  </si>
  <si>
    <t>AU0270:COM</t>
  </si>
  <si>
    <t>AF0272:V+</t>
  </si>
  <si>
    <t>AU0270P</t>
  </si>
  <si>
    <t>AU0270:V+</t>
  </si>
  <si>
    <t>AU0320:COM</t>
  </si>
  <si>
    <t>AU0320:V+</t>
  </si>
  <si>
    <t>AF0322:01</t>
  </si>
  <si>
    <t>PDS82002</t>
  </si>
  <si>
    <t>XT9078M:2</t>
  </si>
  <si>
    <t>AF0322:33</t>
  </si>
  <si>
    <t>PDS82001</t>
  </si>
  <si>
    <t>XT9078M:1</t>
  </si>
  <si>
    <t>AP0291:-</t>
  </si>
  <si>
    <t>AP0291:+</t>
  </si>
  <si>
    <t>FU0292:LD</t>
  </si>
  <si>
    <t>AP0292:-</t>
  </si>
  <si>
    <t>AP0292:+</t>
  </si>
  <si>
    <t>FU0293LD</t>
  </si>
  <si>
    <t>FU0293:LD</t>
  </si>
  <si>
    <t>FU0240:LD</t>
  </si>
  <si>
    <t>FU0270:LD</t>
  </si>
  <si>
    <t>XT0310:3</t>
  </si>
  <si>
    <t>FU0320:LD</t>
  </si>
  <si>
    <t>FU0240:LI</t>
  </si>
  <si>
    <t>FU0253:LI</t>
  </si>
  <si>
    <t>FU0250:LD</t>
  </si>
  <si>
    <t>XT0250:6</t>
  </si>
  <si>
    <t>FU0250:LI</t>
  </si>
  <si>
    <t>FU0270:LI</t>
  </si>
  <si>
    <t>FU0283:LI</t>
  </si>
  <si>
    <t>FU0280:LD</t>
  </si>
  <si>
    <t>XT0280:2</t>
  </si>
  <si>
    <t>FU0280:LI</t>
  </si>
  <si>
    <t>XT0280:1</t>
  </si>
  <si>
    <t>FU0292:LI</t>
  </si>
  <si>
    <t>FU0293:LI</t>
  </si>
  <si>
    <t>FU0310:LI</t>
  </si>
  <si>
    <t>JB74</t>
  </si>
  <si>
    <t>XT0140:3</t>
  </si>
  <si>
    <t>XT0140:2</t>
  </si>
  <si>
    <t>XT0140:4</t>
  </si>
  <si>
    <t>XT0180:1</t>
  </si>
  <si>
    <t>XT0180:2</t>
  </si>
  <si>
    <t>AF0141:00</t>
  </si>
  <si>
    <t>KA053211</t>
  </si>
  <si>
    <t>KA0532:11</t>
  </si>
  <si>
    <t>AF0141:02</t>
  </si>
  <si>
    <t>KA053121</t>
  </si>
  <si>
    <t>KA0531:21</t>
  </si>
  <si>
    <t>AF0141:04</t>
  </si>
  <si>
    <t>KA053221</t>
  </si>
  <si>
    <t>KA0532:21</t>
  </si>
  <si>
    <t>AF0141:06</t>
  </si>
  <si>
    <t>KA053411</t>
  </si>
  <si>
    <t>KA0534:11</t>
  </si>
  <si>
    <t>AF0141:08</t>
  </si>
  <si>
    <t>KA053721</t>
  </si>
  <si>
    <t>KA0537:21</t>
  </si>
  <si>
    <t>AF0141:10</t>
  </si>
  <si>
    <t>KA053421</t>
  </si>
  <si>
    <t>KA0534:21</t>
  </si>
  <si>
    <t>AF0141:12</t>
  </si>
  <si>
    <t>KA055411</t>
  </si>
  <si>
    <t>KA0554:11</t>
  </si>
  <si>
    <t>AF0141:14</t>
  </si>
  <si>
    <t>KA053111</t>
  </si>
  <si>
    <t>KA0531:11</t>
  </si>
  <si>
    <t>AF0141:16</t>
  </si>
  <si>
    <t>SV76212</t>
  </si>
  <si>
    <t>XT9074M:54</t>
  </si>
  <si>
    <t>AF0141:18</t>
  </si>
  <si>
    <t>SV75142</t>
  </si>
  <si>
    <t>XT9075M:5</t>
  </si>
  <si>
    <t>AF0141:20</t>
  </si>
  <si>
    <t>SV76412</t>
  </si>
  <si>
    <t>XT9074M:60</t>
  </si>
  <si>
    <t>AF0141:22</t>
  </si>
  <si>
    <t>SV76142</t>
  </si>
  <si>
    <t>XT9075M:11</t>
  </si>
  <si>
    <t>AF0141:24</t>
  </si>
  <si>
    <t>SV75162</t>
  </si>
  <si>
    <t>XT9075M:17</t>
  </si>
  <si>
    <t>AF0141:26</t>
  </si>
  <si>
    <t>SV76162</t>
  </si>
  <si>
    <t>XT9075M:23</t>
  </si>
  <si>
    <t>AF0141:28</t>
  </si>
  <si>
    <t>SV76022</t>
  </si>
  <si>
    <t>XT9074M:70</t>
  </si>
  <si>
    <t>AF0141:30</t>
  </si>
  <si>
    <t>SV76112</t>
  </si>
  <si>
    <t>XT9074M:48</t>
  </si>
  <si>
    <t>AF0141:32</t>
  </si>
  <si>
    <t>KA055011</t>
  </si>
  <si>
    <t>KA0550:11</t>
  </si>
  <si>
    <t>AF0141:36</t>
  </si>
  <si>
    <t>KA055111</t>
  </si>
  <si>
    <t>KA0551:11</t>
  </si>
  <si>
    <t>AF0141:40</t>
  </si>
  <si>
    <t>KA057011</t>
  </si>
  <si>
    <t>KA0570:11</t>
  </si>
  <si>
    <t>AF0141:42</t>
  </si>
  <si>
    <t>KA059011</t>
  </si>
  <si>
    <t>KA0590:11</t>
  </si>
  <si>
    <t>AF0141:COM</t>
  </si>
  <si>
    <t>AF0141:V+</t>
  </si>
  <si>
    <t>FU0141:LD</t>
  </si>
  <si>
    <t>AF0142:00</t>
  </si>
  <si>
    <t>ZT76316</t>
  </si>
  <si>
    <t>XT9074M:37</t>
  </si>
  <si>
    <t>AF0142:01</t>
  </si>
  <si>
    <t>ZT76314</t>
  </si>
  <si>
    <t>XT9074M:35</t>
  </si>
  <si>
    <t>AF0142:02</t>
  </si>
  <si>
    <t>ZT76326</t>
  </si>
  <si>
    <t>XT9074M:86</t>
  </si>
  <si>
    <t>AF0142:03</t>
  </si>
  <si>
    <t>ZT76324</t>
  </si>
  <si>
    <t>XT9074M:84</t>
  </si>
  <si>
    <t>AF0142:04</t>
  </si>
  <si>
    <t>ZSO75142</t>
  </si>
  <si>
    <t>XT9075M:7</t>
  </si>
  <si>
    <t>AF0142:05</t>
  </si>
  <si>
    <t>ZSC76012</t>
  </si>
  <si>
    <t>XT9074M:68</t>
  </si>
  <si>
    <t>AF0142:06</t>
  </si>
  <si>
    <t>ZSO76012</t>
  </si>
  <si>
    <t>XT9074M:66</t>
  </si>
  <si>
    <t>AF0142:07</t>
  </si>
  <si>
    <t>ZSC76112</t>
  </si>
  <si>
    <t>XT9074M:52</t>
  </si>
  <si>
    <t>AF0142:08</t>
  </si>
  <si>
    <t>ZSO76112</t>
  </si>
  <si>
    <t>XT9074M:50</t>
  </si>
  <si>
    <t>AF0142:09</t>
  </si>
  <si>
    <t>ZSO76212</t>
  </si>
  <si>
    <t>XT9074M:56</t>
  </si>
  <si>
    <t>AF0142:10</t>
  </si>
  <si>
    <t>ZSC75142</t>
  </si>
  <si>
    <t>XT9075M:9</t>
  </si>
  <si>
    <t>AF0142:11</t>
  </si>
  <si>
    <t>ZSO76142</t>
  </si>
  <si>
    <t>XT9075M:13</t>
  </si>
  <si>
    <t>AF0142:12</t>
  </si>
  <si>
    <t>ZSO76412</t>
  </si>
  <si>
    <t>XT9074M:62</t>
  </si>
  <si>
    <t>AF0142:13</t>
  </si>
  <si>
    <t>ZT76336</t>
  </si>
  <si>
    <t>XT9074M:24</t>
  </si>
  <si>
    <t>AF0142:14</t>
  </si>
  <si>
    <t>ZT76334</t>
  </si>
  <si>
    <t>XT9074M:22</t>
  </si>
  <si>
    <t>AF0142:15</t>
  </si>
  <si>
    <t>ZSC76142</t>
  </si>
  <si>
    <t>XT9075M:15</t>
  </si>
  <si>
    <t>AF0142:23</t>
  </si>
  <si>
    <t>KT0571:A2</t>
  </si>
  <si>
    <t>AF0142:26</t>
  </si>
  <si>
    <t>KT7514:A2</t>
  </si>
  <si>
    <t>AF0142:31</t>
  </si>
  <si>
    <t>KT7614:A2</t>
  </si>
  <si>
    <t>AF0142:32</t>
  </si>
  <si>
    <t>ZT76315</t>
  </si>
  <si>
    <t>XT9074M:36</t>
  </si>
  <si>
    <t>AF0142:33</t>
  </si>
  <si>
    <t>ZT76313</t>
  </si>
  <si>
    <t>XT9074M:34</t>
  </si>
  <si>
    <t>AF0142:34</t>
  </si>
  <si>
    <t>ZT76325</t>
  </si>
  <si>
    <t>XT9074M:85</t>
  </si>
  <si>
    <t>AF0142:35</t>
  </si>
  <si>
    <t>ZT76323</t>
  </si>
  <si>
    <t>XT9074M:83</t>
  </si>
  <si>
    <t>AF0142:36</t>
  </si>
  <si>
    <t>ZSO75141</t>
  </si>
  <si>
    <t>XT9075M:6</t>
  </si>
  <si>
    <t>AF0142:37</t>
  </si>
  <si>
    <t>ZSC76011</t>
  </si>
  <si>
    <t>XT9074M:67</t>
  </si>
  <si>
    <t>AF0142:38</t>
  </si>
  <si>
    <t>ZSO76011</t>
  </si>
  <si>
    <t>XT9074M:65</t>
  </si>
  <si>
    <t>AF0142:39</t>
  </si>
  <si>
    <t>ZSC76111</t>
  </si>
  <si>
    <t>XT9074M:51</t>
  </si>
  <si>
    <t>AF0142:40</t>
  </si>
  <si>
    <t>ZSO76111</t>
  </si>
  <si>
    <t>XT9074M:49</t>
  </si>
  <si>
    <t>AF0142:41</t>
  </si>
  <si>
    <t>ZSO76211</t>
  </si>
  <si>
    <t>XT9074M:55</t>
  </si>
  <si>
    <t>AF0142:42</t>
  </si>
  <si>
    <t>ZSC75141</t>
  </si>
  <si>
    <t>XT9075M:8</t>
  </si>
  <si>
    <t>AF0142:43</t>
  </si>
  <si>
    <t>ZSO76141</t>
  </si>
  <si>
    <t>XT9075M:12</t>
  </si>
  <si>
    <t>AF0142:44</t>
  </si>
  <si>
    <t>ZSO76411</t>
  </si>
  <si>
    <t>XT9074M:61</t>
  </si>
  <si>
    <t>AF0142:45</t>
  </si>
  <si>
    <t>ZT76335</t>
  </si>
  <si>
    <t>XT9074M:23</t>
  </si>
  <si>
    <t>AF0142:46</t>
  </si>
  <si>
    <t>ZT76333</t>
  </si>
  <si>
    <t>XT9074M:21</t>
  </si>
  <si>
    <t>AF0142:47</t>
  </si>
  <si>
    <t>ZSC76141</t>
  </si>
  <si>
    <t>XT9075M:14</t>
  </si>
  <si>
    <t>AF0142:COM</t>
  </si>
  <si>
    <t>AU0140N</t>
  </si>
  <si>
    <t>AU0140:COM</t>
  </si>
  <si>
    <t>AF0142:V+</t>
  </si>
  <si>
    <t>AU0140P</t>
  </si>
  <si>
    <t>AU0140:V+</t>
  </si>
  <si>
    <t>AF0146:00</t>
  </si>
  <si>
    <t>KA0533:14</t>
  </si>
  <si>
    <t>AF0146:02</t>
  </si>
  <si>
    <t>SV76311</t>
  </si>
  <si>
    <t>XT9074M:38</t>
  </si>
  <si>
    <t>AF0146:04</t>
  </si>
  <si>
    <t>KA053811</t>
  </si>
  <si>
    <t>KA0538:11</t>
  </si>
  <si>
    <t>AF0146:06</t>
  </si>
  <si>
    <t>SV76321</t>
  </si>
  <si>
    <t>XT9074M:87</t>
  </si>
  <si>
    <t>AF0146:08</t>
  </si>
  <si>
    <t>KA053821</t>
  </si>
  <si>
    <t>KA0538:21</t>
  </si>
  <si>
    <t>AF0146:10</t>
  </si>
  <si>
    <t>SV76331</t>
  </si>
  <si>
    <t>XT9074M:25</t>
  </si>
  <si>
    <t>AF0146:12</t>
  </si>
  <si>
    <t>KA0537:14</t>
  </si>
  <si>
    <t>AF0146:14</t>
  </si>
  <si>
    <t>KA057411</t>
  </si>
  <si>
    <t>KA0574:11</t>
  </si>
  <si>
    <t>AF0146:16</t>
  </si>
  <si>
    <t>SV75812</t>
  </si>
  <si>
    <t>XT9074M:78</t>
  </si>
  <si>
    <t>AF0146:18</t>
  </si>
  <si>
    <t>SV76312</t>
  </si>
  <si>
    <t>XT9074M:39</t>
  </si>
  <si>
    <t>AF0146:20</t>
  </si>
  <si>
    <t>SV75362</t>
  </si>
  <si>
    <t>XT9075M:29</t>
  </si>
  <si>
    <t>AF0146:22</t>
  </si>
  <si>
    <t>SV76322</t>
  </si>
  <si>
    <t>XT9074M:88</t>
  </si>
  <si>
    <t>AF0146:24</t>
  </si>
  <si>
    <t>SV76362</t>
  </si>
  <si>
    <t>XT9075M:35</t>
  </si>
  <si>
    <t>AF0146:26</t>
  </si>
  <si>
    <t>SV76332</t>
  </si>
  <si>
    <t>XT9074M:26</t>
  </si>
  <si>
    <t>AF0146:28</t>
  </si>
  <si>
    <t>SV75652</t>
  </si>
  <si>
    <t>XT9074M:72</t>
  </si>
  <si>
    <t>AF0146:30</t>
  </si>
  <si>
    <t>SV75062</t>
  </si>
  <si>
    <t>XT9075M:45</t>
  </si>
  <si>
    <t>AF0146:36</t>
  </si>
  <si>
    <t>KA057111</t>
  </si>
  <si>
    <t>KA0571:11</t>
  </si>
  <si>
    <t>AF0146:40</t>
  </si>
  <si>
    <t>KA059111</t>
  </si>
  <si>
    <t>KA0591:11</t>
  </si>
  <si>
    <t>AF0146:COM</t>
  </si>
  <si>
    <t>AF0147:00</t>
  </si>
  <si>
    <t>ZSO75162</t>
  </si>
  <si>
    <t>XT9075M:19</t>
  </si>
  <si>
    <t>AF0147:01</t>
  </si>
  <si>
    <t>ZSO76162</t>
  </si>
  <si>
    <t>XT9075M:25</t>
  </si>
  <si>
    <t>AF0147:02</t>
  </si>
  <si>
    <t>SVO75362</t>
  </si>
  <si>
    <t>XT9075M:31</t>
  </si>
  <si>
    <t>AF0147:03</t>
  </si>
  <si>
    <t>ZSO76362</t>
  </si>
  <si>
    <t>XT9075M:37</t>
  </si>
  <si>
    <t>AF0147:04</t>
  </si>
  <si>
    <t>ZSO75062</t>
  </si>
  <si>
    <t>XT9075M:41</t>
  </si>
  <si>
    <t>AF0147:05</t>
  </si>
  <si>
    <t>ZSC75062</t>
  </si>
  <si>
    <t>XT9075M:43</t>
  </si>
  <si>
    <t>AF0147:06</t>
  </si>
  <si>
    <t>ZSO76062</t>
  </si>
  <si>
    <t>XT9075M:47</t>
  </si>
  <si>
    <t>AF0147:07</t>
  </si>
  <si>
    <t>ZSC76062</t>
  </si>
  <si>
    <t>XT9075M:49</t>
  </si>
  <si>
    <t>AF0147:08</t>
  </si>
  <si>
    <t>ZSO76812</t>
  </si>
  <si>
    <t>XT9075M:55</t>
  </si>
  <si>
    <t>AF0147:09</t>
  </si>
  <si>
    <t>ZSC76812</t>
  </si>
  <si>
    <t>XT9075M:57</t>
  </si>
  <si>
    <t>AF0147:10</t>
  </si>
  <si>
    <t>ZSO75822</t>
  </si>
  <si>
    <t>XT9075M:88</t>
  </si>
  <si>
    <t>AF0147:11</t>
  </si>
  <si>
    <t>ZSC75822</t>
  </si>
  <si>
    <t>XT9075M:90</t>
  </si>
  <si>
    <t>AF0147:12</t>
  </si>
  <si>
    <t>ZSO76822</t>
  </si>
  <si>
    <t>XT9075M:94</t>
  </si>
  <si>
    <t>AF0147:13</t>
  </si>
  <si>
    <t>ZSC76822</t>
  </si>
  <si>
    <t>XT9075M:96</t>
  </si>
  <si>
    <t>AF0147:14</t>
  </si>
  <si>
    <t>ZSO74822</t>
  </si>
  <si>
    <t>XT9075M:100</t>
  </si>
  <si>
    <t>AF0147:15</t>
  </si>
  <si>
    <t>ZSC74822</t>
  </si>
  <si>
    <t>XT9075M:102</t>
  </si>
  <si>
    <t>AF0147:32</t>
  </si>
  <si>
    <t>ZSO75161</t>
  </si>
  <si>
    <t>XT9075M:18</t>
  </si>
  <si>
    <t>AF0147:33</t>
  </si>
  <si>
    <t>ZSO76161</t>
  </si>
  <si>
    <t>XT9075M:24</t>
  </si>
  <si>
    <t>AF0147:34</t>
  </si>
  <si>
    <t>ZSO75361</t>
  </si>
  <si>
    <t>XT9075M:30</t>
  </si>
  <si>
    <t>AF0147:35</t>
  </si>
  <si>
    <t>ZSO76361</t>
  </si>
  <si>
    <t>XT9075M:36</t>
  </si>
  <si>
    <t>AF0147:36</t>
  </si>
  <si>
    <t>ZSO75061</t>
  </si>
  <si>
    <t>XT9075M:40</t>
  </si>
  <si>
    <t>AF0147:37</t>
  </si>
  <si>
    <t>ZSC75061</t>
  </si>
  <si>
    <t>XT9075M:42</t>
  </si>
  <si>
    <t>AF0147:38</t>
  </si>
  <si>
    <t>ZSO76061</t>
  </si>
  <si>
    <t>XT9075M:46</t>
  </si>
  <si>
    <t>AF0147:39</t>
  </si>
  <si>
    <t>ZSC76061</t>
  </si>
  <si>
    <t>XT9075M:48</t>
  </si>
  <si>
    <t>AF0147:40</t>
  </si>
  <si>
    <t>ZSO76811</t>
  </si>
  <si>
    <t>XT9075M:54</t>
  </si>
  <si>
    <t>AF0147:41</t>
  </si>
  <si>
    <t>ZSC76811</t>
  </si>
  <si>
    <t>XT9075M:56</t>
  </si>
  <si>
    <t>AF0147:42</t>
  </si>
  <si>
    <t>ZSO75821</t>
  </si>
  <si>
    <t>XT9075M:87</t>
  </si>
  <si>
    <t>AF0147:43</t>
  </si>
  <si>
    <t>ZSC75821</t>
  </si>
  <si>
    <t>XT9075M:89</t>
  </si>
  <si>
    <t>AF0147:44</t>
  </si>
  <si>
    <t>ZSO76821</t>
  </si>
  <si>
    <t>XT9075M:93</t>
  </si>
  <si>
    <t>AF0147:45</t>
  </si>
  <si>
    <t>ZSC76821</t>
  </si>
  <si>
    <t>XT9075M:95</t>
  </si>
  <si>
    <t>AF0147:46</t>
  </si>
  <si>
    <t>ZSO74821</t>
  </si>
  <si>
    <t>XT9075M:99</t>
  </si>
  <si>
    <t>AF0147:47</t>
  </si>
  <si>
    <t>ZSC74821</t>
  </si>
  <si>
    <t>XT9075M:101</t>
  </si>
  <si>
    <t>AF0148:00</t>
  </si>
  <si>
    <t>ZSO76832</t>
  </si>
  <si>
    <t>XT9075M:106</t>
  </si>
  <si>
    <t>AF0148:01</t>
  </si>
  <si>
    <t>ZSC76832</t>
  </si>
  <si>
    <t>XT9075M:108</t>
  </si>
  <si>
    <t>AF0148:32</t>
  </si>
  <si>
    <t>ZSO76831</t>
  </si>
  <si>
    <t>XT9075M:105</t>
  </si>
  <si>
    <t>AF0148:33</t>
  </si>
  <si>
    <t>ZSC76831</t>
  </si>
  <si>
    <t>XT9075M:107</t>
  </si>
  <si>
    <t>AF0181:00</t>
  </si>
  <si>
    <t>KA059411</t>
  </si>
  <si>
    <t>KA0594:11</t>
  </si>
  <si>
    <t>AF0181:02</t>
  </si>
  <si>
    <t>KA0539:14</t>
  </si>
  <si>
    <t>AF0181:06</t>
  </si>
  <si>
    <t>SV75421</t>
  </si>
  <si>
    <t>XT9075M:62</t>
  </si>
  <si>
    <t>AF0181:08</t>
  </si>
  <si>
    <t>SV75431</t>
  </si>
  <si>
    <t>XT9075M:71</t>
  </si>
  <si>
    <t>AF0181:10</t>
  </si>
  <si>
    <t>SV75411</t>
  </si>
  <si>
    <t>XT9075M:80</t>
  </si>
  <si>
    <t>AF0181:16</t>
  </si>
  <si>
    <t>SV76062</t>
  </si>
  <si>
    <t>XT9075M:51</t>
  </si>
  <si>
    <t>AF0181:18</t>
  </si>
  <si>
    <t>SV76812</t>
  </si>
  <si>
    <t>XT9075M:53</t>
  </si>
  <si>
    <t>AF0181:22</t>
  </si>
  <si>
    <t>SV75422</t>
  </si>
  <si>
    <t>XT9075M:63</t>
  </si>
  <si>
    <t>AF0181:24</t>
  </si>
  <si>
    <t>SV75432</t>
  </si>
  <si>
    <t>XT9075M:72</t>
  </si>
  <si>
    <t>AF0181:26</t>
  </si>
  <si>
    <t>SV75412</t>
  </si>
  <si>
    <t>XT9075M:81</t>
  </si>
  <si>
    <t>AF0181:COM</t>
  </si>
  <si>
    <t>AF0181:V+</t>
  </si>
  <si>
    <t>FU0181:LD</t>
  </si>
  <si>
    <t>AF0182:00</t>
  </si>
  <si>
    <t>SB75102</t>
  </si>
  <si>
    <t>XT9074M:3</t>
  </si>
  <si>
    <t>AF0182:01</t>
  </si>
  <si>
    <t>SB75112</t>
  </si>
  <si>
    <t>XT9074M:5</t>
  </si>
  <si>
    <t>AF0182:02</t>
  </si>
  <si>
    <t>KA959914</t>
  </si>
  <si>
    <t>KA9599:14</t>
  </si>
  <si>
    <t>AF0182:03</t>
  </si>
  <si>
    <t>SB75132</t>
  </si>
  <si>
    <t>XT9074M:7</t>
  </si>
  <si>
    <t>AF0182:04</t>
  </si>
  <si>
    <t>ZSC75812</t>
  </si>
  <si>
    <t>XT9074M:82</t>
  </si>
  <si>
    <t>AF0182:05</t>
  </si>
  <si>
    <t>ZSO75812</t>
  </si>
  <si>
    <t>XT9074M:80</t>
  </si>
  <si>
    <t>AF0182:06</t>
  </si>
  <si>
    <t>ZT75424</t>
  </si>
  <si>
    <t>XT9075M:59</t>
  </si>
  <si>
    <t>AF0182:07</t>
  </si>
  <si>
    <t>ZT75434</t>
  </si>
  <si>
    <t>XT9075M:68</t>
  </si>
  <si>
    <t>AF0182:08</t>
  </si>
  <si>
    <t>ZT75436</t>
  </si>
  <si>
    <t>XT9075M:70</t>
  </si>
  <si>
    <t>AF0182:09</t>
  </si>
  <si>
    <t>ZSC75652</t>
  </si>
  <si>
    <t>XT9074M:76</t>
  </si>
  <si>
    <t>AF0182:10</t>
  </si>
  <si>
    <t>ZSO75652</t>
  </si>
  <si>
    <t>XT9074M:74</t>
  </si>
  <si>
    <t>AF0182:11</t>
  </si>
  <si>
    <t>ZT75414</t>
  </si>
  <si>
    <t>XT9075M:77</t>
  </si>
  <si>
    <t>AF0182:12</t>
  </si>
  <si>
    <t>ZT75416</t>
  </si>
  <si>
    <t>XT9075M:79</t>
  </si>
  <si>
    <t>AF0182:13</t>
  </si>
  <si>
    <t>ZT75426</t>
  </si>
  <si>
    <t>XT9075M:61</t>
  </si>
  <si>
    <t>AF0182:32</t>
  </si>
  <si>
    <t>SB75101</t>
  </si>
  <si>
    <t>XT9074M:2</t>
  </si>
  <si>
    <t>AF0182:33</t>
  </si>
  <si>
    <t>SB75111</t>
  </si>
  <si>
    <t>XT9074M:4</t>
  </si>
  <si>
    <t>AF0182:34</t>
  </si>
  <si>
    <t>KA959911</t>
  </si>
  <si>
    <t>KA9599:11</t>
  </si>
  <si>
    <t>AF0182:35</t>
  </si>
  <si>
    <t>SB75131</t>
  </si>
  <si>
    <t>XT9074M:6</t>
  </si>
  <si>
    <t>AF0182:36</t>
  </si>
  <si>
    <t>ZSC75811</t>
  </si>
  <si>
    <t>XT9074M:81</t>
  </si>
  <si>
    <t>AF0182:37</t>
  </si>
  <si>
    <t>ZSO75811</t>
  </si>
  <si>
    <t>XT9074M:79</t>
  </si>
  <si>
    <t>AF0182:38</t>
  </si>
  <si>
    <t>ZT75423</t>
  </si>
  <si>
    <t>XT9075M:58</t>
  </si>
  <si>
    <t>AF0182:39</t>
  </si>
  <si>
    <t>ZT75433</t>
  </si>
  <si>
    <t>XT9075M:67</t>
  </si>
  <si>
    <t>AF0182:40</t>
  </si>
  <si>
    <t>ZT75435</t>
  </si>
  <si>
    <t>XT9075M:69</t>
  </si>
  <si>
    <t>AF0182:41</t>
  </si>
  <si>
    <t>ZSC75651</t>
  </si>
  <si>
    <t>XT9074M:75</t>
  </si>
  <si>
    <t>AF0182:42</t>
  </si>
  <si>
    <t>ZSO75651</t>
  </si>
  <si>
    <t>XT9074M:73</t>
  </si>
  <si>
    <t>AF0182:43</t>
  </si>
  <si>
    <t>ZT75413</t>
  </si>
  <si>
    <t>XT9075M:76</t>
  </si>
  <si>
    <t>AF0182:44</t>
  </si>
  <si>
    <t>ZT75415</t>
  </si>
  <si>
    <t>XT9075M:78</t>
  </si>
  <si>
    <t>AF0182:45</t>
  </si>
  <si>
    <t>ZT75425</t>
  </si>
  <si>
    <t>XT9075M:60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</si>
  <si>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</si>
  <si>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</si>
  <si>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</si>
  <si>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</si>
  <si>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</si>
  <si>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</si>
  <si>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</si>
  <si>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</si>
  <si>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AF0183:00</t>
  </si>
  <si>
    <t>ZSC75162</t>
  </si>
  <si>
    <t>XT9075M:21</t>
  </si>
  <si>
    <t>AF0183:01</t>
  </si>
  <si>
    <t>ZSC76162</t>
  </si>
  <si>
    <t>XT9075M:27</t>
  </si>
  <si>
    <t>AF0183:02</t>
  </si>
  <si>
    <t>ZSC75362</t>
  </si>
  <si>
    <t>XT9075M:33</t>
  </si>
  <si>
    <t>AF0183:03</t>
  </si>
  <si>
    <t>ZSC76362</t>
  </si>
  <si>
    <t>XT9075M:39</t>
  </si>
  <si>
    <t>AF0183:04</t>
  </si>
  <si>
    <t>ZSC76212</t>
  </si>
  <si>
    <t>XT9074M:58</t>
  </si>
  <si>
    <t>AF0183:05</t>
  </si>
  <si>
    <t>ZSC76412</t>
  </si>
  <si>
    <t>XT9074M:64</t>
  </si>
  <si>
    <t>AF0183:16</t>
  </si>
  <si>
    <t>KT7516A2</t>
  </si>
  <si>
    <t>KT7516:A2</t>
  </si>
  <si>
    <t>AF0183:17</t>
  </si>
  <si>
    <t>KT7616A2</t>
  </si>
  <si>
    <t>KT7616:A2</t>
  </si>
  <si>
    <t>AF0183:18</t>
  </si>
  <si>
    <t>KT7536A2</t>
  </si>
  <si>
    <t>KT7536:A2</t>
  </si>
  <si>
    <t>AF0183:19</t>
  </si>
  <si>
    <t>KT7636A2</t>
  </si>
  <si>
    <t>KT7636:A2</t>
  </si>
  <si>
    <t>AF0183:20</t>
  </si>
  <si>
    <t>KT0572A2</t>
  </si>
  <si>
    <t>KT0572:A2</t>
  </si>
  <si>
    <t>AF0183:21</t>
  </si>
  <si>
    <t>KT0573A2</t>
  </si>
  <si>
    <t>KT0573:A2</t>
  </si>
  <si>
    <t>AF0183:32</t>
  </si>
  <si>
    <t>ZSC75161</t>
  </si>
  <si>
    <t>XT9075M:20</t>
  </si>
  <si>
    <t>AF0183:33</t>
  </si>
  <si>
    <t>ZSC76161</t>
  </si>
  <si>
    <t>XT9075M:26</t>
  </si>
  <si>
    <t>AF0183:34</t>
  </si>
  <si>
    <t>ZSC75361</t>
  </si>
  <si>
    <t>XT9075M:32</t>
  </si>
  <si>
    <t>AF0183:35</t>
  </si>
  <si>
    <t>ZSC76361</t>
  </si>
  <si>
    <t>XT9075M:38</t>
  </si>
  <si>
    <t>AF0183:36</t>
  </si>
  <si>
    <t>ZSC76211</t>
  </si>
  <si>
    <t>XT9074M:57</t>
  </si>
  <si>
    <t>AF0183:37</t>
  </si>
  <si>
    <t>ZSC76411</t>
  </si>
  <si>
    <t>XT9074M:63</t>
  </si>
  <si>
    <t>AF0183N</t>
  </si>
  <si>
    <t>AF0185:COM</t>
  </si>
  <si>
    <t>AF0183P</t>
  </si>
  <si>
    <t>AF0185:V+</t>
  </si>
  <si>
    <t>AF0184:00</t>
  </si>
  <si>
    <t>KA0550A1</t>
  </si>
  <si>
    <t>KA0550:A1</t>
  </si>
  <si>
    <t>AF0184:01</t>
  </si>
  <si>
    <t>KA0570A1</t>
  </si>
  <si>
    <t>KA0570:A1</t>
  </si>
  <si>
    <t>AF0184:02</t>
  </si>
  <si>
    <t>KA0551A1</t>
  </si>
  <si>
    <t>KA0551:A1</t>
  </si>
  <si>
    <t>AF0184:03</t>
  </si>
  <si>
    <t>KA0590A1</t>
  </si>
  <si>
    <t>KA0590:A1</t>
  </si>
  <si>
    <t>AF0184:04</t>
  </si>
  <si>
    <t>KA0571A1</t>
  </si>
  <si>
    <t>KA0571:A1</t>
  </si>
  <si>
    <t>AF0184:05</t>
  </si>
  <si>
    <t>KA0554A1</t>
  </si>
  <si>
    <t>KA0554:A1</t>
  </si>
  <si>
    <t>AF0184:06</t>
  </si>
  <si>
    <t>KA0591A1</t>
  </si>
  <si>
    <t>KA0591:A1</t>
  </si>
  <si>
    <t>AF0184:07</t>
  </si>
  <si>
    <t>KA0574A2</t>
  </si>
  <si>
    <t>KA0574:A1</t>
  </si>
  <si>
    <t>AF0184:08</t>
  </si>
  <si>
    <t>KA0594A2</t>
  </si>
  <si>
    <t>KA0594:A1</t>
  </si>
  <si>
    <t>AF0184:16</t>
  </si>
  <si>
    <t>KA0550A2</t>
  </si>
  <si>
    <t>KA0550:A2</t>
  </si>
  <si>
    <t>AF0184:17</t>
  </si>
  <si>
    <t>KA0570A2</t>
  </si>
  <si>
    <t>KA0570:A2</t>
  </si>
  <si>
    <t>AF0184:18</t>
  </si>
  <si>
    <t>KA0551A2</t>
  </si>
  <si>
    <t>KA0551:A2</t>
  </si>
  <si>
    <t>AF0184:19</t>
  </si>
  <si>
    <t>KA0590A2</t>
  </si>
  <si>
    <t>KA0590:A2</t>
  </si>
  <si>
    <t>AF0184:20</t>
  </si>
  <si>
    <t>KA0571A2</t>
  </si>
  <si>
    <t>KA0571:A2</t>
  </si>
  <si>
    <t>AF0184:21</t>
  </si>
  <si>
    <t>KA0554A2</t>
  </si>
  <si>
    <t>KA0554:A2</t>
  </si>
  <si>
    <t>AF0184:22</t>
  </si>
  <si>
    <t>KA0591A2</t>
  </si>
  <si>
    <t>KA0591:A2</t>
  </si>
  <si>
    <t>AF0184:23</t>
  </si>
  <si>
    <t>KA0574A1</t>
  </si>
  <si>
    <t>KA0574:A2</t>
  </si>
  <si>
    <t>AF0184:24</t>
  </si>
  <si>
    <t>KA0594A1</t>
  </si>
  <si>
    <t>KA0594:A2</t>
  </si>
  <si>
    <t>AF0184:COM</t>
  </si>
  <si>
    <t>AF0184:V+</t>
  </si>
  <si>
    <t>FU0184:LD</t>
  </si>
  <si>
    <t>AF0186:COM</t>
  </si>
  <si>
    <t>AF0186:V+</t>
  </si>
  <si>
    <t>AF0186N</t>
  </si>
  <si>
    <t>AF0188:COM</t>
  </si>
  <si>
    <t>AF0186P</t>
  </si>
  <si>
    <t>AF0188:V+</t>
  </si>
  <si>
    <t>AF0187:00</t>
  </si>
  <si>
    <t>KA0539:24</t>
  </si>
  <si>
    <t>AF0187:02</t>
  </si>
  <si>
    <t>KA0631:14</t>
  </si>
  <si>
    <t>AF0187:04</t>
  </si>
  <si>
    <t>KA0631:24</t>
  </si>
  <si>
    <t>AF0187:06</t>
  </si>
  <si>
    <t>KA0632:24</t>
  </si>
  <si>
    <t>AF0187:16</t>
  </si>
  <si>
    <t>SV75822</t>
  </si>
  <si>
    <t>XT9075M:86</t>
  </si>
  <si>
    <t>AF0187:18</t>
  </si>
  <si>
    <t>SV76822</t>
  </si>
  <si>
    <t>XT9075M:92</t>
  </si>
  <si>
    <t>AF0187:20</t>
  </si>
  <si>
    <t>SV74822</t>
  </si>
  <si>
    <t>XT9075M:98</t>
  </si>
  <si>
    <t>AF0187:22</t>
  </si>
  <si>
    <t>SV76832</t>
  </si>
  <si>
    <t>XT9075M:104</t>
  </si>
  <si>
    <t>AF0187:COM</t>
  </si>
  <si>
    <t>AF0187:V+</t>
  </si>
  <si>
    <t>FU0187:LD</t>
  </si>
  <si>
    <t>AP0293:-</t>
  </si>
  <si>
    <t>AP0293:+</t>
  </si>
  <si>
    <t>FU2901:LD</t>
  </si>
  <si>
    <t>FU0140:LD</t>
  </si>
  <si>
    <t>FU0180:LD</t>
  </si>
  <si>
    <t>BA0007:V1(-)</t>
  </si>
  <si>
    <t>XT0004:2</t>
  </si>
  <si>
    <t>BA0007:V1(+)</t>
  </si>
  <si>
    <t>FU0007:LD</t>
  </si>
  <si>
    <t>BA0008:V1(-)</t>
  </si>
  <si>
    <t>XT0004:4</t>
  </si>
  <si>
    <t>BA0008:V1(+)</t>
  </si>
  <si>
    <t>FU0008:LD</t>
  </si>
  <si>
    <t>BA1212:NEG</t>
  </si>
  <si>
    <t>BA1212:POS</t>
  </si>
  <si>
    <t>FU1212LD</t>
  </si>
  <si>
    <t>FU1212:LD</t>
  </si>
  <si>
    <t>FU0007:LI</t>
  </si>
  <si>
    <t>XT0004:1</t>
  </si>
  <si>
    <t>FU0008:LI</t>
  </si>
  <si>
    <t>XT0004:3</t>
  </si>
  <si>
    <t>FU0140:LI</t>
  </si>
  <si>
    <t>FU0570:LD</t>
  </si>
  <si>
    <t>FU0141:LI</t>
  </si>
  <si>
    <t>FU0142:LI</t>
  </si>
  <si>
    <t>FU0142:LD</t>
  </si>
  <si>
    <t>AF0146:V+</t>
  </si>
  <si>
    <t>XT0140:7</t>
  </si>
  <si>
    <t>FU0180:LI</t>
  </si>
  <si>
    <t>FU0181:LI</t>
  </si>
  <si>
    <t>FU0184:LI</t>
  </si>
  <si>
    <t>FU0570:LI</t>
  </si>
  <si>
    <t>XT0140:1</t>
  </si>
  <si>
    <t>FU1212:LI</t>
  </si>
  <si>
    <t>FU2901:LI</t>
  </si>
  <si>
    <t>KA0531:14</t>
  </si>
  <si>
    <t>SV76111</t>
  </si>
  <si>
    <t>XT9074M:47</t>
  </si>
  <si>
    <t>KA0531:24</t>
  </si>
  <si>
    <t>SV75141</t>
  </si>
  <si>
    <t>XT9075M:4</t>
  </si>
  <si>
    <t>KA0531:A1</t>
  </si>
  <si>
    <t>XT0140:6</t>
  </si>
  <si>
    <t>KA0531:A2</t>
  </si>
  <si>
    <t>KA1530:A2</t>
  </si>
  <si>
    <t>KA0532:14</t>
  </si>
  <si>
    <t>KA053214</t>
  </si>
  <si>
    <t>KA0540:A1</t>
  </si>
  <si>
    <t>KA0532:24</t>
  </si>
  <si>
    <t>KA053224</t>
  </si>
  <si>
    <t>KA0541:A1</t>
  </si>
  <si>
    <t>KA0533:11</t>
  </si>
  <si>
    <t>SV75811</t>
  </si>
  <si>
    <t>XT9074M:77</t>
  </si>
  <si>
    <t>KA0533:21</t>
  </si>
  <si>
    <t>KA0534:14</t>
  </si>
  <si>
    <t>SV76141</t>
  </si>
  <si>
    <t>XT9075M:10</t>
  </si>
  <si>
    <t>KA0534:24</t>
  </si>
  <si>
    <t>KA053424</t>
  </si>
  <si>
    <t>KA0580:A1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</si>
  <si>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</si>
  <si>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</si>
  <si>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</si>
  <si>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</si>
  <si>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</si>
  <si>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</si>
  <si>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</si>
  <si>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</si>
  <si>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KA0535:21</t>
  </si>
  <si>
    <t>KA057414</t>
  </si>
  <si>
    <t>KA0574:14</t>
  </si>
  <si>
    <t>KA0535:24</t>
  </si>
  <si>
    <t>KA053524</t>
  </si>
  <si>
    <t>XT0574:1 B2</t>
  </si>
  <si>
    <t>KA0535:A1</t>
  </si>
  <si>
    <t>KA0536:A1</t>
  </si>
  <si>
    <t>XT0140:5</t>
  </si>
  <si>
    <t>KA0535:A2</t>
  </si>
  <si>
    <t>KA0536:A2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</si>
  <si>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</si>
  <si>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</si>
  <si>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</si>
  <si>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</si>
  <si>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</si>
  <si>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</si>
  <si>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</si>
  <si>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KA053621</t>
  </si>
  <si>
    <t>XT0574:2 B1</t>
  </si>
  <si>
    <t>KA0536:22</t>
  </si>
  <si>
    <t>KA053622</t>
  </si>
  <si>
    <t>XT0574:1 T1</t>
  </si>
  <si>
    <t>KA1530:A1</t>
  </si>
  <si>
    <t>KA0537:11</t>
  </si>
  <si>
    <t>SV75651</t>
  </si>
  <si>
    <t>XT9074M:71</t>
  </si>
  <si>
    <t>KA0537:24</t>
  </si>
  <si>
    <t>KA053724</t>
  </si>
  <si>
    <t>KA0560:A1</t>
  </si>
  <si>
    <t>KA0538:A1</t>
  </si>
  <si>
    <t>KA0538:A2</t>
  </si>
  <si>
    <t>KA0538:14</t>
  </si>
  <si>
    <t>KA053814</t>
  </si>
  <si>
    <t>KA0561:A1</t>
  </si>
  <si>
    <t>KA0538:24</t>
  </si>
  <si>
    <t>KA053824</t>
  </si>
  <si>
    <t>KA0581:A1</t>
  </si>
  <si>
    <t>KA0539:A1</t>
  </si>
  <si>
    <t>KA0539:A2</t>
  </si>
  <si>
    <t>KA0539:11</t>
  </si>
  <si>
    <t>SV76811</t>
  </si>
  <si>
    <t>XT9075M:52</t>
  </si>
  <si>
    <t>KA0539:21</t>
  </si>
  <si>
    <t>SV75821</t>
  </si>
  <si>
    <t>XT9075M:85</t>
  </si>
  <si>
    <t>KA0631:A1</t>
  </si>
  <si>
    <t>KA0631:A2</t>
  </si>
  <si>
    <t>KA0540:11</t>
  </si>
  <si>
    <t>KA054011</t>
  </si>
  <si>
    <t>KA0550:14</t>
  </si>
  <si>
    <t>KA0540:14</t>
  </si>
  <si>
    <t>SV76211</t>
  </si>
  <si>
    <t>XT9074M:53</t>
  </si>
  <si>
    <t>KA0540:A2</t>
  </si>
  <si>
    <t>KA0541:11</t>
  </si>
  <si>
    <t>KA054111</t>
  </si>
  <si>
    <t>KA0551:14</t>
  </si>
  <si>
    <t>KA0541:14</t>
  </si>
  <si>
    <t>SV76411</t>
  </si>
  <si>
    <t>XT9074M:59</t>
  </si>
  <si>
    <t>KA0541:A2</t>
  </si>
  <si>
    <t>KA0560:11</t>
  </si>
  <si>
    <t>KA056011</t>
  </si>
  <si>
    <t>KA0570:14</t>
  </si>
  <si>
    <t>KA0560:14</t>
  </si>
  <si>
    <t>SV75161</t>
  </si>
  <si>
    <t>XT9075M:16</t>
  </si>
  <si>
    <t>KA0560:A2</t>
  </si>
  <si>
    <t>KA0561:11</t>
  </si>
  <si>
    <t>KA056111</t>
  </si>
  <si>
    <t>KA0571:14</t>
  </si>
  <si>
    <t>KA0561:14</t>
  </si>
  <si>
    <t>SV75361</t>
  </si>
  <si>
    <t>XT9075M:28</t>
  </si>
  <si>
    <t>KA0561:A2</t>
  </si>
  <si>
    <t>KA0580:11</t>
  </si>
  <si>
    <t>KA058011</t>
  </si>
  <si>
    <t>KA0590:14</t>
  </si>
  <si>
    <t>KA0580:14</t>
  </si>
  <si>
    <t>SV76161</t>
  </si>
  <si>
    <t>XT9075M:22</t>
  </si>
  <si>
    <t>KA0580:A2</t>
  </si>
  <si>
    <t>KA0581:11</t>
  </si>
  <si>
    <t>KA058111</t>
  </si>
  <si>
    <t>KA0591:14</t>
  </si>
  <si>
    <t>KA0581:14</t>
  </si>
  <si>
    <t>SV76361</t>
  </si>
  <si>
    <t>XT9075M:34</t>
  </si>
  <si>
    <t>KA0581:A2</t>
  </si>
  <si>
    <t>KA0594:14</t>
  </si>
  <si>
    <t>KA153011</t>
  </si>
  <si>
    <t>KA1530:11</t>
  </si>
  <si>
    <t>KA0631:11</t>
  </si>
  <si>
    <t>SV76821</t>
  </si>
  <si>
    <t>XT9075M:91</t>
  </si>
  <si>
    <t>KA0631:21</t>
  </si>
  <si>
    <t>SV74821</t>
  </si>
  <si>
    <t>XT9075M:97</t>
  </si>
  <si>
    <t>KA0632:A1</t>
  </si>
  <si>
    <t>KA0632:A2</t>
  </si>
  <si>
    <t>KA0632:21</t>
  </si>
  <si>
    <t>SV76831</t>
  </si>
  <si>
    <t>XT9075M:103</t>
  </si>
  <si>
    <t>KA1530:14</t>
  </si>
  <si>
    <t>KA153014</t>
  </si>
  <si>
    <t>XT0575:1 B2</t>
  </si>
  <si>
    <t>KA1530:21</t>
  </si>
  <si>
    <t>KA153021</t>
  </si>
  <si>
    <t>XT0575:2 B1</t>
  </si>
  <si>
    <t>KA1530:22</t>
  </si>
  <si>
    <t>KA153022</t>
  </si>
  <si>
    <t>XT0575:1 T1</t>
  </si>
  <si>
    <t>KA9599:A1</t>
  </si>
  <si>
    <t>KA9599A1</t>
  </si>
  <si>
    <t>XT9074M:8</t>
  </si>
  <si>
    <t>KA9599:A2</t>
  </si>
  <si>
    <t>KA9599A2</t>
  </si>
  <si>
    <t>XT9074M:1</t>
  </si>
  <si>
    <t>KT0571:A1</t>
  </si>
  <si>
    <t>KT0572:15</t>
  </si>
  <si>
    <t>KA053322</t>
  </si>
  <si>
    <t>KT7636:15</t>
  </si>
  <si>
    <t>KT0573:15</t>
  </si>
  <si>
    <t>KT0572:16</t>
  </si>
  <si>
    <t>KT057216</t>
  </si>
  <si>
    <t>XT0573:2 B2</t>
  </si>
  <si>
    <t>KT0572:A1</t>
  </si>
  <si>
    <t>KA0533:22</t>
  </si>
  <si>
    <t>KT0573:16</t>
  </si>
  <si>
    <t>KT057316</t>
  </si>
  <si>
    <t>XT0573:2 T2</t>
  </si>
  <si>
    <t>KT0573:A1</t>
  </si>
  <si>
    <t>KT7514:A1</t>
  </si>
  <si>
    <t>KT7516:15</t>
  </si>
  <si>
    <t>KT7536:15</t>
  </si>
  <si>
    <t>KT7516:16</t>
  </si>
  <si>
    <t>KT751616</t>
  </si>
  <si>
    <t>XT0574:2 B2</t>
  </si>
  <si>
    <t>KT7516:A1</t>
  </si>
  <si>
    <t>KT7616:15</t>
  </si>
  <si>
    <t>KT7536:16</t>
  </si>
  <si>
    <t>KT753616</t>
  </si>
  <si>
    <t>XT0574:2 T2</t>
  </si>
  <si>
    <t>KT7536:A1</t>
  </si>
  <si>
    <t>KT7614:A1</t>
  </si>
  <si>
    <t>KT7616:16</t>
  </si>
  <si>
    <t>KT761616</t>
  </si>
  <si>
    <t>XT0575:2 B2</t>
  </si>
  <si>
    <t>KT7616:A1</t>
  </si>
  <si>
    <t>KT7636:16</t>
  </si>
  <si>
    <t>KT763616</t>
  </si>
  <si>
    <t>XT0575:2 T2</t>
  </si>
  <si>
    <t>KT7636:A1</t>
  </si>
  <si>
    <t>XT0570:1</t>
  </si>
  <si>
    <t>XT0570:2</t>
  </si>
  <si>
    <t>XT0570:3</t>
  </si>
  <si>
    <t>XT0570:4</t>
  </si>
  <si>
    <t>XT9074M:69</t>
  </si>
  <si>
    <t>SV76021</t>
  </si>
  <si>
    <t>XT0573:1 B1</t>
  </si>
  <si>
    <t>XT9075M:44</t>
  </si>
  <si>
    <t>SV75061</t>
  </si>
  <si>
    <t>XT0574:1 B1</t>
  </si>
  <si>
    <t>XT9075M:50</t>
  </si>
  <si>
    <t>SV76061</t>
  </si>
  <si>
    <t>XT0575:1 B1</t>
  </si>
  <si>
    <t>Length</t>
  </si>
  <si>
    <t>Bundle Name</t>
  </si>
  <si>
    <t>-0V</t>
  </si>
  <si>
    <t>-120100</t>
  </si>
  <si>
    <t>-009410</t>
  </si>
  <si>
    <t>-009624</t>
  </si>
  <si>
    <t>-24V1</t>
  </si>
  <si>
    <t>-120702</t>
  </si>
  <si>
    <t>-120132</t>
  </si>
  <si>
    <t>-120718</t>
  </si>
  <si>
    <t>-0V2</t>
  </si>
  <si>
    <t>-009412</t>
  </si>
  <si>
    <t>-009441</t>
  </si>
  <si>
    <t>-009409</t>
  </si>
  <si>
    <t>-009434</t>
  </si>
  <si>
    <t>-009402</t>
  </si>
  <si>
    <t>-009435</t>
  </si>
  <si>
    <t>-009403</t>
  </si>
  <si>
    <t>-009428</t>
  </si>
  <si>
    <t>-009309</t>
  </si>
  <si>
    <t>-009325</t>
  </si>
  <si>
    <t>-009312</t>
  </si>
  <si>
    <t>-009328</t>
  </si>
  <si>
    <t>-009602</t>
  </si>
  <si>
    <t>-009618</t>
  </si>
  <si>
    <t>-009302</t>
  </si>
  <si>
    <t>-009318</t>
  </si>
  <si>
    <t>-009305</t>
  </si>
  <si>
    <t>-009321</t>
  </si>
  <si>
    <t>-009303</t>
  </si>
  <si>
    <t>-009319</t>
  </si>
  <si>
    <t>-009300</t>
  </si>
  <si>
    <t>-009316</t>
  </si>
  <si>
    <t>-009608</t>
  </si>
  <si>
    <t>-008300</t>
  </si>
  <si>
    <t>-008601</t>
  </si>
  <si>
    <t>-008617</t>
  </si>
  <si>
    <t>-008633</t>
  </si>
  <si>
    <t>-009208</t>
  </si>
  <si>
    <t>-009224</t>
  </si>
  <si>
    <t>-009301</t>
  </si>
  <si>
    <t>-009317</t>
  </si>
  <si>
    <t>-521NEG</t>
  </si>
  <si>
    <t>-008208</t>
  </si>
  <si>
    <t>-008243</t>
  </si>
  <si>
    <t>-009444</t>
  </si>
  <si>
    <t>-009500</t>
  </si>
  <si>
    <t>-009503</t>
  </si>
  <si>
    <t>-009504</t>
  </si>
  <si>
    <t>-009505</t>
  </si>
  <si>
    <t>-009507</t>
  </si>
  <si>
    <t>-009508</t>
  </si>
  <si>
    <t>-009512</t>
  </si>
  <si>
    <t>-009532</t>
  </si>
  <si>
    <t>-009535</t>
  </si>
  <si>
    <t>-009536</t>
  </si>
  <si>
    <t>-009537</t>
  </si>
  <si>
    <t>-009539</t>
  </si>
  <si>
    <t>-009540</t>
  </si>
  <si>
    <t>-009544</t>
  </si>
  <si>
    <t>-014600</t>
  </si>
  <si>
    <t>-014612</t>
  </si>
  <si>
    <t>-018102</t>
  </si>
  <si>
    <t>-018700</t>
  </si>
  <si>
    <t>-018702</t>
  </si>
  <si>
    <t>-018704</t>
  </si>
  <si>
    <t>-018706</t>
  </si>
  <si>
    <t>-014223</t>
  </si>
  <si>
    <t>-014226</t>
  </si>
  <si>
    <t>-014231</t>
  </si>
  <si>
    <t>Panel Name</t>
  </si>
  <si>
    <t>BA</t>
  </si>
  <si>
    <t>AT/FU</t>
  </si>
  <si>
    <t>UV-A</t>
  </si>
  <si>
    <t>BA-B</t>
  </si>
  <si>
    <t>FU/XT-B</t>
  </si>
  <si>
    <t>AF080s</t>
  </si>
  <si>
    <t>AF/AU090s</t>
  </si>
  <si>
    <t>FU</t>
  </si>
  <si>
    <t>XT</t>
  </si>
  <si>
    <t>UJ</t>
  </si>
  <si>
    <t>KA</t>
  </si>
  <si>
    <t>XT-B</t>
  </si>
  <si>
    <t>AF080s-B</t>
  </si>
  <si>
    <t>AF090s-B</t>
  </si>
  <si>
    <t>AP</t>
  </si>
  <si>
    <t>KA-B</t>
  </si>
  <si>
    <t>AP-B</t>
  </si>
  <si>
    <t>FU-B</t>
  </si>
  <si>
    <t>AF/AU</t>
  </si>
  <si>
    <t>MRCA</t>
  </si>
  <si>
    <t>JB73</t>
  </si>
  <si>
    <t>BOP</t>
  </si>
  <si>
    <t>JB74 L RAIL</t>
  </si>
  <si>
    <t>JB74 R RAIL</t>
  </si>
  <si>
    <t>KA A1</t>
  </si>
  <si>
    <t>KA A2</t>
  </si>
  <si>
    <t>KA A1-BOP</t>
  </si>
  <si>
    <t>KA A2-BOP</t>
  </si>
  <si>
    <t>KA-BOP</t>
  </si>
  <si>
    <t>XT-BOP</t>
  </si>
  <si>
    <t>JB70 L RAIL</t>
  </si>
  <si>
    <t>JB70 R RAIL</t>
  </si>
  <si>
    <t>220</t>
  </si>
  <si>
    <t>180</t>
  </si>
  <si>
    <t>120</t>
  </si>
  <si>
    <t>BA/FU</t>
  </si>
  <si>
    <t>FU/UJ-A</t>
  </si>
  <si>
    <t>60</t>
  </si>
  <si>
    <t>XT-A</t>
  </si>
  <si>
    <t>XT01s-B</t>
  </si>
  <si>
    <t>XT9070s-B</t>
  </si>
  <si>
    <t>XT-PLC</t>
  </si>
  <si>
    <t>160</t>
  </si>
  <si>
    <t>140</t>
  </si>
  <si>
    <t>80</t>
  </si>
  <si>
    <t>PC</t>
  </si>
  <si>
    <t>AF</t>
  </si>
  <si>
    <t>KT L/S</t>
  </si>
  <si>
    <t>KT R/S</t>
  </si>
  <si>
    <t>JB70 RIGHT RAIL</t>
  </si>
  <si>
    <t>JB70 LEFT RAIL</t>
  </si>
  <si>
    <t>JB74 LEFT RAIL</t>
  </si>
  <si>
    <t>AF140s</t>
  </si>
  <si>
    <t>AF180s</t>
  </si>
  <si>
    <t>KA A2-R RAIL</t>
  </si>
  <si>
    <t>KA-R RAIL</t>
  </si>
  <si>
    <t>100</t>
  </si>
  <si>
    <t>BA-BOP</t>
  </si>
  <si>
    <t xml:space="preserve">BP-KEMD </t>
  </si>
  <si>
    <t>B.1</t>
  </si>
  <si>
    <t>PLC</t>
  </si>
  <si>
    <t>A</t>
  </si>
  <si>
    <t>GEAR BOX</t>
  </si>
  <si>
    <t>ALL</t>
  </si>
  <si>
    <t>KA DOUBLES</t>
  </si>
  <si>
    <t>AF0086:COM</t>
  </si>
  <si>
    <t>0V</t>
  </si>
  <si>
    <t>XT0080:3</t>
  </si>
  <si>
    <t>XT0080:1</t>
  </si>
  <si>
    <t>XT0240:8</t>
  </si>
  <si>
    <t>XT0240:4</t>
  </si>
  <si>
    <t>XT0240:3</t>
  </si>
  <si>
    <t>XT0240:1</t>
  </si>
  <si>
    <t>ESTOPC</t>
  </si>
  <si>
    <t>KA0243:21</t>
  </si>
  <si>
    <t>XT0240:2</t>
  </si>
  <si>
    <t>ESTOPB</t>
  </si>
  <si>
    <t>KA0248:11</t>
  </si>
  <si>
    <t>KA0248:14</t>
  </si>
  <si>
    <t>KA0235:A1</t>
  </si>
  <si>
    <t>XT0520:4</t>
  </si>
  <si>
    <t>XT0240:5</t>
  </si>
  <si>
    <t>KA0241:A1</t>
  </si>
  <si>
    <t>KA0253:A1</t>
  </si>
  <si>
    <t>XT0240:6</t>
  </si>
  <si>
    <t>KA0243A1</t>
  </si>
  <si>
    <t>KA0243:A1</t>
  </si>
  <si>
    <t>XT0240:7</t>
  </si>
  <si>
    <t>KA0245A1</t>
  </si>
  <si>
    <t>KA0245:A1</t>
  </si>
  <si>
    <t>KA0249:A2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</si>
</sst>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49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horizontal="left"/>
    </xf>
    <xf numFmtId="0" fontId="0" fillId="0" borderId="5" xfId="0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2">
    <cellStyle name="Normal" xfId="0" builtinId="0"/>
    <cellStyle name="Normal 2" xfId="1" xr:uid="{08DE8234-8C94-4ADE-8AB8-B62E122983AF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F229DC00-0094-4EF0-B428-3C9602CDD7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2EDE-6EE6-4C8A-BCB9-5717E4B0950E}">
  <sheetPr>
    <tabColor rgb="FF7030A0"/>
  </sheetPr>
  <dimension ref="A1:I66"/>
  <sheetViews>
    <sheetView showGridLines="0" zoomScaleNormal="100" workbookViewId="0">
      <selection activeCell="A15" sqref="A15:XFD15"/>
    </sheetView>
  </sheetViews>
  <sheetFormatPr defaultRowHeight="17.100000000000001" customHeight="1" x14ac:dyDescent="0.25"/>
  <cols>
    <col min="1" max="1" width="13.14062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85546875" style="2" bestFit="1" customWidth="1"/>
    <col min="7" max="7" width="10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1" t="s">
        <v>37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20" t="s">
        <v>1</v>
      </c>
      <c r="C3" s="20"/>
      <c r="D3" s="20"/>
    </row>
    <row r="4" spans="1:9" ht="12" customHeight="1" x14ac:dyDescent="0.25">
      <c r="A4" s="1" t="s">
        <v>2</v>
      </c>
      <c r="B4" s="20" t="s">
        <v>3</v>
      </c>
      <c r="C4" s="20"/>
      <c r="D4" s="20"/>
    </row>
    <row r="5" spans="1:9" ht="12.75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660</v>
      </c>
      <c r="B14" s="6" t="s">
        <v>1608</v>
      </c>
      <c r="C14" s="6" t="s">
        <v>76</v>
      </c>
      <c r="D14" s="6" t="s">
        <v>73</v>
      </c>
      <c r="E14" s="6" t="s">
        <v>1709</v>
      </c>
      <c r="F14" s="7" t="s">
        <v>437</v>
      </c>
      <c r="G14" s="7" t="s">
        <v>48</v>
      </c>
      <c r="H14" s="7" t="s">
        <v>36</v>
      </c>
    </row>
    <row r="15" spans="1:9" ht="17.100000000000001" customHeight="1" x14ac:dyDescent="0.25">
      <c r="A15" s="18"/>
      <c r="B15" s="18"/>
      <c r="C15" s="18"/>
      <c r="D15" s="18"/>
      <c r="E15" s="18"/>
      <c r="F15" s="19"/>
      <c r="G15" s="19"/>
      <c r="H15" s="19"/>
    </row>
    <row r="16" spans="1:9" ht="17.100000000000001" customHeight="1" x14ac:dyDescent="0.25">
      <c r="A16" s="6" t="s">
        <v>582</v>
      </c>
      <c r="B16" s="6" t="s">
        <v>581</v>
      </c>
      <c r="C16" s="6" t="s">
        <v>76</v>
      </c>
      <c r="D16" s="6" t="s">
        <v>74</v>
      </c>
      <c r="E16" s="6" t="s">
        <v>1709</v>
      </c>
      <c r="F16" s="7" t="s">
        <v>580</v>
      </c>
      <c r="G16" s="7" t="s">
        <v>48</v>
      </c>
      <c r="H16" s="7" t="s">
        <v>38</v>
      </c>
    </row>
    <row r="17" spans="1:8" ht="17.100000000000001" customHeight="1" x14ac:dyDescent="0.25">
      <c r="A17" s="6" t="s">
        <v>549</v>
      </c>
      <c r="B17" s="6" t="s">
        <v>548</v>
      </c>
      <c r="C17" s="6" t="s">
        <v>76</v>
      </c>
      <c r="D17" s="6" t="s">
        <v>74</v>
      </c>
      <c r="E17" s="6" t="s">
        <v>1709</v>
      </c>
      <c r="F17" s="7" t="s">
        <v>547</v>
      </c>
      <c r="G17" s="7" t="s">
        <v>48</v>
      </c>
      <c r="H17" s="7"/>
    </row>
    <row r="18" spans="1:8" ht="17.100000000000001" customHeight="1" x14ac:dyDescent="0.25">
      <c r="A18" s="6" t="s">
        <v>579</v>
      </c>
      <c r="B18" s="6" t="s">
        <v>578</v>
      </c>
      <c r="C18" s="6" t="s">
        <v>76</v>
      </c>
      <c r="D18" s="6" t="s">
        <v>74</v>
      </c>
      <c r="E18" s="6" t="s">
        <v>1709</v>
      </c>
      <c r="F18" s="7" t="s">
        <v>577</v>
      </c>
      <c r="G18" s="7" t="s">
        <v>48</v>
      </c>
      <c r="H18" s="7"/>
    </row>
    <row r="19" spans="1:8" ht="17.100000000000001" customHeight="1" x14ac:dyDescent="0.25">
      <c r="A19" s="6" t="s">
        <v>546</v>
      </c>
      <c r="B19" s="6" t="s">
        <v>545</v>
      </c>
      <c r="C19" s="6" t="s">
        <v>76</v>
      </c>
      <c r="D19" s="6" t="s">
        <v>74</v>
      </c>
      <c r="E19" s="6" t="s">
        <v>1709</v>
      </c>
      <c r="F19" s="7" t="s">
        <v>544</v>
      </c>
      <c r="G19" s="7" t="s">
        <v>48</v>
      </c>
      <c r="H19" s="7"/>
    </row>
    <row r="20" spans="1:8" ht="17.100000000000001" customHeight="1" x14ac:dyDescent="0.25">
      <c r="A20" s="18"/>
      <c r="B20" s="18"/>
      <c r="C20" s="18"/>
      <c r="D20" s="18"/>
      <c r="E20" s="18"/>
      <c r="F20" s="19"/>
      <c r="G20" s="19"/>
      <c r="H20" s="19"/>
    </row>
    <row r="21" spans="1:8" ht="17.100000000000001" customHeight="1" x14ac:dyDescent="0.25">
      <c r="A21" s="6" t="s">
        <v>552</v>
      </c>
      <c r="B21" s="6" t="s">
        <v>551</v>
      </c>
      <c r="C21" s="6" t="s">
        <v>76</v>
      </c>
      <c r="D21" s="6" t="s">
        <v>74</v>
      </c>
      <c r="E21" s="6" t="s">
        <v>1709</v>
      </c>
      <c r="F21" s="7" t="s">
        <v>550</v>
      </c>
      <c r="G21" s="7" t="s">
        <v>48</v>
      </c>
      <c r="H21" s="7" t="s">
        <v>39</v>
      </c>
    </row>
    <row r="22" spans="1:8" ht="17.100000000000001" customHeight="1" x14ac:dyDescent="0.25">
      <c r="A22" s="6" t="s">
        <v>585</v>
      </c>
      <c r="B22" s="6" t="s">
        <v>584</v>
      </c>
      <c r="C22" s="6" t="s">
        <v>76</v>
      </c>
      <c r="D22" s="6" t="s">
        <v>74</v>
      </c>
      <c r="E22" s="6" t="s">
        <v>1709</v>
      </c>
      <c r="F22" s="7" t="s">
        <v>583</v>
      </c>
      <c r="G22" s="7" t="s">
        <v>48</v>
      </c>
      <c r="H22" s="7"/>
    </row>
    <row r="23" spans="1:8" ht="17.100000000000001" customHeight="1" x14ac:dyDescent="0.25">
      <c r="A23" s="6" t="s">
        <v>543</v>
      </c>
      <c r="B23" s="6" t="s">
        <v>542</v>
      </c>
      <c r="C23" s="6" t="s">
        <v>76</v>
      </c>
      <c r="D23" s="6" t="s">
        <v>74</v>
      </c>
      <c r="E23" s="6" t="s">
        <v>1709</v>
      </c>
      <c r="F23" s="7" t="s">
        <v>541</v>
      </c>
      <c r="G23" s="7" t="s">
        <v>48</v>
      </c>
      <c r="H23" s="7"/>
    </row>
    <row r="24" spans="1:8" ht="17.100000000000001" customHeight="1" x14ac:dyDescent="0.25">
      <c r="A24" s="6" t="s">
        <v>576</v>
      </c>
      <c r="B24" s="6" t="s">
        <v>575</v>
      </c>
      <c r="C24" s="6" t="s">
        <v>76</v>
      </c>
      <c r="D24" s="6" t="s">
        <v>74</v>
      </c>
      <c r="E24" s="6" t="s">
        <v>1709</v>
      </c>
      <c r="F24" s="7" t="s">
        <v>574</v>
      </c>
      <c r="G24" s="7" t="s">
        <v>48</v>
      </c>
      <c r="H24" s="7"/>
    </row>
    <row r="25" spans="1:8" ht="17.100000000000001" customHeight="1" x14ac:dyDescent="0.25">
      <c r="A25" s="6" t="s">
        <v>540</v>
      </c>
      <c r="B25" s="6" t="s">
        <v>539</v>
      </c>
      <c r="C25" s="6" t="s">
        <v>76</v>
      </c>
      <c r="D25" s="6" t="s">
        <v>74</v>
      </c>
      <c r="E25" s="6" t="s">
        <v>1709</v>
      </c>
      <c r="F25" s="7" t="s">
        <v>538</v>
      </c>
      <c r="G25" s="7" t="s">
        <v>48</v>
      </c>
      <c r="H25" s="7"/>
    </row>
    <row r="26" spans="1:8" ht="17.100000000000001" customHeight="1" x14ac:dyDescent="0.25">
      <c r="A26" s="6" t="s">
        <v>573</v>
      </c>
      <c r="B26" s="6" t="s">
        <v>572</v>
      </c>
      <c r="C26" s="6" t="s">
        <v>76</v>
      </c>
      <c r="D26" s="6" t="s">
        <v>74</v>
      </c>
      <c r="E26" s="6" t="s">
        <v>1709</v>
      </c>
      <c r="F26" s="7" t="s">
        <v>571</v>
      </c>
      <c r="G26" s="7" t="s">
        <v>48</v>
      </c>
      <c r="H26" s="7"/>
    </row>
    <row r="27" spans="1:8" ht="17.100000000000001" customHeight="1" x14ac:dyDescent="0.25">
      <c r="A27" s="18"/>
      <c r="B27" s="18"/>
      <c r="C27" s="18"/>
      <c r="D27" s="18"/>
      <c r="E27" s="18"/>
      <c r="F27" s="19"/>
      <c r="G27" s="19"/>
      <c r="H27" s="19"/>
    </row>
    <row r="28" spans="1:8" ht="17.100000000000001" customHeight="1" x14ac:dyDescent="0.25">
      <c r="A28" s="6" t="s">
        <v>520</v>
      </c>
      <c r="B28" s="6" t="s">
        <v>519</v>
      </c>
      <c r="C28" s="6" t="s">
        <v>76</v>
      </c>
      <c r="D28" s="6" t="s">
        <v>74</v>
      </c>
      <c r="E28" s="6" t="s">
        <v>1709</v>
      </c>
      <c r="F28" s="7" t="s">
        <v>518</v>
      </c>
      <c r="G28" s="7" t="s">
        <v>48</v>
      </c>
      <c r="H28" s="7" t="s">
        <v>40</v>
      </c>
    </row>
    <row r="29" spans="1:8" ht="17.100000000000001" customHeight="1" x14ac:dyDescent="0.25">
      <c r="A29" s="6" t="s">
        <v>512</v>
      </c>
      <c r="B29" s="6" t="s">
        <v>511</v>
      </c>
      <c r="C29" s="6" t="s">
        <v>76</v>
      </c>
      <c r="D29" s="6" t="s">
        <v>74</v>
      </c>
      <c r="E29" s="6" t="s">
        <v>1709</v>
      </c>
      <c r="F29" s="7" t="s">
        <v>510</v>
      </c>
      <c r="G29" s="7" t="s">
        <v>48</v>
      </c>
      <c r="H29" s="7"/>
    </row>
    <row r="30" spans="1:8" ht="17.100000000000001" customHeight="1" x14ac:dyDescent="0.25">
      <c r="A30" s="6" t="s">
        <v>523</v>
      </c>
      <c r="B30" s="6" t="s">
        <v>522</v>
      </c>
      <c r="C30" s="6" t="s">
        <v>76</v>
      </c>
      <c r="D30" s="6" t="s">
        <v>74</v>
      </c>
      <c r="E30" s="6" t="s">
        <v>1709</v>
      </c>
      <c r="F30" s="7" t="s">
        <v>521</v>
      </c>
      <c r="G30" s="7" t="s">
        <v>48</v>
      </c>
      <c r="H30" s="7"/>
    </row>
    <row r="31" spans="1:8" ht="17.100000000000001" customHeight="1" x14ac:dyDescent="0.25">
      <c r="A31" s="6" t="s">
        <v>515</v>
      </c>
      <c r="B31" s="6" t="s">
        <v>514</v>
      </c>
      <c r="C31" s="6" t="s">
        <v>76</v>
      </c>
      <c r="D31" s="6" t="s">
        <v>74</v>
      </c>
      <c r="E31" s="6" t="s">
        <v>1709</v>
      </c>
      <c r="F31" s="7" t="s">
        <v>513</v>
      </c>
      <c r="G31" s="7" t="s">
        <v>48</v>
      </c>
      <c r="H31" s="7"/>
    </row>
    <row r="32" spans="1:8" ht="17.100000000000001" customHeight="1" x14ac:dyDescent="0.25">
      <c r="A32" s="18"/>
      <c r="B32" s="18"/>
      <c r="C32" s="18"/>
      <c r="D32" s="18"/>
      <c r="E32" s="18"/>
      <c r="F32" s="19"/>
      <c r="G32" s="19"/>
      <c r="H32" s="19"/>
    </row>
    <row r="33" spans="1:8" ht="17.100000000000001" customHeight="1" x14ac:dyDescent="0.25">
      <c r="A33" s="6" t="s">
        <v>564</v>
      </c>
      <c r="B33" s="6" t="s">
        <v>563</v>
      </c>
      <c r="C33" s="6" t="s">
        <v>76</v>
      </c>
      <c r="D33" s="6" t="s">
        <v>74</v>
      </c>
      <c r="E33" s="6" t="s">
        <v>1709</v>
      </c>
      <c r="F33" s="7" t="s">
        <v>562</v>
      </c>
      <c r="G33" s="7" t="s">
        <v>48</v>
      </c>
      <c r="H33" s="7" t="s">
        <v>41</v>
      </c>
    </row>
    <row r="34" spans="1:8" ht="17.100000000000001" customHeight="1" x14ac:dyDescent="0.25">
      <c r="A34" s="6" t="s">
        <v>531</v>
      </c>
      <c r="B34" s="6" t="s">
        <v>530</v>
      </c>
      <c r="C34" s="6" t="s">
        <v>76</v>
      </c>
      <c r="D34" s="6" t="s">
        <v>74</v>
      </c>
      <c r="E34" s="6" t="s">
        <v>1709</v>
      </c>
      <c r="F34" s="7" t="s">
        <v>529</v>
      </c>
      <c r="G34" s="7" t="s">
        <v>48</v>
      </c>
      <c r="H34" s="7"/>
    </row>
    <row r="35" spans="1:8" ht="17.100000000000001" customHeight="1" x14ac:dyDescent="0.25">
      <c r="A35" s="18"/>
      <c r="B35" s="18"/>
      <c r="C35" s="18"/>
      <c r="D35" s="18"/>
      <c r="E35" s="18"/>
      <c r="F35" s="19"/>
      <c r="G35" s="19"/>
      <c r="H35" s="19"/>
    </row>
    <row r="36" spans="1:8" ht="17.100000000000001" customHeight="1" x14ac:dyDescent="0.25">
      <c r="A36" s="6" t="s">
        <v>666</v>
      </c>
      <c r="B36" s="6" t="s">
        <v>231</v>
      </c>
      <c r="C36" s="6" t="s">
        <v>76</v>
      </c>
      <c r="D36" s="6" t="s">
        <v>74</v>
      </c>
      <c r="E36" s="6" t="s">
        <v>1709</v>
      </c>
      <c r="F36" s="7" t="s">
        <v>665</v>
      </c>
      <c r="G36" s="7" t="s">
        <v>48</v>
      </c>
      <c r="H36" s="7" t="s">
        <v>42</v>
      </c>
    </row>
    <row r="37" spans="1:8" ht="17.100000000000001" customHeight="1" x14ac:dyDescent="0.25">
      <c r="A37" s="6" t="s">
        <v>669</v>
      </c>
      <c r="B37" s="6" t="s">
        <v>668</v>
      </c>
      <c r="C37" s="6" t="s">
        <v>76</v>
      </c>
      <c r="D37" s="6" t="s">
        <v>74</v>
      </c>
      <c r="E37" s="6" t="s">
        <v>1709</v>
      </c>
      <c r="F37" s="7" t="s">
        <v>667</v>
      </c>
      <c r="G37" s="7" t="s">
        <v>48</v>
      </c>
      <c r="H37" s="7"/>
    </row>
    <row r="38" spans="1:8" ht="17.100000000000001" customHeight="1" x14ac:dyDescent="0.25">
      <c r="A38" s="6" t="s">
        <v>628</v>
      </c>
      <c r="B38" s="6" t="s">
        <v>627</v>
      </c>
      <c r="C38" s="6" t="s">
        <v>76</v>
      </c>
      <c r="D38" s="6" t="s">
        <v>74</v>
      </c>
      <c r="E38" s="6" t="s">
        <v>1709</v>
      </c>
      <c r="F38" s="7" t="s">
        <v>626</v>
      </c>
      <c r="G38" s="7" t="s">
        <v>48</v>
      </c>
      <c r="H38" s="7"/>
    </row>
    <row r="39" spans="1:8" ht="17.100000000000001" customHeight="1" x14ac:dyDescent="0.25">
      <c r="A39" s="6" t="s">
        <v>624</v>
      </c>
      <c r="B39" s="6" t="s">
        <v>623</v>
      </c>
      <c r="C39" s="6" t="s">
        <v>76</v>
      </c>
      <c r="D39" s="6" t="s">
        <v>74</v>
      </c>
      <c r="E39" s="6" t="s">
        <v>1709</v>
      </c>
      <c r="F39" s="7" t="s">
        <v>622</v>
      </c>
      <c r="G39" s="7" t="s">
        <v>48</v>
      </c>
      <c r="H39" s="7"/>
    </row>
    <row r="40" spans="1:8" ht="17.100000000000001" customHeight="1" x14ac:dyDescent="0.25">
      <c r="A40" s="18"/>
      <c r="B40" s="18"/>
      <c r="C40" s="18"/>
      <c r="D40" s="18"/>
      <c r="E40" s="18"/>
      <c r="F40" s="19"/>
      <c r="G40" s="19"/>
      <c r="H40" s="19"/>
    </row>
    <row r="41" spans="1:8" ht="17.100000000000001" customHeight="1" x14ac:dyDescent="0.25">
      <c r="A41" s="6" t="s">
        <v>567</v>
      </c>
      <c r="B41" s="6" t="s">
        <v>566</v>
      </c>
      <c r="C41" s="6" t="s">
        <v>76</v>
      </c>
      <c r="D41" s="6" t="s">
        <v>74</v>
      </c>
      <c r="E41" s="6" t="s">
        <v>1709</v>
      </c>
      <c r="F41" s="7" t="s">
        <v>565</v>
      </c>
      <c r="G41" s="7" t="s">
        <v>48</v>
      </c>
      <c r="H41" s="7" t="s">
        <v>43</v>
      </c>
    </row>
    <row r="42" spans="1:8" ht="17.100000000000001" customHeight="1" x14ac:dyDescent="0.25">
      <c r="A42" s="6" t="s">
        <v>534</v>
      </c>
      <c r="B42" s="6" t="s">
        <v>533</v>
      </c>
      <c r="C42" s="6" t="s">
        <v>76</v>
      </c>
      <c r="D42" s="6" t="s">
        <v>74</v>
      </c>
      <c r="E42" s="6" t="s">
        <v>1709</v>
      </c>
      <c r="F42" s="7" t="s">
        <v>532</v>
      </c>
      <c r="G42" s="7" t="s">
        <v>48</v>
      </c>
      <c r="H42" s="7"/>
    </row>
    <row r="43" spans="1:8" ht="17.100000000000001" customHeight="1" x14ac:dyDescent="0.25">
      <c r="A43" s="18"/>
      <c r="B43" s="18"/>
      <c r="C43" s="18"/>
      <c r="D43" s="18"/>
      <c r="E43" s="18"/>
      <c r="F43" s="19"/>
      <c r="G43" s="19"/>
      <c r="H43" s="19"/>
    </row>
    <row r="44" spans="1:8" ht="17.100000000000001" customHeight="1" x14ac:dyDescent="0.25">
      <c r="A44" s="6" t="s">
        <v>570</v>
      </c>
      <c r="B44" s="6" t="s">
        <v>569</v>
      </c>
      <c r="C44" s="6" t="s">
        <v>76</v>
      </c>
      <c r="D44" s="6" t="s">
        <v>74</v>
      </c>
      <c r="E44" s="6" t="s">
        <v>1709</v>
      </c>
      <c r="F44" s="7" t="s">
        <v>568</v>
      </c>
      <c r="G44" s="7" t="s">
        <v>48</v>
      </c>
      <c r="H44" s="7" t="s">
        <v>44</v>
      </c>
    </row>
    <row r="45" spans="1:8" ht="17.100000000000001" customHeight="1" x14ac:dyDescent="0.25">
      <c r="A45" s="6" t="s">
        <v>537</v>
      </c>
      <c r="B45" s="6" t="s">
        <v>536</v>
      </c>
      <c r="C45" s="6" t="s">
        <v>76</v>
      </c>
      <c r="D45" s="6" t="s">
        <v>74</v>
      </c>
      <c r="E45" s="6" t="s">
        <v>1709</v>
      </c>
      <c r="F45" s="7" t="s">
        <v>535</v>
      </c>
      <c r="G45" s="7" t="s">
        <v>48</v>
      </c>
      <c r="H45" s="7"/>
    </row>
    <row r="46" spans="1:8" ht="17.100000000000001" customHeight="1" x14ac:dyDescent="0.25">
      <c r="A46" s="18"/>
      <c r="B46" s="18"/>
      <c r="C46" s="18"/>
      <c r="D46" s="18"/>
      <c r="E46" s="18"/>
      <c r="F46" s="19"/>
      <c r="G46" s="19"/>
      <c r="H46" s="19"/>
    </row>
    <row r="47" spans="1:8" ht="17.100000000000001" customHeight="1" x14ac:dyDescent="0.25">
      <c r="A47" s="6" t="s">
        <v>561</v>
      </c>
      <c r="B47" s="6" t="s">
        <v>560</v>
      </c>
      <c r="C47" s="6" t="s">
        <v>76</v>
      </c>
      <c r="D47" s="6" t="s">
        <v>74</v>
      </c>
      <c r="E47" s="6" t="s">
        <v>1709</v>
      </c>
      <c r="F47" s="7" t="s">
        <v>559</v>
      </c>
      <c r="G47" s="7" t="s">
        <v>48</v>
      </c>
      <c r="H47" s="7" t="s">
        <v>45</v>
      </c>
    </row>
    <row r="48" spans="1:8" ht="17.100000000000001" customHeight="1" x14ac:dyDescent="0.25">
      <c r="A48" s="6" t="s">
        <v>528</v>
      </c>
      <c r="B48" s="6" t="s">
        <v>527</v>
      </c>
      <c r="C48" s="6" t="s">
        <v>76</v>
      </c>
      <c r="D48" s="6" t="s">
        <v>74</v>
      </c>
      <c r="E48" s="6" t="s">
        <v>1709</v>
      </c>
      <c r="F48" s="7" t="s">
        <v>526</v>
      </c>
      <c r="G48" s="7" t="s">
        <v>48</v>
      </c>
      <c r="H48" s="7"/>
    </row>
    <row r="49" spans="1:8" ht="17.100000000000001" customHeight="1" x14ac:dyDescent="0.25">
      <c r="A49" s="6" t="s">
        <v>675</v>
      </c>
      <c r="B49" s="6" t="s">
        <v>674</v>
      </c>
      <c r="C49" s="6" t="s">
        <v>76</v>
      </c>
      <c r="D49" s="6" t="s">
        <v>74</v>
      </c>
      <c r="E49" s="6" t="s">
        <v>1709</v>
      </c>
      <c r="F49" s="7" t="s">
        <v>673</v>
      </c>
      <c r="G49" s="7" t="s">
        <v>48</v>
      </c>
      <c r="H49" s="7"/>
    </row>
    <row r="50" spans="1:8" ht="17.100000000000001" customHeight="1" x14ac:dyDescent="0.25">
      <c r="A50" s="6" t="s">
        <v>678</v>
      </c>
      <c r="B50" s="6" t="s">
        <v>677</v>
      </c>
      <c r="C50" s="6" t="s">
        <v>76</v>
      </c>
      <c r="D50" s="6" t="s">
        <v>74</v>
      </c>
      <c r="E50" s="6" t="s">
        <v>1709</v>
      </c>
      <c r="F50" s="7" t="s">
        <v>676</v>
      </c>
      <c r="G50" s="7" t="s">
        <v>48</v>
      </c>
      <c r="H50" s="7"/>
    </row>
    <row r="51" spans="1:8" ht="17.100000000000001" customHeight="1" x14ac:dyDescent="0.25">
      <c r="A51" s="6" t="s">
        <v>597</v>
      </c>
      <c r="B51" s="6" t="s">
        <v>596</v>
      </c>
      <c r="C51" s="6" t="s">
        <v>76</v>
      </c>
      <c r="D51" s="6" t="s">
        <v>74</v>
      </c>
      <c r="E51" s="6" t="s">
        <v>1709</v>
      </c>
      <c r="F51" s="7" t="s">
        <v>595</v>
      </c>
      <c r="G51" s="7" t="s">
        <v>48</v>
      </c>
      <c r="H51" s="7"/>
    </row>
    <row r="52" spans="1:8" ht="17.100000000000001" customHeight="1" x14ac:dyDescent="0.25">
      <c r="A52" s="6" t="s">
        <v>591</v>
      </c>
      <c r="B52" s="6" t="s">
        <v>590</v>
      </c>
      <c r="C52" s="6" t="s">
        <v>76</v>
      </c>
      <c r="D52" s="6" t="s">
        <v>74</v>
      </c>
      <c r="E52" s="6" t="s">
        <v>1709</v>
      </c>
      <c r="F52" s="7" t="s">
        <v>589</v>
      </c>
      <c r="G52" s="7" t="s">
        <v>48</v>
      </c>
      <c r="H52" s="7"/>
    </row>
    <row r="53" spans="1:8" ht="17.100000000000001" customHeight="1" x14ac:dyDescent="0.25">
      <c r="A53" s="18"/>
      <c r="B53" s="18"/>
      <c r="C53" s="18"/>
      <c r="D53" s="18"/>
      <c r="E53" s="18"/>
      <c r="F53" s="19"/>
      <c r="G53" s="19"/>
      <c r="H53" s="19"/>
    </row>
    <row r="54" spans="1:8" ht="17.100000000000001" customHeight="1" x14ac:dyDescent="0.25">
      <c r="A54" s="6" t="s">
        <v>664</v>
      </c>
      <c r="B54" s="6" t="s">
        <v>663</v>
      </c>
      <c r="C54" s="6" t="s">
        <v>76</v>
      </c>
      <c r="D54" s="6" t="s">
        <v>74</v>
      </c>
      <c r="E54" s="6" t="s">
        <v>1709</v>
      </c>
      <c r="F54" s="7" t="s">
        <v>662</v>
      </c>
      <c r="G54" s="7" t="s">
        <v>48</v>
      </c>
      <c r="H54" s="7" t="s">
        <v>46</v>
      </c>
    </row>
    <row r="55" spans="1:8" ht="17.100000000000001" customHeight="1" x14ac:dyDescent="0.25">
      <c r="A55" s="6" t="s">
        <v>672</v>
      </c>
      <c r="B55" s="6" t="s">
        <v>671</v>
      </c>
      <c r="C55" s="6" t="s">
        <v>76</v>
      </c>
      <c r="D55" s="6" t="s">
        <v>74</v>
      </c>
      <c r="E55" s="6" t="s">
        <v>1709</v>
      </c>
      <c r="F55" s="7" t="s">
        <v>670</v>
      </c>
      <c r="G55" s="7" t="s">
        <v>48</v>
      </c>
      <c r="H55" s="7"/>
    </row>
    <row r="56" spans="1:8" ht="17.100000000000001" customHeight="1" x14ac:dyDescent="0.25">
      <c r="A56" s="6" t="s">
        <v>558</v>
      </c>
      <c r="B56" s="6" t="s">
        <v>557</v>
      </c>
      <c r="C56" s="6" t="s">
        <v>76</v>
      </c>
      <c r="D56" s="6" t="s">
        <v>74</v>
      </c>
      <c r="E56" s="6" t="s">
        <v>1709</v>
      </c>
      <c r="F56" s="7" t="s">
        <v>556</v>
      </c>
      <c r="G56" s="7" t="s">
        <v>48</v>
      </c>
      <c r="H56" s="7"/>
    </row>
    <row r="57" spans="1:8" ht="17.100000000000001" customHeight="1" x14ac:dyDescent="0.25">
      <c r="A57" s="6" t="s">
        <v>555</v>
      </c>
      <c r="B57" s="6" t="s">
        <v>554</v>
      </c>
      <c r="C57" s="6" t="s">
        <v>76</v>
      </c>
      <c r="D57" s="6" t="s">
        <v>74</v>
      </c>
      <c r="E57" s="6" t="s">
        <v>1709</v>
      </c>
      <c r="F57" s="7" t="s">
        <v>553</v>
      </c>
      <c r="G57" s="7" t="s">
        <v>48</v>
      </c>
      <c r="H57" s="7"/>
    </row>
    <row r="58" spans="1:8" ht="17.100000000000001" customHeight="1" x14ac:dyDescent="0.25">
      <c r="A58" s="6" t="s">
        <v>594</v>
      </c>
      <c r="B58" s="6" t="s">
        <v>593</v>
      </c>
      <c r="C58" s="6" t="s">
        <v>76</v>
      </c>
      <c r="D58" s="6" t="s">
        <v>74</v>
      </c>
      <c r="E58" s="6" t="s">
        <v>1709</v>
      </c>
      <c r="F58" s="7" t="s">
        <v>592</v>
      </c>
      <c r="G58" s="7" t="s">
        <v>48</v>
      </c>
      <c r="H58" s="7"/>
    </row>
    <row r="59" spans="1:8" ht="17.100000000000001" customHeight="1" x14ac:dyDescent="0.25">
      <c r="A59" s="6" t="s">
        <v>588</v>
      </c>
      <c r="B59" s="6" t="s">
        <v>587</v>
      </c>
      <c r="C59" s="6" t="s">
        <v>76</v>
      </c>
      <c r="D59" s="6" t="s">
        <v>74</v>
      </c>
      <c r="E59" s="6" t="s">
        <v>1709</v>
      </c>
      <c r="F59" s="7" t="s">
        <v>586</v>
      </c>
      <c r="G59" s="7" t="s">
        <v>48</v>
      </c>
      <c r="H59" s="7"/>
    </row>
    <row r="60" spans="1:8" ht="17.100000000000001" customHeight="1" x14ac:dyDescent="0.25">
      <c r="A60" s="18"/>
      <c r="B60" s="18"/>
      <c r="C60" s="18"/>
      <c r="D60" s="18"/>
      <c r="E60" s="18"/>
      <c r="F60" s="19"/>
      <c r="G60" s="19"/>
      <c r="H60" s="19"/>
    </row>
    <row r="61" spans="1:8" ht="17.100000000000001" customHeight="1" x14ac:dyDescent="0.25">
      <c r="A61" s="6" t="s">
        <v>689</v>
      </c>
      <c r="B61" s="6" t="s">
        <v>690</v>
      </c>
      <c r="C61" s="6" t="s">
        <v>76</v>
      </c>
      <c r="D61" s="6" t="s">
        <v>74</v>
      </c>
      <c r="E61" s="6" t="s">
        <v>1710</v>
      </c>
      <c r="F61" s="7" t="s">
        <v>691</v>
      </c>
      <c r="G61" s="15" t="s">
        <v>1708</v>
      </c>
      <c r="H61" s="7" t="s">
        <v>47</v>
      </c>
    </row>
    <row r="62" spans="1:8" ht="17.100000000000001" customHeight="1" x14ac:dyDescent="0.25">
      <c r="A62" s="6" t="s">
        <v>692</v>
      </c>
      <c r="B62" s="6" t="s">
        <v>693</v>
      </c>
      <c r="C62" s="6" t="s">
        <v>76</v>
      </c>
      <c r="D62" s="6" t="s">
        <v>74</v>
      </c>
      <c r="E62" s="6" t="s">
        <v>1710</v>
      </c>
      <c r="F62" s="7" t="s">
        <v>694</v>
      </c>
      <c r="G62" s="15" t="s">
        <v>1708</v>
      </c>
      <c r="H62" s="7"/>
    </row>
    <row r="63" spans="1:8" ht="17.100000000000001" customHeight="1" x14ac:dyDescent="0.25">
      <c r="A63" s="6" t="s">
        <v>695</v>
      </c>
      <c r="B63" s="6" t="s">
        <v>53</v>
      </c>
      <c r="C63" s="6" t="s">
        <v>76</v>
      </c>
      <c r="D63" s="6" t="s">
        <v>74</v>
      </c>
      <c r="E63" s="6" t="s">
        <v>1710</v>
      </c>
      <c r="F63" s="7" t="s">
        <v>696</v>
      </c>
      <c r="G63" s="15" t="s">
        <v>1708</v>
      </c>
      <c r="H63" s="7"/>
    </row>
    <row r="64" spans="1:8" ht="17.100000000000001" customHeight="1" x14ac:dyDescent="0.25">
      <c r="A64" s="6" t="s">
        <v>697</v>
      </c>
      <c r="B64" s="6" t="s">
        <v>242</v>
      </c>
      <c r="C64" s="6" t="s">
        <v>76</v>
      </c>
      <c r="D64" s="6" t="s">
        <v>74</v>
      </c>
      <c r="E64" s="6" t="s">
        <v>1710</v>
      </c>
      <c r="F64" s="7" t="s">
        <v>698</v>
      </c>
      <c r="G64" s="15" t="s">
        <v>1708</v>
      </c>
      <c r="H64" s="7"/>
    </row>
    <row r="65" spans="1:8" ht="17.100000000000001" customHeight="1" x14ac:dyDescent="0.25">
      <c r="A65" s="6" t="s">
        <v>699</v>
      </c>
      <c r="B65" s="6" t="s">
        <v>1608</v>
      </c>
      <c r="C65" s="6" t="s">
        <v>76</v>
      </c>
      <c r="D65" s="6" t="s">
        <v>74</v>
      </c>
      <c r="E65" s="6" t="s">
        <v>1710</v>
      </c>
      <c r="F65" s="7" t="s">
        <v>700</v>
      </c>
      <c r="G65" s="15" t="s">
        <v>1708</v>
      </c>
      <c r="H65" s="7"/>
    </row>
    <row r="66" spans="1:8" ht="17.100000000000001" customHeight="1" x14ac:dyDescent="0.25">
      <c r="A66" s="6" t="s">
        <v>335</v>
      </c>
      <c r="B66" s="6" t="s">
        <v>334</v>
      </c>
      <c r="C66" s="6" t="s">
        <v>76</v>
      </c>
      <c r="D66" s="6" t="s">
        <v>74</v>
      </c>
      <c r="E66" s="6" t="s">
        <v>1709</v>
      </c>
      <c r="F66" s="7" t="s">
        <v>333</v>
      </c>
      <c r="G66" s="7" t="s">
        <v>55</v>
      </c>
      <c r="H66" s="7"/>
    </row>
  </sheetData>
  <sortState xmlns:xlrd2="http://schemas.microsoft.com/office/spreadsheetml/2017/richdata2" ref="A54:G59">
    <sortCondition ref="B54:B5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191A-494E-4B01-9F42-D4B7F3D2BE62}">
  <sheetPr>
    <tabColor rgb="FF7030A0"/>
  </sheetPr>
  <dimension ref="A1:I19"/>
  <sheetViews>
    <sheetView showGridLines="0" workbookViewId="0">
      <selection activeCell="A15" sqref="A15"/>
    </sheetView>
  </sheetViews>
  <sheetFormatPr defaultRowHeight="17.100000000000001" customHeight="1" x14ac:dyDescent="0.25"/>
  <cols>
    <col min="1" max="1" width="13.14062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85546875" style="2" bestFit="1" customWidth="1"/>
    <col min="7" max="7" width="10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1" t="s">
        <v>1726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20" t="s">
        <v>1</v>
      </c>
      <c r="C3" s="20"/>
      <c r="D3" s="20"/>
    </row>
    <row r="4" spans="1:9" ht="12" customHeight="1" x14ac:dyDescent="0.25">
      <c r="A4" s="1" t="s">
        <v>2</v>
      </c>
      <c r="B4" s="20" t="s">
        <v>3</v>
      </c>
      <c r="C4" s="20"/>
      <c r="D4" s="20"/>
    </row>
    <row r="5" spans="1:9" ht="12.75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681</v>
      </c>
      <c r="B14" s="6" t="s">
        <v>682</v>
      </c>
      <c r="C14" s="6" t="s">
        <v>76</v>
      </c>
      <c r="D14" s="6" t="s">
        <v>82</v>
      </c>
      <c r="E14" s="6" t="s">
        <v>1714</v>
      </c>
      <c r="F14" s="7" t="s">
        <v>683</v>
      </c>
      <c r="G14" s="7" t="s">
        <v>1708</v>
      </c>
      <c r="H14" s="7" t="s">
        <v>1712</v>
      </c>
    </row>
    <row r="15" spans="1:9" ht="17.100000000000001" customHeight="1" x14ac:dyDescent="0.25">
      <c r="A15" s="6" t="s">
        <v>684</v>
      </c>
      <c r="B15" s="6" t="s">
        <v>685</v>
      </c>
      <c r="C15" s="6" t="s">
        <v>76</v>
      </c>
      <c r="D15" s="6" t="s">
        <v>82</v>
      </c>
      <c r="E15" s="6" t="s">
        <v>1714</v>
      </c>
      <c r="F15" s="7" t="s">
        <v>686</v>
      </c>
      <c r="G15" s="7" t="s">
        <v>1708</v>
      </c>
      <c r="H15" s="7"/>
    </row>
    <row r="16" spans="1:9" ht="17.100000000000001" customHeight="1" x14ac:dyDescent="0.25">
      <c r="A16" s="6" t="s">
        <v>680</v>
      </c>
      <c r="B16" s="6" t="s">
        <v>687</v>
      </c>
      <c r="C16" s="6" t="s">
        <v>76</v>
      </c>
      <c r="D16" s="6" t="s">
        <v>82</v>
      </c>
      <c r="E16" s="6" t="s">
        <v>1714</v>
      </c>
      <c r="F16" s="7" t="s">
        <v>688</v>
      </c>
      <c r="G16" s="7" t="s">
        <v>1708</v>
      </c>
      <c r="H16" s="7"/>
    </row>
    <row r="17" spans="1:8" ht="17.100000000000001" customHeight="1" x14ac:dyDescent="0.25">
      <c r="A17" s="16"/>
      <c r="B17" s="16"/>
      <c r="C17" s="16"/>
      <c r="D17" s="16"/>
      <c r="E17" s="16"/>
      <c r="F17" s="17"/>
      <c r="G17" s="17"/>
      <c r="H17" s="17"/>
    </row>
    <row r="18" spans="1:8" ht="17.100000000000001" customHeight="1" x14ac:dyDescent="0.25">
      <c r="A18" s="6" t="s">
        <v>509</v>
      </c>
      <c r="B18" s="6" t="s">
        <v>51</v>
      </c>
      <c r="C18" s="6" t="s">
        <v>76</v>
      </c>
      <c r="D18" s="6" t="s">
        <v>73</v>
      </c>
      <c r="E18" s="6" t="s">
        <v>1719</v>
      </c>
      <c r="F18" s="7" t="s">
        <v>443</v>
      </c>
      <c r="G18" s="7" t="s">
        <v>48</v>
      </c>
      <c r="H18" s="7" t="s">
        <v>1713</v>
      </c>
    </row>
    <row r="19" spans="1:8" ht="17.100000000000001" customHeight="1" x14ac:dyDescent="0.25">
      <c r="A19" s="6" t="s">
        <v>661</v>
      </c>
      <c r="B19" s="6" t="s">
        <v>1608</v>
      </c>
      <c r="C19" s="6" t="s">
        <v>76</v>
      </c>
      <c r="D19" s="6" t="s">
        <v>73</v>
      </c>
      <c r="E19" s="6" t="s">
        <v>1719</v>
      </c>
      <c r="F19" s="7" t="s">
        <v>437</v>
      </c>
      <c r="G19" s="7" t="s">
        <v>48</v>
      </c>
      <c r="H19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D2E3-99EF-47E7-BAA0-A8D7ACF731A2}">
  <sheetPr>
    <tabColor rgb="FF7030A0"/>
  </sheetPr>
  <dimension ref="A1:I77"/>
  <sheetViews>
    <sheetView showGridLines="0" topLeftCell="A59" workbookViewId="0">
      <selection activeCell="A15" sqref="A15"/>
    </sheetView>
  </sheetViews>
  <sheetFormatPr defaultRowHeight="17.100000000000001" customHeight="1" x14ac:dyDescent="0.25"/>
  <cols>
    <col min="1" max="1" width="13.14062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85546875" style="2" bestFit="1" customWidth="1"/>
    <col min="7" max="7" width="10.85546875" bestFit="1" customWidth="1"/>
    <col min="8" max="8" width="9.85546875" bestFit="1" customWidth="1"/>
    <col min="9" max="9" width="10.28515625" customWidth="1"/>
  </cols>
  <sheetData>
    <row r="1" spans="1:9" ht="18" customHeight="1" x14ac:dyDescent="0.25">
      <c r="A1" s="21" t="s">
        <v>1727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20" t="s">
        <v>1</v>
      </c>
      <c r="C3" s="20"/>
      <c r="D3" s="20"/>
    </row>
    <row r="4" spans="1:9" ht="12" customHeight="1" x14ac:dyDescent="0.25">
      <c r="A4" s="1" t="s">
        <v>2</v>
      </c>
      <c r="B4" s="20" t="s">
        <v>3</v>
      </c>
      <c r="C4" s="20"/>
      <c r="D4" s="20"/>
    </row>
    <row r="5" spans="1:9" ht="12.75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517</v>
      </c>
      <c r="B14" s="6" t="s">
        <v>1649</v>
      </c>
      <c r="C14" s="6" t="s">
        <v>76</v>
      </c>
      <c r="D14" s="6" t="s">
        <v>74</v>
      </c>
      <c r="E14" s="6" t="s">
        <v>1711</v>
      </c>
      <c r="F14" s="7" t="s">
        <v>516</v>
      </c>
      <c r="G14" s="7" t="s">
        <v>48</v>
      </c>
      <c r="H14" s="7" t="s">
        <v>1715</v>
      </c>
    </row>
    <row r="15" spans="1:9" ht="17.100000000000001" customHeight="1" x14ac:dyDescent="0.25">
      <c r="A15" s="6" t="s">
        <v>525</v>
      </c>
      <c r="B15" s="6" t="s">
        <v>1650</v>
      </c>
      <c r="C15" s="6" t="s">
        <v>76</v>
      </c>
      <c r="D15" s="6" t="s">
        <v>74</v>
      </c>
      <c r="E15" s="6" t="s">
        <v>1711</v>
      </c>
      <c r="F15" s="7" t="s">
        <v>524</v>
      </c>
      <c r="G15" s="7" t="s">
        <v>48</v>
      </c>
      <c r="H15" s="7"/>
    </row>
    <row r="16" spans="1:9" ht="17.100000000000001" customHeight="1" x14ac:dyDescent="0.25">
      <c r="A16" s="6" t="s">
        <v>632</v>
      </c>
      <c r="B16" s="6" t="s">
        <v>1652</v>
      </c>
      <c r="C16" s="6" t="s">
        <v>76</v>
      </c>
      <c r="D16" s="6" t="s">
        <v>74</v>
      </c>
      <c r="E16" s="6" t="s">
        <v>1711</v>
      </c>
      <c r="F16" s="7" t="s">
        <v>631</v>
      </c>
      <c r="G16" s="7" t="s">
        <v>48</v>
      </c>
      <c r="H16" s="7"/>
    </row>
    <row r="17" spans="1:8" ht="17.100000000000001" customHeight="1" x14ac:dyDescent="0.25">
      <c r="A17" s="6" t="s">
        <v>634</v>
      </c>
      <c r="B17" s="6" t="s">
        <v>1653</v>
      </c>
      <c r="C17" s="6" t="s">
        <v>76</v>
      </c>
      <c r="D17" s="6" t="s">
        <v>74</v>
      </c>
      <c r="E17" s="6" t="s">
        <v>1711</v>
      </c>
      <c r="F17" s="7" t="s">
        <v>633</v>
      </c>
      <c r="G17" s="7" t="s">
        <v>48</v>
      </c>
      <c r="H17" s="7"/>
    </row>
    <row r="18" spans="1:8" ht="17.100000000000001" customHeight="1" x14ac:dyDescent="0.25">
      <c r="A18" s="6" t="s">
        <v>636</v>
      </c>
      <c r="B18" s="6" t="s">
        <v>1654</v>
      </c>
      <c r="C18" s="6" t="s">
        <v>76</v>
      </c>
      <c r="D18" s="6" t="s">
        <v>74</v>
      </c>
      <c r="E18" s="6" t="s">
        <v>1711</v>
      </c>
      <c r="F18" s="7" t="s">
        <v>635</v>
      </c>
      <c r="G18" s="7" t="s">
        <v>48</v>
      </c>
      <c r="H18" s="7"/>
    </row>
    <row r="19" spans="1:8" ht="17.100000000000001" customHeight="1" x14ac:dyDescent="0.25">
      <c r="A19" s="6" t="s">
        <v>638</v>
      </c>
      <c r="B19" s="6" t="s">
        <v>1655</v>
      </c>
      <c r="C19" s="6" t="s">
        <v>76</v>
      </c>
      <c r="D19" s="6" t="s">
        <v>74</v>
      </c>
      <c r="E19" s="6" t="s">
        <v>1711</v>
      </c>
      <c r="F19" s="7" t="s">
        <v>637</v>
      </c>
      <c r="G19" s="7" t="s">
        <v>48</v>
      </c>
      <c r="H19" s="7"/>
    </row>
    <row r="20" spans="1:8" ht="17.100000000000001" customHeight="1" x14ac:dyDescent="0.25">
      <c r="A20" s="6" t="s">
        <v>640</v>
      </c>
      <c r="B20" s="6" t="s">
        <v>1656</v>
      </c>
      <c r="C20" s="6" t="s">
        <v>76</v>
      </c>
      <c r="D20" s="6" t="s">
        <v>74</v>
      </c>
      <c r="E20" s="6" t="s">
        <v>1711</v>
      </c>
      <c r="F20" s="7" t="s">
        <v>639</v>
      </c>
      <c r="G20" s="7" t="s">
        <v>48</v>
      </c>
      <c r="H20" s="7"/>
    </row>
    <row r="21" spans="1:8" ht="17.100000000000001" customHeight="1" x14ac:dyDescent="0.25">
      <c r="A21" s="6" t="s">
        <v>642</v>
      </c>
      <c r="B21" s="6" t="s">
        <v>1657</v>
      </c>
      <c r="C21" s="6" t="s">
        <v>76</v>
      </c>
      <c r="D21" s="6" t="s">
        <v>74</v>
      </c>
      <c r="E21" s="6" t="s">
        <v>1711</v>
      </c>
      <c r="F21" s="7" t="s">
        <v>641</v>
      </c>
      <c r="G21" s="7" t="s">
        <v>48</v>
      </c>
      <c r="H21" s="7"/>
    </row>
    <row r="22" spans="1:8" ht="17.100000000000001" customHeight="1" x14ac:dyDescent="0.25">
      <c r="A22" s="6" t="s">
        <v>644</v>
      </c>
      <c r="B22" s="6" t="s">
        <v>1658</v>
      </c>
      <c r="C22" s="6" t="s">
        <v>76</v>
      </c>
      <c r="D22" s="6" t="s">
        <v>74</v>
      </c>
      <c r="E22" s="6" t="s">
        <v>1711</v>
      </c>
      <c r="F22" s="7" t="s">
        <v>643</v>
      </c>
      <c r="G22" s="7" t="s">
        <v>48</v>
      </c>
      <c r="H22" s="7"/>
    </row>
    <row r="23" spans="1:8" ht="17.100000000000001" customHeight="1" x14ac:dyDescent="0.25">
      <c r="A23" s="6" t="s">
        <v>646</v>
      </c>
      <c r="B23" s="6" t="s">
        <v>1659</v>
      </c>
      <c r="C23" s="6" t="s">
        <v>76</v>
      </c>
      <c r="D23" s="6" t="s">
        <v>74</v>
      </c>
      <c r="E23" s="6" t="s">
        <v>1711</v>
      </c>
      <c r="F23" s="7" t="s">
        <v>645</v>
      </c>
      <c r="G23" s="7" t="s">
        <v>48</v>
      </c>
      <c r="H23" s="7"/>
    </row>
    <row r="24" spans="1:8" ht="17.100000000000001" customHeight="1" x14ac:dyDescent="0.25">
      <c r="A24" s="6" t="s">
        <v>648</v>
      </c>
      <c r="B24" s="6" t="s">
        <v>1660</v>
      </c>
      <c r="C24" s="6" t="s">
        <v>76</v>
      </c>
      <c r="D24" s="6" t="s">
        <v>74</v>
      </c>
      <c r="E24" s="6" t="s">
        <v>1711</v>
      </c>
      <c r="F24" s="7" t="s">
        <v>647</v>
      </c>
      <c r="G24" s="7" t="s">
        <v>48</v>
      </c>
      <c r="H24" s="7"/>
    </row>
    <row r="25" spans="1:8" ht="17.100000000000001" customHeight="1" x14ac:dyDescent="0.25">
      <c r="A25" s="6" t="s">
        <v>650</v>
      </c>
      <c r="B25" s="6" t="s">
        <v>1661</v>
      </c>
      <c r="C25" s="6" t="s">
        <v>76</v>
      </c>
      <c r="D25" s="6" t="s">
        <v>74</v>
      </c>
      <c r="E25" s="6" t="s">
        <v>1711</v>
      </c>
      <c r="F25" s="7" t="s">
        <v>649</v>
      </c>
      <c r="G25" s="7" t="s">
        <v>48</v>
      </c>
      <c r="H25" s="7"/>
    </row>
    <row r="26" spans="1:8" ht="17.100000000000001" customHeight="1" x14ac:dyDescent="0.25">
      <c r="A26" s="6" t="s">
        <v>652</v>
      </c>
      <c r="B26" s="6" t="s">
        <v>1662</v>
      </c>
      <c r="C26" s="6" t="s">
        <v>76</v>
      </c>
      <c r="D26" s="6" t="s">
        <v>74</v>
      </c>
      <c r="E26" s="6" t="s">
        <v>1711</v>
      </c>
      <c r="F26" s="7" t="s">
        <v>651</v>
      </c>
      <c r="G26" s="7" t="s">
        <v>48</v>
      </c>
      <c r="H26" s="7"/>
    </row>
    <row r="27" spans="1:8" ht="17.100000000000001" customHeight="1" x14ac:dyDescent="0.25">
      <c r="A27" s="6" t="s">
        <v>654</v>
      </c>
      <c r="B27" s="6" t="s">
        <v>1663</v>
      </c>
      <c r="C27" s="6" t="s">
        <v>76</v>
      </c>
      <c r="D27" s="6" t="s">
        <v>74</v>
      </c>
      <c r="E27" s="6" t="s">
        <v>1711</v>
      </c>
      <c r="F27" s="7" t="s">
        <v>653</v>
      </c>
      <c r="G27" s="7" t="s">
        <v>48</v>
      </c>
      <c r="H27" s="7"/>
    </row>
    <row r="28" spans="1:8" ht="17.100000000000001" customHeight="1" x14ac:dyDescent="0.25">
      <c r="A28" s="6" t="s">
        <v>656</v>
      </c>
      <c r="B28" s="6" t="s">
        <v>1664</v>
      </c>
      <c r="C28" s="6" t="s">
        <v>76</v>
      </c>
      <c r="D28" s="6" t="s">
        <v>74</v>
      </c>
      <c r="E28" s="6" t="s">
        <v>1711</v>
      </c>
      <c r="F28" s="7" t="s">
        <v>655</v>
      </c>
      <c r="G28" s="7" t="s">
        <v>48</v>
      </c>
      <c r="H28" s="7"/>
    </row>
    <row r="29" spans="1:8" ht="17.100000000000001" customHeight="1" x14ac:dyDescent="0.25">
      <c r="A29" s="6" t="s">
        <v>658</v>
      </c>
      <c r="B29" s="6" t="s">
        <v>1665</v>
      </c>
      <c r="C29" s="6" t="s">
        <v>76</v>
      </c>
      <c r="D29" s="6" t="s">
        <v>74</v>
      </c>
      <c r="E29" s="6" t="s">
        <v>1711</v>
      </c>
      <c r="F29" s="7" t="s">
        <v>657</v>
      </c>
      <c r="G29" s="7" t="s">
        <v>48</v>
      </c>
      <c r="H29" s="7"/>
    </row>
    <row r="30" spans="1:8" ht="17.100000000000001" customHeight="1" x14ac:dyDescent="0.25">
      <c r="A30" s="6" t="s">
        <v>612</v>
      </c>
      <c r="B30" s="6" t="s">
        <v>611</v>
      </c>
      <c r="C30" s="6" t="s">
        <v>76</v>
      </c>
      <c r="D30" s="6" t="s">
        <v>74</v>
      </c>
      <c r="E30" s="6" t="s">
        <v>1711</v>
      </c>
      <c r="F30" s="7" t="s">
        <v>610</v>
      </c>
      <c r="G30" s="7" t="s">
        <v>48</v>
      </c>
      <c r="H30" s="7"/>
    </row>
    <row r="31" spans="1:8" ht="17.100000000000001" customHeight="1" x14ac:dyDescent="0.25">
      <c r="A31" s="6" t="s">
        <v>600</v>
      </c>
      <c r="B31" s="6" t="s">
        <v>599</v>
      </c>
      <c r="C31" s="6" t="s">
        <v>76</v>
      </c>
      <c r="D31" s="6" t="s">
        <v>74</v>
      </c>
      <c r="E31" s="6" t="s">
        <v>1711</v>
      </c>
      <c r="F31" s="7" t="s">
        <v>598</v>
      </c>
      <c r="G31" s="7" t="s">
        <v>48</v>
      </c>
      <c r="H31" s="7"/>
    </row>
    <row r="32" spans="1:8" ht="17.100000000000001" customHeight="1" x14ac:dyDescent="0.25">
      <c r="A32" s="6" t="s">
        <v>615</v>
      </c>
      <c r="B32" s="6" t="s">
        <v>614</v>
      </c>
      <c r="C32" s="6" t="s">
        <v>76</v>
      </c>
      <c r="D32" s="6" t="s">
        <v>74</v>
      </c>
      <c r="E32" s="6" t="s">
        <v>1711</v>
      </c>
      <c r="F32" s="7" t="s">
        <v>613</v>
      </c>
      <c r="G32" s="7" t="s">
        <v>48</v>
      </c>
      <c r="H32" s="7"/>
    </row>
    <row r="33" spans="1:8" ht="17.100000000000001" customHeight="1" x14ac:dyDescent="0.25">
      <c r="A33" s="6" t="s">
        <v>618</v>
      </c>
      <c r="B33" s="6" t="s">
        <v>617</v>
      </c>
      <c r="C33" s="6" t="s">
        <v>76</v>
      </c>
      <c r="D33" s="6" t="s">
        <v>74</v>
      </c>
      <c r="E33" s="6" t="s">
        <v>1711</v>
      </c>
      <c r="F33" s="7" t="s">
        <v>616</v>
      </c>
      <c r="G33" s="7" t="s">
        <v>48</v>
      </c>
      <c r="H33" s="7"/>
    </row>
    <row r="34" spans="1:8" ht="17.100000000000001" customHeight="1" x14ac:dyDescent="0.25">
      <c r="A34" s="6" t="s">
        <v>621</v>
      </c>
      <c r="B34" s="6" t="s">
        <v>620</v>
      </c>
      <c r="C34" s="6" t="s">
        <v>76</v>
      </c>
      <c r="D34" s="6" t="s">
        <v>74</v>
      </c>
      <c r="E34" s="6" t="s">
        <v>1711</v>
      </c>
      <c r="F34" s="7" t="s">
        <v>619</v>
      </c>
      <c r="G34" s="7" t="s">
        <v>48</v>
      </c>
      <c r="H34" s="7"/>
    </row>
    <row r="35" spans="1:8" ht="17.100000000000001" customHeight="1" x14ac:dyDescent="0.25">
      <c r="A35" s="6" t="s">
        <v>603</v>
      </c>
      <c r="B35" s="6" t="s">
        <v>602</v>
      </c>
      <c r="C35" s="6" t="s">
        <v>76</v>
      </c>
      <c r="D35" s="6" t="s">
        <v>74</v>
      </c>
      <c r="E35" s="6" t="s">
        <v>1711</v>
      </c>
      <c r="F35" s="7" t="s">
        <v>601</v>
      </c>
      <c r="G35" s="7" t="s">
        <v>48</v>
      </c>
      <c r="H35" s="7"/>
    </row>
    <row r="36" spans="1:8" ht="17.100000000000001" customHeight="1" x14ac:dyDescent="0.25">
      <c r="A36" s="6" t="s">
        <v>606</v>
      </c>
      <c r="B36" s="6" t="s">
        <v>605</v>
      </c>
      <c r="C36" s="6" t="s">
        <v>76</v>
      </c>
      <c r="D36" s="6" t="s">
        <v>74</v>
      </c>
      <c r="E36" s="6" t="s">
        <v>1711</v>
      </c>
      <c r="F36" s="7" t="s">
        <v>604</v>
      </c>
      <c r="G36" s="7" t="s">
        <v>48</v>
      </c>
      <c r="H36" s="7"/>
    </row>
    <row r="37" spans="1:8" ht="17.100000000000001" customHeight="1" x14ac:dyDescent="0.25">
      <c r="A37" s="6" t="s">
        <v>609</v>
      </c>
      <c r="B37" s="6" t="s">
        <v>608</v>
      </c>
      <c r="C37" s="6" t="s">
        <v>76</v>
      </c>
      <c r="D37" s="6" t="s">
        <v>74</v>
      </c>
      <c r="E37" s="6" t="s">
        <v>1711</v>
      </c>
      <c r="F37" s="7" t="s">
        <v>607</v>
      </c>
      <c r="G37" s="7" t="s">
        <v>48</v>
      </c>
      <c r="H37" s="7"/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292</v>
      </c>
      <c r="B39" s="6" t="s">
        <v>1617</v>
      </c>
      <c r="C39" s="6" t="s">
        <v>76</v>
      </c>
      <c r="D39" s="6" t="s">
        <v>82</v>
      </c>
      <c r="E39" s="6" t="s">
        <v>1711</v>
      </c>
      <c r="F39" s="7" t="s">
        <v>625</v>
      </c>
      <c r="G39" s="7" t="s">
        <v>48</v>
      </c>
      <c r="H39" s="7"/>
    </row>
    <row r="40" spans="1:8" ht="17.100000000000001" customHeight="1" x14ac:dyDescent="0.25">
      <c r="A40" s="6" t="s">
        <v>630</v>
      </c>
      <c r="B40" s="6" t="s">
        <v>1651</v>
      </c>
      <c r="C40" s="6" t="s">
        <v>76</v>
      </c>
      <c r="D40" s="6" t="s">
        <v>82</v>
      </c>
      <c r="E40" s="6" t="s">
        <v>1711</v>
      </c>
      <c r="F40" s="7" t="s">
        <v>629</v>
      </c>
      <c r="G40" s="7" t="s">
        <v>48</v>
      </c>
      <c r="H40" s="7"/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659</v>
      </c>
      <c r="B42" s="6" t="s">
        <v>1608</v>
      </c>
      <c r="C42" s="6" t="s">
        <v>76</v>
      </c>
      <c r="D42" s="6" t="s">
        <v>73</v>
      </c>
      <c r="E42" s="6" t="s">
        <v>1711</v>
      </c>
      <c r="F42" s="7" t="s">
        <v>436</v>
      </c>
      <c r="G42" s="7" t="s">
        <v>48</v>
      </c>
      <c r="H42" s="7"/>
    </row>
    <row r="43" spans="1:8" ht="17.100000000000001" customHeight="1" x14ac:dyDescent="0.25">
      <c r="A43" s="6" t="s">
        <v>679</v>
      </c>
      <c r="B43" s="6" t="s">
        <v>51</v>
      </c>
      <c r="C43" s="6" t="s">
        <v>76</v>
      </c>
      <c r="D43" s="6" t="s">
        <v>73</v>
      </c>
      <c r="E43" s="6" t="s">
        <v>1711</v>
      </c>
      <c r="F43" s="7" t="s">
        <v>442</v>
      </c>
      <c r="G43" s="7" t="s">
        <v>48</v>
      </c>
      <c r="H43" s="7"/>
    </row>
    <row r="44" spans="1:8" ht="17.100000000000001" customHeight="1" x14ac:dyDescent="0.25">
      <c r="A44" s="16"/>
      <c r="B44" s="16"/>
      <c r="C44" s="16"/>
      <c r="D44" s="16"/>
      <c r="E44" s="16"/>
      <c r="F44" s="17"/>
      <c r="G44" s="17"/>
      <c r="H44" s="17"/>
    </row>
    <row r="45" spans="1:8" ht="17.100000000000001" customHeight="1" x14ac:dyDescent="0.25">
      <c r="A45" s="6" t="s">
        <v>90</v>
      </c>
      <c r="B45" s="6" t="s">
        <v>1608</v>
      </c>
      <c r="C45" s="6" t="s">
        <v>76</v>
      </c>
      <c r="D45" s="6" t="s">
        <v>74</v>
      </c>
      <c r="E45" s="6" t="s">
        <v>1720</v>
      </c>
      <c r="F45" s="7" t="s">
        <v>117</v>
      </c>
      <c r="G45" s="7" t="s">
        <v>55</v>
      </c>
      <c r="H45" s="7" t="s">
        <v>1716</v>
      </c>
    </row>
    <row r="46" spans="1:8" ht="17.100000000000001" customHeight="1" x14ac:dyDescent="0.25">
      <c r="A46" s="6" t="s">
        <v>92</v>
      </c>
      <c r="B46" s="6" t="s">
        <v>1608</v>
      </c>
      <c r="C46" s="6" t="s">
        <v>76</v>
      </c>
      <c r="D46" s="6" t="s">
        <v>74</v>
      </c>
      <c r="E46" s="6" t="s">
        <v>1720</v>
      </c>
      <c r="F46" s="7" t="s">
        <v>117</v>
      </c>
      <c r="G46" s="7" t="s">
        <v>55</v>
      </c>
      <c r="H46" s="7"/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94</v>
      </c>
      <c r="B48" s="6" t="s">
        <v>54</v>
      </c>
      <c r="C48" s="6" t="s">
        <v>76</v>
      </c>
      <c r="D48" s="6" t="s">
        <v>73</v>
      </c>
      <c r="E48" s="6" t="s">
        <v>1720</v>
      </c>
      <c r="F48" s="7" t="s">
        <v>115</v>
      </c>
      <c r="G48" s="7" t="s">
        <v>55</v>
      </c>
      <c r="H48" s="7"/>
    </row>
    <row r="49" spans="1:8" ht="17.100000000000001" customHeight="1" x14ac:dyDescent="0.25">
      <c r="A49" s="6" t="s">
        <v>96</v>
      </c>
      <c r="B49" s="6" t="s">
        <v>54</v>
      </c>
      <c r="C49" s="6" t="s">
        <v>76</v>
      </c>
      <c r="D49" s="6" t="s">
        <v>73</v>
      </c>
      <c r="E49" s="6" t="s">
        <v>1720</v>
      </c>
      <c r="F49" s="7" t="s">
        <v>115</v>
      </c>
      <c r="G49" s="7" t="s">
        <v>55</v>
      </c>
      <c r="H49" s="7"/>
    </row>
    <row r="50" spans="1:8" ht="17.100000000000001" customHeight="1" x14ac:dyDescent="0.25">
      <c r="A50" s="18"/>
      <c r="B50" s="18"/>
      <c r="C50" s="18"/>
      <c r="D50" s="18"/>
      <c r="E50" s="18"/>
      <c r="F50" s="19"/>
      <c r="G50" s="19"/>
      <c r="H50" s="19"/>
    </row>
    <row r="51" spans="1:8" ht="17.100000000000001" customHeight="1" x14ac:dyDescent="0.25">
      <c r="A51" s="6" t="s">
        <v>308</v>
      </c>
      <c r="B51" s="6" t="s">
        <v>1612</v>
      </c>
      <c r="C51" s="6" t="s">
        <v>76</v>
      </c>
      <c r="D51" s="6" t="s">
        <v>74</v>
      </c>
      <c r="E51" s="6" t="s">
        <v>1720</v>
      </c>
      <c r="F51" s="7" t="s">
        <v>253</v>
      </c>
      <c r="G51" s="7" t="s">
        <v>55</v>
      </c>
      <c r="H51" s="7" t="s">
        <v>1717</v>
      </c>
    </row>
    <row r="52" spans="1:8" ht="17.100000000000001" customHeight="1" x14ac:dyDescent="0.25">
      <c r="A52" s="6" t="s">
        <v>295</v>
      </c>
      <c r="B52" s="6" t="s">
        <v>294</v>
      </c>
      <c r="C52" s="6" t="s">
        <v>76</v>
      </c>
      <c r="D52" s="6" t="s">
        <v>74</v>
      </c>
      <c r="E52" s="6" t="s">
        <v>1720</v>
      </c>
      <c r="F52" s="7" t="s">
        <v>293</v>
      </c>
      <c r="G52" s="7" t="s">
        <v>55</v>
      </c>
      <c r="H52" s="7"/>
    </row>
    <row r="53" spans="1:8" ht="17.100000000000001" customHeight="1" x14ac:dyDescent="0.25">
      <c r="A53" s="6" t="s">
        <v>298</v>
      </c>
      <c r="B53" s="6" t="s">
        <v>297</v>
      </c>
      <c r="C53" s="6" t="s">
        <v>76</v>
      </c>
      <c r="D53" s="6" t="s">
        <v>74</v>
      </c>
      <c r="E53" s="6" t="s">
        <v>1720</v>
      </c>
      <c r="F53" s="7" t="s">
        <v>296</v>
      </c>
      <c r="G53" s="7" t="s">
        <v>55</v>
      </c>
      <c r="H53" s="7"/>
    </row>
    <row r="54" spans="1:8" ht="17.100000000000001" customHeight="1" x14ac:dyDescent="0.25">
      <c r="A54" s="6" t="s">
        <v>307</v>
      </c>
      <c r="B54" s="6" t="s">
        <v>63</v>
      </c>
      <c r="C54" s="6" t="s">
        <v>76</v>
      </c>
      <c r="D54" s="6" t="s">
        <v>74</v>
      </c>
      <c r="E54" s="6" t="s">
        <v>1720</v>
      </c>
      <c r="F54" s="7" t="s">
        <v>251</v>
      </c>
      <c r="G54" s="7" t="s">
        <v>55</v>
      </c>
      <c r="H54" s="7"/>
    </row>
    <row r="55" spans="1:8" ht="17.100000000000001" customHeight="1" x14ac:dyDescent="0.25">
      <c r="A55" s="6" t="s">
        <v>311</v>
      </c>
      <c r="B55" s="6" t="s">
        <v>310</v>
      </c>
      <c r="C55" s="6" t="s">
        <v>76</v>
      </c>
      <c r="D55" s="6" t="s">
        <v>74</v>
      </c>
      <c r="E55" s="6" t="s">
        <v>1720</v>
      </c>
      <c r="F55" s="7" t="s">
        <v>309</v>
      </c>
      <c r="G55" s="7" t="s">
        <v>55</v>
      </c>
      <c r="H55" s="7"/>
    </row>
    <row r="56" spans="1:8" ht="17.100000000000001" customHeight="1" x14ac:dyDescent="0.25">
      <c r="A56" s="6" t="s">
        <v>314</v>
      </c>
      <c r="B56" s="6" t="s">
        <v>313</v>
      </c>
      <c r="C56" s="6" t="s">
        <v>76</v>
      </c>
      <c r="D56" s="6" t="s">
        <v>74</v>
      </c>
      <c r="E56" s="6" t="s">
        <v>1720</v>
      </c>
      <c r="F56" s="7" t="s">
        <v>312</v>
      </c>
      <c r="G56" s="7" t="s">
        <v>55</v>
      </c>
      <c r="H56" s="7"/>
    </row>
    <row r="57" spans="1:8" ht="17.100000000000001" customHeight="1" x14ac:dyDescent="0.25">
      <c r="A57" s="6" t="s">
        <v>317</v>
      </c>
      <c r="B57" s="6" t="s">
        <v>316</v>
      </c>
      <c r="C57" s="6" t="s">
        <v>76</v>
      </c>
      <c r="D57" s="6" t="s">
        <v>74</v>
      </c>
      <c r="E57" s="6" t="s">
        <v>1720</v>
      </c>
      <c r="F57" s="7" t="s">
        <v>315</v>
      </c>
      <c r="G57" s="7" t="s">
        <v>55</v>
      </c>
      <c r="H57" s="7"/>
    </row>
    <row r="58" spans="1:8" ht="17.100000000000001" customHeight="1" x14ac:dyDescent="0.25">
      <c r="A58" s="6" t="s">
        <v>320</v>
      </c>
      <c r="B58" s="6" t="s">
        <v>319</v>
      </c>
      <c r="C58" s="6" t="s">
        <v>76</v>
      </c>
      <c r="D58" s="6" t="s">
        <v>74</v>
      </c>
      <c r="E58" s="6" t="s">
        <v>1720</v>
      </c>
      <c r="F58" s="7" t="s">
        <v>318</v>
      </c>
      <c r="G58" s="7" t="s">
        <v>55</v>
      </c>
      <c r="H58" s="7"/>
    </row>
    <row r="59" spans="1:8" ht="17.100000000000001" customHeight="1" x14ac:dyDescent="0.25">
      <c r="A59" s="6" t="s">
        <v>323</v>
      </c>
      <c r="B59" s="6" t="s">
        <v>322</v>
      </c>
      <c r="C59" s="6" t="s">
        <v>76</v>
      </c>
      <c r="D59" s="6" t="s">
        <v>74</v>
      </c>
      <c r="E59" s="6" t="s">
        <v>1720</v>
      </c>
      <c r="F59" s="7" t="s">
        <v>321</v>
      </c>
      <c r="G59" s="7" t="s">
        <v>55</v>
      </c>
      <c r="H59" s="7"/>
    </row>
    <row r="60" spans="1:8" ht="17.100000000000001" customHeight="1" x14ac:dyDescent="0.25">
      <c r="A60" s="6" t="s">
        <v>326</v>
      </c>
      <c r="B60" s="6" t="s">
        <v>325</v>
      </c>
      <c r="C60" s="6" t="s">
        <v>76</v>
      </c>
      <c r="D60" s="6" t="s">
        <v>74</v>
      </c>
      <c r="E60" s="6" t="s">
        <v>1720</v>
      </c>
      <c r="F60" s="7" t="s">
        <v>324</v>
      </c>
      <c r="G60" s="7" t="s">
        <v>55</v>
      </c>
      <c r="H60" s="7"/>
    </row>
    <row r="61" spans="1:8" ht="17.100000000000001" customHeight="1" x14ac:dyDescent="0.25">
      <c r="A61" s="6" t="s">
        <v>329</v>
      </c>
      <c r="B61" s="6" t="s">
        <v>328</v>
      </c>
      <c r="C61" s="6" t="s">
        <v>76</v>
      </c>
      <c r="D61" s="6" t="s">
        <v>74</v>
      </c>
      <c r="E61" s="6" t="s">
        <v>1720</v>
      </c>
      <c r="F61" s="7" t="s">
        <v>327</v>
      </c>
      <c r="G61" s="7" t="s">
        <v>55</v>
      </c>
      <c r="H61" s="7"/>
    </row>
    <row r="62" spans="1:8" ht="17.100000000000001" customHeight="1" x14ac:dyDescent="0.25">
      <c r="A62" s="6" t="s">
        <v>332</v>
      </c>
      <c r="B62" s="6" t="s">
        <v>331</v>
      </c>
      <c r="C62" s="6" t="s">
        <v>76</v>
      </c>
      <c r="D62" s="6" t="s">
        <v>74</v>
      </c>
      <c r="E62" s="6" t="s">
        <v>1720</v>
      </c>
      <c r="F62" s="7" t="s">
        <v>330</v>
      </c>
      <c r="G62" s="7" t="s">
        <v>55</v>
      </c>
      <c r="H62" s="7"/>
    </row>
    <row r="63" spans="1:8" ht="17.100000000000001" customHeight="1" x14ac:dyDescent="0.25">
      <c r="A63" s="6" t="s">
        <v>290</v>
      </c>
      <c r="B63" s="6" t="s">
        <v>238</v>
      </c>
      <c r="C63" s="6" t="s">
        <v>76</v>
      </c>
      <c r="D63" s="6" t="s">
        <v>74</v>
      </c>
      <c r="E63" s="6" t="s">
        <v>1720</v>
      </c>
      <c r="F63" s="7" t="s">
        <v>237</v>
      </c>
      <c r="G63" s="7" t="s">
        <v>55</v>
      </c>
      <c r="H63" s="7"/>
    </row>
    <row r="64" spans="1:8" ht="17.100000000000001" customHeight="1" x14ac:dyDescent="0.25">
      <c r="A64" s="6" t="s">
        <v>288</v>
      </c>
      <c r="B64" s="6" t="s">
        <v>287</v>
      </c>
      <c r="C64" s="6" t="s">
        <v>76</v>
      </c>
      <c r="D64" s="6" t="s">
        <v>74</v>
      </c>
      <c r="E64" s="6" t="s">
        <v>1720</v>
      </c>
      <c r="F64" s="7" t="s">
        <v>286</v>
      </c>
      <c r="G64" s="7" t="s">
        <v>55</v>
      </c>
      <c r="H64" s="7"/>
    </row>
    <row r="65" spans="1:8" ht="17.100000000000001" customHeight="1" x14ac:dyDescent="0.25">
      <c r="A65" s="6" t="s">
        <v>285</v>
      </c>
      <c r="B65" s="6" t="s">
        <v>284</v>
      </c>
      <c r="C65" s="6" t="s">
        <v>76</v>
      </c>
      <c r="D65" s="6" t="s">
        <v>74</v>
      </c>
      <c r="E65" s="6" t="s">
        <v>1720</v>
      </c>
      <c r="F65" s="7" t="s">
        <v>283</v>
      </c>
      <c r="G65" s="7" t="s">
        <v>55</v>
      </c>
      <c r="H65" s="7"/>
    </row>
    <row r="66" spans="1:8" ht="17.100000000000001" customHeight="1" x14ac:dyDescent="0.25">
      <c r="A66" s="6" t="s">
        <v>289</v>
      </c>
      <c r="B66" s="6" t="s">
        <v>235</v>
      </c>
      <c r="C66" s="6" t="s">
        <v>76</v>
      </c>
      <c r="D66" s="6" t="s">
        <v>74</v>
      </c>
      <c r="E66" s="6" t="s">
        <v>1720</v>
      </c>
      <c r="F66" s="7" t="s">
        <v>234</v>
      </c>
      <c r="G66" s="7" t="s">
        <v>55</v>
      </c>
      <c r="H66" s="7"/>
    </row>
    <row r="67" spans="1:8" ht="17.100000000000001" customHeight="1" x14ac:dyDescent="0.25">
      <c r="A67" s="6"/>
      <c r="B67" s="6"/>
      <c r="C67" s="6"/>
      <c r="D67" s="6"/>
      <c r="E67" s="6"/>
      <c r="F67" s="7"/>
      <c r="G67" s="7"/>
      <c r="H67" s="7"/>
    </row>
    <row r="68" spans="1:8" ht="17.100000000000001" customHeight="1" x14ac:dyDescent="0.25">
      <c r="A68" s="6" t="s">
        <v>292</v>
      </c>
      <c r="B68" s="6" t="s">
        <v>1617</v>
      </c>
      <c r="C68" s="6" t="s">
        <v>76</v>
      </c>
      <c r="D68" s="6" t="s">
        <v>82</v>
      </c>
      <c r="E68" s="6" t="s">
        <v>1720</v>
      </c>
      <c r="F68" s="7" t="s">
        <v>291</v>
      </c>
      <c r="G68" s="7" t="s">
        <v>55</v>
      </c>
      <c r="H68" s="7"/>
    </row>
    <row r="69" spans="1:8" ht="17.100000000000001" customHeight="1" x14ac:dyDescent="0.25">
      <c r="A69" s="6" t="s">
        <v>302</v>
      </c>
      <c r="B69" s="6" t="s">
        <v>1612</v>
      </c>
      <c r="C69" s="6" t="s">
        <v>76</v>
      </c>
      <c r="D69" s="6" t="s">
        <v>82</v>
      </c>
      <c r="E69" s="6" t="s">
        <v>1720</v>
      </c>
      <c r="F69" s="7" t="s">
        <v>301</v>
      </c>
      <c r="G69" s="7" t="s">
        <v>55</v>
      </c>
      <c r="H69" s="7"/>
    </row>
    <row r="70" spans="1:8" ht="17.100000000000001" customHeight="1" x14ac:dyDescent="0.25">
      <c r="A70" s="6" t="s">
        <v>306</v>
      </c>
      <c r="B70" s="6" t="s">
        <v>1612</v>
      </c>
      <c r="C70" s="6" t="s">
        <v>76</v>
      </c>
      <c r="D70" s="6" t="s">
        <v>82</v>
      </c>
      <c r="E70" s="6" t="s">
        <v>1720</v>
      </c>
      <c r="F70" s="7" t="s">
        <v>305</v>
      </c>
      <c r="G70" s="7" t="s">
        <v>55</v>
      </c>
      <c r="H70" s="7"/>
    </row>
    <row r="71" spans="1:8" ht="17.100000000000001" customHeight="1" x14ac:dyDescent="0.25">
      <c r="A71" s="6" t="s">
        <v>300</v>
      </c>
      <c r="B71" s="6" t="s">
        <v>61</v>
      </c>
      <c r="C71" s="6" t="s">
        <v>76</v>
      </c>
      <c r="D71" s="6" t="s">
        <v>82</v>
      </c>
      <c r="E71" s="6" t="s">
        <v>1720</v>
      </c>
      <c r="F71" s="7" t="s">
        <v>299</v>
      </c>
      <c r="G71" s="7" t="s">
        <v>55</v>
      </c>
      <c r="H71" s="7"/>
    </row>
    <row r="72" spans="1:8" ht="17.100000000000001" customHeight="1" x14ac:dyDescent="0.25">
      <c r="A72" s="6" t="s">
        <v>304</v>
      </c>
      <c r="B72" s="6" t="s">
        <v>62</v>
      </c>
      <c r="C72" s="6" t="s">
        <v>76</v>
      </c>
      <c r="D72" s="6" t="s">
        <v>82</v>
      </c>
      <c r="E72" s="6" t="s">
        <v>1720</v>
      </c>
      <c r="F72" s="7" t="s">
        <v>303</v>
      </c>
      <c r="G72" s="7" t="s">
        <v>55</v>
      </c>
      <c r="H72" s="7"/>
    </row>
    <row r="73" spans="1:8" ht="17.100000000000001" customHeight="1" x14ac:dyDescent="0.25">
      <c r="A73" s="16"/>
      <c r="B73" s="16"/>
      <c r="C73" s="16"/>
      <c r="D73" s="16"/>
      <c r="E73" s="16"/>
      <c r="F73" s="17"/>
      <c r="G73" s="17"/>
      <c r="H73" s="17"/>
    </row>
    <row r="74" spans="1:8" ht="17.100000000000001" customHeight="1" x14ac:dyDescent="0.25">
      <c r="A74" s="6" t="s">
        <v>90</v>
      </c>
      <c r="B74" s="6" t="s">
        <v>1608</v>
      </c>
      <c r="C74" s="6" t="s">
        <v>76</v>
      </c>
      <c r="D74" s="6" t="s">
        <v>82</v>
      </c>
      <c r="E74" s="6" t="s">
        <v>1719</v>
      </c>
      <c r="F74" s="7" t="s">
        <v>89</v>
      </c>
      <c r="G74" s="7" t="s">
        <v>64</v>
      </c>
      <c r="H74" s="7" t="s">
        <v>1718</v>
      </c>
    </row>
    <row r="75" spans="1:8" ht="17.100000000000001" customHeight="1" x14ac:dyDescent="0.25">
      <c r="A75" s="6" t="s">
        <v>92</v>
      </c>
      <c r="B75" s="6" t="s">
        <v>1608</v>
      </c>
      <c r="C75" s="6" t="s">
        <v>76</v>
      </c>
      <c r="D75" s="6" t="s">
        <v>82</v>
      </c>
      <c r="E75" s="6" t="s">
        <v>1719</v>
      </c>
      <c r="F75" s="7" t="s">
        <v>91</v>
      </c>
      <c r="G75" s="7" t="s">
        <v>64</v>
      </c>
      <c r="H75" s="7"/>
    </row>
    <row r="76" spans="1:8" ht="17.100000000000001" customHeight="1" x14ac:dyDescent="0.25">
      <c r="A76" s="6" t="s">
        <v>94</v>
      </c>
      <c r="B76" s="6" t="s">
        <v>54</v>
      </c>
      <c r="C76" s="6" t="s">
        <v>76</v>
      </c>
      <c r="D76" s="6" t="s">
        <v>82</v>
      </c>
      <c r="E76" s="6" t="s">
        <v>1719</v>
      </c>
      <c r="F76" s="7" t="s">
        <v>93</v>
      </c>
      <c r="G76" s="7" t="s">
        <v>64</v>
      </c>
      <c r="H76" s="7"/>
    </row>
    <row r="77" spans="1:8" ht="17.100000000000001" customHeight="1" x14ac:dyDescent="0.25">
      <c r="A77" s="6" t="s">
        <v>96</v>
      </c>
      <c r="B77" s="6" t="s">
        <v>54</v>
      </c>
      <c r="C77" s="6" t="s">
        <v>76</v>
      </c>
      <c r="D77" s="6" t="s">
        <v>82</v>
      </c>
      <c r="E77" s="6" t="s">
        <v>1719</v>
      </c>
      <c r="F77" s="7" t="s">
        <v>95</v>
      </c>
      <c r="G77" s="7" t="s">
        <v>64</v>
      </c>
      <c r="H77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G77">
    <cfRule type="containsText" dxfId="53" priority="5" operator="containsText" text="UJ1100">
      <formula>NOT(ISERROR(SEARCH("UJ1100",A14)))</formula>
    </cfRule>
    <cfRule type="containsText" dxfId="52" priority="6" operator="containsText" text="BA1100">
      <formula>NOT(ISERROR(SEARCH("BA1100",A14)))</formula>
    </cfRule>
    <cfRule type="containsText" dxfId="51" priority="7" operator="containsText" text="FU1100">
      <formula>NOT(ISERROR(SEARCH("FU1100",A14)))</formula>
    </cfRule>
    <cfRule type="containsText" dxfId="50" priority="8" operator="containsText" text="FU1101">
      <formula>NOT(ISERROR(SEARCH("FU1101",A14)))</formula>
    </cfRule>
  </conditionalFormatting>
  <conditionalFormatting sqref="A14:H77">
    <cfRule type="containsText" dxfId="49" priority="1" operator="containsText" text="XT0236">
      <formula>NOT(ISERROR(SEARCH("XT0236",A14)))</formula>
    </cfRule>
    <cfRule type="containsText" dxfId="48" priority="2" operator="containsText" text="XT0290M">
      <formula>NOT(ISERROR(SEARCH("XT0290M",A14)))</formula>
    </cfRule>
    <cfRule type="containsText" dxfId="47" priority="3" operator="containsText" text="XT0001">
      <formula>NOT(ISERROR(SEARCH("XT0001",A14)))</formula>
    </cfRule>
    <cfRule type="containsText" dxfId="46" priority="4" operator="containsText" text="XT9070M">
      <formula>NOT(ISERROR(SEARCH("XT9070M",A14)))</formula>
    </cfRule>
    <cfRule type="containsText" dxfId="45" priority="9" operator="containsText" text="AT">
      <formula>NOT(ISERROR(SEARCH("AT",A14)))</formula>
    </cfRule>
    <cfRule type="containsText" dxfId="44" priority="10" operator="containsText" text="SA0">
      <formula>NOT(ISERROR(SEARCH("SA0",A14)))</formula>
    </cfRule>
    <cfRule type="containsText" dxfId="43" priority="11" operator="containsText" text="SH0">
      <formula>NOT(ISERROR(SEARCH("SH0",A14)))</formula>
    </cfRule>
    <cfRule type="containsText" dxfId="42" priority="12" operator="containsText" text="SB">
      <formula>NOT(ISERROR(SEARCH("SB",A14)))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A8EB-CBA4-40EF-896E-687924BD0D7A}">
  <sheetPr>
    <tabColor rgb="FF7030A0"/>
  </sheetPr>
  <dimension ref="A1:I29"/>
  <sheetViews>
    <sheetView showGridLines="0" workbookViewId="0">
      <selection activeCell="A15" sqref="A15"/>
    </sheetView>
  </sheetViews>
  <sheetFormatPr defaultRowHeight="17.100000000000001" customHeight="1" x14ac:dyDescent="0.25"/>
  <cols>
    <col min="1" max="1" width="12.710937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1" t="s">
        <v>64</v>
      </c>
      <c r="B1" s="21"/>
      <c r="C1" s="21"/>
      <c r="D1" s="21"/>
    </row>
    <row r="2" spans="1:9" ht="12.75" customHeight="1" x14ac:dyDescent="0.25">
      <c r="A2" s="22" t="s">
        <v>37</v>
      </c>
      <c r="B2" s="22"/>
      <c r="C2" s="22"/>
      <c r="D2" s="22"/>
    </row>
    <row r="3" spans="1:9" ht="12" customHeight="1" x14ac:dyDescent="0.25">
      <c r="A3" s="1" t="s">
        <v>0</v>
      </c>
      <c r="B3" s="20" t="s">
        <v>1</v>
      </c>
      <c r="C3" s="20"/>
      <c r="D3" s="20"/>
    </row>
    <row r="4" spans="1:9" ht="12.75" customHeight="1" x14ac:dyDescent="0.25">
      <c r="A4" s="1" t="s">
        <v>2</v>
      </c>
      <c r="B4" s="20" t="s">
        <v>3</v>
      </c>
      <c r="C4" s="20"/>
      <c r="D4" s="20"/>
    </row>
    <row r="5" spans="1:9" ht="12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81</v>
      </c>
      <c r="B14" s="6" t="s">
        <v>65</v>
      </c>
      <c r="C14" s="6" t="s">
        <v>76</v>
      </c>
      <c r="D14" s="6" t="s">
        <v>82</v>
      </c>
      <c r="E14" s="6" t="s">
        <v>1714</v>
      </c>
      <c r="F14" s="7" t="s">
        <v>83</v>
      </c>
      <c r="G14" s="7" t="s">
        <v>64</v>
      </c>
      <c r="H14" s="7" t="s">
        <v>1677</v>
      </c>
    </row>
    <row r="15" spans="1:9" ht="17.100000000000001" customHeight="1" x14ac:dyDescent="0.25">
      <c r="A15" s="6" t="s">
        <v>84</v>
      </c>
      <c r="B15" s="6" t="s">
        <v>66</v>
      </c>
      <c r="C15" s="6" t="s">
        <v>76</v>
      </c>
      <c r="D15" s="6" t="s">
        <v>82</v>
      </c>
      <c r="E15" s="6" t="s">
        <v>1714</v>
      </c>
      <c r="F15" s="7" t="s">
        <v>85</v>
      </c>
      <c r="G15" s="7" t="s">
        <v>64</v>
      </c>
      <c r="H15" s="7"/>
    </row>
    <row r="16" spans="1:9" ht="17.100000000000001" customHeight="1" x14ac:dyDescent="0.25">
      <c r="A16" s="6" t="s">
        <v>86</v>
      </c>
      <c r="B16" s="6" t="s">
        <v>67</v>
      </c>
      <c r="C16" s="6" t="s">
        <v>76</v>
      </c>
      <c r="D16" s="6" t="s">
        <v>82</v>
      </c>
      <c r="E16" s="6" t="s">
        <v>1714</v>
      </c>
      <c r="F16" s="7" t="s">
        <v>87</v>
      </c>
      <c r="G16" s="7" t="s">
        <v>64</v>
      </c>
      <c r="H16" s="7"/>
    </row>
    <row r="17" spans="1:8" ht="17.100000000000001" customHeight="1" x14ac:dyDescent="0.25">
      <c r="A17" s="18"/>
      <c r="B17" s="18"/>
      <c r="C17" s="18"/>
      <c r="D17" s="18"/>
      <c r="E17" s="18"/>
      <c r="F17" s="19"/>
      <c r="G17" s="19"/>
      <c r="H17" s="19"/>
    </row>
    <row r="18" spans="1:8" ht="17.100000000000001" customHeight="1" x14ac:dyDescent="0.25">
      <c r="A18" s="6" t="s">
        <v>75</v>
      </c>
      <c r="B18" s="6" t="s">
        <v>1608</v>
      </c>
      <c r="C18" s="6" t="s">
        <v>76</v>
      </c>
      <c r="D18" s="6" t="s">
        <v>73</v>
      </c>
      <c r="E18" s="6" t="s">
        <v>1714</v>
      </c>
      <c r="F18" s="7" t="s">
        <v>77</v>
      </c>
      <c r="G18" s="7" t="s">
        <v>64</v>
      </c>
      <c r="H18" s="7" t="s">
        <v>1678</v>
      </c>
    </row>
    <row r="19" spans="1:8" ht="17.100000000000001" customHeight="1" x14ac:dyDescent="0.25">
      <c r="A19" s="6" t="s">
        <v>78</v>
      </c>
      <c r="B19" s="6" t="s">
        <v>79</v>
      </c>
      <c r="C19" s="6" t="s">
        <v>76</v>
      </c>
      <c r="D19" s="6" t="s">
        <v>73</v>
      </c>
      <c r="E19" s="6" t="s">
        <v>1714</v>
      </c>
      <c r="F19" s="7" t="s">
        <v>80</v>
      </c>
      <c r="G19" s="7" t="s">
        <v>64</v>
      </c>
      <c r="H19" s="7"/>
    </row>
    <row r="20" spans="1:8" ht="17.100000000000001" customHeight="1" x14ac:dyDescent="0.25">
      <c r="A20" s="6" t="s">
        <v>88</v>
      </c>
      <c r="B20" s="6" t="s">
        <v>79</v>
      </c>
      <c r="C20" s="6" t="s">
        <v>76</v>
      </c>
      <c r="D20" s="6" t="s">
        <v>73</v>
      </c>
      <c r="E20" s="6" t="s">
        <v>1714</v>
      </c>
      <c r="F20" s="7" t="s">
        <v>80</v>
      </c>
      <c r="G20" s="7" t="s">
        <v>64</v>
      </c>
      <c r="H20" s="7"/>
    </row>
    <row r="21" spans="1:8" ht="17.100000000000001" customHeight="1" x14ac:dyDescent="0.25">
      <c r="A21" s="16"/>
      <c r="B21" s="16"/>
      <c r="C21" s="16"/>
      <c r="D21" s="16"/>
      <c r="E21" s="16"/>
      <c r="F21" s="17"/>
      <c r="G21" s="17"/>
      <c r="H21" s="17"/>
    </row>
    <row r="22" spans="1:8" ht="17.100000000000001" customHeight="1" x14ac:dyDescent="0.25">
      <c r="A22" s="6" t="s">
        <v>97</v>
      </c>
      <c r="B22" s="6" t="s">
        <v>1608</v>
      </c>
      <c r="C22" s="6" t="s">
        <v>76</v>
      </c>
      <c r="D22" s="6" t="s">
        <v>73</v>
      </c>
      <c r="E22" s="6" t="s">
        <v>1721</v>
      </c>
      <c r="F22" s="7" t="s">
        <v>98</v>
      </c>
      <c r="G22" s="7" t="s">
        <v>48</v>
      </c>
      <c r="H22" s="7" t="s">
        <v>1679</v>
      </c>
    </row>
    <row r="23" spans="1:8" ht="17.100000000000001" customHeight="1" x14ac:dyDescent="0.25">
      <c r="A23" s="6" t="s">
        <v>99</v>
      </c>
      <c r="B23" s="6" t="s">
        <v>49</v>
      </c>
      <c r="C23" s="6" t="s">
        <v>76</v>
      </c>
      <c r="D23" s="6" t="s">
        <v>73</v>
      </c>
      <c r="E23" s="6" t="s">
        <v>1721</v>
      </c>
      <c r="F23" s="7" t="s">
        <v>100</v>
      </c>
      <c r="G23" s="7" t="s">
        <v>48</v>
      </c>
      <c r="H23" s="7"/>
    </row>
    <row r="24" spans="1:8" ht="17.100000000000001" customHeight="1" x14ac:dyDescent="0.25">
      <c r="A24" s="16"/>
      <c r="B24" s="16"/>
      <c r="C24" s="16"/>
      <c r="D24" s="16"/>
      <c r="E24" s="16"/>
      <c r="F24" s="17"/>
      <c r="G24" s="17"/>
      <c r="H24" s="17"/>
    </row>
    <row r="25" spans="1:8" ht="17.100000000000001" customHeight="1" x14ac:dyDescent="0.25">
      <c r="A25" s="6" t="s">
        <v>102</v>
      </c>
      <c r="B25" s="6" t="s">
        <v>1608</v>
      </c>
      <c r="C25" s="6" t="s">
        <v>76</v>
      </c>
      <c r="D25" s="6" t="s">
        <v>82</v>
      </c>
      <c r="E25" s="6" t="s">
        <v>1721</v>
      </c>
      <c r="F25" s="7" t="s">
        <v>103</v>
      </c>
      <c r="G25" s="7" t="s">
        <v>55</v>
      </c>
      <c r="H25" s="7" t="s">
        <v>1680</v>
      </c>
    </row>
    <row r="26" spans="1:8" ht="17.100000000000001" customHeight="1" x14ac:dyDescent="0.25">
      <c r="A26" s="18"/>
      <c r="B26" s="18"/>
      <c r="C26" s="18"/>
      <c r="D26" s="18"/>
      <c r="E26" s="18"/>
      <c r="F26" s="19"/>
      <c r="G26" s="19"/>
      <c r="H26" s="19"/>
    </row>
    <row r="27" spans="1:8" ht="17.100000000000001" customHeight="1" x14ac:dyDescent="0.25">
      <c r="A27" s="6" t="s">
        <v>104</v>
      </c>
      <c r="B27" s="6" t="s">
        <v>54</v>
      </c>
      <c r="C27" s="6" t="s">
        <v>76</v>
      </c>
      <c r="D27" s="6" t="s">
        <v>73</v>
      </c>
      <c r="E27" s="6" t="s">
        <v>1721</v>
      </c>
      <c r="F27" s="7" t="s">
        <v>105</v>
      </c>
      <c r="G27" s="7" t="s">
        <v>55</v>
      </c>
      <c r="H27" s="7" t="s">
        <v>1681</v>
      </c>
    </row>
    <row r="28" spans="1:8" ht="17.100000000000001" customHeight="1" x14ac:dyDescent="0.25">
      <c r="A28" s="6" t="s">
        <v>106</v>
      </c>
      <c r="B28" s="6" t="s">
        <v>54</v>
      </c>
      <c r="C28" s="6" t="s">
        <v>76</v>
      </c>
      <c r="D28" s="6" t="s">
        <v>82</v>
      </c>
      <c r="E28" s="6" t="s">
        <v>1721</v>
      </c>
      <c r="F28" s="7" t="s">
        <v>107</v>
      </c>
      <c r="G28" s="7" t="s">
        <v>55</v>
      </c>
      <c r="H28" s="7"/>
    </row>
    <row r="29" spans="1:8" ht="17.100000000000001" customHeight="1" x14ac:dyDescent="0.25">
      <c r="A29" s="6" t="s">
        <v>77</v>
      </c>
      <c r="B29" s="6" t="s">
        <v>1608</v>
      </c>
      <c r="C29" s="6" t="s">
        <v>76</v>
      </c>
      <c r="D29" s="6" t="s">
        <v>73</v>
      </c>
      <c r="E29" s="6" t="s">
        <v>1721</v>
      </c>
      <c r="F29" s="7" t="s">
        <v>108</v>
      </c>
      <c r="G29" s="7" t="s">
        <v>55</v>
      </c>
      <c r="H29" s="7"/>
    </row>
  </sheetData>
  <sortState xmlns:xlrd2="http://schemas.microsoft.com/office/spreadsheetml/2017/richdata2" ref="A18:H20">
    <sortCondition ref="A18:A20"/>
    <sortCondition ref="F18:F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E9A9-D495-47E2-B930-EAD8BD853BB6}">
  <sheetPr>
    <tabColor rgb="FF7030A0"/>
  </sheetPr>
  <dimension ref="A1:I142"/>
  <sheetViews>
    <sheetView showGridLines="0" tabSelected="1" workbookViewId="0">
      <selection activeCell="L141" sqref="L141"/>
    </sheetView>
  </sheetViews>
  <sheetFormatPr defaultRowHeight="17.100000000000001" customHeight="1" x14ac:dyDescent="0.25"/>
  <cols>
    <col min="1" max="1" width="13.570312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0.85546875" bestFit="1" customWidth="1"/>
    <col min="8" max="8" width="10.5703125" bestFit="1" customWidth="1"/>
    <col min="9" max="9" width="10.28515625" customWidth="1"/>
  </cols>
  <sheetData>
    <row r="1" spans="1:9" ht="18" customHeight="1" x14ac:dyDescent="0.25">
      <c r="A1" s="21" t="s">
        <v>48</v>
      </c>
      <c r="B1" s="21"/>
      <c r="C1" s="21"/>
      <c r="D1" s="21"/>
    </row>
    <row r="2" spans="1:9" ht="12.75" customHeight="1" x14ac:dyDescent="0.25">
      <c r="A2" s="22" t="s">
        <v>37</v>
      </c>
      <c r="B2" s="22"/>
      <c r="C2" s="22"/>
      <c r="D2" s="22"/>
    </row>
    <row r="3" spans="1:9" ht="12" customHeight="1" x14ac:dyDescent="0.25">
      <c r="A3" s="1" t="s">
        <v>0</v>
      </c>
      <c r="B3" s="20" t="s">
        <v>1</v>
      </c>
      <c r="C3" s="20"/>
      <c r="D3" s="20"/>
    </row>
    <row r="4" spans="1:9" ht="12.75" customHeight="1" x14ac:dyDescent="0.25">
      <c r="A4" s="1" t="s">
        <v>2</v>
      </c>
      <c r="B4" s="20" t="s">
        <v>3</v>
      </c>
      <c r="C4" s="20"/>
      <c r="D4" s="20"/>
    </row>
    <row r="5" spans="1:9" ht="12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452</v>
      </c>
      <c r="B14" s="6" t="s">
        <v>1640</v>
      </c>
      <c r="C14" s="6" t="s">
        <v>76</v>
      </c>
      <c r="D14" s="6" t="s">
        <v>74</v>
      </c>
      <c r="E14" s="6" t="s">
        <v>1721</v>
      </c>
      <c r="F14" s="7" t="s">
        <v>453</v>
      </c>
      <c r="G14" s="7" t="s">
        <v>48</v>
      </c>
      <c r="H14" s="7" t="s">
        <v>1682</v>
      </c>
    </row>
    <row r="15" spans="1:9" ht="17.100000000000001" customHeight="1" x14ac:dyDescent="0.25">
      <c r="A15" s="6" t="s">
        <v>454</v>
      </c>
      <c r="B15" s="6" t="s">
        <v>1608</v>
      </c>
      <c r="C15" s="6" t="s">
        <v>76</v>
      </c>
      <c r="D15" s="6" t="s">
        <v>74</v>
      </c>
      <c r="E15" s="6" t="s">
        <v>1721</v>
      </c>
      <c r="F15" s="7" t="s">
        <v>455</v>
      </c>
      <c r="G15" s="7" t="s">
        <v>48</v>
      </c>
      <c r="H15" s="7"/>
    </row>
    <row r="16" spans="1:9" ht="17.100000000000001" customHeight="1" x14ac:dyDescent="0.25">
      <c r="A16" s="6" t="s">
        <v>459</v>
      </c>
      <c r="B16" s="6" t="s">
        <v>1608</v>
      </c>
      <c r="C16" s="6" t="s">
        <v>76</v>
      </c>
      <c r="D16" s="6" t="s">
        <v>74</v>
      </c>
      <c r="E16" s="6" t="s">
        <v>1721</v>
      </c>
      <c r="F16" s="7" t="s">
        <v>440</v>
      </c>
      <c r="G16" s="7" t="s">
        <v>48</v>
      </c>
      <c r="H16" s="7"/>
    </row>
    <row r="17" spans="1:8" ht="17.100000000000001" customHeight="1" x14ac:dyDescent="0.25">
      <c r="A17" s="6" t="s">
        <v>463</v>
      </c>
      <c r="B17" s="6" t="s">
        <v>1608</v>
      </c>
      <c r="C17" s="6" t="s">
        <v>76</v>
      </c>
      <c r="D17" s="6" t="s">
        <v>74</v>
      </c>
      <c r="E17" s="6" t="s">
        <v>1721</v>
      </c>
      <c r="F17" s="7" t="s">
        <v>440</v>
      </c>
      <c r="G17" s="7" t="s">
        <v>48</v>
      </c>
      <c r="H17" s="7"/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446</v>
      </c>
      <c r="B19" s="6" t="s">
        <v>447</v>
      </c>
      <c r="C19" s="6" t="s">
        <v>76</v>
      </c>
      <c r="D19" s="6" t="s">
        <v>82</v>
      </c>
      <c r="E19" s="6" t="s">
        <v>1714</v>
      </c>
      <c r="F19" s="7" t="s">
        <v>448</v>
      </c>
      <c r="G19" s="7" t="s">
        <v>48</v>
      </c>
      <c r="H19" s="7"/>
    </row>
    <row r="20" spans="1:8" ht="17.100000000000001" customHeight="1" x14ac:dyDescent="0.25">
      <c r="A20" s="6" t="s">
        <v>449</v>
      </c>
      <c r="B20" s="6" t="s">
        <v>450</v>
      </c>
      <c r="C20" s="6" t="s">
        <v>76</v>
      </c>
      <c r="D20" s="6" t="s">
        <v>82</v>
      </c>
      <c r="E20" s="6" t="s">
        <v>1714</v>
      </c>
      <c r="F20" s="7" t="s">
        <v>451</v>
      </c>
      <c r="G20" s="7" t="s">
        <v>48</v>
      </c>
      <c r="H20" s="7"/>
    </row>
    <row r="21" spans="1:8" ht="17.100000000000001" customHeight="1" x14ac:dyDescent="0.25">
      <c r="A21" s="6"/>
      <c r="B21" s="6"/>
      <c r="C21" s="6"/>
      <c r="D21" s="6"/>
      <c r="E21" s="6"/>
      <c r="F21" s="7"/>
      <c r="G21" s="7"/>
      <c r="H21" s="7"/>
    </row>
    <row r="22" spans="1:8" ht="17.100000000000001" customHeight="1" x14ac:dyDescent="0.25">
      <c r="A22" s="27" t="s">
        <v>1742</v>
      </c>
      <c r="B22" s="28" t="s">
        <v>1743</v>
      </c>
      <c r="C22" s="27" t="s">
        <v>76</v>
      </c>
      <c r="D22" s="27">
        <v>14</v>
      </c>
      <c r="E22" s="27">
        <v>60</v>
      </c>
      <c r="F22" s="27" t="s">
        <v>1744</v>
      </c>
      <c r="G22" s="27" t="s">
        <v>48</v>
      </c>
      <c r="H22" s="27"/>
    </row>
    <row r="23" spans="1:8" ht="17.100000000000001" customHeight="1" x14ac:dyDescent="0.25">
      <c r="A23" s="27" t="s">
        <v>448</v>
      </c>
      <c r="B23" s="28" t="s">
        <v>1743</v>
      </c>
      <c r="C23" s="27" t="s">
        <v>76</v>
      </c>
      <c r="D23" s="27">
        <v>14</v>
      </c>
      <c r="E23" s="27">
        <v>60</v>
      </c>
      <c r="F23" s="27" t="s">
        <v>1745</v>
      </c>
      <c r="G23" s="27" t="s">
        <v>48</v>
      </c>
      <c r="H23" s="27"/>
    </row>
    <row r="24" spans="1:8" ht="17.100000000000001" customHeight="1" x14ac:dyDescent="0.25">
      <c r="A24" s="18"/>
      <c r="B24" s="18"/>
      <c r="C24" s="18"/>
      <c r="D24" s="18"/>
      <c r="E24" s="18"/>
      <c r="F24" s="19"/>
      <c r="G24" s="19"/>
      <c r="H24" s="19"/>
    </row>
    <row r="25" spans="1:8" ht="17.100000000000001" customHeight="1" x14ac:dyDescent="0.25">
      <c r="A25" s="6" t="s">
        <v>476</v>
      </c>
      <c r="B25" s="6" t="s">
        <v>477</v>
      </c>
      <c r="C25" s="6" t="s">
        <v>76</v>
      </c>
      <c r="D25" s="6" t="s">
        <v>82</v>
      </c>
      <c r="E25" s="6" t="s">
        <v>1714</v>
      </c>
      <c r="F25" s="7" t="s">
        <v>478</v>
      </c>
      <c r="G25" s="7" t="s">
        <v>48</v>
      </c>
      <c r="H25" s="7" t="s">
        <v>1683</v>
      </c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487</v>
      </c>
      <c r="B27" s="6" t="s">
        <v>1608</v>
      </c>
      <c r="C27" s="6" t="s">
        <v>76</v>
      </c>
      <c r="D27" s="6" t="s">
        <v>73</v>
      </c>
      <c r="E27" s="6" t="s">
        <v>1714</v>
      </c>
      <c r="F27" s="7" t="s">
        <v>434</v>
      </c>
      <c r="G27" s="7" t="s">
        <v>48</v>
      </c>
      <c r="H27" s="7"/>
    </row>
    <row r="28" spans="1:8" ht="17.100000000000001" customHeight="1" x14ac:dyDescent="0.25">
      <c r="A28" s="6" t="s">
        <v>492</v>
      </c>
      <c r="B28" s="6" t="s">
        <v>1608</v>
      </c>
      <c r="C28" s="6" t="s">
        <v>76</v>
      </c>
      <c r="D28" s="6" t="s">
        <v>73</v>
      </c>
      <c r="E28" s="6" t="s">
        <v>1714</v>
      </c>
      <c r="F28" s="7" t="s">
        <v>434</v>
      </c>
      <c r="G28" s="7" t="s">
        <v>48</v>
      </c>
      <c r="H28" s="7"/>
    </row>
    <row r="29" spans="1:8" ht="17.100000000000001" customHeight="1" x14ac:dyDescent="0.25">
      <c r="A29" s="6" t="s">
        <v>493</v>
      </c>
      <c r="B29" s="6" t="s">
        <v>1608</v>
      </c>
      <c r="C29" s="6" t="s">
        <v>76</v>
      </c>
      <c r="D29" s="6" t="s">
        <v>73</v>
      </c>
      <c r="E29" s="6" t="s">
        <v>1721</v>
      </c>
      <c r="F29" s="7" t="s">
        <v>434</v>
      </c>
      <c r="G29" s="7" t="s">
        <v>48</v>
      </c>
      <c r="H29" s="7"/>
    </row>
    <row r="30" spans="1:8" ht="17.100000000000001" customHeight="1" x14ac:dyDescent="0.25">
      <c r="A30" s="6" t="s">
        <v>479</v>
      </c>
      <c r="B30" s="6" t="s">
        <v>1608</v>
      </c>
      <c r="C30" s="6" t="s">
        <v>76</v>
      </c>
      <c r="D30" s="6" t="s">
        <v>73</v>
      </c>
      <c r="E30" s="6" t="s">
        <v>1721</v>
      </c>
      <c r="F30" s="7" t="s">
        <v>433</v>
      </c>
      <c r="G30" s="7" t="s">
        <v>48</v>
      </c>
      <c r="H30" s="7"/>
    </row>
    <row r="31" spans="1:8" ht="17.100000000000001" customHeight="1" x14ac:dyDescent="0.25">
      <c r="A31" s="6" t="s">
        <v>480</v>
      </c>
      <c r="B31" s="6" t="s">
        <v>481</v>
      </c>
      <c r="C31" s="6" t="s">
        <v>76</v>
      </c>
      <c r="D31" s="6" t="s">
        <v>73</v>
      </c>
      <c r="E31" s="6" t="s">
        <v>1714</v>
      </c>
      <c r="F31" s="7" t="s">
        <v>482</v>
      </c>
      <c r="G31" s="7" t="s">
        <v>48</v>
      </c>
      <c r="H31" s="7"/>
    </row>
    <row r="32" spans="1:8" ht="17.100000000000001" customHeight="1" x14ac:dyDescent="0.25">
      <c r="A32" s="6" t="s">
        <v>494</v>
      </c>
      <c r="B32" s="6" t="s">
        <v>50</v>
      </c>
      <c r="C32" s="6" t="s">
        <v>76</v>
      </c>
      <c r="D32" s="6" t="s">
        <v>73</v>
      </c>
      <c r="E32" s="6" t="s">
        <v>1714</v>
      </c>
      <c r="F32" s="7" t="s">
        <v>495</v>
      </c>
      <c r="G32" s="7" t="s">
        <v>48</v>
      </c>
      <c r="H32" s="7"/>
    </row>
    <row r="33" spans="1:8" ht="17.100000000000001" customHeight="1" x14ac:dyDescent="0.25">
      <c r="A33" s="18"/>
      <c r="B33" s="18"/>
      <c r="C33" s="18"/>
      <c r="D33" s="18"/>
      <c r="E33" s="18"/>
      <c r="F33" s="19"/>
      <c r="G33" s="19"/>
      <c r="H33" s="19"/>
    </row>
    <row r="34" spans="1:8" ht="17.100000000000001" customHeight="1" x14ac:dyDescent="0.25">
      <c r="A34" s="6" t="s">
        <v>502</v>
      </c>
      <c r="B34" s="6" t="s">
        <v>51</v>
      </c>
      <c r="C34" s="6" t="s">
        <v>76</v>
      </c>
      <c r="D34" s="6" t="s">
        <v>73</v>
      </c>
      <c r="E34" s="6" t="s">
        <v>1714</v>
      </c>
      <c r="F34" s="7" t="s">
        <v>441</v>
      </c>
      <c r="G34" s="7" t="s">
        <v>48</v>
      </c>
      <c r="H34" s="7" t="s">
        <v>1684</v>
      </c>
    </row>
    <row r="35" spans="1:8" ht="17.100000000000001" customHeight="1" x14ac:dyDescent="0.25">
      <c r="A35" s="6" t="s">
        <v>504</v>
      </c>
      <c r="B35" s="6" t="s">
        <v>51</v>
      </c>
      <c r="C35" s="6" t="s">
        <v>76</v>
      </c>
      <c r="D35" s="6" t="s">
        <v>73</v>
      </c>
      <c r="E35" s="6" t="s">
        <v>1714</v>
      </c>
      <c r="F35" s="7" t="s">
        <v>422</v>
      </c>
      <c r="G35" s="7" t="s">
        <v>48</v>
      </c>
      <c r="H35" s="7"/>
    </row>
    <row r="36" spans="1:8" ht="17.100000000000001" customHeight="1" x14ac:dyDescent="0.25">
      <c r="A36" s="6" t="s">
        <v>505</v>
      </c>
      <c r="B36" s="6" t="s">
        <v>51</v>
      </c>
      <c r="C36" s="6" t="s">
        <v>76</v>
      </c>
      <c r="D36" s="6" t="s">
        <v>73</v>
      </c>
      <c r="E36" s="6" t="s">
        <v>1714</v>
      </c>
      <c r="F36" s="7" t="s">
        <v>443</v>
      </c>
      <c r="G36" s="7" t="s">
        <v>48</v>
      </c>
      <c r="H36" s="7"/>
    </row>
    <row r="37" spans="1:8" ht="17.100000000000001" customHeight="1" x14ac:dyDescent="0.25">
      <c r="A37" s="6" t="s">
        <v>496</v>
      </c>
      <c r="B37" s="6" t="s">
        <v>52</v>
      </c>
      <c r="C37" s="6" t="s">
        <v>76</v>
      </c>
      <c r="D37" s="6" t="s">
        <v>73</v>
      </c>
      <c r="E37" s="6" t="s">
        <v>1714</v>
      </c>
      <c r="F37" s="7" t="s">
        <v>497</v>
      </c>
      <c r="G37" s="7" t="s">
        <v>48</v>
      </c>
      <c r="H37" s="7"/>
    </row>
    <row r="38" spans="1:8" ht="17.100000000000001" customHeight="1" x14ac:dyDescent="0.25">
      <c r="A38" s="6" t="s">
        <v>496</v>
      </c>
      <c r="B38" s="6" t="s">
        <v>52</v>
      </c>
      <c r="C38" s="6" t="s">
        <v>76</v>
      </c>
      <c r="D38" s="6" t="s">
        <v>73</v>
      </c>
      <c r="E38" s="6" t="s">
        <v>1714</v>
      </c>
      <c r="F38" s="7" t="s">
        <v>444</v>
      </c>
      <c r="G38" s="7" t="s">
        <v>48</v>
      </c>
      <c r="H38" s="7"/>
    </row>
    <row r="39" spans="1:8" ht="17.100000000000001" customHeight="1" x14ac:dyDescent="0.25">
      <c r="A39" s="6" t="s">
        <v>503</v>
      </c>
      <c r="B39" s="6" t="s">
        <v>53</v>
      </c>
      <c r="C39" s="6" t="s">
        <v>76</v>
      </c>
      <c r="D39" s="6" t="s">
        <v>73</v>
      </c>
      <c r="E39" s="6" t="s">
        <v>1714</v>
      </c>
      <c r="F39" s="7" t="s">
        <v>432</v>
      </c>
      <c r="G39" s="7" t="s">
        <v>48</v>
      </c>
      <c r="H39" s="7"/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501</v>
      </c>
      <c r="B41" s="6" t="s">
        <v>52</v>
      </c>
      <c r="C41" s="6" t="s">
        <v>76</v>
      </c>
      <c r="D41" s="6" t="s">
        <v>101</v>
      </c>
      <c r="E41" s="6" t="s">
        <v>1714</v>
      </c>
      <c r="F41" s="7" t="s">
        <v>444</v>
      </c>
      <c r="G41" s="7" t="s">
        <v>48</v>
      </c>
      <c r="H41" s="7"/>
    </row>
    <row r="42" spans="1:8" ht="17.100000000000001" customHeight="1" x14ac:dyDescent="0.25">
      <c r="A42" s="18"/>
      <c r="B42" s="18"/>
      <c r="C42" s="18"/>
      <c r="D42" s="18"/>
      <c r="E42" s="18"/>
      <c r="F42" s="19"/>
      <c r="G42" s="19"/>
      <c r="H42" s="19"/>
    </row>
    <row r="43" spans="1:8" ht="17.100000000000001" customHeight="1" x14ac:dyDescent="0.25">
      <c r="A43" s="6" t="s">
        <v>484</v>
      </c>
      <c r="B43" s="6" t="s">
        <v>1644</v>
      </c>
      <c r="C43" s="6" t="s">
        <v>76</v>
      </c>
      <c r="D43" s="6" t="s">
        <v>74</v>
      </c>
      <c r="E43" s="6" t="s">
        <v>1714</v>
      </c>
      <c r="F43" s="7" t="s">
        <v>483</v>
      </c>
      <c r="G43" s="7" t="s">
        <v>48</v>
      </c>
      <c r="H43" s="7" t="s">
        <v>1687</v>
      </c>
    </row>
    <row r="44" spans="1:8" ht="17.100000000000001" customHeight="1" x14ac:dyDescent="0.25">
      <c r="A44" s="6" t="s">
        <v>486</v>
      </c>
      <c r="B44" s="6" t="s">
        <v>1645</v>
      </c>
      <c r="C44" s="6" t="s">
        <v>76</v>
      </c>
      <c r="D44" s="6" t="s">
        <v>74</v>
      </c>
      <c r="E44" s="6" t="s">
        <v>1714</v>
      </c>
      <c r="F44" s="7" t="s">
        <v>485</v>
      </c>
      <c r="G44" s="7" t="s">
        <v>48</v>
      </c>
      <c r="H44" s="7"/>
    </row>
    <row r="45" spans="1:8" ht="17.100000000000001" customHeight="1" x14ac:dyDescent="0.25">
      <c r="A45" s="6" t="s">
        <v>489</v>
      </c>
      <c r="B45" s="6" t="s">
        <v>1646</v>
      </c>
      <c r="C45" s="6" t="s">
        <v>76</v>
      </c>
      <c r="D45" s="6" t="s">
        <v>74</v>
      </c>
      <c r="E45" s="6" t="s">
        <v>1714</v>
      </c>
      <c r="F45" s="7" t="s">
        <v>488</v>
      </c>
      <c r="G45" s="7" t="s">
        <v>48</v>
      </c>
      <c r="H45" s="7"/>
    </row>
    <row r="46" spans="1:8" ht="17.100000000000001" customHeight="1" x14ac:dyDescent="0.25">
      <c r="A46" s="6" t="s">
        <v>491</v>
      </c>
      <c r="B46" s="6" t="s">
        <v>1647</v>
      </c>
      <c r="C46" s="6" t="s">
        <v>76</v>
      </c>
      <c r="D46" s="6" t="s">
        <v>74</v>
      </c>
      <c r="E46" s="6" t="s">
        <v>1714</v>
      </c>
      <c r="F46" s="7" t="s">
        <v>490</v>
      </c>
      <c r="G46" s="7" t="s">
        <v>48</v>
      </c>
      <c r="H46" s="7"/>
    </row>
    <row r="47" spans="1:8" ht="17.100000000000001" customHeight="1" x14ac:dyDescent="0.25">
      <c r="A47" s="18"/>
      <c r="B47" s="18"/>
      <c r="C47" s="18"/>
      <c r="D47" s="18"/>
      <c r="E47" s="18"/>
      <c r="F47" s="19"/>
      <c r="G47" s="19"/>
      <c r="H47" s="19"/>
    </row>
    <row r="48" spans="1:8" ht="17.100000000000001" customHeight="1" x14ac:dyDescent="0.25">
      <c r="A48" s="7" t="s">
        <v>465</v>
      </c>
      <c r="B48" s="6" t="s">
        <v>1641</v>
      </c>
      <c r="C48" s="6" t="s">
        <v>76</v>
      </c>
      <c r="D48" s="6" t="s">
        <v>74</v>
      </c>
      <c r="E48" s="6" t="s">
        <v>1721</v>
      </c>
      <c r="F48" s="6" t="s">
        <v>464</v>
      </c>
      <c r="G48" s="7" t="s">
        <v>48</v>
      </c>
      <c r="H48" s="7" t="s">
        <v>1722</v>
      </c>
    </row>
    <row r="49" spans="1:8" ht="17.100000000000001" customHeight="1" x14ac:dyDescent="0.25">
      <c r="A49" s="7" t="s">
        <v>467</v>
      </c>
      <c r="B49" s="6" t="s">
        <v>1642</v>
      </c>
      <c r="C49" s="6" t="s">
        <v>76</v>
      </c>
      <c r="D49" s="6" t="s">
        <v>74</v>
      </c>
      <c r="E49" s="6" t="s">
        <v>1721</v>
      </c>
      <c r="F49" s="6" t="s">
        <v>466</v>
      </c>
      <c r="G49" s="7" t="s">
        <v>48</v>
      </c>
      <c r="H49" s="7"/>
    </row>
    <row r="50" spans="1:8" ht="17.100000000000001" customHeight="1" x14ac:dyDescent="0.25">
      <c r="A50" s="7" t="s">
        <v>469</v>
      </c>
      <c r="B50" s="6" t="s">
        <v>1643</v>
      </c>
      <c r="C50" s="6" t="s">
        <v>76</v>
      </c>
      <c r="D50" s="6" t="s">
        <v>74</v>
      </c>
      <c r="E50" s="6" t="s">
        <v>1721</v>
      </c>
      <c r="F50" s="6" t="s">
        <v>468</v>
      </c>
      <c r="G50" s="7" t="s">
        <v>48</v>
      </c>
      <c r="H50" s="7"/>
    </row>
    <row r="51" spans="1:8" ht="17.100000000000001" customHeight="1" x14ac:dyDescent="0.25">
      <c r="A51" s="18"/>
      <c r="B51" s="18"/>
      <c r="C51" s="18"/>
      <c r="D51" s="18"/>
      <c r="E51" s="18"/>
      <c r="F51" s="19"/>
      <c r="G51" s="19"/>
      <c r="H51" s="19"/>
    </row>
    <row r="52" spans="1:8" ht="17.100000000000001" customHeight="1" x14ac:dyDescent="0.25">
      <c r="A52" s="7" t="s">
        <v>462</v>
      </c>
      <c r="B52" s="6" t="s">
        <v>461</v>
      </c>
      <c r="C52" s="6" t="s">
        <v>76</v>
      </c>
      <c r="D52" s="6" t="s">
        <v>74</v>
      </c>
      <c r="E52" s="6" t="s">
        <v>1733</v>
      </c>
      <c r="F52" s="6" t="s">
        <v>460</v>
      </c>
      <c r="G52" s="7" t="s">
        <v>48</v>
      </c>
      <c r="H52" s="7" t="s">
        <v>1686</v>
      </c>
    </row>
    <row r="53" spans="1:8" ht="17.100000000000001" customHeight="1" x14ac:dyDescent="0.25">
      <c r="A53" s="7" t="s">
        <v>475</v>
      </c>
      <c r="B53" s="6" t="s">
        <v>474</v>
      </c>
      <c r="C53" s="6" t="s">
        <v>76</v>
      </c>
      <c r="D53" s="6" t="s">
        <v>74</v>
      </c>
      <c r="E53" s="6" t="s">
        <v>1714</v>
      </c>
      <c r="F53" s="6" t="s">
        <v>473</v>
      </c>
      <c r="G53" s="7" t="s">
        <v>48</v>
      </c>
      <c r="H53" s="7"/>
    </row>
    <row r="54" spans="1:8" ht="17.100000000000001" customHeight="1" x14ac:dyDescent="0.25">
      <c r="A54" s="7" t="s">
        <v>472</v>
      </c>
      <c r="B54" s="6" t="s">
        <v>471</v>
      </c>
      <c r="C54" s="6" t="s">
        <v>76</v>
      </c>
      <c r="D54" s="6" t="s">
        <v>74</v>
      </c>
      <c r="E54" s="6" t="s">
        <v>1714</v>
      </c>
      <c r="F54" s="6" t="s">
        <v>470</v>
      </c>
      <c r="G54" s="7" t="s">
        <v>48</v>
      </c>
      <c r="H54" s="7"/>
    </row>
    <row r="55" spans="1:8" ht="17.100000000000001" customHeight="1" x14ac:dyDescent="0.25">
      <c r="A55" s="7" t="s">
        <v>458</v>
      </c>
      <c r="B55" s="6" t="s">
        <v>457</v>
      </c>
      <c r="C55" s="6" t="s">
        <v>76</v>
      </c>
      <c r="D55" s="6" t="s">
        <v>74</v>
      </c>
      <c r="E55" s="6" t="s">
        <v>1733</v>
      </c>
      <c r="F55" s="6" t="s">
        <v>456</v>
      </c>
      <c r="G55" s="7" t="s">
        <v>48</v>
      </c>
      <c r="H55" s="7"/>
    </row>
    <row r="56" spans="1:8" ht="17.100000000000001" customHeight="1" x14ac:dyDescent="0.25">
      <c r="A56" s="6"/>
      <c r="B56" s="6"/>
      <c r="C56" s="6"/>
      <c r="D56" s="6"/>
      <c r="E56" s="6"/>
      <c r="F56" s="7"/>
      <c r="G56" s="7"/>
      <c r="H56" s="7"/>
    </row>
    <row r="57" spans="1:8" ht="17.100000000000001" customHeight="1" x14ac:dyDescent="0.25">
      <c r="A57" s="6" t="s">
        <v>507</v>
      </c>
      <c r="B57" s="6" t="s">
        <v>1648</v>
      </c>
      <c r="C57" s="6" t="s">
        <v>76</v>
      </c>
      <c r="D57" s="6" t="s">
        <v>101</v>
      </c>
      <c r="E57" s="6" t="s">
        <v>1714</v>
      </c>
      <c r="F57" s="7" t="s">
        <v>508</v>
      </c>
      <c r="G57" s="7" t="s">
        <v>48</v>
      </c>
      <c r="H57" s="7"/>
    </row>
    <row r="58" spans="1:8" ht="17.100000000000001" customHeight="1" x14ac:dyDescent="0.25">
      <c r="A58" s="7" t="s">
        <v>500</v>
      </c>
      <c r="B58" s="6" t="s">
        <v>499</v>
      </c>
      <c r="C58" s="6" t="s">
        <v>76</v>
      </c>
      <c r="D58" s="6" t="s">
        <v>101</v>
      </c>
      <c r="E58" s="6" t="s">
        <v>1714</v>
      </c>
      <c r="F58" s="6" t="s">
        <v>498</v>
      </c>
      <c r="G58" s="7" t="s">
        <v>48</v>
      </c>
      <c r="H58" s="7"/>
    </row>
    <row r="59" spans="1:8" ht="17.100000000000001" customHeight="1" x14ac:dyDescent="0.25">
      <c r="A59" s="18"/>
      <c r="B59" s="18"/>
      <c r="C59" s="18"/>
      <c r="D59" s="18"/>
      <c r="E59" s="18"/>
      <c r="F59" s="19"/>
      <c r="G59" s="19"/>
      <c r="H59" s="19"/>
    </row>
    <row r="60" spans="1:8" ht="17.100000000000001" customHeight="1" x14ac:dyDescent="0.25">
      <c r="A60" s="27" t="s">
        <v>1745</v>
      </c>
      <c r="B60" s="28" t="s">
        <v>1743</v>
      </c>
      <c r="C60" s="27" t="s">
        <v>76</v>
      </c>
      <c r="D60" s="27">
        <v>20</v>
      </c>
      <c r="E60" s="27">
        <v>60</v>
      </c>
      <c r="F60" s="27" t="s">
        <v>438</v>
      </c>
      <c r="G60" s="27" t="s">
        <v>48</v>
      </c>
      <c r="H60" s="7" t="s">
        <v>1685</v>
      </c>
    </row>
    <row r="61" spans="1:8" ht="17.100000000000001" customHeight="1" x14ac:dyDescent="0.25">
      <c r="A61" s="27" t="s">
        <v>413</v>
      </c>
      <c r="B61" s="28" t="s">
        <v>1743</v>
      </c>
      <c r="C61" s="27" t="s">
        <v>76</v>
      </c>
      <c r="D61" s="27">
        <v>20</v>
      </c>
      <c r="E61" s="27">
        <v>60</v>
      </c>
      <c r="F61" s="27" t="s">
        <v>1746</v>
      </c>
      <c r="G61" s="27" t="s">
        <v>48</v>
      </c>
      <c r="H61" s="7"/>
    </row>
    <row r="62" spans="1:8" ht="17.100000000000001" customHeight="1" x14ac:dyDescent="0.25">
      <c r="A62" s="29" t="s">
        <v>455</v>
      </c>
      <c r="B62" s="29" t="s">
        <v>1608</v>
      </c>
      <c r="C62" s="29" t="s">
        <v>76</v>
      </c>
      <c r="D62" s="29" t="s">
        <v>74</v>
      </c>
      <c r="E62" s="29" t="s">
        <v>1714</v>
      </c>
      <c r="F62" s="30" t="s">
        <v>439</v>
      </c>
      <c r="G62" s="30" t="s">
        <v>48</v>
      </c>
      <c r="H62" s="27"/>
    </row>
    <row r="63" spans="1:8" ht="17.100000000000001" customHeight="1" x14ac:dyDescent="0.25">
      <c r="A63" s="29" t="s">
        <v>438</v>
      </c>
      <c r="B63" s="29" t="s">
        <v>1608</v>
      </c>
      <c r="C63" s="29" t="s">
        <v>76</v>
      </c>
      <c r="D63" s="29" t="s">
        <v>74</v>
      </c>
      <c r="E63" s="29" t="s">
        <v>1721</v>
      </c>
      <c r="F63" s="30" t="s">
        <v>433</v>
      </c>
      <c r="G63" s="30" t="s">
        <v>48</v>
      </c>
      <c r="H63" s="27"/>
    </row>
    <row r="64" spans="1:8" ht="17.100000000000001" customHeight="1" x14ac:dyDescent="0.25">
      <c r="A64" s="27" t="s">
        <v>665</v>
      </c>
      <c r="B64" s="28" t="s">
        <v>231</v>
      </c>
      <c r="C64" s="27" t="s">
        <v>76</v>
      </c>
      <c r="D64" s="27">
        <v>20</v>
      </c>
      <c r="E64" s="27">
        <v>60</v>
      </c>
      <c r="F64" s="27" t="s">
        <v>1747</v>
      </c>
      <c r="G64" s="27" t="s">
        <v>48</v>
      </c>
      <c r="H64" s="27"/>
    </row>
    <row r="65" spans="1:8" ht="17.100000000000001" customHeight="1" x14ac:dyDescent="0.25">
      <c r="A65" s="27" t="s">
        <v>667</v>
      </c>
      <c r="B65" s="28" t="s">
        <v>668</v>
      </c>
      <c r="C65" s="27" t="s">
        <v>76</v>
      </c>
      <c r="D65" s="27">
        <v>20</v>
      </c>
      <c r="E65" s="27">
        <v>60</v>
      </c>
      <c r="F65" s="27" t="s">
        <v>1748</v>
      </c>
      <c r="G65" s="27" t="s">
        <v>48</v>
      </c>
      <c r="H65" s="27"/>
    </row>
    <row r="66" spans="1:8" ht="17.100000000000001" customHeight="1" x14ac:dyDescent="0.25">
      <c r="A66" s="6"/>
      <c r="B66" s="6"/>
      <c r="C66" s="6"/>
      <c r="D66" s="6"/>
      <c r="E66" s="6"/>
      <c r="F66" s="7"/>
      <c r="G66" s="7"/>
      <c r="H66" s="7"/>
    </row>
    <row r="67" spans="1:8" ht="17.100000000000001" customHeight="1" x14ac:dyDescent="0.25">
      <c r="A67" s="6" t="s">
        <v>435</v>
      </c>
      <c r="B67" s="6" t="s">
        <v>1608</v>
      </c>
      <c r="C67" s="6" t="s">
        <v>76</v>
      </c>
      <c r="D67" s="6" t="s">
        <v>73</v>
      </c>
      <c r="E67" s="6" t="s">
        <v>1714</v>
      </c>
      <c r="F67" s="7" t="s">
        <v>98</v>
      </c>
      <c r="G67" s="7" t="s">
        <v>48</v>
      </c>
      <c r="H67" s="7"/>
    </row>
    <row r="68" spans="1:8" ht="17.100000000000001" customHeight="1" x14ac:dyDescent="0.25">
      <c r="A68" s="6" t="s">
        <v>98</v>
      </c>
      <c r="B68" s="6" t="s">
        <v>1608</v>
      </c>
      <c r="C68" s="6" t="s">
        <v>76</v>
      </c>
      <c r="D68" s="6" t="s">
        <v>73</v>
      </c>
      <c r="E68" s="6" t="s">
        <v>1714</v>
      </c>
      <c r="F68" s="7" t="s">
        <v>413</v>
      </c>
      <c r="G68" s="7" t="s">
        <v>48</v>
      </c>
      <c r="H68" s="7"/>
    </row>
    <row r="69" spans="1:8" ht="17.100000000000001" customHeight="1" x14ac:dyDescent="0.25">
      <c r="A69" s="6" t="s">
        <v>506</v>
      </c>
      <c r="B69" s="6" t="s">
        <v>52</v>
      </c>
      <c r="C69" s="6" t="s">
        <v>76</v>
      </c>
      <c r="D69" s="6" t="s">
        <v>73</v>
      </c>
      <c r="E69" s="6" t="s">
        <v>1714</v>
      </c>
      <c r="F69" s="7" t="s">
        <v>445</v>
      </c>
      <c r="G69" s="7" t="s">
        <v>48</v>
      </c>
      <c r="H69" s="7"/>
    </row>
    <row r="70" spans="1:8" ht="17.100000000000001" customHeight="1" x14ac:dyDescent="0.25">
      <c r="A70" s="16"/>
      <c r="B70" s="16"/>
      <c r="C70" s="16"/>
      <c r="D70" s="16"/>
      <c r="E70" s="16"/>
      <c r="F70" s="17"/>
      <c r="G70" s="17"/>
      <c r="H70" s="17"/>
    </row>
    <row r="71" spans="1:8" ht="17.100000000000001" customHeight="1" x14ac:dyDescent="0.25">
      <c r="A71" s="6" t="s">
        <v>344</v>
      </c>
      <c r="B71" s="6" t="s">
        <v>342</v>
      </c>
      <c r="C71" s="6" t="s">
        <v>76</v>
      </c>
      <c r="D71" s="6" t="s">
        <v>74</v>
      </c>
      <c r="E71" s="6" t="s">
        <v>1719</v>
      </c>
      <c r="F71" s="7" t="s">
        <v>341</v>
      </c>
      <c r="G71" s="7" t="s">
        <v>55</v>
      </c>
      <c r="H71" s="7" t="s">
        <v>1689</v>
      </c>
    </row>
    <row r="72" spans="1:8" ht="17.100000000000001" customHeight="1" x14ac:dyDescent="0.25">
      <c r="A72" s="6" t="s">
        <v>350</v>
      </c>
      <c r="B72" s="6" t="s">
        <v>349</v>
      </c>
      <c r="C72" s="6" t="s">
        <v>76</v>
      </c>
      <c r="D72" s="6" t="s">
        <v>74</v>
      </c>
      <c r="E72" s="6" t="s">
        <v>1719</v>
      </c>
      <c r="F72" s="7" t="s">
        <v>348</v>
      </c>
      <c r="G72" s="7" t="s">
        <v>55</v>
      </c>
      <c r="H72" s="7"/>
    </row>
    <row r="73" spans="1:8" ht="17.100000000000001" customHeight="1" x14ac:dyDescent="0.25">
      <c r="A73" s="6" t="s">
        <v>353</v>
      </c>
      <c r="B73" s="6" t="s">
        <v>352</v>
      </c>
      <c r="C73" s="6" t="s">
        <v>76</v>
      </c>
      <c r="D73" s="6" t="s">
        <v>74</v>
      </c>
      <c r="E73" s="6" t="s">
        <v>1719</v>
      </c>
      <c r="F73" s="7" t="s">
        <v>351</v>
      </c>
      <c r="G73" s="7" t="s">
        <v>55</v>
      </c>
      <c r="H73" s="7"/>
    </row>
    <row r="74" spans="1:8" ht="17.100000000000001" customHeight="1" x14ac:dyDescent="0.25">
      <c r="A74" s="6" t="s">
        <v>430</v>
      </c>
      <c r="B74" s="6" t="s">
        <v>429</v>
      </c>
      <c r="C74" s="6" t="s">
        <v>76</v>
      </c>
      <c r="D74" s="6" t="s">
        <v>74</v>
      </c>
      <c r="E74" s="6" t="s">
        <v>1719</v>
      </c>
      <c r="F74" s="7" t="s">
        <v>428</v>
      </c>
      <c r="G74" s="7" t="s">
        <v>55</v>
      </c>
      <c r="H74" s="7"/>
    </row>
    <row r="75" spans="1:8" ht="17.100000000000001" customHeight="1" x14ac:dyDescent="0.25">
      <c r="A75" s="18"/>
      <c r="B75" s="18"/>
      <c r="C75" s="18"/>
      <c r="D75" s="18"/>
      <c r="E75" s="18"/>
      <c r="F75" s="19"/>
      <c r="G75" s="19"/>
      <c r="H75" s="19"/>
    </row>
    <row r="76" spans="1:8" ht="17.100000000000001" customHeight="1" x14ac:dyDescent="0.25">
      <c r="A76" s="6" t="s">
        <v>404</v>
      </c>
      <c r="B76" s="6" t="s">
        <v>1637</v>
      </c>
      <c r="C76" s="6" t="s">
        <v>76</v>
      </c>
      <c r="D76" s="6" t="s">
        <v>74</v>
      </c>
      <c r="E76" s="6" t="s">
        <v>1719</v>
      </c>
      <c r="F76" s="7" t="s">
        <v>403</v>
      </c>
      <c r="G76" s="7" t="s">
        <v>55</v>
      </c>
      <c r="H76" s="7" t="s">
        <v>1690</v>
      </c>
    </row>
    <row r="77" spans="1:8" ht="17.100000000000001" customHeight="1" x14ac:dyDescent="0.25">
      <c r="A77" s="6" t="s">
        <v>392</v>
      </c>
      <c r="B77" s="6" t="s">
        <v>1631</v>
      </c>
      <c r="C77" s="6" t="s">
        <v>76</v>
      </c>
      <c r="D77" s="6" t="s">
        <v>74</v>
      </c>
      <c r="E77" s="6" t="s">
        <v>1719</v>
      </c>
      <c r="F77" s="7" t="s">
        <v>391</v>
      </c>
      <c r="G77" s="7" t="s">
        <v>55</v>
      </c>
      <c r="H77" s="7"/>
    </row>
    <row r="78" spans="1:8" ht="17.100000000000001" customHeight="1" x14ac:dyDescent="0.25">
      <c r="A78" s="6" t="s">
        <v>400</v>
      </c>
      <c r="B78" s="6" t="s">
        <v>1635</v>
      </c>
      <c r="C78" s="6" t="s">
        <v>76</v>
      </c>
      <c r="D78" s="6" t="s">
        <v>74</v>
      </c>
      <c r="E78" s="6" t="s">
        <v>1719</v>
      </c>
      <c r="F78" s="7" t="s">
        <v>399</v>
      </c>
      <c r="G78" s="7" t="s">
        <v>55</v>
      </c>
      <c r="H78" s="7"/>
    </row>
    <row r="79" spans="1:8" ht="17.100000000000001" customHeight="1" x14ac:dyDescent="0.25">
      <c r="A79" s="6" t="s">
        <v>396</v>
      </c>
      <c r="B79" s="6" t="s">
        <v>1633</v>
      </c>
      <c r="C79" s="6" t="s">
        <v>76</v>
      </c>
      <c r="D79" s="6" t="s">
        <v>74</v>
      </c>
      <c r="E79" s="6" t="s">
        <v>1719</v>
      </c>
      <c r="F79" s="7" t="s">
        <v>395</v>
      </c>
      <c r="G79" s="7" t="s">
        <v>55</v>
      </c>
      <c r="H79" s="7"/>
    </row>
    <row r="80" spans="1:8" ht="17.100000000000001" customHeight="1" x14ac:dyDescent="0.25">
      <c r="A80" s="6" t="s">
        <v>406</v>
      </c>
      <c r="B80" s="6" t="s">
        <v>1638</v>
      </c>
      <c r="C80" s="6" t="s">
        <v>76</v>
      </c>
      <c r="D80" s="6" t="s">
        <v>74</v>
      </c>
      <c r="E80" s="6" t="s">
        <v>1719</v>
      </c>
      <c r="F80" s="7" t="s">
        <v>405</v>
      </c>
      <c r="G80" s="7" t="s">
        <v>55</v>
      </c>
      <c r="H80" s="7"/>
    </row>
    <row r="81" spans="1:8" ht="17.100000000000001" customHeight="1" x14ac:dyDescent="0.25">
      <c r="A81" s="6" t="s">
        <v>394</v>
      </c>
      <c r="B81" s="6" t="s">
        <v>1632</v>
      </c>
      <c r="C81" s="6" t="s">
        <v>76</v>
      </c>
      <c r="D81" s="6" t="s">
        <v>74</v>
      </c>
      <c r="E81" s="6" t="s">
        <v>1719</v>
      </c>
      <c r="F81" s="7" t="s">
        <v>393</v>
      </c>
      <c r="G81" s="7" t="s">
        <v>55</v>
      </c>
      <c r="H81" s="7"/>
    </row>
    <row r="82" spans="1:8" ht="17.100000000000001" customHeight="1" x14ac:dyDescent="0.25">
      <c r="A82" s="6" t="s">
        <v>402</v>
      </c>
      <c r="B82" s="6" t="s">
        <v>1636</v>
      </c>
      <c r="C82" s="6" t="s">
        <v>76</v>
      </c>
      <c r="D82" s="6" t="s">
        <v>74</v>
      </c>
      <c r="E82" s="6" t="s">
        <v>1719</v>
      </c>
      <c r="F82" s="7" t="s">
        <v>401</v>
      </c>
      <c r="G82" s="7" t="s">
        <v>55</v>
      </c>
      <c r="H82" s="7"/>
    </row>
    <row r="83" spans="1:8" ht="17.100000000000001" customHeight="1" x14ac:dyDescent="0.25">
      <c r="A83" s="6" t="s">
        <v>398</v>
      </c>
      <c r="B83" s="6" t="s">
        <v>1634</v>
      </c>
      <c r="C83" s="6" t="s">
        <v>76</v>
      </c>
      <c r="D83" s="6" t="s">
        <v>74</v>
      </c>
      <c r="E83" s="6" t="s">
        <v>1719</v>
      </c>
      <c r="F83" s="7" t="s">
        <v>397</v>
      </c>
      <c r="G83" s="7" t="s">
        <v>55</v>
      </c>
      <c r="H83" s="7"/>
    </row>
    <row r="84" spans="1:8" ht="17.100000000000001" customHeight="1" x14ac:dyDescent="0.25">
      <c r="A84" s="6" t="s">
        <v>366</v>
      </c>
      <c r="B84" s="6" t="s">
        <v>1621</v>
      </c>
      <c r="C84" s="6" t="s">
        <v>76</v>
      </c>
      <c r="D84" s="6" t="s">
        <v>74</v>
      </c>
      <c r="E84" s="6" t="s">
        <v>1719</v>
      </c>
      <c r="F84" s="7" t="s">
        <v>365</v>
      </c>
      <c r="G84" s="7" t="s">
        <v>55</v>
      </c>
      <c r="H84" s="7"/>
    </row>
    <row r="85" spans="1:8" ht="17.100000000000001" customHeight="1" x14ac:dyDescent="0.25">
      <c r="A85" s="6" t="s">
        <v>370</v>
      </c>
      <c r="B85" s="6" t="s">
        <v>1623</v>
      </c>
      <c r="C85" s="6" t="s">
        <v>76</v>
      </c>
      <c r="D85" s="6" t="s">
        <v>74</v>
      </c>
      <c r="E85" s="6" t="s">
        <v>1719</v>
      </c>
      <c r="F85" s="7" t="s">
        <v>369</v>
      </c>
      <c r="G85" s="7" t="s">
        <v>55</v>
      </c>
      <c r="H85" s="7"/>
    </row>
    <row r="86" spans="1:8" ht="17.100000000000001" customHeight="1" x14ac:dyDescent="0.25">
      <c r="A86" s="6" t="s">
        <v>361</v>
      </c>
      <c r="B86" s="6" t="s">
        <v>1619</v>
      </c>
      <c r="C86" s="6" t="s">
        <v>76</v>
      </c>
      <c r="D86" s="6" t="s">
        <v>74</v>
      </c>
      <c r="E86" s="6" t="s">
        <v>1719</v>
      </c>
      <c r="F86" s="7" t="s">
        <v>360</v>
      </c>
      <c r="G86" s="7" t="s">
        <v>55</v>
      </c>
      <c r="H86" s="7"/>
    </row>
    <row r="87" spans="1:8" ht="17.100000000000001" customHeight="1" x14ac:dyDescent="0.25">
      <c r="A87" s="6" t="s">
        <v>362</v>
      </c>
      <c r="B87" s="6" t="s">
        <v>1610</v>
      </c>
      <c r="C87" s="6" t="s">
        <v>76</v>
      </c>
      <c r="D87" s="6" t="s">
        <v>74</v>
      </c>
      <c r="E87" s="6" t="s">
        <v>1719</v>
      </c>
      <c r="F87" s="7" t="s">
        <v>218</v>
      </c>
      <c r="G87" s="7" t="s">
        <v>55</v>
      </c>
      <c r="H87" s="7"/>
    </row>
    <row r="88" spans="1:8" ht="17.100000000000001" customHeight="1" x14ac:dyDescent="0.25">
      <c r="A88" s="6" t="s">
        <v>364</v>
      </c>
      <c r="B88" s="6" t="s">
        <v>1620</v>
      </c>
      <c r="C88" s="6" t="s">
        <v>76</v>
      </c>
      <c r="D88" s="6" t="s">
        <v>74</v>
      </c>
      <c r="E88" s="6" t="s">
        <v>1719</v>
      </c>
      <c r="F88" s="7" t="s">
        <v>363</v>
      </c>
      <c r="G88" s="7" t="s">
        <v>55</v>
      </c>
      <c r="H88" s="7"/>
    </row>
    <row r="89" spans="1:8" ht="17.100000000000001" customHeight="1" x14ac:dyDescent="0.25">
      <c r="A89" s="6" t="s">
        <v>368</v>
      </c>
      <c r="B89" s="6" t="s">
        <v>1622</v>
      </c>
      <c r="C89" s="6" t="s">
        <v>76</v>
      </c>
      <c r="D89" s="6" t="s">
        <v>74</v>
      </c>
      <c r="E89" s="6" t="s">
        <v>1719</v>
      </c>
      <c r="F89" s="7" t="s">
        <v>367</v>
      </c>
      <c r="G89" s="7" t="s">
        <v>55</v>
      </c>
      <c r="H89" s="7"/>
    </row>
    <row r="90" spans="1:8" ht="17.100000000000001" customHeight="1" x14ac:dyDescent="0.25">
      <c r="A90" s="6" t="s">
        <v>359</v>
      </c>
      <c r="B90" s="6" t="s">
        <v>1618</v>
      </c>
      <c r="C90" s="6" t="s">
        <v>76</v>
      </c>
      <c r="D90" s="6" t="s">
        <v>74</v>
      </c>
      <c r="E90" s="6" t="s">
        <v>1719</v>
      </c>
      <c r="F90" s="7" t="s">
        <v>358</v>
      </c>
      <c r="G90" s="7" t="s">
        <v>55</v>
      </c>
      <c r="H90" s="7"/>
    </row>
    <row r="91" spans="1:8" ht="17.100000000000001" customHeight="1" x14ac:dyDescent="0.25">
      <c r="A91" s="6" t="s">
        <v>415</v>
      </c>
      <c r="B91" s="6" t="s">
        <v>1639</v>
      </c>
      <c r="C91" s="6" t="s">
        <v>76</v>
      </c>
      <c r="D91" s="6" t="s">
        <v>74</v>
      </c>
      <c r="E91" s="6" t="s">
        <v>1719</v>
      </c>
      <c r="F91" s="7" t="s">
        <v>414</v>
      </c>
      <c r="G91" s="7" t="s">
        <v>55</v>
      </c>
      <c r="H91" s="7"/>
    </row>
    <row r="92" spans="1:8" ht="17.100000000000001" customHeight="1" x14ac:dyDescent="0.25">
      <c r="A92" s="6" t="s">
        <v>357</v>
      </c>
      <c r="B92" s="6" t="s">
        <v>1611</v>
      </c>
      <c r="C92" s="6" t="s">
        <v>76</v>
      </c>
      <c r="D92" s="6" t="s">
        <v>74</v>
      </c>
      <c r="E92" s="6" t="s">
        <v>1719</v>
      </c>
      <c r="F92" s="7" t="s">
        <v>223</v>
      </c>
      <c r="G92" s="7" t="s">
        <v>55</v>
      </c>
      <c r="H92" s="7"/>
    </row>
    <row r="93" spans="1:8" ht="17.100000000000001" customHeight="1" x14ac:dyDescent="0.25">
      <c r="A93" s="6" t="s">
        <v>343</v>
      </c>
      <c r="B93" s="6" t="s">
        <v>342</v>
      </c>
      <c r="C93" s="6" t="s">
        <v>76</v>
      </c>
      <c r="D93" s="6" t="s">
        <v>74</v>
      </c>
      <c r="E93" s="6" t="s">
        <v>1719</v>
      </c>
      <c r="F93" s="7" t="s">
        <v>341</v>
      </c>
      <c r="G93" s="7" t="s">
        <v>55</v>
      </c>
      <c r="H93" s="7"/>
    </row>
    <row r="94" spans="1:8" ht="17.100000000000001" customHeight="1" x14ac:dyDescent="0.25">
      <c r="A94" s="6" t="s">
        <v>347</v>
      </c>
      <c r="B94" s="6" t="s">
        <v>346</v>
      </c>
      <c r="C94" s="6" t="s">
        <v>76</v>
      </c>
      <c r="D94" s="6" t="s">
        <v>74</v>
      </c>
      <c r="E94" s="6" t="s">
        <v>1719</v>
      </c>
      <c r="F94" s="7" t="s">
        <v>345</v>
      </c>
      <c r="G94" s="7" t="s">
        <v>55</v>
      </c>
      <c r="H94" s="7"/>
    </row>
    <row r="95" spans="1:8" ht="17.100000000000001" customHeight="1" x14ac:dyDescent="0.25">
      <c r="A95" s="6" t="s">
        <v>375</v>
      </c>
      <c r="B95" s="6" t="s">
        <v>374</v>
      </c>
      <c r="C95" s="6" t="s">
        <v>76</v>
      </c>
      <c r="D95" s="6" t="s">
        <v>74</v>
      </c>
      <c r="E95" s="6" t="s">
        <v>1719</v>
      </c>
      <c r="F95" s="7" t="s">
        <v>373</v>
      </c>
      <c r="G95" s="7" t="s">
        <v>55</v>
      </c>
      <c r="H95" s="7"/>
    </row>
    <row r="96" spans="1:8" ht="17.100000000000001" customHeight="1" x14ac:dyDescent="0.25">
      <c r="A96" s="6" t="s">
        <v>378</v>
      </c>
      <c r="B96" s="6" t="s">
        <v>377</v>
      </c>
      <c r="C96" s="6" t="s">
        <v>76</v>
      </c>
      <c r="D96" s="6" t="s">
        <v>74</v>
      </c>
      <c r="E96" s="6" t="s">
        <v>1719</v>
      </c>
      <c r="F96" s="7" t="s">
        <v>376</v>
      </c>
      <c r="G96" s="7" t="s">
        <v>55</v>
      </c>
      <c r="H96" s="7"/>
    </row>
    <row r="97" spans="1:8" ht="17.100000000000001" customHeight="1" x14ac:dyDescent="0.25">
      <c r="A97" s="6" t="s">
        <v>409</v>
      </c>
      <c r="B97" s="6" t="s">
        <v>408</v>
      </c>
      <c r="C97" s="6" t="s">
        <v>76</v>
      </c>
      <c r="D97" s="6" t="s">
        <v>74</v>
      </c>
      <c r="E97" s="6" t="s">
        <v>1719</v>
      </c>
      <c r="F97" s="7" t="s">
        <v>407</v>
      </c>
      <c r="G97" s="7" t="s">
        <v>55</v>
      </c>
      <c r="H97" s="7"/>
    </row>
    <row r="98" spans="1:8" ht="17.100000000000001" customHeight="1" x14ac:dyDescent="0.25">
      <c r="A98" s="6" t="s">
        <v>412</v>
      </c>
      <c r="B98" s="6" t="s">
        <v>411</v>
      </c>
      <c r="C98" s="6" t="s">
        <v>76</v>
      </c>
      <c r="D98" s="6" t="s">
        <v>74</v>
      </c>
      <c r="E98" s="6" t="s">
        <v>1719</v>
      </c>
      <c r="F98" s="7" t="s">
        <v>410</v>
      </c>
      <c r="G98" s="7" t="s">
        <v>55</v>
      </c>
      <c r="H98" s="7"/>
    </row>
    <row r="99" spans="1:8" ht="17.100000000000001" customHeight="1" x14ac:dyDescent="0.25">
      <c r="A99" s="6" t="s">
        <v>418</v>
      </c>
      <c r="B99" s="6" t="s">
        <v>417</v>
      </c>
      <c r="C99" s="6" t="s">
        <v>76</v>
      </c>
      <c r="D99" s="6" t="s">
        <v>74</v>
      </c>
      <c r="E99" s="6" t="s">
        <v>1719</v>
      </c>
      <c r="F99" s="7" t="s">
        <v>416</v>
      </c>
      <c r="G99" s="7" t="s">
        <v>55</v>
      </c>
      <c r="H99" s="7"/>
    </row>
    <row r="100" spans="1:8" ht="17.100000000000001" customHeight="1" x14ac:dyDescent="0.25">
      <c r="A100" s="6" t="s">
        <v>421</v>
      </c>
      <c r="B100" s="6" t="s">
        <v>420</v>
      </c>
      <c r="C100" s="6" t="s">
        <v>76</v>
      </c>
      <c r="D100" s="6" t="s">
        <v>74</v>
      </c>
      <c r="E100" s="6" t="s">
        <v>1719</v>
      </c>
      <c r="F100" s="7" t="s">
        <v>419</v>
      </c>
      <c r="G100" s="7" t="s">
        <v>55</v>
      </c>
      <c r="H100" s="7"/>
    </row>
    <row r="101" spans="1:8" ht="17.100000000000001" customHeight="1" x14ac:dyDescent="0.25">
      <c r="A101" s="6"/>
      <c r="B101" s="6"/>
      <c r="C101" s="6"/>
      <c r="D101" s="6"/>
      <c r="E101" s="6"/>
      <c r="F101" s="7"/>
      <c r="G101" s="7"/>
      <c r="H101" s="7"/>
    </row>
    <row r="102" spans="1:8" ht="17.100000000000001" customHeight="1" x14ac:dyDescent="0.25">
      <c r="A102" s="6" t="s">
        <v>380</v>
      </c>
      <c r="B102" s="6" t="s">
        <v>1625</v>
      </c>
      <c r="C102" s="6" t="s">
        <v>76</v>
      </c>
      <c r="D102" s="6" t="s">
        <v>82</v>
      </c>
      <c r="E102" s="6" t="s">
        <v>1719</v>
      </c>
      <c r="F102" s="7" t="s">
        <v>379</v>
      </c>
      <c r="G102" s="7" t="s">
        <v>55</v>
      </c>
      <c r="H102" s="7"/>
    </row>
    <row r="103" spans="1:8" ht="17.100000000000001" customHeight="1" x14ac:dyDescent="0.25">
      <c r="A103" s="6" t="s">
        <v>384</v>
      </c>
      <c r="B103" s="6" t="s">
        <v>1627</v>
      </c>
      <c r="C103" s="6" t="s">
        <v>76</v>
      </c>
      <c r="D103" s="6" t="s">
        <v>82</v>
      </c>
      <c r="E103" s="6" t="s">
        <v>1719</v>
      </c>
      <c r="F103" s="7" t="s">
        <v>383</v>
      </c>
      <c r="G103" s="7" t="s">
        <v>55</v>
      </c>
      <c r="H103" s="7"/>
    </row>
    <row r="104" spans="1:8" ht="17.100000000000001" customHeight="1" x14ac:dyDescent="0.25">
      <c r="A104" s="6" t="s">
        <v>382</v>
      </c>
      <c r="B104" s="6" t="s">
        <v>1626</v>
      </c>
      <c r="C104" s="6" t="s">
        <v>76</v>
      </c>
      <c r="D104" s="6" t="s">
        <v>82</v>
      </c>
      <c r="E104" s="6" t="s">
        <v>1719</v>
      </c>
      <c r="F104" s="7" t="s">
        <v>381</v>
      </c>
      <c r="G104" s="7" t="s">
        <v>55</v>
      </c>
      <c r="H104" s="7"/>
    </row>
    <row r="105" spans="1:8" ht="17.100000000000001" customHeight="1" x14ac:dyDescent="0.25">
      <c r="A105" s="6" t="s">
        <v>386</v>
      </c>
      <c r="B105" s="6" t="s">
        <v>1628</v>
      </c>
      <c r="C105" s="6" t="s">
        <v>76</v>
      </c>
      <c r="D105" s="6" t="s">
        <v>82</v>
      </c>
      <c r="E105" s="6" t="s">
        <v>1719</v>
      </c>
      <c r="F105" s="7" t="s">
        <v>385</v>
      </c>
      <c r="G105" s="7" t="s">
        <v>55</v>
      </c>
      <c r="H105" s="7"/>
    </row>
    <row r="106" spans="1:8" ht="17.100000000000001" customHeight="1" x14ac:dyDescent="0.25">
      <c r="A106" s="6" t="s">
        <v>388</v>
      </c>
      <c r="B106" s="6" t="s">
        <v>1629</v>
      </c>
      <c r="C106" s="6" t="s">
        <v>76</v>
      </c>
      <c r="D106" s="6" t="s">
        <v>82</v>
      </c>
      <c r="E106" s="6" t="s">
        <v>1719</v>
      </c>
      <c r="F106" s="7" t="s">
        <v>387</v>
      </c>
      <c r="G106" s="7" t="s">
        <v>55</v>
      </c>
      <c r="H106" s="7"/>
    </row>
    <row r="107" spans="1:8" ht="17.100000000000001" customHeight="1" x14ac:dyDescent="0.25">
      <c r="A107" s="6" t="s">
        <v>390</v>
      </c>
      <c r="B107" s="6" t="s">
        <v>1630</v>
      </c>
      <c r="C107" s="6" t="s">
        <v>76</v>
      </c>
      <c r="D107" s="6" t="s">
        <v>82</v>
      </c>
      <c r="E107" s="6" t="s">
        <v>1719</v>
      </c>
      <c r="F107" s="7" t="s">
        <v>389</v>
      </c>
      <c r="G107" s="7" t="s">
        <v>55</v>
      </c>
      <c r="H107" s="7"/>
    </row>
    <row r="108" spans="1:8" ht="17.100000000000001" customHeight="1" x14ac:dyDescent="0.25">
      <c r="A108" s="6"/>
      <c r="B108" s="6"/>
      <c r="C108" s="6"/>
      <c r="D108" s="6"/>
      <c r="E108" s="6"/>
      <c r="F108" s="7"/>
      <c r="G108" s="7"/>
      <c r="H108" s="7"/>
    </row>
    <row r="109" spans="1:8" ht="17.100000000000001" customHeight="1" x14ac:dyDescent="0.25">
      <c r="A109" s="6" t="s">
        <v>372</v>
      </c>
      <c r="B109" s="6" t="s">
        <v>1624</v>
      </c>
      <c r="C109" s="6" t="s">
        <v>76</v>
      </c>
      <c r="D109" s="6" t="s">
        <v>73</v>
      </c>
      <c r="E109" s="6" t="s">
        <v>1719</v>
      </c>
      <c r="F109" s="7" t="s">
        <v>371</v>
      </c>
      <c r="G109" s="7" t="s">
        <v>55</v>
      </c>
      <c r="H109" s="7"/>
    </row>
    <row r="110" spans="1:8" ht="17.100000000000001" customHeight="1" x14ac:dyDescent="0.25">
      <c r="A110" s="18"/>
      <c r="B110" s="18"/>
      <c r="C110" s="18"/>
      <c r="D110" s="18"/>
      <c r="E110" s="18"/>
      <c r="F110" s="19"/>
      <c r="G110" s="19"/>
      <c r="H110" s="19"/>
    </row>
    <row r="111" spans="1:8" ht="17.100000000000001" customHeight="1" x14ac:dyDescent="0.25">
      <c r="A111" s="6" t="s">
        <v>427</v>
      </c>
      <c r="B111" s="6" t="s">
        <v>1608</v>
      </c>
      <c r="C111" s="6" t="s">
        <v>76</v>
      </c>
      <c r="D111" s="6" t="s">
        <v>74</v>
      </c>
      <c r="E111" s="6" t="s">
        <v>1719</v>
      </c>
      <c r="F111" s="7" t="s">
        <v>108</v>
      </c>
      <c r="G111" s="7" t="s">
        <v>55</v>
      </c>
      <c r="H111" s="7" t="s">
        <v>1693</v>
      </c>
    </row>
    <row r="112" spans="1:8" ht="17.100000000000001" customHeight="1" x14ac:dyDescent="0.25">
      <c r="A112" s="6"/>
      <c r="B112" s="6"/>
      <c r="C112" s="6"/>
      <c r="D112" s="6"/>
      <c r="E112" s="6"/>
      <c r="F112" s="7"/>
      <c r="G112" s="7"/>
      <c r="H112" s="7"/>
    </row>
    <row r="113" spans="1:8" ht="17.100000000000001" customHeight="1" x14ac:dyDescent="0.25">
      <c r="A113" s="6" t="s">
        <v>337</v>
      </c>
      <c r="B113" s="6" t="s">
        <v>59</v>
      </c>
      <c r="C113" s="6" t="s">
        <v>76</v>
      </c>
      <c r="D113" s="6" t="s">
        <v>73</v>
      </c>
      <c r="E113" s="6" t="s">
        <v>1719</v>
      </c>
      <c r="F113" s="7" t="s">
        <v>336</v>
      </c>
      <c r="G113" s="7" t="s">
        <v>55</v>
      </c>
      <c r="H113" s="7"/>
    </row>
    <row r="114" spans="1:8" ht="17.100000000000001" customHeight="1" x14ac:dyDescent="0.25">
      <c r="A114" s="18"/>
      <c r="B114" s="18"/>
      <c r="C114" s="18"/>
      <c r="D114" s="18"/>
      <c r="E114" s="18"/>
      <c r="F114" s="19"/>
      <c r="G114" s="19"/>
      <c r="H114" s="19"/>
    </row>
    <row r="115" spans="1:8" ht="17.100000000000001" customHeight="1" x14ac:dyDescent="0.25">
      <c r="A115" s="6" t="s">
        <v>425</v>
      </c>
      <c r="B115" s="6" t="s">
        <v>1608</v>
      </c>
      <c r="C115" s="6" t="s">
        <v>76</v>
      </c>
      <c r="D115" s="6" t="s">
        <v>73</v>
      </c>
      <c r="E115" s="6" t="s">
        <v>1719</v>
      </c>
      <c r="F115" s="7" t="s">
        <v>103</v>
      </c>
      <c r="G115" s="7" t="s">
        <v>55</v>
      </c>
      <c r="H115" s="7" t="s">
        <v>1694</v>
      </c>
    </row>
    <row r="116" spans="1:8" ht="17.100000000000001" customHeight="1" x14ac:dyDescent="0.25">
      <c r="A116" s="6" t="s">
        <v>426</v>
      </c>
      <c r="B116" s="6" t="s">
        <v>1616</v>
      </c>
      <c r="C116" s="6" t="s">
        <v>76</v>
      </c>
      <c r="D116" s="6" t="s">
        <v>73</v>
      </c>
      <c r="E116" s="6" t="s">
        <v>1719</v>
      </c>
      <c r="F116" s="7" t="s">
        <v>260</v>
      </c>
      <c r="G116" s="7" t="s">
        <v>55</v>
      </c>
      <c r="H116" s="7"/>
    </row>
    <row r="117" spans="1:8" ht="17.100000000000001" customHeight="1" x14ac:dyDescent="0.25">
      <c r="A117" s="6" t="s">
        <v>424</v>
      </c>
      <c r="B117" s="6" t="s">
        <v>54</v>
      </c>
      <c r="C117" s="6" t="s">
        <v>76</v>
      </c>
      <c r="D117" s="6" t="s">
        <v>73</v>
      </c>
      <c r="E117" s="6" t="s">
        <v>1719</v>
      </c>
      <c r="F117" s="7" t="s">
        <v>114</v>
      </c>
      <c r="G117" s="7" t="s">
        <v>55</v>
      </c>
      <c r="H117" s="7"/>
    </row>
    <row r="118" spans="1:8" ht="17.100000000000001" customHeight="1" x14ac:dyDescent="0.25">
      <c r="A118" s="18"/>
      <c r="B118" s="18"/>
      <c r="C118" s="18"/>
      <c r="D118" s="18"/>
      <c r="E118" s="18"/>
      <c r="F118" s="19"/>
      <c r="G118" s="19"/>
      <c r="H118" s="19"/>
    </row>
    <row r="119" spans="1:8" ht="17.100000000000001" customHeight="1" x14ac:dyDescent="0.25">
      <c r="A119" s="6" t="s">
        <v>354</v>
      </c>
      <c r="B119" s="6" t="s">
        <v>1608</v>
      </c>
      <c r="C119" s="6" t="s">
        <v>76</v>
      </c>
      <c r="D119" s="6" t="s">
        <v>74</v>
      </c>
      <c r="E119" s="6" t="s">
        <v>1719</v>
      </c>
      <c r="F119" s="7" t="s">
        <v>201</v>
      </c>
      <c r="G119" s="7" t="s">
        <v>55</v>
      </c>
      <c r="H119" s="7" t="s">
        <v>1692</v>
      </c>
    </row>
    <row r="120" spans="1:8" ht="17.100000000000001" customHeight="1" x14ac:dyDescent="0.25">
      <c r="A120" s="6" t="s">
        <v>354</v>
      </c>
      <c r="B120" s="6" t="s">
        <v>1608</v>
      </c>
      <c r="C120" s="6" t="s">
        <v>76</v>
      </c>
      <c r="D120" s="6" t="s">
        <v>74</v>
      </c>
      <c r="E120" s="6" t="s">
        <v>1719</v>
      </c>
      <c r="F120" s="7" t="s">
        <v>193</v>
      </c>
      <c r="G120" s="7" t="s">
        <v>55</v>
      </c>
      <c r="H120" s="7"/>
    </row>
    <row r="121" spans="1:8" ht="17.100000000000001" customHeight="1" x14ac:dyDescent="0.25">
      <c r="A121" s="6" t="s">
        <v>340</v>
      </c>
      <c r="B121" s="6" t="s">
        <v>339</v>
      </c>
      <c r="C121" s="6" t="s">
        <v>76</v>
      </c>
      <c r="D121" s="6" t="s">
        <v>74</v>
      </c>
      <c r="E121" s="6" t="s">
        <v>1719</v>
      </c>
      <c r="F121" s="7" t="s">
        <v>338</v>
      </c>
      <c r="G121" s="7" t="s">
        <v>55</v>
      </c>
      <c r="H121" s="7"/>
    </row>
    <row r="122" spans="1:8" ht="17.100000000000001" customHeight="1" x14ac:dyDescent="0.25">
      <c r="A122" s="6" t="s">
        <v>340</v>
      </c>
      <c r="B122" s="6" t="s">
        <v>339</v>
      </c>
      <c r="C122" s="6" t="s">
        <v>76</v>
      </c>
      <c r="D122" s="6" t="s">
        <v>74</v>
      </c>
      <c r="E122" s="6" t="s">
        <v>1719</v>
      </c>
      <c r="F122" s="7" t="s">
        <v>356</v>
      </c>
      <c r="G122" s="7" t="s">
        <v>55</v>
      </c>
      <c r="H122" s="7"/>
    </row>
    <row r="123" spans="1:8" ht="17.100000000000001" customHeight="1" x14ac:dyDescent="0.25">
      <c r="A123" s="18"/>
      <c r="B123" s="18"/>
      <c r="C123" s="18"/>
      <c r="D123" s="18"/>
      <c r="E123" s="18"/>
      <c r="F123" s="19"/>
      <c r="G123" s="19"/>
      <c r="H123" s="19"/>
    </row>
    <row r="124" spans="1:8" ht="17.100000000000001" customHeight="1" x14ac:dyDescent="0.25">
      <c r="A124" s="6" t="s">
        <v>413</v>
      </c>
      <c r="B124" s="6" t="s">
        <v>1608</v>
      </c>
      <c r="C124" s="6" t="s">
        <v>76</v>
      </c>
      <c r="D124" s="6" t="s">
        <v>74</v>
      </c>
      <c r="E124" s="6" t="s">
        <v>1719</v>
      </c>
      <c r="F124" s="7" t="s">
        <v>272</v>
      </c>
      <c r="G124" s="7" t="s">
        <v>55</v>
      </c>
      <c r="H124" s="7" t="s">
        <v>1688</v>
      </c>
    </row>
    <row r="125" spans="1:8" ht="17.100000000000001" customHeight="1" x14ac:dyDescent="0.25">
      <c r="A125" s="6" t="s">
        <v>432</v>
      </c>
      <c r="B125" s="6" t="s">
        <v>53</v>
      </c>
      <c r="C125" s="6" t="s">
        <v>76</v>
      </c>
      <c r="D125" s="6" t="s">
        <v>74</v>
      </c>
      <c r="E125" s="6" t="s">
        <v>1719</v>
      </c>
      <c r="F125" s="7" t="s">
        <v>431</v>
      </c>
      <c r="G125" s="7" t="s">
        <v>55</v>
      </c>
      <c r="H125" s="7"/>
    </row>
    <row r="126" spans="1:8" ht="17.100000000000001" customHeight="1" x14ac:dyDescent="0.25">
      <c r="A126" s="6" t="s">
        <v>355</v>
      </c>
      <c r="B126" s="6" t="s">
        <v>53</v>
      </c>
      <c r="C126" s="6" t="s">
        <v>76</v>
      </c>
      <c r="D126" s="6" t="s">
        <v>74</v>
      </c>
      <c r="E126" s="6" t="s">
        <v>1719</v>
      </c>
      <c r="F126" s="7" t="s">
        <v>213</v>
      </c>
      <c r="G126" s="7" t="s">
        <v>55</v>
      </c>
      <c r="H126" s="7"/>
    </row>
    <row r="127" spans="1:8" ht="17.100000000000001" customHeight="1" x14ac:dyDescent="0.25">
      <c r="A127" s="6" t="s">
        <v>355</v>
      </c>
      <c r="B127" s="6" t="s">
        <v>53</v>
      </c>
      <c r="C127" s="6" t="s">
        <v>76</v>
      </c>
      <c r="D127" s="6" t="s">
        <v>74</v>
      </c>
      <c r="E127" s="6" t="s">
        <v>1719</v>
      </c>
      <c r="F127" s="7" t="s">
        <v>261</v>
      </c>
      <c r="G127" s="7" t="s">
        <v>55</v>
      </c>
      <c r="H127" s="7"/>
    </row>
    <row r="128" spans="1:8" ht="17.100000000000001" customHeight="1" x14ac:dyDescent="0.25">
      <c r="A128" s="27" t="s">
        <v>1749</v>
      </c>
      <c r="B128" s="28" t="s">
        <v>1750</v>
      </c>
      <c r="C128" s="27" t="s">
        <v>76</v>
      </c>
      <c r="D128" s="27">
        <v>20</v>
      </c>
      <c r="E128" s="6" t="s">
        <v>1719</v>
      </c>
      <c r="F128" s="27" t="s">
        <v>1751</v>
      </c>
      <c r="G128" s="27" t="s">
        <v>55</v>
      </c>
      <c r="H128" s="27"/>
    </row>
    <row r="129" spans="1:8" ht="17.100000000000001" customHeight="1" x14ac:dyDescent="0.25">
      <c r="A129" s="27" t="s">
        <v>1747</v>
      </c>
      <c r="B129" s="28" t="s">
        <v>231</v>
      </c>
      <c r="C129" s="27" t="s">
        <v>76</v>
      </c>
      <c r="D129" s="27">
        <v>20</v>
      </c>
      <c r="E129" s="6" t="s">
        <v>1719</v>
      </c>
      <c r="F129" s="27" t="s">
        <v>1756</v>
      </c>
      <c r="G129" s="27" t="s">
        <v>55</v>
      </c>
      <c r="H129" s="27"/>
    </row>
    <row r="130" spans="1:8" ht="17.100000000000001" customHeight="1" x14ac:dyDescent="0.25">
      <c r="A130" s="27" t="s">
        <v>1747</v>
      </c>
      <c r="B130" s="28" t="s">
        <v>231</v>
      </c>
      <c r="C130" s="27" t="s">
        <v>76</v>
      </c>
      <c r="D130" s="27">
        <v>20</v>
      </c>
      <c r="E130" s="6" t="s">
        <v>1719</v>
      </c>
      <c r="F130" s="27" t="s">
        <v>1757</v>
      </c>
      <c r="G130" s="27" t="s">
        <v>55</v>
      </c>
      <c r="H130" s="27"/>
    </row>
    <row r="131" spans="1:8" ht="17.100000000000001" customHeight="1" x14ac:dyDescent="0.25">
      <c r="A131" s="27" t="s">
        <v>1758</v>
      </c>
      <c r="B131" s="28" t="s">
        <v>242</v>
      </c>
      <c r="C131" s="27" t="s">
        <v>76</v>
      </c>
      <c r="D131" s="27">
        <v>20</v>
      </c>
      <c r="E131" s="6" t="s">
        <v>1719</v>
      </c>
      <c r="F131" s="27" t="s">
        <v>1759</v>
      </c>
      <c r="G131" s="27" t="s">
        <v>55</v>
      </c>
      <c r="H131" s="27"/>
    </row>
    <row r="132" spans="1:8" ht="17.100000000000001" customHeight="1" x14ac:dyDescent="0.25">
      <c r="A132" s="27" t="s">
        <v>1758</v>
      </c>
      <c r="B132" s="28" t="s">
        <v>242</v>
      </c>
      <c r="C132" s="27" t="s">
        <v>76</v>
      </c>
      <c r="D132" s="27">
        <v>20</v>
      </c>
      <c r="E132" s="6" t="s">
        <v>1719</v>
      </c>
      <c r="F132" s="27" t="s">
        <v>1760</v>
      </c>
      <c r="G132" s="27" t="s">
        <v>55</v>
      </c>
      <c r="H132" s="27"/>
    </row>
    <row r="133" spans="1:8" ht="17.100000000000001" customHeight="1" x14ac:dyDescent="0.25">
      <c r="A133" s="27" t="s">
        <v>1761</v>
      </c>
      <c r="B133" s="28" t="s">
        <v>1762</v>
      </c>
      <c r="C133" s="27" t="s">
        <v>76</v>
      </c>
      <c r="D133" s="27">
        <v>20</v>
      </c>
      <c r="E133" s="6" t="s">
        <v>1719</v>
      </c>
      <c r="F133" s="27" t="s">
        <v>1763</v>
      </c>
      <c r="G133" s="27" t="s">
        <v>55</v>
      </c>
      <c r="H133" s="27"/>
    </row>
    <row r="134" spans="1:8" ht="17.100000000000001" customHeight="1" x14ac:dyDescent="0.25">
      <c r="A134" s="27" t="s">
        <v>1764</v>
      </c>
      <c r="B134" s="28" t="s">
        <v>1765</v>
      </c>
      <c r="C134" s="27" t="s">
        <v>76</v>
      </c>
      <c r="D134" s="27">
        <v>20</v>
      </c>
      <c r="E134" s="6" t="s">
        <v>1719</v>
      </c>
      <c r="F134" s="27" t="s">
        <v>1766</v>
      </c>
      <c r="G134" s="27" t="s">
        <v>55</v>
      </c>
      <c r="H134" s="27"/>
    </row>
    <row r="135" spans="1:8" ht="17.100000000000001" customHeight="1" x14ac:dyDescent="0.25">
      <c r="A135" s="27" t="s">
        <v>1746</v>
      </c>
      <c r="B135" s="28" t="s">
        <v>1743</v>
      </c>
      <c r="C135" s="27" t="s">
        <v>76</v>
      </c>
      <c r="D135" s="27">
        <v>20</v>
      </c>
      <c r="E135" s="6" t="s">
        <v>1719</v>
      </c>
      <c r="F135" s="27" t="s">
        <v>1767</v>
      </c>
      <c r="G135" s="27" t="s">
        <v>55</v>
      </c>
      <c r="H135" s="27"/>
    </row>
    <row r="136" spans="1:8" ht="17.100000000000001" customHeight="1" x14ac:dyDescent="0.25">
      <c r="A136" s="27"/>
      <c r="B136" s="28"/>
      <c r="C136" s="27"/>
      <c r="D136" s="27"/>
      <c r="E136" s="27"/>
      <c r="F136" s="27"/>
      <c r="G136" s="27"/>
      <c r="H136" s="27"/>
    </row>
    <row r="137" spans="1:8" ht="17.100000000000001" customHeight="1" x14ac:dyDescent="0.25">
      <c r="A137" s="27" t="s">
        <v>1752</v>
      </c>
      <c r="B137" s="28" t="s">
        <v>1753</v>
      </c>
      <c r="C137" s="27" t="s">
        <v>76</v>
      </c>
      <c r="D137" s="27">
        <v>16</v>
      </c>
      <c r="E137" s="6" t="s">
        <v>1719</v>
      </c>
      <c r="F137" s="27" t="s">
        <v>1754</v>
      </c>
      <c r="G137" s="27" t="s">
        <v>55</v>
      </c>
      <c r="H137" s="27"/>
    </row>
    <row r="138" spans="1:8" ht="17.100000000000001" customHeight="1" x14ac:dyDescent="0.25">
      <c r="A138" s="27" t="s">
        <v>1748</v>
      </c>
      <c r="B138" s="28" t="s">
        <v>668</v>
      </c>
      <c r="C138" s="27" t="s">
        <v>76</v>
      </c>
      <c r="D138" s="27">
        <v>16</v>
      </c>
      <c r="E138" s="6" t="s">
        <v>1719</v>
      </c>
      <c r="F138" s="27" t="s">
        <v>1755</v>
      </c>
      <c r="G138" s="27" t="s">
        <v>55</v>
      </c>
      <c r="H138" s="27"/>
    </row>
    <row r="139" spans="1:8" ht="17.100000000000001" customHeight="1" x14ac:dyDescent="0.25">
      <c r="A139" s="27"/>
      <c r="B139" s="28"/>
      <c r="C139" s="27"/>
      <c r="D139" s="27"/>
      <c r="E139" s="27"/>
      <c r="F139" s="27"/>
      <c r="G139" s="27"/>
      <c r="H139" s="27"/>
    </row>
    <row r="140" spans="1:8" ht="17.100000000000001" customHeight="1" x14ac:dyDescent="0.25">
      <c r="A140" s="6" t="s">
        <v>423</v>
      </c>
      <c r="B140" s="6" t="s">
        <v>1608</v>
      </c>
      <c r="C140" s="6" t="s">
        <v>76</v>
      </c>
      <c r="D140" s="6" t="s">
        <v>73</v>
      </c>
      <c r="E140" s="6" t="s">
        <v>1719</v>
      </c>
      <c r="F140" s="7" t="s">
        <v>112</v>
      </c>
      <c r="G140" s="7" t="s">
        <v>55</v>
      </c>
      <c r="H140" s="7"/>
    </row>
    <row r="141" spans="1:8" ht="17.100000000000001" customHeight="1" x14ac:dyDescent="0.25">
      <c r="A141" s="6" t="s">
        <v>423</v>
      </c>
      <c r="B141" s="6" t="s">
        <v>1608</v>
      </c>
      <c r="C141" s="6" t="s">
        <v>76</v>
      </c>
      <c r="D141" s="6" t="s">
        <v>73</v>
      </c>
      <c r="E141" s="6" t="s">
        <v>1719</v>
      </c>
      <c r="F141" s="7" t="s">
        <v>116</v>
      </c>
      <c r="G141" s="7" t="s">
        <v>55</v>
      </c>
      <c r="H141" s="7"/>
    </row>
    <row r="142" spans="1:8" ht="17.100000000000001" customHeight="1" x14ac:dyDescent="0.25">
      <c r="A142" s="6" t="s">
        <v>422</v>
      </c>
      <c r="B142" s="6" t="s">
        <v>51</v>
      </c>
      <c r="C142" s="6" t="s">
        <v>76</v>
      </c>
      <c r="D142" s="6" t="s">
        <v>73</v>
      </c>
      <c r="E142" s="6" t="s">
        <v>1719</v>
      </c>
      <c r="F142" s="7" t="s">
        <v>151</v>
      </c>
      <c r="G142" s="7" t="s">
        <v>55</v>
      </c>
      <c r="H142" s="7"/>
    </row>
  </sheetData>
  <sortState xmlns:xlrd2="http://schemas.microsoft.com/office/spreadsheetml/2017/richdata2" ref="A137:G138">
    <sortCondition descending="1" ref="D137:D13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8:A50 F51 A52:A55 F56:F57 A58 F1:F47 F59:F1048576">
    <cfRule type="containsText" dxfId="41" priority="1" operator="containsText" text="UJ0">
      <formula>NOT(ISERROR(SEARCH("UJ0",A1)))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B70E-30F2-41A1-ABBD-458B5641FC95}">
  <sheetPr>
    <tabColor rgb="FF7030A0"/>
  </sheetPr>
  <dimension ref="A1:I118"/>
  <sheetViews>
    <sheetView showGridLines="0" zoomScaleNormal="100" workbookViewId="0">
      <selection activeCell="A15" sqref="A15"/>
    </sheetView>
  </sheetViews>
  <sheetFormatPr defaultRowHeight="17.100000000000001" customHeight="1" x14ac:dyDescent="0.25"/>
  <cols>
    <col min="1" max="1" width="12.42578125" style="2" bestFit="1" customWidth="1"/>
    <col min="2" max="2" width="11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28515625" bestFit="1" customWidth="1"/>
    <col min="8" max="8" width="11.85546875" bestFit="1" customWidth="1"/>
    <col min="9" max="9" width="10.28515625" customWidth="1"/>
  </cols>
  <sheetData>
    <row r="1" spans="1:9" ht="18" customHeight="1" x14ac:dyDescent="0.25">
      <c r="A1" s="21" t="s">
        <v>55</v>
      </c>
      <c r="B1" s="21"/>
      <c r="C1" s="21"/>
      <c r="D1" s="21"/>
    </row>
    <row r="2" spans="1:9" ht="12.75" customHeight="1" x14ac:dyDescent="0.25">
      <c r="A2" s="22" t="s">
        <v>37</v>
      </c>
      <c r="B2" s="22"/>
      <c r="C2" s="22"/>
      <c r="D2" s="22"/>
    </row>
    <row r="3" spans="1:9" ht="12" customHeight="1" x14ac:dyDescent="0.25">
      <c r="A3" s="1" t="s">
        <v>0</v>
      </c>
      <c r="B3" s="20" t="s">
        <v>1</v>
      </c>
      <c r="C3" s="20"/>
      <c r="D3" s="20"/>
    </row>
    <row r="4" spans="1:9" ht="12.75" customHeight="1" x14ac:dyDescent="0.25">
      <c r="A4" s="1" t="s">
        <v>2</v>
      </c>
      <c r="B4" s="20" t="s">
        <v>3</v>
      </c>
      <c r="C4" s="20"/>
      <c r="D4" s="20"/>
    </row>
    <row r="5" spans="1:9" ht="12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122</v>
      </c>
      <c r="B14" s="6" t="s">
        <v>1608</v>
      </c>
      <c r="C14" s="6" t="s">
        <v>76</v>
      </c>
      <c r="D14" s="6" t="s">
        <v>82</v>
      </c>
      <c r="E14" s="6" t="s">
        <v>1711</v>
      </c>
      <c r="F14" s="7" t="s">
        <v>111</v>
      </c>
      <c r="G14" s="7" t="s">
        <v>55</v>
      </c>
      <c r="H14" s="7" t="s">
        <v>1695</v>
      </c>
    </row>
    <row r="15" spans="1:9" ht="17.100000000000001" customHeight="1" x14ac:dyDescent="0.25">
      <c r="A15" s="6" t="s">
        <v>127</v>
      </c>
      <c r="B15" s="6" t="s">
        <v>1608</v>
      </c>
      <c r="C15" s="6" t="s">
        <v>76</v>
      </c>
      <c r="D15" s="6" t="s">
        <v>82</v>
      </c>
      <c r="E15" s="6" t="s">
        <v>1711</v>
      </c>
      <c r="F15" s="7" t="s">
        <v>113</v>
      </c>
      <c r="G15" s="7" t="s">
        <v>55</v>
      </c>
      <c r="H15" s="7"/>
    </row>
    <row r="16" spans="1:9" ht="17.100000000000001" customHeight="1" x14ac:dyDescent="0.25">
      <c r="A16" s="6" t="s">
        <v>127</v>
      </c>
      <c r="B16" s="6" t="s">
        <v>1608</v>
      </c>
      <c r="C16" s="6" t="s">
        <v>76</v>
      </c>
      <c r="D16" s="6" t="s">
        <v>82</v>
      </c>
      <c r="E16" s="6" t="s">
        <v>1711</v>
      </c>
      <c r="F16" s="7" t="s">
        <v>113</v>
      </c>
      <c r="G16" s="7" t="s">
        <v>55</v>
      </c>
      <c r="H16" s="7"/>
    </row>
    <row r="17" spans="1:8" ht="17.100000000000001" customHeight="1" x14ac:dyDescent="0.25">
      <c r="A17" s="6" t="s">
        <v>131</v>
      </c>
      <c r="B17" s="6" t="s">
        <v>140</v>
      </c>
      <c r="C17" s="6" t="s">
        <v>76</v>
      </c>
      <c r="D17" s="6" t="s">
        <v>82</v>
      </c>
      <c r="E17" s="6" t="s">
        <v>1714</v>
      </c>
      <c r="F17" s="7" t="s">
        <v>141</v>
      </c>
      <c r="G17" s="7" t="s">
        <v>55</v>
      </c>
      <c r="H17" s="7"/>
    </row>
    <row r="18" spans="1:8" ht="17.100000000000001" customHeight="1" x14ac:dyDescent="0.25">
      <c r="A18" s="6" t="s">
        <v>132</v>
      </c>
      <c r="B18" s="6" t="s">
        <v>142</v>
      </c>
      <c r="C18" s="6" t="s">
        <v>76</v>
      </c>
      <c r="D18" s="6" t="s">
        <v>82</v>
      </c>
      <c r="E18" s="6" t="s">
        <v>1714</v>
      </c>
      <c r="F18" s="7" t="s">
        <v>143</v>
      </c>
      <c r="G18" s="7" t="s">
        <v>55</v>
      </c>
      <c r="H18" s="7"/>
    </row>
    <row r="19" spans="1:8" ht="17.100000000000001" customHeight="1" x14ac:dyDescent="0.25">
      <c r="A19" s="6" t="s">
        <v>125</v>
      </c>
      <c r="B19" s="6" t="s">
        <v>126</v>
      </c>
      <c r="C19" s="6" t="s">
        <v>76</v>
      </c>
      <c r="D19" s="6" t="s">
        <v>82</v>
      </c>
      <c r="E19" s="6" t="s">
        <v>1714</v>
      </c>
      <c r="F19" s="7" t="s">
        <v>127</v>
      </c>
      <c r="G19" s="7" t="s">
        <v>55</v>
      </c>
      <c r="H19" s="7"/>
    </row>
    <row r="20" spans="1:8" ht="17.100000000000001" customHeight="1" x14ac:dyDescent="0.25">
      <c r="A20" s="6" t="s">
        <v>128</v>
      </c>
      <c r="B20" s="6" t="s">
        <v>129</v>
      </c>
      <c r="C20" s="6" t="s">
        <v>76</v>
      </c>
      <c r="D20" s="6" t="s">
        <v>82</v>
      </c>
      <c r="E20" s="6" t="s">
        <v>1714</v>
      </c>
      <c r="F20" s="7" t="s">
        <v>130</v>
      </c>
      <c r="G20" s="7" t="s">
        <v>55</v>
      </c>
      <c r="H20" s="7"/>
    </row>
    <row r="21" spans="1:8" ht="17.100000000000001" customHeight="1" x14ac:dyDescent="0.25">
      <c r="A21" s="6" t="s">
        <v>130</v>
      </c>
      <c r="B21" s="6" t="s">
        <v>56</v>
      </c>
      <c r="C21" s="6" t="s">
        <v>76</v>
      </c>
      <c r="D21" s="6" t="s">
        <v>82</v>
      </c>
      <c r="E21" s="6" t="s">
        <v>1711</v>
      </c>
      <c r="F21" s="7" t="s">
        <v>147</v>
      </c>
      <c r="G21" s="7" t="s">
        <v>55</v>
      </c>
      <c r="H21" s="7"/>
    </row>
    <row r="22" spans="1:8" ht="17.100000000000001" customHeight="1" x14ac:dyDescent="0.25">
      <c r="A22" s="6" t="s">
        <v>130</v>
      </c>
      <c r="B22" s="6" t="s">
        <v>56</v>
      </c>
      <c r="C22" s="6" t="s">
        <v>76</v>
      </c>
      <c r="D22" s="6" t="s">
        <v>82</v>
      </c>
      <c r="E22" s="6" t="s">
        <v>1711</v>
      </c>
      <c r="F22" s="7" t="s">
        <v>147</v>
      </c>
      <c r="G22" s="7" t="s">
        <v>55</v>
      </c>
      <c r="H22" s="7"/>
    </row>
    <row r="23" spans="1:8" ht="17.100000000000001" customHeight="1" x14ac:dyDescent="0.25">
      <c r="A23" s="6" t="s">
        <v>123</v>
      </c>
      <c r="B23" s="6" t="s">
        <v>57</v>
      </c>
      <c r="C23" s="6" t="s">
        <v>76</v>
      </c>
      <c r="D23" s="6" t="s">
        <v>82</v>
      </c>
      <c r="E23" s="6" t="s">
        <v>1711</v>
      </c>
      <c r="F23" s="7" t="s">
        <v>124</v>
      </c>
      <c r="G23" s="7" t="s">
        <v>55</v>
      </c>
      <c r="H23" s="7"/>
    </row>
    <row r="24" spans="1:8" ht="17.100000000000001" customHeight="1" x14ac:dyDescent="0.25">
      <c r="A24" s="18"/>
      <c r="B24" s="18"/>
      <c r="C24" s="18"/>
      <c r="D24" s="18"/>
      <c r="E24" s="18"/>
      <c r="F24" s="19"/>
      <c r="G24" s="19"/>
      <c r="H24" s="19"/>
    </row>
    <row r="25" spans="1:8" ht="17.100000000000001" customHeight="1" x14ac:dyDescent="0.25">
      <c r="A25" s="6" t="s">
        <v>144</v>
      </c>
      <c r="B25" s="6" t="s">
        <v>1608</v>
      </c>
      <c r="C25" s="6" t="s">
        <v>76</v>
      </c>
      <c r="D25" s="6" t="s">
        <v>74</v>
      </c>
      <c r="E25" s="6" t="s">
        <v>1733</v>
      </c>
      <c r="F25" s="7" t="s">
        <v>108</v>
      </c>
      <c r="G25" s="7" t="s">
        <v>55</v>
      </c>
      <c r="H25" s="7" t="s">
        <v>1691</v>
      </c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145</v>
      </c>
      <c r="B27" s="6" t="s">
        <v>60</v>
      </c>
      <c r="C27" s="6" t="s">
        <v>76</v>
      </c>
      <c r="D27" s="6" t="s">
        <v>73</v>
      </c>
      <c r="E27" s="6" t="s">
        <v>1714</v>
      </c>
      <c r="F27" s="7" t="s">
        <v>146</v>
      </c>
      <c r="G27" s="7" t="s">
        <v>55</v>
      </c>
      <c r="H27" s="7"/>
    </row>
    <row r="28" spans="1:8" ht="17.100000000000001" customHeight="1" x14ac:dyDescent="0.25">
      <c r="A28" s="18"/>
      <c r="B28" s="18"/>
      <c r="C28" s="18"/>
      <c r="D28" s="18"/>
      <c r="E28" s="18"/>
      <c r="F28" s="19"/>
      <c r="G28" s="19"/>
      <c r="H28" s="19"/>
    </row>
    <row r="29" spans="1:8" ht="17.100000000000001" customHeight="1" x14ac:dyDescent="0.25">
      <c r="A29" s="6" t="s">
        <v>148</v>
      </c>
      <c r="B29" s="6" t="s">
        <v>58</v>
      </c>
      <c r="C29" s="6" t="s">
        <v>76</v>
      </c>
      <c r="D29" s="6" t="s">
        <v>73</v>
      </c>
      <c r="E29" s="6" t="s">
        <v>1711</v>
      </c>
      <c r="F29" s="7" t="s">
        <v>149</v>
      </c>
      <c r="G29" s="7" t="s">
        <v>55</v>
      </c>
      <c r="H29" s="7" t="s">
        <v>1684</v>
      </c>
    </row>
    <row r="30" spans="1:8" ht="17.100000000000001" customHeight="1" x14ac:dyDescent="0.25">
      <c r="A30" s="6" t="s">
        <v>149</v>
      </c>
      <c r="B30" s="6" t="s">
        <v>58</v>
      </c>
      <c r="C30" s="6" t="s">
        <v>76</v>
      </c>
      <c r="D30" s="6" t="s">
        <v>73</v>
      </c>
      <c r="E30" s="6" t="s">
        <v>1721</v>
      </c>
      <c r="F30" s="7" t="s">
        <v>109</v>
      </c>
      <c r="G30" s="7" t="s">
        <v>55</v>
      </c>
      <c r="H30" s="7"/>
    </row>
    <row r="31" spans="1:8" ht="17.100000000000001" customHeight="1" x14ac:dyDescent="0.25">
      <c r="A31" s="6" t="s">
        <v>150</v>
      </c>
      <c r="B31" s="6" t="s">
        <v>51</v>
      </c>
      <c r="C31" s="6" t="s">
        <v>76</v>
      </c>
      <c r="D31" s="6" t="s">
        <v>73</v>
      </c>
      <c r="E31" s="6" t="s">
        <v>1711</v>
      </c>
      <c r="F31" s="7" t="s">
        <v>151</v>
      </c>
      <c r="G31" s="7" t="s">
        <v>55</v>
      </c>
      <c r="H31" s="7"/>
    </row>
    <row r="32" spans="1:8" ht="17.100000000000001" customHeight="1" x14ac:dyDescent="0.25">
      <c r="A32" s="6" t="s">
        <v>152</v>
      </c>
      <c r="B32" s="6" t="s">
        <v>54</v>
      </c>
      <c r="C32" s="6" t="s">
        <v>76</v>
      </c>
      <c r="D32" s="6" t="s">
        <v>73</v>
      </c>
      <c r="E32" s="6" t="s">
        <v>1714</v>
      </c>
      <c r="F32" s="7" t="s">
        <v>105</v>
      </c>
      <c r="G32" s="7" t="s">
        <v>55</v>
      </c>
      <c r="H32" s="7"/>
    </row>
    <row r="33" spans="1:8" ht="17.100000000000001" customHeight="1" x14ac:dyDescent="0.25">
      <c r="A33" s="6" t="s">
        <v>153</v>
      </c>
      <c r="B33" s="6" t="s">
        <v>54</v>
      </c>
      <c r="C33" s="6" t="s">
        <v>76</v>
      </c>
      <c r="D33" s="6" t="s">
        <v>73</v>
      </c>
      <c r="E33" s="6" t="s">
        <v>1714</v>
      </c>
      <c r="F33" s="7" t="s">
        <v>105</v>
      </c>
      <c r="G33" s="7" t="s">
        <v>55</v>
      </c>
      <c r="H33" s="7"/>
    </row>
    <row r="34" spans="1:8" ht="17.100000000000001" customHeight="1" x14ac:dyDescent="0.25">
      <c r="A34" s="18"/>
      <c r="B34" s="18"/>
      <c r="C34" s="18"/>
      <c r="D34" s="18"/>
      <c r="E34" s="18"/>
      <c r="F34" s="19"/>
      <c r="G34" s="19"/>
      <c r="H34" s="19"/>
    </row>
    <row r="35" spans="1:8" ht="17.100000000000001" customHeight="1" x14ac:dyDescent="0.25">
      <c r="A35" s="6" t="s">
        <v>258</v>
      </c>
      <c r="B35" s="6" t="s">
        <v>54</v>
      </c>
      <c r="C35" s="6" t="s">
        <v>76</v>
      </c>
      <c r="D35" s="6" t="s">
        <v>73</v>
      </c>
      <c r="E35" s="6" t="s">
        <v>1711</v>
      </c>
      <c r="F35" s="7" t="s">
        <v>107</v>
      </c>
      <c r="G35" s="7" t="s">
        <v>55</v>
      </c>
      <c r="H35" s="7" t="s">
        <v>1701</v>
      </c>
    </row>
    <row r="36" spans="1:8" ht="17.100000000000001" customHeight="1" x14ac:dyDescent="0.25">
      <c r="A36" s="7" t="s">
        <v>203</v>
      </c>
      <c r="B36" s="6" t="s">
        <v>204</v>
      </c>
      <c r="C36" s="6" t="s">
        <v>76</v>
      </c>
      <c r="D36" s="6" t="s">
        <v>74</v>
      </c>
      <c r="E36" s="6" t="s">
        <v>1733</v>
      </c>
      <c r="F36" s="6" t="s">
        <v>205</v>
      </c>
      <c r="G36" s="7" t="s">
        <v>55</v>
      </c>
      <c r="H36" s="7"/>
    </row>
    <row r="37" spans="1:8" ht="17.100000000000001" customHeight="1" x14ac:dyDescent="0.25">
      <c r="A37" s="6" t="s">
        <v>177</v>
      </c>
      <c r="B37" s="6" t="s">
        <v>178</v>
      </c>
      <c r="C37" s="6" t="s">
        <v>76</v>
      </c>
      <c r="D37" s="6" t="s">
        <v>74</v>
      </c>
      <c r="E37" s="6" t="s">
        <v>1733</v>
      </c>
      <c r="F37" s="7" t="s">
        <v>179</v>
      </c>
      <c r="G37" s="7" t="s">
        <v>55</v>
      </c>
      <c r="H37" s="7"/>
    </row>
    <row r="38" spans="1:8" ht="17.100000000000001" customHeight="1" x14ac:dyDescent="0.25">
      <c r="A38" s="6" t="s">
        <v>157</v>
      </c>
      <c r="B38" s="6" t="s">
        <v>158</v>
      </c>
      <c r="C38" s="6" t="s">
        <v>76</v>
      </c>
      <c r="D38" s="6" t="s">
        <v>74</v>
      </c>
      <c r="E38" s="6" t="s">
        <v>1733</v>
      </c>
      <c r="F38" s="7" t="s">
        <v>159</v>
      </c>
      <c r="G38" s="7" t="s">
        <v>55</v>
      </c>
      <c r="H38" s="7"/>
    </row>
    <row r="39" spans="1:8" ht="17.100000000000001" customHeight="1" x14ac:dyDescent="0.25">
      <c r="A39" s="6" t="s">
        <v>166</v>
      </c>
      <c r="B39" s="6" t="s">
        <v>158</v>
      </c>
      <c r="C39" s="6" t="s">
        <v>76</v>
      </c>
      <c r="D39" s="6" t="s">
        <v>74</v>
      </c>
      <c r="E39" s="6" t="s">
        <v>1714</v>
      </c>
      <c r="F39" s="7" t="s">
        <v>187</v>
      </c>
      <c r="G39" s="7" t="s">
        <v>55</v>
      </c>
      <c r="H39" s="7"/>
    </row>
    <row r="40" spans="1:8" ht="17.100000000000001" customHeight="1" x14ac:dyDescent="0.25">
      <c r="A40" s="6" t="s">
        <v>224</v>
      </c>
      <c r="B40" s="6" t="s">
        <v>158</v>
      </c>
      <c r="C40" s="6" t="s">
        <v>76</v>
      </c>
      <c r="D40" s="6" t="s">
        <v>74</v>
      </c>
      <c r="E40" s="6" t="s">
        <v>1733</v>
      </c>
      <c r="F40" s="7" t="s">
        <v>225</v>
      </c>
      <c r="G40" s="7" t="s">
        <v>55</v>
      </c>
      <c r="H40" s="7"/>
    </row>
    <row r="41" spans="1:8" ht="17.100000000000001" customHeight="1" x14ac:dyDescent="0.25">
      <c r="A41" s="6" t="s">
        <v>198</v>
      </c>
      <c r="B41" s="6" t="s">
        <v>199</v>
      </c>
      <c r="C41" s="6" t="s">
        <v>76</v>
      </c>
      <c r="D41" s="6" t="s">
        <v>74</v>
      </c>
      <c r="E41" s="6" t="s">
        <v>1714</v>
      </c>
      <c r="F41" s="7" t="s">
        <v>200</v>
      </c>
      <c r="G41" s="7" t="s">
        <v>55</v>
      </c>
      <c r="H41" s="7"/>
    </row>
    <row r="42" spans="1:8" ht="17.100000000000001" customHeight="1" x14ac:dyDescent="0.25">
      <c r="A42" s="6" t="s">
        <v>255</v>
      </c>
      <c r="B42" s="6" t="s">
        <v>256</v>
      </c>
      <c r="C42" s="6" t="s">
        <v>76</v>
      </c>
      <c r="D42" s="6" t="s">
        <v>74</v>
      </c>
      <c r="E42" s="6" t="s">
        <v>1733</v>
      </c>
      <c r="F42" s="7" t="s">
        <v>257</v>
      </c>
      <c r="G42" s="7" t="s">
        <v>55</v>
      </c>
      <c r="H42" s="7"/>
    </row>
    <row r="43" spans="1:8" ht="17.100000000000001" customHeight="1" x14ac:dyDescent="0.25">
      <c r="A43" s="18"/>
      <c r="B43" s="18"/>
      <c r="C43" s="18"/>
      <c r="D43" s="18"/>
      <c r="E43" s="18"/>
      <c r="F43" s="19"/>
      <c r="G43" s="19"/>
      <c r="H43" s="19"/>
    </row>
    <row r="44" spans="1:8" ht="17.100000000000001" customHeight="1" x14ac:dyDescent="0.25">
      <c r="A44" s="6" t="s">
        <v>160</v>
      </c>
      <c r="B44" s="6" t="s">
        <v>1608</v>
      </c>
      <c r="C44" s="6" t="s">
        <v>76</v>
      </c>
      <c r="D44" s="6" t="s">
        <v>74</v>
      </c>
      <c r="E44" s="6" t="s">
        <v>1711</v>
      </c>
      <c r="F44" s="7" t="s">
        <v>111</v>
      </c>
      <c r="G44" s="7" t="s">
        <v>55</v>
      </c>
      <c r="H44" s="7" t="s">
        <v>1702</v>
      </c>
    </row>
    <row r="45" spans="1:8" ht="17.100000000000001" customHeight="1" x14ac:dyDescent="0.25">
      <c r="A45" s="6" t="s">
        <v>191</v>
      </c>
      <c r="B45" s="6" t="s">
        <v>1608</v>
      </c>
      <c r="C45" s="6" t="s">
        <v>76</v>
      </c>
      <c r="D45" s="6" t="s">
        <v>74</v>
      </c>
      <c r="E45" s="6" t="s">
        <v>1714</v>
      </c>
      <c r="F45" s="7" t="s">
        <v>193</v>
      </c>
      <c r="G45" s="7" t="s">
        <v>55</v>
      </c>
      <c r="H45" s="7"/>
    </row>
    <row r="46" spans="1:8" ht="17.100000000000001" customHeight="1" x14ac:dyDescent="0.25">
      <c r="A46" s="6" t="s">
        <v>243</v>
      </c>
      <c r="B46" s="6" t="s">
        <v>1608</v>
      </c>
      <c r="C46" s="6" t="s">
        <v>76</v>
      </c>
      <c r="D46" s="6" t="s">
        <v>74</v>
      </c>
      <c r="E46" s="6" t="s">
        <v>1714</v>
      </c>
      <c r="F46" s="7" t="s">
        <v>240</v>
      </c>
      <c r="G46" s="7" t="s">
        <v>55</v>
      </c>
      <c r="H46" s="7"/>
    </row>
    <row r="47" spans="1:8" ht="17.100000000000001" customHeight="1" x14ac:dyDescent="0.25">
      <c r="A47" s="7" t="s">
        <v>167</v>
      </c>
      <c r="B47" s="6" t="s">
        <v>1608</v>
      </c>
      <c r="C47" s="6" t="s">
        <v>76</v>
      </c>
      <c r="D47" s="6" t="s">
        <v>74</v>
      </c>
      <c r="E47" s="6" t="s">
        <v>1714</v>
      </c>
      <c r="F47" s="6" t="s">
        <v>169</v>
      </c>
      <c r="G47" s="7" t="s">
        <v>55</v>
      </c>
      <c r="H47" s="7"/>
    </row>
    <row r="48" spans="1:8" ht="17.100000000000001" customHeight="1" x14ac:dyDescent="0.25">
      <c r="A48" s="6" t="s">
        <v>136</v>
      </c>
      <c r="B48" s="6" t="s">
        <v>1615</v>
      </c>
      <c r="C48" s="6" t="s">
        <v>76</v>
      </c>
      <c r="D48" s="6" t="s">
        <v>74</v>
      </c>
      <c r="E48" s="6" t="s">
        <v>1714</v>
      </c>
      <c r="F48" s="7" t="s">
        <v>135</v>
      </c>
      <c r="G48" s="7" t="s">
        <v>55</v>
      </c>
      <c r="H48" s="7"/>
    </row>
    <row r="49" spans="1:8" ht="17.100000000000001" customHeight="1" x14ac:dyDescent="0.25">
      <c r="A49" s="6"/>
      <c r="B49" s="6"/>
      <c r="C49" s="6"/>
      <c r="D49" s="6"/>
      <c r="E49" s="6"/>
      <c r="F49" s="7"/>
      <c r="G49" s="7"/>
      <c r="H49" s="7"/>
    </row>
    <row r="50" spans="1:8" ht="17.100000000000001" customHeight="1" x14ac:dyDescent="0.25">
      <c r="A50" s="6" t="s">
        <v>259</v>
      </c>
      <c r="B50" s="6" t="s">
        <v>1616</v>
      </c>
      <c r="C50" s="6" t="s">
        <v>76</v>
      </c>
      <c r="D50" s="6" t="s">
        <v>73</v>
      </c>
      <c r="E50" s="6" t="s">
        <v>1721</v>
      </c>
      <c r="F50" s="7" t="s">
        <v>260</v>
      </c>
      <c r="G50" s="7" t="s">
        <v>55</v>
      </c>
      <c r="H50" s="7"/>
    </row>
    <row r="51" spans="1:8" ht="17.100000000000001" customHeight="1" x14ac:dyDescent="0.25">
      <c r="A51" s="18"/>
      <c r="B51" s="18"/>
      <c r="C51" s="18"/>
      <c r="D51" s="18"/>
      <c r="E51" s="18"/>
      <c r="F51" s="19"/>
      <c r="G51" s="19"/>
      <c r="H51" s="19"/>
    </row>
    <row r="52" spans="1:8" ht="17.100000000000001" customHeight="1" x14ac:dyDescent="0.25">
      <c r="A52" s="6" t="s">
        <v>119</v>
      </c>
      <c r="B52" s="6" t="s">
        <v>1609</v>
      </c>
      <c r="C52" s="6" t="s">
        <v>76</v>
      </c>
      <c r="D52" s="6" t="s">
        <v>74</v>
      </c>
      <c r="E52" s="6" t="s">
        <v>1733</v>
      </c>
      <c r="F52" s="7" t="s">
        <v>118</v>
      </c>
      <c r="G52" s="7" t="s">
        <v>55</v>
      </c>
      <c r="H52" s="7" t="s">
        <v>1687</v>
      </c>
    </row>
    <row r="53" spans="1:8" ht="17.100000000000001" customHeight="1" x14ac:dyDescent="0.25">
      <c r="A53" s="6" t="s">
        <v>121</v>
      </c>
      <c r="B53" s="6" t="s">
        <v>1614</v>
      </c>
      <c r="C53" s="6" t="s">
        <v>76</v>
      </c>
      <c r="D53" s="6" t="s">
        <v>74</v>
      </c>
      <c r="E53" s="6" t="s">
        <v>1711</v>
      </c>
      <c r="F53" s="7" t="s">
        <v>120</v>
      </c>
      <c r="G53" s="7" t="s">
        <v>55</v>
      </c>
      <c r="H53" s="7"/>
    </row>
    <row r="54" spans="1:8" ht="17.100000000000001" customHeight="1" x14ac:dyDescent="0.25">
      <c r="A54" s="6" t="s">
        <v>134</v>
      </c>
      <c r="B54" s="6" t="s">
        <v>1613</v>
      </c>
      <c r="C54" s="6" t="s">
        <v>76</v>
      </c>
      <c r="D54" s="6" t="s">
        <v>74</v>
      </c>
      <c r="E54" s="6" t="s">
        <v>1733</v>
      </c>
      <c r="F54" s="7" t="s">
        <v>133</v>
      </c>
      <c r="G54" s="7" t="s">
        <v>55</v>
      </c>
      <c r="H54" s="7"/>
    </row>
    <row r="55" spans="1:8" ht="17.100000000000001" customHeight="1" x14ac:dyDescent="0.25">
      <c r="A55" s="6" t="s">
        <v>252</v>
      </c>
      <c r="B55" s="6" t="s">
        <v>1612</v>
      </c>
      <c r="C55" s="6" t="s">
        <v>76</v>
      </c>
      <c r="D55" s="6" t="s">
        <v>74</v>
      </c>
      <c r="E55" s="6" t="s">
        <v>1714</v>
      </c>
      <c r="F55" s="7" t="s">
        <v>253</v>
      </c>
      <c r="G55" s="7" t="s">
        <v>55</v>
      </c>
      <c r="H55" s="7"/>
    </row>
    <row r="56" spans="1:8" ht="17.100000000000001" customHeight="1" x14ac:dyDescent="0.25">
      <c r="A56" s="6" t="s">
        <v>213</v>
      </c>
      <c r="B56" s="6" t="s">
        <v>53</v>
      </c>
      <c r="C56" s="6" t="s">
        <v>76</v>
      </c>
      <c r="D56" s="6" t="s">
        <v>74</v>
      </c>
      <c r="E56" s="6" t="s">
        <v>1714</v>
      </c>
      <c r="F56" s="7" t="s">
        <v>214</v>
      </c>
      <c r="G56" s="7" t="s">
        <v>55</v>
      </c>
      <c r="H56" s="7"/>
    </row>
    <row r="57" spans="1:8" ht="17.100000000000001" customHeight="1" x14ac:dyDescent="0.25">
      <c r="A57" s="6" t="s">
        <v>229</v>
      </c>
      <c r="B57" s="6" t="s">
        <v>53</v>
      </c>
      <c r="C57" s="6" t="s">
        <v>76</v>
      </c>
      <c r="D57" s="6" t="s">
        <v>74</v>
      </c>
      <c r="E57" s="6" t="s">
        <v>1714</v>
      </c>
      <c r="F57" s="7" t="s">
        <v>230</v>
      </c>
      <c r="G57" s="7" t="s">
        <v>55</v>
      </c>
      <c r="H57" s="7"/>
    </row>
    <row r="58" spans="1:8" ht="17.100000000000001" customHeight="1" x14ac:dyDescent="0.25">
      <c r="A58" s="6" t="s">
        <v>232</v>
      </c>
      <c r="B58" s="6" t="s">
        <v>53</v>
      </c>
      <c r="C58" s="6" t="s">
        <v>76</v>
      </c>
      <c r="D58" s="6" t="s">
        <v>74</v>
      </c>
      <c r="E58" s="6" t="s">
        <v>1714</v>
      </c>
      <c r="F58" s="7" t="s">
        <v>233</v>
      </c>
      <c r="G58" s="7" t="s">
        <v>55</v>
      </c>
      <c r="H58" s="7"/>
    </row>
    <row r="59" spans="1:8" ht="17.100000000000001" customHeight="1" x14ac:dyDescent="0.25">
      <c r="A59" s="6" t="s">
        <v>154</v>
      </c>
      <c r="B59" s="6" t="s">
        <v>155</v>
      </c>
      <c r="C59" s="6" t="s">
        <v>76</v>
      </c>
      <c r="D59" s="6" t="s">
        <v>74</v>
      </c>
      <c r="E59" s="6" t="s">
        <v>1714</v>
      </c>
      <c r="F59" s="7" t="s">
        <v>156</v>
      </c>
      <c r="G59" s="7" t="s">
        <v>55</v>
      </c>
      <c r="H59" s="7"/>
    </row>
    <row r="60" spans="1:8" ht="17.100000000000001" customHeight="1" x14ac:dyDescent="0.25">
      <c r="A60" s="6" t="s">
        <v>184</v>
      </c>
      <c r="B60" s="6" t="s">
        <v>185</v>
      </c>
      <c r="C60" s="6" t="s">
        <v>76</v>
      </c>
      <c r="D60" s="6" t="s">
        <v>74</v>
      </c>
      <c r="E60" s="6" t="s">
        <v>1714</v>
      </c>
      <c r="F60" s="7" t="s">
        <v>186</v>
      </c>
      <c r="G60" s="7" t="s">
        <v>55</v>
      </c>
      <c r="H60" s="7"/>
    </row>
    <row r="61" spans="1:8" ht="17.100000000000001" customHeight="1" x14ac:dyDescent="0.25">
      <c r="A61" s="6" t="s">
        <v>161</v>
      </c>
      <c r="B61" s="6" t="s">
        <v>162</v>
      </c>
      <c r="C61" s="6" t="s">
        <v>76</v>
      </c>
      <c r="D61" s="6" t="s">
        <v>74</v>
      </c>
      <c r="E61" s="6" t="s">
        <v>1714</v>
      </c>
      <c r="F61" s="7" t="s">
        <v>163</v>
      </c>
      <c r="G61" s="7" t="s">
        <v>55</v>
      </c>
      <c r="H61" s="7"/>
    </row>
    <row r="62" spans="1:8" ht="17.100000000000001" customHeight="1" x14ac:dyDescent="0.25">
      <c r="A62" s="6" t="s">
        <v>195</v>
      </c>
      <c r="B62" s="6" t="s">
        <v>196</v>
      </c>
      <c r="C62" s="6" t="s">
        <v>76</v>
      </c>
      <c r="D62" s="6" t="s">
        <v>74</v>
      </c>
      <c r="E62" s="6" t="s">
        <v>1714</v>
      </c>
      <c r="F62" s="7" t="s">
        <v>197</v>
      </c>
      <c r="G62" s="7" t="s">
        <v>55</v>
      </c>
      <c r="H62" s="7"/>
    </row>
    <row r="63" spans="1:8" ht="17.100000000000001" customHeight="1" x14ac:dyDescent="0.25">
      <c r="A63" s="6" t="s">
        <v>220</v>
      </c>
      <c r="B63" s="6" t="s">
        <v>221</v>
      </c>
      <c r="C63" s="6" t="s">
        <v>76</v>
      </c>
      <c r="D63" s="6" t="s">
        <v>74</v>
      </c>
      <c r="E63" s="6" t="s">
        <v>1714</v>
      </c>
      <c r="F63" s="7" t="s">
        <v>222</v>
      </c>
      <c r="G63" s="7" t="s">
        <v>55</v>
      </c>
      <c r="H63" s="7"/>
    </row>
    <row r="64" spans="1:8" ht="17.100000000000001" customHeight="1" x14ac:dyDescent="0.25">
      <c r="A64" s="6" t="s">
        <v>244</v>
      </c>
      <c r="B64" s="6" t="s">
        <v>245</v>
      </c>
      <c r="C64" s="6" t="s">
        <v>76</v>
      </c>
      <c r="D64" s="6" t="s">
        <v>74</v>
      </c>
      <c r="E64" s="6" t="s">
        <v>1714</v>
      </c>
      <c r="F64" s="7" t="s">
        <v>246</v>
      </c>
      <c r="G64" s="7" t="s">
        <v>55</v>
      </c>
      <c r="H64" s="7"/>
    </row>
    <row r="65" spans="1:8" ht="17.100000000000001" customHeight="1" x14ac:dyDescent="0.25">
      <c r="A65" s="6" t="s">
        <v>250</v>
      </c>
      <c r="B65" s="6" t="s">
        <v>63</v>
      </c>
      <c r="C65" s="6" t="s">
        <v>76</v>
      </c>
      <c r="D65" s="6" t="s">
        <v>74</v>
      </c>
      <c r="E65" s="6" t="s">
        <v>1714</v>
      </c>
      <c r="F65" s="7" t="s">
        <v>251</v>
      </c>
      <c r="G65" s="7" t="s">
        <v>55</v>
      </c>
      <c r="H65" s="7"/>
    </row>
    <row r="66" spans="1:8" ht="17.100000000000001" customHeight="1" x14ac:dyDescent="0.25">
      <c r="A66" s="7" t="s">
        <v>206</v>
      </c>
      <c r="B66" s="6" t="s">
        <v>207</v>
      </c>
      <c r="C66" s="6" t="s">
        <v>76</v>
      </c>
      <c r="D66" s="6" t="s">
        <v>74</v>
      </c>
      <c r="E66" s="6" t="s">
        <v>1714</v>
      </c>
      <c r="F66" s="6" t="s">
        <v>208</v>
      </c>
      <c r="G66" s="7" t="s">
        <v>55</v>
      </c>
      <c r="H66" s="7"/>
    </row>
    <row r="67" spans="1:8" ht="17.100000000000001" customHeight="1" x14ac:dyDescent="0.25">
      <c r="A67" s="7" t="s">
        <v>247</v>
      </c>
      <c r="B67" s="6" t="s">
        <v>248</v>
      </c>
      <c r="C67" s="6" t="s">
        <v>76</v>
      </c>
      <c r="D67" s="6" t="s">
        <v>74</v>
      </c>
      <c r="E67" s="6" t="s">
        <v>1714</v>
      </c>
      <c r="F67" s="6" t="s">
        <v>249</v>
      </c>
      <c r="G67" s="7" t="s">
        <v>55</v>
      </c>
      <c r="H67" s="7"/>
    </row>
    <row r="68" spans="1:8" ht="17.100000000000001" customHeight="1" x14ac:dyDescent="0.25">
      <c r="A68" s="6" t="s">
        <v>237</v>
      </c>
      <c r="B68" s="6" t="s">
        <v>238</v>
      </c>
      <c r="C68" s="6" t="s">
        <v>76</v>
      </c>
      <c r="D68" s="6" t="s">
        <v>74</v>
      </c>
      <c r="E68" s="6" t="s">
        <v>1714</v>
      </c>
      <c r="F68" s="7" t="s">
        <v>239</v>
      </c>
      <c r="G68" s="7" t="s">
        <v>55</v>
      </c>
      <c r="H68" s="7"/>
    </row>
    <row r="69" spans="1:8" ht="17.100000000000001" customHeight="1" x14ac:dyDescent="0.25">
      <c r="A69" s="6" t="s">
        <v>234</v>
      </c>
      <c r="B69" s="6" t="s">
        <v>235</v>
      </c>
      <c r="C69" s="6" t="s">
        <v>76</v>
      </c>
      <c r="D69" s="6" t="s">
        <v>74</v>
      </c>
      <c r="E69" s="6" t="s">
        <v>1714</v>
      </c>
      <c r="F69" s="7" t="s">
        <v>236</v>
      </c>
      <c r="G69" s="7" t="s">
        <v>55</v>
      </c>
      <c r="H69" s="7"/>
    </row>
    <row r="70" spans="1:8" ht="17.100000000000001" customHeight="1" x14ac:dyDescent="0.25">
      <c r="A70" s="19"/>
      <c r="B70" s="18"/>
      <c r="C70" s="18"/>
      <c r="D70" s="18"/>
      <c r="E70" s="18"/>
      <c r="F70" s="18"/>
      <c r="G70" s="19"/>
      <c r="H70" s="19"/>
    </row>
    <row r="71" spans="1:8" ht="17.100000000000001" customHeight="1" x14ac:dyDescent="0.25">
      <c r="A71" s="6" t="s">
        <v>217</v>
      </c>
      <c r="B71" s="6" t="s">
        <v>1610</v>
      </c>
      <c r="C71" s="6" t="s">
        <v>76</v>
      </c>
      <c r="D71" s="6" t="s">
        <v>74</v>
      </c>
      <c r="E71" s="6" t="s">
        <v>1714</v>
      </c>
      <c r="F71" s="7" t="s">
        <v>218</v>
      </c>
      <c r="G71" s="7" t="s">
        <v>55</v>
      </c>
      <c r="H71" s="7" t="s">
        <v>1741</v>
      </c>
    </row>
    <row r="72" spans="1:8" ht="17.100000000000001" customHeight="1" x14ac:dyDescent="0.25">
      <c r="A72" s="7" t="s">
        <v>217</v>
      </c>
      <c r="B72" s="6" t="s">
        <v>1610</v>
      </c>
      <c r="C72" s="6" t="s">
        <v>76</v>
      </c>
      <c r="D72" s="6" t="s">
        <v>74</v>
      </c>
      <c r="E72" s="6" t="s">
        <v>1714</v>
      </c>
      <c r="F72" s="6" t="s">
        <v>219</v>
      </c>
      <c r="G72" s="7" t="s">
        <v>55</v>
      </c>
      <c r="H72" s="7"/>
    </row>
    <row r="73" spans="1:8" ht="17.100000000000001" customHeight="1" x14ac:dyDescent="0.25">
      <c r="A73" s="7"/>
      <c r="B73" s="6"/>
      <c r="C73" s="6"/>
      <c r="D73" s="6"/>
      <c r="E73" s="6"/>
      <c r="F73" s="6"/>
      <c r="G73" s="7"/>
      <c r="H73" s="7"/>
    </row>
    <row r="74" spans="1:8" ht="17.100000000000001" customHeight="1" x14ac:dyDescent="0.25">
      <c r="A74" s="6" t="s">
        <v>168</v>
      </c>
      <c r="B74" s="6" t="s">
        <v>1608</v>
      </c>
      <c r="C74" s="6" t="s">
        <v>76</v>
      </c>
      <c r="D74" s="6" t="s">
        <v>74</v>
      </c>
      <c r="E74" s="6" t="s">
        <v>1714</v>
      </c>
      <c r="F74" s="7" t="s">
        <v>188</v>
      </c>
      <c r="G74" s="7" t="s">
        <v>55</v>
      </c>
      <c r="H74" s="7"/>
    </row>
    <row r="75" spans="1:8" ht="17.100000000000001" customHeight="1" x14ac:dyDescent="0.25">
      <c r="A75" s="6" t="s">
        <v>190</v>
      </c>
      <c r="B75" s="6" t="s">
        <v>1608</v>
      </c>
      <c r="C75" s="6" t="s">
        <v>76</v>
      </c>
      <c r="D75" s="6" t="s">
        <v>74</v>
      </c>
      <c r="E75" s="6" t="s">
        <v>1714</v>
      </c>
      <c r="F75" s="7" t="s">
        <v>188</v>
      </c>
      <c r="G75" s="7" t="s">
        <v>55</v>
      </c>
      <c r="H75" s="7"/>
    </row>
    <row r="76" spans="1:8" ht="17.100000000000001" customHeight="1" x14ac:dyDescent="0.25">
      <c r="A76" s="6"/>
      <c r="B76" s="6"/>
      <c r="C76" s="6"/>
      <c r="D76" s="6"/>
      <c r="E76" s="6"/>
      <c r="F76" s="7"/>
      <c r="G76" s="7"/>
      <c r="H76" s="7"/>
    </row>
    <row r="77" spans="1:8" ht="17.100000000000001" customHeight="1" x14ac:dyDescent="0.25">
      <c r="A77" s="6" t="s">
        <v>170</v>
      </c>
      <c r="B77" s="6" t="s">
        <v>53</v>
      </c>
      <c r="C77" s="6" t="s">
        <v>76</v>
      </c>
      <c r="D77" s="6" t="s">
        <v>74</v>
      </c>
      <c r="E77" s="6" t="s">
        <v>1714</v>
      </c>
      <c r="F77" s="7" t="s">
        <v>171</v>
      </c>
      <c r="G77" s="7" t="s">
        <v>55</v>
      </c>
      <c r="H77" s="7"/>
    </row>
    <row r="78" spans="1:8" ht="17.100000000000001" customHeight="1" x14ac:dyDescent="0.25">
      <c r="A78" s="6" t="s">
        <v>171</v>
      </c>
      <c r="B78" s="6" t="s">
        <v>53</v>
      </c>
      <c r="C78" s="6" t="s">
        <v>76</v>
      </c>
      <c r="D78" s="6" t="s">
        <v>74</v>
      </c>
      <c r="E78" s="6" t="s">
        <v>1714</v>
      </c>
      <c r="F78" s="7" t="s">
        <v>189</v>
      </c>
      <c r="G78" s="7" t="s">
        <v>55</v>
      </c>
      <c r="H78" s="7"/>
    </row>
    <row r="79" spans="1:8" ht="17.100000000000001" customHeight="1" x14ac:dyDescent="0.25">
      <c r="A79" s="6" t="s">
        <v>189</v>
      </c>
      <c r="B79" s="6" t="s">
        <v>53</v>
      </c>
      <c r="C79" s="6" t="s">
        <v>76</v>
      </c>
      <c r="D79" s="6" t="s">
        <v>74</v>
      </c>
      <c r="E79" s="6" t="s">
        <v>1714</v>
      </c>
      <c r="F79" s="7" t="s">
        <v>192</v>
      </c>
      <c r="G79" s="7" t="s">
        <v>55</v>
      </c>
      <c r="H79" s="7"/>
    </row>
    <row r="80" spans="1:8" ht="17.100000000000001" customHeight="1" x14ac:dyDescent="0.25">
      <c r="A80" s="6" t="s">
        <v>192</v>
      </c>
      <c r="B80" s="6" t="s">
        <v>53</v>
      </c>
      <c r="C80" s="6" t="s">
        <v>76</v>
      </c>
      <c r="D80" s="6" t="s">
        <v>74</v>
      </c>
      <c r="E80" s="6" t="s">
        <v>1714</v>
      </c>
      <c r="F80" s="7" t="s">
        <v>194</v>
      </c>
      <c r="G80" s="7" t="s">
        <v>55</v>
      </c>
      <c r="H80" s="7"/>
    </row>
    <row r="81" spans="1:8" ht="17.100000000000001" customHeight="1" x14ac:dyDescent="0.25">
      <c r="A81" s="6" t="s">
        <v>202</v>
      </c>
      <c r="B81" s="6" t="s">
        <v>53</v>
      </c>
      <c r="C81" s="6" t="s">
        <v>76</v>
      </c>
      <c r="D81" s="6" t="s">
        <v>74</v>
      </c>
      <c r="E81" s="6" t="s">
        <v>1714</v>
      </c>
      <c r="F81" s="7" t="s">
        <v>194</v>
      </c>
      <c r="G81" s="7" t="s">
        <v>55</v>
      </c>
      <c r="H81" s="7"/>
    </row>
    <row r="82" spans="1:8" ht="17.100000000000001" customHeight="1" x14ac:dyDescent="0.25">
      <c r="A82" s="7" t="s">
        <v>170</v>
      </c>
      <c r="B82" s="6" t="s">
        <v>53</v>
      </c>
      <c r="C82" s="6" t="s">
        <v>76</v>
      </c>
      <c r="D82" s="6" t="s">
        <v>74</v>
      </c>
      <c r="E82" s="6" t="s">
        <v>1714</v>
      </c>
      <c r="F82" s="6" t="s">
        <v>172</v>
      </c>
      <c r="G82" s="7" t="s">
        <v>55</v>
      </c>
      <c r="H82" s="7"/>
    </row>
    <row r="83" spans="1:8" ht="17.100000000000001" customHeight="1" x14ac:dyDescent="0.25">
      <c r="A83" s="7"/>
      <c r="B83" s="6"/>
      <c r="C83" s="6"/>
      <c r="D83" s="6"/>
      <c r="E83" s="6"/>
      <c r="F83" s="6"/>
      <c r="G83" s="7"/>
      <c r="H83" s="7"/>
    </row>
    <row r="84" spans="1:8" ht="17.100000000000001" customHeight="1" x14ac:dyDescent="0.25">
      <c r="A84" s="6" t="s">
        <v>180</v>
      </c>
      <c r="B84" s="6" t="s">
        <v>181</v>
      </c>
      <c r="C84" s="6" t="s">
        <v>76</v>
      </c>
      <c r="D84" s="6" t="s">
        <v>74</v>
      </c>
      <c r="E84" s="6" t="s">
        <v>1714</v>
      </c>
      <c r="F84" s="7" t="s">
        <v>182</v>
      </c>
      <c r="G84" s="7" t="s">
        <v>55</v>
      </c>
      <c r="H84" s="7"/>
    </row>
    <row r="85" spans="1:8" ht="17.100000000000001" customHeight="1" x14ac:dyDescent="0.25">
      <c r="A85" s="7" t="s">
        <v>180</v>
      </c>
      <c r="B85" s="6" t="s">
        <v>181</v>
      </c>
      <c r="C85" s="6" t="s">
        <v>76</v>
      </c>
      <c r="D85" s="6" t="s">
        <v>74</v>
      </c>
      <c r="E85" s="6" t="s">
        <v>1714</v>
      </c>
      <c r="F85" s="6" t="s">
        <v>183</v>
      </c>
      <c r="G85" s="7" t="s">
        <v>55</v>
      </c>
      <c r="H85" s="7"/>
    </row>
    <row r="86" spans="1:8" ht="17.100000000000001" customHeight="1" x14ac:dyDescent="0.25">
      <c r="A86" s="7"/>
      <c r="B86" s="6"/>
      <c r="C86" s="6"/>
      <c r="D86" s="6"/>
      <c r="E86" s="6"/>
      <c r="F86" s="6"/>
      <c r="G86" s="7"/>
      <c r="H86" s="7"/>
    </row>
    <row r="87" spans="1:8" ht="17.100000000000001" customHeight="1" x14ac:dyDescent="0.25">
      <c r="A87" s="6" t="s">
        <v>164</v>
      </c>
      <c r="B87" s="6" t="s">
        <v>158</v>
      </c>
      <c r="C87" s="6" t="s">
        <v>76</v>
      </c>
      <c r="D87" s="6" t="s">
        <v>74</v>
      </c>
      <c r="E87" s="6" t="s">
        <v>1733</v>
      </c>
      <c r="F87" s="7" t="s">
        <v>165</v>
      </c>
      <c r="G87" s="7" t="s">
        <v>55</v>
      </c>
      <c r="H87" s="7"/>
    </row>
    <row r="88" spans="1:8" ht="17.100000000000001" customHeight="1" x14ac:dyDescent="0.25">
      <c r="A88" s="6" t="s">
        <v>215</v>
      </c>
      <c r="B88" s="6" t="s">
        <v>158</v>
      </c>
      <c r="C88" s="6" t="s">
        <v>76</v>
      </c>
      <c r="D88" s="6" t="s">
        <v>74</v>
      </c>
      <c r="E88" s="6" t="s">
        <v>1733</v>
      </c>
      <c r="F88" s="7" t="s">
        <v>216</v>
      </c>
      <c r="G88" s="7" t="s">
        <v>55</v>
      </c>
      <c r="H88" s="7"/>
    </row>
    <row r="89" spans="1:8" ht="17.100000000000001" customHeight="1" x14ac:dyDescent="0.25">
      <c r="A89" s="6" t="s">
        <v>215</v>
      </c>
      <c r="B89" s="6" t="s">
        <v>158</v>
      </c>
      <c r="C89" s="6" t="s">
        <v>76</v>
      </c>
      <c r="D89" s="6" t="s">
        <v>74</v>
      </c>
      <c r="E89" s="6" t="s">
        <v>1714</v>
      </c>
      <c r="F89" s="7" t="s">
        <v>165</v>
      </c>
      <c r="G89" s="7" t="s">
        <v>55</v>
      </c>
      <c r="H89" s="7"/>
    </row>
    <row r="90" spans="1:8" ht="17.100000000000001" customHeight="1" x14ac:dyDescent="0.25">
      <c r="A90" s="6"/>
      <c r="B90" s="6"/>
      <c r="C90" s="6"/>
      <c r="D90" s="6"/>
      <c r="E90" s="6"/>
      <c r="F90" s="7"/>
      <c r="G90" s="7"/>
      <c r="H90" s="7"/>
    </row>
    <row r="91" spans="1:8" ht="17.100000000000001" customHeight="1" x14ac:dyDescent="0.25">
      <c r="A91" s="6" t="s">
        <v>226</v>
      </c>
      <c r="B91" s="6" t="s">
        <v>227</v>
      </c>
      <c r="C91" s="6" t="s">
        <v>76</v>
      </c>
      <c r="D91" s="6" t="s">
        <v>74</v>
      </c>
      <c r="E91" s="6" t="s">
        <v>1714</v>
      </c>
      <c r="F91" s="7" t="s">
        <v>228</v>
      </c>
      <c r="G91" s="7" t="s">
        <v>55</v>
      </c>
      <c r="H91" s="7"/>
    </row>
    <row r="92" spans="1:8" ht="17.100000000000001" customHeight="1" x14ac:dyDescent="0.25">
      <c r="A92" s="6" t="s">
        <v>228</v>
      </c>
      <c r="B92" s="6" t="s">
        <v>227</v>
      </c>
      <c r="C92" s="6" t="s">
        <v>76</v>
      </c>
      <c r="D92" s="6" t="s">
        <v>74</v>
      </c>
      <c r="E92" s="6" t="s">
        <v>1714</v>
      </c>
      <c r="F92" s="7" t="s">
        <v>241</v>
      </c>
      <c r="G92" s="7" t="s">
        <v>55</v>
      </c>
      <c r="H92" s="7"/>
    </row>
    <row r="93" spans="1:8" ht="17.100000000000001" customHeight="1" x14ac:dyDescent="0.25">
      <c r="A93" s="6"/>
      <c r="B93" s="6"/>
      <c r="C93" s="6"/>
      <c r="D93" s="6"/>
      <c r="E93" s="6"/>
      <c r="F93" s="7"/>
      <c r="G93" s="7"/>
      <c r="H93" s="7"/>
    </row>
    <row r="94" spans="1:8" ht="17.100000000000001" customHeight="1" x14ac:dyDescent="0.25">
      <c r="A94" s="6" t="s">
        <v>173</v>
      </c>
      <c r="B94" s="6" t="s">
        <v>174</v>
      </c>
      <c r="C94" s="6" t="s">
        <v>76</v>
      </c>
      <c r="D94" s="6" t="s">
        <v>74</v>
      </c>
      <c r="E94" s="6" t="s">
        <v>1714</v>
      </c>
      <c r="F94" s="7" t="s">
        <v>176</v>
      </c>
      <c r="G94" s="7" t="s">
        <v>55</v>
      </c>
      <c r="H94" s="7"/>
    </row>
    <row r="95" spans="1:8" ht="17.100000000000001" customHeight="1" x14ac:dyDescent="0.25">
      <c r="A95" s="7" t="s">
        <v>173</v>
      </c>
      <c r="B95" s="6" t="s">
        <v>174</v>
      </c>
      <c r="C95" s="6" t="s">
        <v>76</v>
      </c>
      <c r="D95" s="6" t="s">
        <v>74</v>
      </c>
      <c r="E95" s="6" t="s">
        <v>1714</v>
      </c>
      <c r="F95" s="6" t="s">
        <v>175</v>
      </c>
      <c r="G95" s="7" t="s">
        <v>55</v>
      </c>
      <c r="H95" s="7"/>
    </row>
    <row r="96" spans="1:8" ht="17.100000000000001" customHeight="1" x14ac:dyDescent="0.25">
      <c r="A96" s="7"/>
      <c r="B96" s="6"/>
      <c r="C96" s="6"/>
      <c r="D96" s="6"/>
      <c r="E96" s="6"/>
      <c r="F96" s="6"/>
      <c r="G96" s="7"/>
      <c r="H96" s="7"/>
    </row>
    <row r="97" spans="1:8" ht="17.100000000000001" customHeight="1" x14ac:dyDescent="0.25">
      <c r="A97" s="6" t="s">
        <v>209</v>
      </c>
      <c r="B97" s="6" t="s">
        <v>210</v>
      </c>
      <c r="C97" s="6" t="s">
        <v>76</v>
      </c>
      <c r="D97" s="6" t="s">
        <v>74</v>
      </c>
      <c r="E97" s="6" t="s">
        <v>1714</v>
      </c>
      <c r="F97" s="7" t="s">
        <v>212</v>
      </c>
      <c r="G97" s="7" t="s">
        <v>55</v>
      </c>
      <c r="H97" s="7"/>
    </row>
    <row r="98" spans="1:8" ht="17.100000000000001" customHeight="1" x14ac:dyDescent="0.25">
      <c r="A98" s="7" t="s">
        <v>209</v>
      </c>
      <c r="B98" s="6" t="s">
        <v>210</v>
      </c>
      <c r="C98" s="6" t="s">
        <v>76</v>
      </c>
      <c r="D98" s="6" t="s">
        <v>74</v>
      </c>
      <c r="E98" s="6" t="s">
        <v>1714</v>
      </c>
      <c r="F98" s="6" t="s">
        <v>211</v>
      </c>
      <c r="G98" s="7" t="s">
        <v>55</v>
      </c>
      <c r="H98" s="7"/>
    </row>
    <row r="99" spans="1:8" ht="17.100000000000001" customHeight="1" x14ac:dyDescent="0.25">
      <c r="A99" s="7"/>
      <c r="B99" s="6"/>
      <c r="C99" s="6"/>
      <c r="D99" s="6"/>
      <c r="E99" s="6"/>
      <c r="F99" s="6"/>
      <c r="G99" s="7"/>
      <c r="H99" s="7"/>
    </row>
    <row r="100" spans="1:8" ht="17.100000000000001" customHeight="1" x14ac:dyDescent="0.25">
      <c r="A100" s="6" t="s">
        <v>139</v>
      </c>
      <c r="B100" s="6" t="s">
        <v>138</v>
      </c>
      <c r="C100" s="6" t="s">
        <v>76</v>
      </c>
      <c r="D100" s="6" t="s">
        <v>74</v>
      </c>
      <c r="E100" s="6" t="s">
        <v>1721</v>
      </c>
      <c r="F100" s="7" t="s">
        <v>137</v>
      </c>
      <c r="G100" s="7" t="s">
        <v>55</v>
      </c>
      <c r="H100" s="7"/>
    </row>
    <row r="101" spans="1:8" ht="17.100000000000001" customHeight="1" x14ac:dyDescent="0.25">
      <c r="A101" s="6" t="s">
        <v>139</v>
      </c>
      <c r="B101" s="6" t="s">
        <v>138</v>
      </c>
      <c r="C101" s="6" t="s">
        <v>76</v>
      </c>
      <c r="D101" s="6" t="s">
        <v>74</v>
      </c>
      <c r="E101" s="6" t="s">
        <v>1721</v>
      </c>
      <c r="F101" s="7" t="s">
        <v>254</v>
      </c>
      <c r="G101" s="7" t="s">
        <v>55</v>
      </c>
      <c r="H101" s="7"/>
    </row>
    <row r="102" spans="1:8" ht="17.100000000000001" customHeight="1" x14ac:dyDescent="0.25">
      <c r="A102" s="18"/>
      <c r="B102" s="18"/>
      <c r="C102" s="18"/>
      <c r="D102" s="18"/>
      <c r="E102" s="18"/>
      <c r="F102" s="19"/>
      <c r="G102" s="19"/>
      <c r="H102" s="19"/>
    </row>
    <row r="103" spans="1:8" ht="17.100000000000001" customHeight="1" x14ac:dyDescent="0.25">
      <c r="A103" s="6" t="s">
        <v>183</v>
      </c>
      <c r="B103" s="6" t="s">
        <v>181</v>
      </c>
      <c r="C103" s="6" t="s">
        <v>76</v>
      </c>
      <c r="D103" s="6" t="s">
        <v>74</v>
      </c>
      <c r="E103" s="6" t="s">
        <v>1714</v>
      </c>
      <c r="F103" s="7" t="s">
        <v>273</v>
      </c>
      <c r="G103" s="7" t="s">
        <v>55</v>
      </c>
      <c r="H103" s="7" t="s">
        <v>1724</v>
      </c>
    </row>
    <row r="104" spans="1:8" ht="17.100000000000001" customHeight="1" x14ac:dyDescent="0.25">
      <c r="A104" s="6" t="s">
        <v>205</v>
      </c>
      <c r="B104" s="6" t="s">
        <v>204</v>
      </c>
      <c r="C104" s="6" t="s">
        <v>76</v>
      </c>
      <c r="D104" s="6" t="s">
        <v>74</v>
      </c>
      <c r="E104" s="6" t="s">
        <v>1714</v>
      </c>
      <c r="F104" s="7" t="s">
        <v>277</v>
      </c>
      <c r="G104" s="7" t="s">
        <v>55</v>
      </c>
      <c r="H104" s="7"/>
    </row>
    <row r="105" spans="1:8" ht="17.100000000000001" customHeight="1" x14ac:dyDescent="0.25">
      <c r="A105" s="6" t="s">
        <v>263</v>
      </c>
      <c r="B105" s="6" t="s">
        <v>264</v>
      </c>
      <c r="C105" s="6" t="s">
        <v>76</v>
      </c>
      <c r="D105" s="6" t="s">
        <v>74</v>
      </c>
      <c r="E105" s="6" t="s">
        <v>1714</v>
      </c>
      <c r="F105" s="7" t="s">
        <v>265</v>
      </c>
      <c r="G105" s="7" t="s">
        <v>55</v>
      </c>
      <c r="H105" s="7"/>
    </row>
    <row r="106" spans="1:8" ht="17.100000000000001" customHeight="1" x14ac:dyDescent="0.25">
      <c r="A106" s="6" t="s">
        <v>266</v>
      </c>
      <c r="B106" s="6" t="s">
        <v>267</v>
      </c>
      <c r="C106" s="6" t="s">
        <v>76</v>
      </c>
      <c r="D106" s="6" t="s">
        <v>74</v>
      </c>
      <c r="E106" s="6" t="s">
        <v>1714</v>
      </c>
      <c r="F106" s="7" t="s">
        <v>268</v>
      </c>
      <c r="G106" s="7" t="s">
        <v>55</v>
      </c>
      <c r="H106" s="7"/>
    </row>
    <row r="107" spans="1:8" ht="17.100000000000001" customHeight="1" x14ac:dyDescent="0.25">
      <c r="A107" s="6" t="s">
        <v>269</v>
      </c>
      <c r="B107" s="6" t="s">
        <v>270</v>
      </c>
      <c r="C107" s="6" t="s">
        <v>76</v>
      </c>
      <c r="D107" s="6" t="s">
        <v>74</v>
      </c>
      <c r="E107" s="6" t="s">
        <v>1714</v>
      </c>
      <c r="F107" s="7" t="s">
        <v>271</v>
      </c>
      <c r="G107" s="7" t="s">
        <v>55</v>
      </c>
      <c r="H107" s="7"/>
    </row>
    <row r="108" spans="1:8" ht="17.100000000000001" customHeight="1" x14ac:dyDescent="0.25">
      <c r="A108" s="18"/>
      <c r="B108" s="18"/>
      <c r="C108" s="18"/>
      <c r="D108" s="18"/>
      <c r="E108" s="18"/>
      <c r="F108" s="19"/>
      <c r="G108" s="19"/>
      <c r="H108" s="19"/>
    </row>
    <row r="109" spans="1:8" ht="17.100000000000001" customHeight="1" x14ac:dyDescent="0.25">
      <c r="A109" s="6" t="s">
        <v>261</v>
      </c>
      <c r="B109" s="6" t="s">
        <v>53</v>
      </c>
      <c r="C109" s="6" t="s">
        <v>76</v>
      </c>
      <c r="D109" s="6" t="s">
        <v>74</v>
      </c>
      <c r="E109" s="6" t="s">
        <v>1714</v>
      </c>
      <c r="F109" s="7" t="s">
        <v>262</v>
      </c>
      <c r="G109" s="7" t="s">
        <v>55</v>
      </c>
      <c r="H109" s="7" t="s">
        <v>1725</v>
      </c>
    </row>
    <row r="110" spans="1:8" ht="17.100000000000001" customHeight="1" x14ac:dyDescent="0.25">
      <c r="A110" s="6" t="s">
        <v>262</v>
      </c>
      <c r="B110" s="6" t="s">
        <v>53</v>
      </c>
      <c r="C110" s="6" t="s">
        <v>76</v>
      </c>
      <c r="D110" s="6" t="s">
        <v>74</v>
      </c>
      <c r="E110" s="6" t="s">
        <v>1714</v>
      </c>
      <c r="F110" s="7" t="s">
        <v>276</v>
      </c>
      <c r="G110" s="7" t="s">
        <v>55</v>
      </c>
      <c r="H110" s="7"/>
    </row>
    <row r="111" spans="1:8" ht="17.100000000000001" customHeight="1" x14ac:dyDescent="0.25">
      <c r="A111" s="6" t="s">
        <v>274</v>
      </c>
      <c r="B111" s="6" t="s">
        <v>174</v>
      </c>
      <c r="C111" s="6" t="s">
        <v>76</v>
      </c>
      <c r="D111" s="6" t="s">
        <v>74</v>
      </c>
      <c r="E111" s="6" t="s">
        <v>1714</v>
      </c>
      <c r="F111" s="7" t="s">
        <v>275</v>
      </c>
      <c r="G111" s="7" t="s">
        <v>55</v>
      </c>
      <c r="H111" s="7"/>
    </row>
    <row r="112" spans="1:8" ht="17.100000000000001" customHeight="1" x14ac:dyDescent="0.25">
      <c r="A112" s="18"/>
      <c r="B112" s="18"/>
      <c r="C112" s="18"/>
      <c r="D112" s="18"/>
      <c r="E112" s="18"/>
      <c r="F112" s="19"/>
      <c r="G112" s="19"/>
      <c r="H112" s="19"/>
    </row>
    <row r="113" spans="1:8" ht="17.100000000000001" customHeight="1" x14ac:dyDescent="0.25">
      <c r="A113" s="6" t="s">
        <v>110</v>
      </c>
      <c r="B113" s="6" t="s">
        <v>1608</v>
      </c>
      <c r="C113" s="6" t="s">
        <v>76</v>
      </c>
      <c r="D113" s="6" t="s">
        <v>73</v>
      </c>
      <c r="E113" s="6" t="s">
        <v>1721</v>
      </c>
      <c r="F113" s="7" t="s">
        <v>111</v>
      </c>
      <c r="G113" s="7" t="s">
        <v>55</v>
      </c>
      <c r="H113" s="7" t="s">
        <v>1685</v>
      </c>
    </row>
    <row r="114" spans="1:8" ht="17.100000000000001" customHeight="1" x14ac:dyDescent="0.25">
      <c r="A114" s="6" t="s">
        <v>113</v>
      </c>
      <c r="B114" s="6" t="s">
        <v>1608</v>
      </c>
      <c r="C114" s="6" t="s">
        <v>76</v>
      </c>
      <c r="D114" s="6" t="s">
        <v>73</v>
      </c>
      <c r="E114" s="6" t="s">
        <v>1711</v>
      </c>
      <c r="F114" s="7" t="s">
        <v>279</v>
      </c>
      <c r="G114" s="7" t="s">
        <v>55</v>
      </c>
      <c r="H114" s="7"/>
    </row>
    <row r="115" spans="1:8" ht="17.100000000000001" customHeight="1" x14ac:dyDescent="0.25">
      <c r="A115" s="6" t="s">
        <v>116</v>
      </c>
      <c r="B115" s="6" t="s">
        <v>1608</v>
      </c>
      <c r="C115" s="6" t="s">
        <v>76</v>
      </c>
      <c r="D115" s="6" t="s">
        <v>73</v>
      </c>
      <c r="E115" s="6" t="s">
        <v>1721</v>
      </c>
      <c r="F115" s="7" t="s">
        <v>282</v>
      </c>
      <c r="G115" s="7" t="s">
        <v>55</v>
      </c>
      <c r="H115" s="7"/>
    </row>
    <row r="116" spans="1:8" ht="17.100000000000001" customHeight="1" x14ac:dyDescent="0.25">
      <c r="A116" s="6" t="s">
        <v>151</v>
      </c>
      <c r="B116" s="6" t="s">
        <v>51</v>
      </c>
      <c r="C116" s="6" t="s">
        <v>76</v>
      </c>
      <c r="D116" s="6" t="s">
        <v>73</v>
      </c>
      <c r="E116" s="6" t="s">
        <v>1711</v>
      </c>
      <c r="F116" s="7" t="s">
        <v>278</v>
      </c>
      <c r="G116" s="7" t="s">
        <v>55</v>
      </c>
      <c r="H116" s="7"/>
    </row>
    <row r="117" spans="1:8" ht="17.100000000000001" customHeight="1" x14ac:dyDescent="0.25">
      <c r="A117" s="6" t="s">
        <v>114</v>
      </c>
      <c r="B117" s="6" t="s">
        <v>54</v>
      </c>
      <c r="C117" s="6" t="s">
        <v>76</v>
      </c>
      <c r="D117" s="6" t="s">
        <v>73</v>
      </c>
      <c r="E117" s="6" t="s">
        <v>1714</v>
      </c>
      <c r="F117" s="7" t="s">
        <v>281</v>
      </c>
      <c r="G117" s="7" t="s">
        <v>55</v>
      </c>
      <c r="H117" s="7"/>
    </row>
    <row r="118" spans="1:8" ht="17.100000000000001" customHeight="1" x14ac:dyDescent="0.25">
      <c r="A118" s="6" t="s">
        <v>225</v>
      </c>
      <c r="B118" s="6" t="s">
        <v>158</v>
      </c>
      <c r="C118" s="6" t="s">
        <v>76</v>
      </c>
      <c r="D118" s="6" t="s">
        <v>73</v>
      </c>
      <c r="E118" s="6" t="s">
        <v>1711</v>
      </c>
      <c r="F118" s="7" t="s">
        <v>280</v>
      </c>
      <c r="G118" s="7" t="s">
        <v>55</v>
      </c>
      <c r="H118" s="7"/>
    </row>
  </sheetData>
  <sortState xmlns:xlrd2="http://schemas.microsoft.com/office/spreadsheetml/2017/richdata2" ref="A52:G69">
    <sortCondition ref="B52:B6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71:A101 F71:F101">
    <cfRule type="duplicateValues" dxfId="40" priority="3"/>
  </conditionalFormatting>
  <conditionalFormatting sqref="A34:G34">
    <cfRule type="duplicateValues" dxfId="39" priority="4"/>
  </conditionalFormatting>
  <conditionalFormatting sqref="G38:G39 G47 G52:G69">
    <cfRule type="containsText" dxfId="38" priority="2" operator="containsText" text=":A2">
      <formula>NOT(ISERROR(SEARCH(":A2",G38)))</formula>
    </cfRule>
  </conditionalFormatting>
  <conditionalFormatting sqref="G38:G39 G52:G69">
    <cfRule type="containsText" dxfId="37" priority="1" operator="containsText" text=":A1">
      <formula>NOT(ISERROR(SEARCH(":A1",G38)))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5C40-E1F4-438D-AB1E-25B79DC8A93C}">
  <sheetPr>
    <tabColor rgb="FF7030A0"/>
  </sheetPr>
  <dimension ref="A1:I20"/>
  <sheetViews>
    <sheetView showGridLines="0" zoomScaleNormal="100" workbookViewId="0">
      <selection activeCell="A15" sqref="A15"/>
    </sheetView>
  </sheetViews>
  <sheetFormatPr defaultRowHeight="17.100000000000001" customHeight="1" x14ac:dyDescent="0.25"/>
  <cols>
    <col min="1" max="1" width="12.42578125" style="2" bestFit="1" customWidth="1"/>
    <col min="2" max="2" width="16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6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1" t="s">
        <v>27</v>
      </c>
      <c r="B1" s="21"/>
      <c r="C1" s="21"/>
      <c r="D1" s="21"/>
    </row>
    <row r="2" spans="1:9" ht="12.75" customHeight="1" x14ac:dyDescent="0.25">
      <c r="A2" s="22" t="s">
        <v>701</v>
      </c>
      <c r="B2" s="22"/>
      <c r="C2" s="22"/>
      <c r="D2" s="22"/>
    </row>
    <row r="3" spans="1:9" ht="12" customHeight="1" x14ac:dyDescent="0.25">
      <c r="A3" s="1" t="s">
        <v>0</v>
      </c>
      <c r="B3" s="20" t="s">
        <v>1</v>
      </c>
      <c r="C3" s="20"/>
      <c r="D3" s="20"/>
    </row>
    <row r="4" spans="1:9" ht="12.75" customHeight="1" x14ac:dyDescent="0.25">
      <c r="A4" s="1" t="s">
        <v>2</v>
      </c>
      <c r="B4" s="20" t="s">
        <v>3</v>
      </c>
      <c r="C4" s="20"/>
      <c r="D4" s="20"/>
    </row>
    <row r="5" spans="1:9" ht="12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736</v>
      </c>
      <c r="B14" s="6" t="s">
        <v>737</v>
      </c>
      <c r="C14" s="6" t="s">
        <v>76</v>
      </c>
      <c r="D14" s="6" t="s">
        <v>74</v>
      </c>
      <c r="E14" s="6" t="s">
        <v>1714</v>
      </c>
      <c r="F14" s="7" t="s">
        <v>738</v>
      </c>
      <c r="G14" s="7" t="s">
        <v>27</v>
      </c>
      <c r="H14" s="7" t="s">
        <v>1723</v>
      </c>
    </row>
    <row r="15" spans="1:9" ht="17.100000000000001" customHeight="1" x14ac:dyDescent="0.25">
      <c r="A15" s="6" t="s">
        <v>733</v>
      </c>
      <c r="B15" s="6" t="s">
        <v>734</v>
      </c>
      <c r="C15" s="6" t="s">
        <v>76</v>
      </c>
      <c r="D15" s="6" t="s">
        <v>74</v>
      </c>
      <c r="E15" s="6" t="s">
        <v>1714</v>
      </c>
      <c r="F15" s="7" t="s">
        <v>735</v>
      </c>
      <c r="G15" s="7" t="s">
        <v>27</v>
      </c>
      <c r="H15" s="7"/>
    </row>
    <row r="16" spans="1:9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731</v>
      </c>
      <c r="B17" s="6" t="s">
        <v>1608</v>
      </c>
      <c r="C17" s="6" t="s">
        <v>76</v>
      </c>
      <c r="D17" s="6" t="s">
        <v>82</v>
      </c>
      <c r="E17" s="6" t="s">
        <v>1714</v>
      </c>
      <c r="F17" s="7" t="s">
        <v>748</v>
      </c>
      <c r="G17" s="7" t="s">
        <v>27</v>
      </c>
      <c r="H17" s="7"/>
    </row>
    <row r="18" spans="1:8" ht="17.100000000000001" customHeight="1" x14ac:dyDescent="0.25">
      <c r="A18" s="6" t="s">
        <v>732</v>
      </c>
      <c r="B18" s="6" t="s">
        <v>35</v>
      </c>
      <c r="C18" s="6" t="s">
        <v>76</v>
      </c>
      <c r="D18" s="6" t="s">
        <v>82</v>
      </c>
      <c r="E18" s="6" t="s">
        <v>1714</v>
      </c>
      <c r="F18" s="7" t="s">
        <v>749</v>
      </c>
      <c r="G18" s="7" t="s">
        <v>27</v>
      </c>
      <c r="H18" s="7"/>
    </row>
    <row r="19" spans="1:8" ht="17.100000000000001" customHeight="1" x14ac:dyDescent="0.25">
      <c r="A19" s="18"/>
      <c r="B19" s="18"/>
      <c r="C19" s="18"/>
      <c r="D19" s="18"/>
      <c r="E19" s="18"/>
      <c r="F19" s="19"/>
      <c r="G19" s="19"/>
      <c r="H19" s="19"/>
    </row>
    <row r="20" spans="1:8" ht="17.100000000000001" customHeight="1" x14ac:dyDescent="0.25">
      <c r="A20" s="6" t="s">
        <v>763</v>
      </c>
      <c r="B20" s="6" t="s">
        <v>51</v>
      </c>
      <c r="C20" s="6" t="s">
        <v>76</v>
      </c>
      <c r="D20" s="6" t="s">
        <v>73</v>
      </c>
      <c r="E20" s="6" t="s">
        <v>1714</v>
      </c>
      <c r="F20" s="7" t="s">
        <v>712</v>
      </c>
      <c r="G20" s="7" t="s">
        <v>27</v>
      </c>
      <c r="H20" s="7" t="s">
        <v>1684</v>
      </c>
    </row>
  </sheetData>
  <sortState xmlns:xlrd2="http://schemas.microsoft.com/office/spreadsheetml/2017/richdata2" ref="A20:G20">
    <sortCondition ref="B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F0A4-068B-489F-A9EE-98332C8678F1}">
  <sheetPr>
    <tabColor rgb="FFFFFF00"/>
  </sheetPr>
  <dimension ref="A1:I50"/>
  <sheetViews>
    <sheetView showGridLines="0" topLeftCell="A14" zoomScaleNormal="100" workbookViewId="0">
      <selection activeCell="A15" sqref="A15"/>
    </sheetView>
  </sheetViews>
  <sheetFormatPr defaultRowHeight="17.100000000000001" customHeight="1" x14ac:dyDescent="0.25"/>
  <cols>
    <col min="1" max="1" width="12.42578125" style="2" bestFit="1" customWidth="1"/>
    <col min="2" max="2" width="16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6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1" t="s">
        <v>1697</v>
      </c>
      <c r="B1" s="21"/>
      <c r="C1" s="21"/>
      <c r="D1" s="21"/>
    </row>
    <row r="2" spans="1:9" ht="12.75" customHeight="1" x14ac:dyDescent="0.25">
      <c r="A2" s="22"/>
      <c r="B2" s="22"/>
      <c r="C2" s="22"/>
      <c r="D2" s="22"/>
    </row>
    <row r="3" spans="1:9" ht="12" customHeight="1" x14ac:dyDescent="0.25">
      <c r="A3" s="1" t="s">
        <v>0</v>
      </c>
      <c r="B3" s="20" t="s">
        <v>1</v>
      </c>
      <c r="C3" s="20"/>
      <c r="D3" s="20"/>
    </row>
    <row r="4" spans="1:9" ht="12.75" customHeight="1" x14ac:dyDescent="0.25">
      <c r="A4" s="1" t="s">
        <v>2</v>
      </c>
      <c r="B4" s="20" t="s">
        <v>3</v>
      </c>
      <c r="C4" s="20"/>
      <c r="D4" s="20"/>
    </row>
    <row r="5" spans="1:9" ht="12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713</v>
      </c>
      <c r="B14" s="6" t="s">
        <v>1608</v>
      </c>
      <c r="C14" s="6" t="s">
        <v>76</v>
      </c>
      <c r="D14" s="6" t="s">
        <v>74</v>
      </c>
      <c r="E14" s="6" t="s">
        <v>1721</v>
      </c>
      <c r="F14" s="7" t="s">
        <v>704</v>
      </c>
      <c r="G14" s="7" t="s">
        <v>1697</v>
      </c>
      <c r="H14" s="7" t="s">
        <v>1723</v>
      </c>
    </row>
    <row r="15" spans="1:9" ht="17.100000000000001" customHeight="1" x14ac:dyDescent="0.25">
      <c r="A15" s="6" t="s">
        <v>718</v>
      </c>
      <c r="B15" s="6" t="s">
        <v>1608</v>
      </c>
      <c r="C15" s="6" t="s">
        <v>76</v>
      </c>
      <c r="D15" s="6" t="s">
        <v>74</v>
      </c>
      <c r="E15" s="6" t="s">
        <v>1721</v>
      </c>
      <c r="F15" s="7" t="s">
        <v>705</v>
      </c>
      <c r="G15" s="7" t="s">
        <v>1697</v>
      </c>
      <c r="H15" s="7"/>
    </row>
    <row r="16" spans="1:9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727</v>
      </c>
      <c r="B17" s="6" t="s">
        <v>1608</v>
      </c>
      <c r="C17" s="6" t="s">
        <v>76</v>
      </c>
      <c r="D17" s="6" t="s">
        <v>82</v>
      </c>
      <c r="E17" s="6" t="s">
        <v>1721</v>
      </c>
      <c r="F17" s="7" t="s">
        <v>708</v>
      </c>
      <c r="G17" s="7" t="s">
        <v>1697</v>
      </c>
      <c r="H17" s="7"/>
    </row>
    <row r="18" spans="1:8" ht="17.100000000000001" customHeight="1" x14ac:dyDescent="0.25">
      <c r="A18" s="6" t="s">
        <v>716</v>
      </c>
      <c r="B18" s="6" t="s">
        <v>717</v>
      </c>
      <c r="C18" s="6" t="s">
        <v>76</v>
      </c>
      <c r="D18" s="6" t="s">
        <v>82</v>
      </c>
      <c r="E18" s="6" t="s">
        <v>1714</v>
      </c>
      <c r="F18" s="7" t="s">
        <v>718</v>
      </c>
      <c r="G18" s="7" t="s">
        <v>1697</v>
      </c>
      <c r="H18" s="7"/>
    </row>
    <row r="19" spans="1:8" ht="17.100000000000001" customHeight="1" x14ac:dyDescent="0.25">
      <c r="A19" s="6" t="s">
        <v>719</v>
      </c>
      <c r="B19" s="6" t="s">
        <v>720</v>
      </c>
      <c r="C19" s="6" t="s">
        <v>76</v>
      </c>
      <c r="D19" s="6" t="s">
        <v>82</v>
      </c>
      <c r="E19" s="6" t="s">
        <v>1714</v>
      </c>
      <c r="F19" s="7" t="s">
        <v>721</v>
      </c>
      <c r="G19" s="7" t="s">
        <v>1697</v>
      </c>
      <c r="H19" s="7"/>
    </row>
    <row r="20" spans="1:8" ht="17.100000000000001" customHeight="1" x14ac:dyDescent="0.25">
      <c r="A20" s="6" t="s">
        <v>725</v>
      </c>
      <c r="B20" s="6" t="s">
        <v>726</v>
      </c>
      <c r="C20" s="6" t="s">
        <v>76</v>
      </c>
      <c r="D20" s="6" t="s">
        <v>82</v>
      </c>
      <c r="E20" s="6" t="s">
        <v>1714</v>
      </c>
      <c r="F20" s="7" t="s">
        <v>727</v>
      </c>
      <c r="G20" s="7" t="s">
        <v>1697</v>
      </c>
      <c r="H20" s="7"/>
    </row>
    <row r="21" spans="1:8" ht="17.100000000000001" customHeight="1" x14ac:dyDescent="0.25">
      <c r="A21" s="6" t="s">
        <v>728</v>
      </c>
      <c r="B21" s="6" t="s">
        <v>729</v>
      </c>
      <c r="C21" s="6" t="s">
        <v>76</v>
      </c>
      <c r="D21" s="6" t="s">
        <v>82</v>
      </c>
      <c r="E21" s="6" t="s">
        <v>1714</v>
      </c>
      <c r="F21" s="7" t="s">
        <v>730</v>
      </c>
      <c r="G21" s="7" t="s">
        <v>1697</v>
      </c>
      <c r="H21" s="7"/>
    </row>
    <row r="22" spans="1:8" ht="17.100000000000001" customHeight="1" x14ac:dyDescent="0.25">
      <c r="A22" s="6" t="s">
        <v>721</v>
      </c>
      <c r="B22" s="6" t="s">
        <v>28</v>
      </c>
      <c r="C22" s="6" t="s">
        <v>76</v>
      </c>
      <c r="D22" s="6" t="s">
        <v>82</v>
      </c>
      <c r="E22" s="6" t="s">
        <v>1714</v>
      </c>
      <c r="F22" s="7" t="s">
        <v>746</v>
      </c>
      <c r="G22" s="7" t="s">
        <v>1697</v>
      </c>
      <c r="H22" s="7"/>
    </row>
    <row r="23" spans="1:8" ht="17.100000000000001" customHeight="1" x14ac:dyDescent="0.25">
      <c r="A23" s="6" t="s">
        <v>714</v>
      </c>
      <c r="B23" s="6" t="s">
        <v>29</v>
      </c>
      <c r="C23" s="6" t="s">
        <v>76</v>
      </c>
      <c r="D23" s="6" t="s">
        <v>82</v>
      </c>
      <c r="E23" s="6" t="s">
        <v>1714</v>
      </c>
      <c r="F23" s="7" t="s">
        <v>715</v>
      </c>
      <c r="G23" s="7" t="s">
        <v>1697</v>
      </c>
      <c r="H23" s="7"/>
    </row>
    <row r="24" spans="1:8" ht="17.100000000000001" customHeight="1" x14ac:dyDescent="0.25">
      <c r="A24" s="6" t="s">
        <v>730</v>
      </c>
      <c r="B24" s="6" t="s">
        <v>31</v>
      </c>
      <c r="C24" s="6" t="s">
        <v>76</v>
      </c>
      <c r="D24" s="6" t="s">
        <v>82</v>
      </c>
      <c r="E24" s="6" t="s">
        <v>1721</v>
      </c>
      <c r="F24" s="7" t="s">
        <v>747</v>
      </c>
      <c r="G24" s="7" t="s">
        <v>1697</v>
      </c>
      <c r="H24" s="7"/>
    </row>
    <row r="25" spans="1:8" ht="17.100000000000001" customHeight="1" x14ac:dyDescent="0.25">
      <c r="A25" s="6" t="s">
        <v>723</v>
      </c>
      <c r="B25" s="6" t="s">
        <v>32</v>
      </c>
      <c r="C25" s="6" t="s">
        <v>76</v>
      </c>
      <c r="D25" s="6" t="s">
        <v>82</v>
      </c>
      <c r="E25" s="6" t="s">
        <v>1721</v>
      </c>
      <c r="F25" s="7" t="s">
        <v>724</v>
      </c>
      <c r="G25" s="7" t="s">
        <v>1697</v>
      </c>
      <c r="H25" s="7"/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722</v>
      </c>
      <c r="B27" s="6" t="s">
        <v>1608</v>
      </c>
      <c r="C27" s="6" t="s">
        <v>76</v>
      </c>
      <c r="D27" s="6" t="s">
        <v>73</v>
      </c>
      <c r="E27" s="6" t="s">
        <v>1714</v>
      </c>
      <c r="F27" s="7" t="s">
        <v>708</v>
      </c>
      <c r="G27" s="7" t="s">
        <v>1697</v>
      </c>
      <c r="H27" s="7"/>
    </row>
    <row r="28" spans="1:8" ht="17.100000000000001" customHeight="1" x14ac:dyDescent="0.25">
      <c r="A28" s="18"/>
      <c r="B28" s="18"/>
      <c r="C28" s="18"/>
      <c r="D28" s="18"/>
      <c r="E28" s="18"/>
      <c r="F28" s="19"/>
      <c r="G28" s="19"/>
      <c r="H28" s="19"/>
    </row>
    <row r="29" spans="1:8" ht="17.100000000000001" customHeight="1" x14ac:dyDescent="0.25">
      <c r="A29" s="6" t="s">
        <v>742</v>
      </c>
      <c r="B29" s="6" t="s">
        <v>1608</v>
      </c>
      <c r="C29" s="6" t="s">
        <v>76</v>
      </c>
      <c r="D29" s="14" t="s">
        <v>74</v>
      </c>
      <c r="E29" s="6" t="s">
        <v>1721</v>
      </c>
      <c r="F29" s="7" t="s">
        <v>705</v>
      </c>
      <c r="G29" s="7" t="s">
        <v>1697</v>
      </c>
      <c r="H29" s="7" t="s">
        <v>1691</v>
      </c>
    </row>
    <row r="30" spans="1:8" ht="17.100000000000001" customHeight="1" x14ac:dyDescent="0.25">
      <c r="A30" s="6"/>
      <c r="B30" s="6"/>
      <c r="C30" s="6"/>
      <c r="D30" s="6"/>
      <c r="E30" s="6"/>
      <c r="F30" s="7"/>
      <c r="G30" s="7"/>
      <c r="H30" s="7"/>
    </row>
    <row r="31" spans="1:8" ht="17.100000000000001" customHeight="1" x14ac:dyDescent="0.25">
      <c r="A31" s="6" t="s">
        <v>739</v>
      </c>
      <c r="B31" s="6" t="s">
        <v>1608</v>
      </c>
      <c r="C31" s="6" t="s">
        <v>76</v>
      </c>
      <c r="D31" s="6" t="s">
        <v>73</v>
      </c>
      <c r="E31" s="6" t="s">
        <v>1721</v>
      </c>
      <c r="F31" s="7" t="s">
        <v>705</v>
      </c>
      <c r="G31" s="7" t="s">
        <v>1697</v>
      </c>
      <c r="H31" s="7"/>
    </row>
    <row r="32" spans="1:8" ht="17.100000000000001" customHeight="1" x14ac:dyDescent="0.25">
      <c r="A32" s="6" t="s">
        <v>740</v>
      </c>
      <c r="B32" s="6" t="s">
        <v>34</v>
      </c>
      <c r="C32" s="6" t="s">
        <v>76</v>
      </c>
      <c r="D32" s="6" t="s">
        <v>73</v>
      </c>
      <c r="E32" s="6" t="s">
        <v>1721</v>
      </c>
      <c r="F32" s="7" t="s">
        <v>741</v>
      </c>
      <c r="G32" s="7" t="s">
        <v>1697</v>
      </c>
      <c r="H32" s="7"/>
    </row>
    <row r="33" spans="1:8" ht="17.100000000000001" customHeight="1" x14ac:dyDescent="0.25">
      <c r="A33" s="6" t="s">
        <v>743</v>
      </c>
      <c r="B33" s="6" t="s">
        <v>744</v>
      </c>
      <c r="C33" s="6" t="s">
        <v>76</v>
      </c>
      <c r="D33" s="6" t="s">
        <v>73</v>
      </c>
      <c r="E33" s="6" t="s">
        <v>1721</v>
      </c>
      <c r="F33" s="7" t="s">
        <v>745</v>
      </c>
      <c r="G33" s="7" t="s">
        <v>1697</v>
      </c>
      <c r="H33" s="7"/>
    </row>
    <row r="34" spans="1:8" ht="17.100000000000001" customHeight="1" x14ac:dyDescent="0.25">
      <c r="A34" s="18"/>
      <c r="B34" s="18"/>
      <c r="C34" s="18"/>
      <c r="D34" s="18"/>
      <c r="E34" s="18"/>
      <c r="F34" s="19"/>
      <c r="G34" s="19"/>
      <c r="H34" s="19"/>
    </row>
    <row r="35" spans="1:8" ht="17.100000000000001" customHeight="1" x14ac:dyDescent="0.25">
      <c r="A35" s="6" t="s">
        <v>754</v>
      </c>
      <c r="B35" s="6" t="s">
        <v>51</v>
      </c>
      <c r="C35" s="6" t="s">
        <v>76</v>
      </c>
      <c r="D35" s="6" t="s">
        <v>73</v>
      </c>
      <c r="E35" s="6" t="s">
        <v>1714</v>
      </c>
      <c r="F35" s="7" t="s">
        <v>702</v>
      </c>
      <c r="G35" s="7" t="s">
        <v>1697</v>
      </c>
      <c r="H35" s="7" t="s">
        <v>1684</v>
      </c>
    </row>
    <row r="36" spans="1:8" ht="17.100000000000001" customHeight="1" x14ac:dyDescent="0.25">
      <c r="A36" s="6" t="s">
        <v>759</v>
      </c>
      <c r="B36" s="6" t="s">
        <v>51</v>
      </c>
      <c r="C36" s="6" t="s">
        <v>76</v>
      </c>
      <c r="D36" s="6" t="s">
        <v>73</v>
      </c>
      <c r="E36" s="6" t="s">
        <v>1714</v>
      </c>
      <c r="F36" s="7" t="s">
        <v>760</v>
      </c>
      <c r="G36" s="7" t="s">
        <v>1697</v>
      </c>
      <c r="H36" s="7"/>
    </row>
    <row r="37" spans="1:8" ht="17.100000000000001" customHeight="1" x14ac:dyDescent="0.25">
      <c r="A37" s="6" t="s">
        <v>750</v>
      </c>
      <c r="B37" s="6" t="s">
        <v>30</v>
      </c>
      <c r="C37" s="6" t="s">
        <v>76</v>
      </c>
      <c r="D37" s="6" t="s">
        <v>73</v>
      </c>
      <c r="E37" s="6" t="s">
        <v>1714</v>
      </c>
      <c r="F37" s="7" t="s">
        <v>751</v>
      </c>
      <c r="G37" s="7" t="s">
        <v>1697</v>
      </c>
      <c r="H37" s="7"/>
    </row>
    <row r="38" spans="1:8" ht="17.100000000000001" customHeight="1" x14ac:dyDescent="0.25">
      <c r="A38" s="6" t="s">
        <v>752</v>
      </c>
      <c r="B38" s="6" t="s">
        <v>30</v>
      </c>
      <c r="C38" s="6" t="s">
        <v>76</v>
      </c>
      <c r="D38" s="6" t="s">
        <v>73</v>
      </c>
      <c r="E38" s="6" t="s">
        <v>1721</v>
      </c>
      <c r="F38" s="7" t="s">
        <v>753</v>
      </c>
      <c r="G38" s="7" t="s">
        <v>1697</v>
      </c>
      <c r="H38" s="7"/>
    </row>
    <row r="39" spans="1:8" ht="17.100000000000001" customHeight="1" x14ac:dyDescent="0.25">
      <c r="A39" s="6" t="s">
        <v>761</v>
      </c>
      <c r="B39" s="6" t="s">
        <v>30</v>
      </c>
      <c r="C39" s="6" t="s">
        <v>76</v>
      </c>
      <c r="D39" s="6" t="s">
        <v>73</v>
      </c>
      <c r="E39" s="6" t="s">
        <v>1721</v>
      </c>
      <c r="F39" s="7" t="s">
        <v>753</v>
      </c>
      <c r="G39" s="7" t="s">
        <v>1697</v>
      </c>
      <c r="H39" s="7"/>
    </row>
    <row r="40" spans="1:8" ht="17.100000000000001" customHeight="1" x14ac:dyDescent="0.25">
      <c r="A40" s="6" t="s">
        <v>762</v>
      </c>
      <c r="B40" s="6" t="s">
        <v>30</v>
      </c>
      <c r="C40" s="6" t="s">
        <v>76</v>
      </c>
      <c r="D40" s="6" t="s">
        <v>73</v>
      </c>
      <c r="E40" s="6" t="s">
        <v>1721</v>
      </c>
      <c r="F40" s="7" t="s">
        <v>753</v>
      </c>
      <c r="G40" s="7" t="s">
        <v>1697</v>
      </c>
      <c r="H40" s="7"/>
    </row>
    <row r="41" spans="1:8" ht="17.100000000000001" customHeight="1" x14ac:dyDescent="0.25">
      <c r="A41" s="6" t="s">
        <v>755</v>
      </c>
      <c r="B41" s="6" t="s">
        <v>33</v>
      </c>
      <c r="C41" s="6" t="s">
        <v>76</v>
      </c>
      <c r="D41" s="6" t="s">
        <v>73</v>
      </c>
      <c r="E41" s="6" t="s">
        <v>1714</v>
      </c>
      <c r="F41" s="7" t="s">
        <v>756</v>
      </c>
      <c r="G41" s="7" t="s">
        <v>1697</v>
      </c>
      <c r="H41" s="7"/>
    </row>
    <row r="42" spans="1:8" ht="17.100000000000001" customHeight="1" x14ac:dyDescent="0.25">
      <c r="A42" s="6" t="s">
        <v>757</v>
      </c>
      <c r="B42" s="6" t="s">
        <v>33</v>
      </c>
      <c r="C42" s="6" t="s">
        <v>76</v>
      </c>
      <c r="D42" s="6" t="s">
        <v>73</v>
      </c>
      <c r="E42" s="6" t="s">
        <v>1721</v>
      </c>
      <c r="F42" s="7" t="s">
        <v>758</v>
      </c>
      <c r="G42" s="7" t="s">
        <v>1697</v>
      </c>
      <c r="H42" s="7"/>
    </row>
    <row r="43" spans="1:8" ht="17.100000000000001" customHeight="1" x14ac:dyDescent="0.25">
      <c r="A43" s="18"/>
      <c r="B43" s="18"/>
      <c r="C43" s="18"/>
      <c r="D43" s="18"/>
      <c r="E43" s="18"/>
      <c r="F43" s="19"/>
      <c r="G43" s="19"/>
      <c r="H43" s="19"/>
    </row>
    <row r="44" spans="1:8" ht="17.100000000000001" customHeight="1" x14ac:dyDescent="0.25">
      <c r="A44" s="6" t="s">
        <v>707</v>
      </c>
      <c r="B44" s="6" t="s">
        <v>1608</v>
      </c>
      <c r="C44" s="6" t="s">
        <v>76</v>
      </c>
      <c r="D44" s="6" t="s">
        <v>74</v>
      </c>
      <c r="E44" s="6" t="s">
        <v>1714</v>
      </c>
      <c r="F44" s="7" t="s">
        <v>705</v>
      </c>
      <c r="G44" s="7" t="s">
        <v>1697</v>
      </c>
      <c r="H44" s="7" t="s">
        <v>1685</v>
      </c>
    </row>
    <row r="45" spans="1:8" ht="17.100000000000001" customHeight="1" x14ac:dyDescent="0.25">
      <c r="A45" s="6" t="s">
        <v>711</v>
      </c>
      <c r="B45" s="6" t="s">
        <v>1608</v>
      </c>
      <c r="C45" s="6" t="s">
        <v>76</v>
      </c>
      <c r="D45" s="6" t="s">
        <v>74</v>
      </c>
      <c r="E45" s="6" t="s">
        <v>1714</v>
      </c>
      <c r="F45" s="7" t="s">
        <v>708</v>
      </c>
      <c r="G45" s="7" t="s">
        <v>1697</v>
      </c>
      <c r="H45" s="7"/>
    </row>
    <row r="46" spans="1:8" ht="17.100000000000001" customHeight="1" x14ac:dyDescent="0.25">
      <c r="A46" s="6"/>
      <c r="B46" s="6"/>
      <c r="C46" s="6"/>
      <c r="D46" s="6"/>
      <c r="E46" s="6"/>
      <c r="F46" s="7"/>
      <c r="G46" s="7"/>
      <c r="H46" s="7"/>
    </row>
    <row r="47" spans="1:8" ht="17.100000000000001" customHeight="1" x14ac:dyDescent="0.25">
      <c r="A47" s="6" t="s">
        <v>704</v>
      </c>
      <c r="B47" s="6" t="s">
        <v>1608</v>
      </c>
      <c r="C47" s="6" t="s">
        <v>76</v>
      </c>
      <c r="D47" s="6" t="s">
        <v>73</v>
      </c>
      <c r="E47" s="6" t="s">
        <v>1714</v>
      </c>
      <c r="F47" s="7" t="s">
        <v>709</v>
      </c>
      <c r="G47" s="7" t="s">
        <v>1697</v>
      </c>
      <c r="H47" s="7"/>
    </row>
    <row r="48" spans="1:8" ht="17.100000000000001" customHeight="1" x14ac:dyDescent="0.25">
      <c r="A48" s="6" t="s">
        <v>703</v>
      </c>
      <c r="B48" s="6" t="s">
        <v>51</v>
      </c>
      <c r="C48" s="6" t="s">
        <v>76</v>
      </c>
      <c r="D48" s="6" t="s">
        <v>73</v>
      </c>
      <c r="E48" s="6" t="s">
        <v>1714</v>
      </c>
      <c r="F48" s="7" t="s">
        <v>760</v>
      </c>
      <c r="G48" s="7" t="s">
        <v>1697</v>
      </c>
      <c r="H48" s="7"/>
    </row>
    <row r="49" spans="1:8" ht="17.100000000000001" customHeight="1" x14ac:dyDescent="0.25">
      <c r="A49" s="6" t="s">
        <v>706</v>
      </c>
      <c r="B49" s="6" t="s">
        <v>30</v>
      </c>
      <c r="C49" s="6" t="s">
        <v>76</v>
      </c>
      <c r="D49" s="6" t="s">
        <v>73</v>
      </c>
      <c r="E49" s="6" t="s">
        <v>1714</v>
      </c>
      <c r="F49" s="7" t="s">
        <v>753</v>
      </c>
      <c r="G49" s="7" t="s">
        <v>1697</v>
      </c>
      <c r="H49" s="7"/>
    </row>
    <row r="50" spans="1:8" ht="17.100000000000001" customHeight="1" x14ac:dyDescent="0.25">
      <c r="A50" s="6" t="s">
        <v>710</v>
      </c>
      <c r="B50" s="6" t="s">
        <v>33</v>
      </c>
      <c r="C50" s="6" t="s">
        <v>76</v>
      </c>
      <c r="D50" s="6" t="s">
        <v>73</v>
      </c>
      <c r="E50" s="6" t="s">
        <v>1714</v>
      </c>
      <c r="F50" s="7" t="s">
        <v>758</v>
      </c>
      <c r="G50" s="7" t="s">
        <v>1697</v>
      </c>
      <c r="H50" s="7"/>
    </row>
  </sheetData>
  <sortState xmlns:xlrd2="http://schemas.microsoft.com/office/spreadsheetml/2017/richdata2" ref="A14:H27">
    <sortCondition descending="1" ref="D14:D27"/>
    <sortCondition ref="B14:B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H50">
    <cfRule type="containsText" dxfId="36" priority="3" operator="containsText" text="XT9078M">
      <formula>NOT(ISERROR(SEARCH("XT9078M",A14)))</formula>
    </cfRule>
    <cfRule type="containsText" dxfId="35" priority="4" operator="containsText" text="FU0320">
      <formula>NOT(ISERROR(SEARCH("FU0320",A14)))</formula>
    </cfRule>
    <cfRule type="containsText" dxfId="34" priority="5" operator="containsText" text="FU0311">
      <formula>NOT(ISERROR(SEARCH("FU0311",A14)))</formula>
    </cfRule>
    <cfRule type="containsText" dxfId="33" priority="6" operator="containsText" text="FU0310">
      <formula>NOT(ISERROR(SEARCH("FU0310",A14)))</formula>
    </cfRule>
    <cfRule type="containsText" dxfId="32" priority="7" operator="containsText" text="XT0540">
      <formula>NOT(ISERROR(SEARCH("XT0540",A14)))</formula>
    </cfRule>
    <cfRule type="containsText" dxfId="31" priority="8" operator="containsText" text="AF03">
      <formula>NOT(ISERROR(SEARCH("AF03",A14)))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BA54-108D-4CC3-AA09-068B7032051A}">
  <sheetPr>
    <tabColor rgb="FFFFFF00"/>
  </sheetPr>
  <dimension ref="A1:I82"/>
  <sheetViews>
    <sheetView showGridLines="0" workbookViewId="0">
      <selection activeCell="A15" sqref="A15"/>
    </sheetView>
  </sheetViews>
  <sheetFormatPr defaultRowHeight="17.100000000000001" customHeight="1" x14ac:dyDescent="0.25"/>
  <cols>
    <col min="1" max="1" width="12.7109375" style="2" bestFit="1" customWidth="1"/>
    <col min="2" max="2" width="16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6.140625" bestFit="1" customWidth="1"/>
    <col min="8" max="8" width="10.85546875" bestFit="1" customWidth="1"/>
    <col min="9" max="9" width="10.28515625" customWidth="1"/>
  </cols>
  <sheetData>
    <row r="1" spans="1:9" ht="18" customHeight="1" x14ac:dyDescent="0.25">
      <c r="A1" s="21" t="s">
        <v>14</v>
      </c>
      <c r="B1" s="21"/>
      <c r="C1" s="21"/>
      <c r="D1" s="21"/>
    </row>
    <row r="2" spans="1:9" ht="12.75" customHeight="1" x14ac:dyDescent="0.25">
      <c r="A2" s="22" t="s">
        <v>764</v>
      </c>
      <c r="B2" s="22"/>
      <c r="C2" s="22"/>
      <c r="D2" s="22"/>
    </row>
    <row r="3" spans="1:9" ht="12" customHeight="1" x14ac:dyDescent="0.25">
      <c r="A3" s="1" t="s">
        <v>0</v>
      </c>
      <c r="B3" s="20" t="s">
        <v>1</v>
      </c>
      <c r="C3" s="20"/>
      <c r="D3" s="20"/>
    </row>
    <row r="4" spans="1:9" ht="12.75" customHeight="1" x14ac:dyDescent="0.25">
      <c r="A4" s="1" t="s">
        <v>2</v>
      </c>
      <c r="B4" s="20" t="s">
        <v>3</v>
      </c>
      <c r="C4" s="20"/>
      <c r="D4" s="20"/>
    </row>
    <row r="5" spans="1:9" ht="12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993</v>
      </c>
      <c r="B14" s="6" t="s">
        <v>1608</v>
      </c>
      <c r="C14" s="6" t="s">
        <v>76</v>
      </c>
      <c r="D14" s="6" t="s">
        <v>82</v>
      </c>
      <c r="E14" s="6" t="s">
        <v>1714</v>
      </c>
      <c r="F14" s="7" t="s">
        <v>765</v>
      </c>
      <c r="G14" s="7" t="s">
        <v>14</v>
      </c>
      <c r="H14" s="7" t="s">
        <v>1729</v>
      </c>
    </row>
    <row r="15" spans="1:9" ht="17.100000000000001" customHeight="1" x14ac:dyDescent="0.25">
      <c r="A15" s="6" t="s">
        <v>935</v>
      </c>
      <c r="B15" s="6" t="s">
        <v>936</v>
      </c>
      <c r="C15" s="6" t="s">
        <v>76</v>
      </c>
      <c r="D15" s="6" t="s">
        <v>82</v>
      </c>
      <c r="E15" s="6" t="s">
        <v>1714</v>
      </c>
      <c r="F15" s="7" t="s">
        <v>937</v>
      </c>
      <c r="G15" s="7" t="s">
        <v>14</v>
      </c>
      <c r="H15" s="7"/>
    </row>
    <row r="16" spans="1:9" ht="17.100000000000001" customHeight="1" x14ac:dyDescent="0.25">
      <c r="A16" s="6" t="s">
        <v>938</v>
      </c>
      <c r="B16" s="6" t="s">
        <v>939</v>
      </c>
      <c r="C16" s="6" t="s">
        <v>76</v>
      </c>
      <c r="D16" s="6" t="s">
        <v>82</v>
      </c>
      <c r="E16" s="6" t="s">
        <v>1714</v>
      </c>
      <c r="F16" s="7" t="s">
        <v>940</v>
      </c>
      <c r="G16" s="7" t="s">
        <v>14</v>
      </c>
      <c r="H16" s="7"/>
    </row>
    <row r="17" spans="1:8" ht="17.100000000000001" customHeight="1" x14ac:dyDescent="0.25">
      <c r="A17" s="6" t="s">
        <v>940</v>
      </c>
      <c r="B17" s="6" t="s">
        <v>18</v>
      </c>
      <c r="C17" s="6" t="s">
        <v>76</v>
      </c>
      <c r="D17" s="6" t="s">
        <v>82</v>
      </c>
      <c r="E17" s="6" t="s">
        <v>1714</v>
      </c>
      <c r="F17" s="7" t="s">
        <v>1373</v>
      </c>
      <c r="G17" s="7" t="s">
        <v>14</v>
      </c>
      <c r="H17" s="7"/>
    </row>
    <row r="18" spans="1:8" ht="17.100000000000001" customHeight="1" x14ac:dyDescent="0.25">
      <c r="A18" s="6" t="s">
        <v>831</v>
      </c>
      <c r="B18" s="6" t="s">
        <v>19</v>
      </c>
      <c r="C18" s="6" t="s">
        <v>76</v>
      </c>
      <c r="D18" s="6" t="s">
        <v>82</v>
      </c>
      <c r="E18" s="6" t="s">
        <v>1714</v>
      </c>
      <c r="F18" s="7" t="s">
        <v>832</v>
      </c>
      <c r="G18" s="7" t="s">
        <v>14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830</v>
      </c>
      <c r="B20" s="6" t="s">
        <v>1608</v>
      </c>
      <c r="C20" s="6" t="s">
        <v>76</v>
      </c>
      <c r="D20" s="6" t="s">
        <v>73</v>
      </c>
      <c r="E20" s="6" t="s">
        <v>1714</v>
      </c>
      <c r="F20" s="7" t="s">
        <v>765</v>
      </c>
      <c r="G20" s="7" t="s">
        <v>14</v>
      </c>
      <c r="H20" s="7"/>
    </row>
    <row r="21" spans="1:8" ht="17.100000000000001" customHeight="1" x14ac:dyDescent="0.25">
      <c r="A21" s="6" t="s">
        <v>937</v>
      </c>
      <c r="B21" s="6" t="s">
        <v>1608</v>
      </c>
      <c r="C21" s="6" t="s">
        <v>76</v>
      </c>
      <c r="D21" s="6" t="s">
        <v>73</v>
      </c>
      <c r="E21" s="6" t="s">
        <v>1714</v>
      </c>
      <c r="F21" s="7" t="s">
        <v>766</v>
      </c>
      <c r="G21" s="7" t="s">
        <v>14</v>
      </c>
      <c r="H21" s="7"/>
    </row>
    <row r="22" spans="1:8" ht="17.100000000000001" customHeight="1" x14ac:dyDescent="0.25">
      <c r="A22" s="18"/>
      <c r="B22" s="18"/>
      <c r="C22" s="18"/>
      <c r="D22" s="18"/>
      <c r="E22" s="18"/>
      <c r="F22" s="19"/>
      <c r="G22" s="19"/>
      <c r="H22" s="19"/>
    </row>
    <row r="23" spans="1:8" ht="17.100000000000001" customHeight="1" x14ac:dyDescent="0.25">
      <c r="A23" s="6" t="s">
        <v>1131</v>
      </c>
      <c r="B23" s="6" t="s">
        <v>1608</v>
      </c>
      <c r="C23" s="6" t="s">
        <v>76</v>
      </c>
      <c r="D23" s="6" t="s">
        <v>82</v>
      </c>
      <c r="E23" s="6" t="s">
        <v>1721</v>
      </c>
      <c r="F23" s="7" t="s">
        <v>769</v>
      </c>
      <c r="G23" s="7" t="s">
        <v>14</v>
      </c>
      <c r="H23" s="7" t="s">
        <v>1730</v>
      </c>
    </row>
    <row r="24" spans="1:8" ht="17.100000000000001" customHeight="1" x14ac:dyDescent="0.25">
      <c r="A24" s="6" t="s">
        <v>1338</v>
      </c>
      <c r="B24" s="6" t="s">
        <v>1608</v>
      </c>
      <c r="C24" s="6" t="s">
        <v>76</v>
      </c>
      <c r="D24" s="6" t="s">
        <v>82</v>
      </c>
      <c r="E24" s="6" t="s">
        <v>1721</v>
      </c>
      <c r="F24" s="7" t="s">
        <v>768</v>
      </c>
      <c r="G24" s="7" t="s">
        <v>14</v>
      </c>
      <c r="H24" s="7"/>
    </row>
    <row r="25" spans="1:8" ht="17.100000000000001" customHeight="1" x14ac:dyDescent="0.25">
      <c r="A25" s="6" t="s">
        <v>1219</v>
      </c>
      <c r="B25" s="6" t="s">
        <v>1280</v>
      </c>
      <c r="C25" s="6" t="s">
        <v>76</v>
      </c>
      <c r="D25" s="6" t="s">
        <v>82</v>
      </c>
      <c r="E25" s="6" t="s">
        <v>1714</v>
      </c>
      <c r="F25" s="7" t="s">
        <v>1281</v>
      </c>
      <c r="G25" s="7" t="s">
        <v>14</v>
      </c>
      <c r="H25" s="7"/>
    </row>
    <row r="26" spans="1:8" ht="17.100000000000001" customHeight="1" x14ac:dyDescent="0.25">
      <c r="A26" s="6" t="s">
        <v>1223</v>
      </c>
      <c r="B26" s="6" t="s">
        <v>1282</v>
      </c>
      <c r="C26" s="6" t="s">
        <v>76</v>
      </c>
      <c r="D26" s="6" t="s">
        <v>82</v>
      </c>
      <c r="E26" s="6" t="s">
        <v>1714</v>
      </c>
      <c r="F26" s="7" t="s">
        <v>1283</v>
      </c>
      <c r="G26" s="7" t="s">
        <v>14</v>
      </c>
      <c r="H26" s="7"/>
    </row>
    <row r="27" spans="1:8" ht="17.100000000000001" customHeight="1" x14ac:dyDescent="0.25">
      <c r="A27" s="6" t="s">
        <v>1341</v>
      </c>
      <c r="B27" s="6" t="s">
        <v>1343</v>
      </c>
      <c r="C27" s="6" t="s">
        <v>76</v>
      </c>
      <c r="D27" s="6" t="s">
        <v>82</v>
      </c>
      <c r="E27" s="6" t="s">
        <v>1714</v>
      </c>
      <c r="F27" s="7" t="s">
        <v>1344</v>
      </c>
      <c r="G27" s="7" t="s">
        <v>14</v>
      </c>
      <c r="H27" s="7"/>
    </row>
    <row r="28" spans="1:8" ht="17.100000000000001" customHeight="1" x14ac:dyDescent="0.25">
      <c r="A28" s="6" t="s">
        <v>1342</v>
      </c>
      <c r="B28" s="6" t="s">
        <v>1345</v>
      </c>
      <c r="C28" s="6" t="s">
        <v>76</v>
      </c>
      <c r="D28" s="6" t="s">
        <v>82</v>
      </c>
      <c r="E28" s="6" t="s">
        <v>1714</v>
      </c>
      <c r="F28" s="7" t="s">
        <v>1346</v>
      </c>
      <c r="G28" s="7" t="s">
        <v>14</v>
      </c>
      <c r="H28" s="7"/>
    </row>
    <row r="29" spans="1:8" ht="17.100000000000001" customHeight="1" x14ac:dyDescent="0.25">
      <c r="A29" s="6" t="s">
        <v>1218</v>
      </c>
      <c r="B29" s="6" t="s">
        <v>1220</v>
      </c>
      <c r="C29" s="6" t="s">
        <v>76</v>
      </c>
      <c r="D29" s="6" t="s">
        <v>82</v>
      </c>
      <c r="E29" s="6" t="s">
        <v>1714</v>
      </c>
      <c r="F29" s="7" t="s">
        <v>1221</v>
      </c>
      <c r="G29" s="7" t="s">
        <v>14</v>
      </c>
      <c r="H29" s="7"/>
    </row>
    <row r="30" spans="1:8" ht="17.100000000000001" customHeight="1" x14ac:dyDescent="0.25">
      <c r="A30" s="6" t="s">
        <v>1222</v>
      </c>
      <c r="B30" s="6" t="s">
        <v>1224</v>
      </c>
      <c r="C30" s="6" t="s">
        <v>76</v>
      </c>
      <c r="D30" s="6" t="s">
        <v>82</v>
      </c>
      <c r="E30" s="6" t="s">
        <v>1714</v>
      </c>
      <c r="F30" s="7" t="s">
        <v>1225</v>
      </c>
      <c r="G30" s="7" t="s">
        <v>14</v>
      </c>
      <c r="H30" s="7"/>
    </row>
    <row r="31" spans="1:8" ht="17.100000000000001" customHeight="1" x14ac:dyDescent="0.25">
      <c r="A31" s="6" t="s">
        <v>1225</v>
      </c>
      <c r="B31" s="6" t="s">
        <v>21</v>
      </c>
      <c r="C31" s="6" t="s">
        <v>76</v>
      </c>
      <c r="D31" s="6" t="s">
        <v>82</v>
      </c>
      <c r="E31" s="6" t="s">
        <v>1721</v>
      </c>
      <c r="F31" s="7" t="s">
        <v>1374</v>
      </c>
      <c r="G31" s="7" t="s">
        <v>14</v>
      </c>
      <c r="H31" s="7"/>
    </row>
    <row r="32" spans="1:8" ht="17.100000000000001" customHeight="1" x14ac:dyDescent="0.25">
      <c r="A32" s="6" t="s">
        <v>1132</v>
      </c>
      <c r="B32" s="6" t="s">
        <v>22</v>
      </c>
      <c r="C32" s="6" t="s">
        <v>76</v>
      </c>
      <c r="D32" s="6" t="s">
        <v>82</v>
      </c>
      <c r="E32" s="6" t="s">
        <v>1721</v>
      </c>
      <c r="F32" s="7" t="s">
        <v>1133</v>
      </c>
      <c r="G32" s="7" t="s">
        <v>14</v>
      </c>
      <c r="H32" s="7"/>
    </row>
    <row r="33" spans="1:8" ht="17.100000000000001" customHeight="1" x14ac:dyDescent="0.25">
      <c r="A33" s="6" t="s">
        <v>1339</v>
      </c>
      <c r="B33" s="6" t="s">
        <v>23</v>
      </c>
      <c r="C33" s="6" t="s">
        <v>76</v>
      </c>
      <c r="D33" s="6" t="s">
        <v>82</v>
      </c>
      <c r="E33" s="6" t="s">
        <v>1733</v>
      </c>
      <c r="F33" s="7" t="s">
        <v>1340</v>
      </c>
      <c r="G33" s="7" t="s">
        <v>14</v>
      </c>
      <c r="H33" s="7"/>
    </row>
    <row r="34" spans="1:8" ht="17.100000000000001" customHeight="1" x14ac:dyDescent="0.25">
      <c r="A34" s="6" t="s">
        <v>1368</v>
      </c>
      <c r="B34" s="6" t="s">
        <v>24</v>
      </c>
      <c r="C34" s="6" t="s">
        <v>76</v>
      </c>
      <c r="D34" s="6" t="s">
        <v>82</v>
      </c>
      <c r="E34" s="6" t="s">
        <v>1733</v>
      </c>
      <c r="F34" s="7" t="s">
        <v>1369</v>
      </c>
      <c r="G34" s="7" t="s">
        <v>14</v>
      </c>
      <c r="H34" s="7"/>
    </row>
    <row r="35" spans="1:8" ht="17.100000000000001" customHeight="1" x14ac:dyDescent="0.25">
      <c r="A35" s="6"/>
      <c r="B35" s="6"/>
      <c r="C35" s="6"/>
      <c r="D35" s="6"/>
      <c r="E35" s="6"/>
      <c r="F35" s="7"/>
      <c r="G35" s="7"/>
      <c r="H35" s="7"/>
    </row>
    <row r="36" spans="1:8" ht="17.100000000000001" customHeight="1" x14ac:dyDescent="0.25">
      <c r="A36" s="6" t="s">
        <v>1367</v>
      </c>
      <c r="B36" s="6" t="s">
        <v>1608</v>
      </c>
      <c r="C36" s="6" t="s">
        <v>76</v>
      </c>
      <c r="D36" s="6" t="s">
        <v>73</v>
      </c>
      <c r="E36" s="6" t="s">
        <v>1721</v>
      </c>
      <c r="F36" s="7" t="s">
        <v>769</v>
      </c>
      <c r="G36" s="7" t="s">
        <v>14</v>
      </c>
      <c r="H36" s="7"/>
    </row>
    <row r="37" spans="1:8" ht="17.100000000000001" customHeight="1" x14ac:dyDescent="0.25">
      <c r="A37" s="6" t="s">
        <v>1221</v>
      </c>
      <c r="B37" s="6" t="s">
        <v>1608</v>
      </c>
      <c r="C37" s="6" t="s">
        <v>76</v>
      </c>
      <c r="D37" s="6" t="s">
        <v>73</v>
      </c>
      <c r="E37" s="6" t="s">
        <v>1721</v>
      </c>
      <c r="F37" s="7" t="s">
        <v>768</v>
      </c>
      <c r="G37" s="7" t="s">
        <v>14</v>
      </c>
      <c r="H37" s="7"/>
    </row>
    <row r="38" spans="1:8" ht="17.100000000000001" customHeight="1" x14ac:dyDescent="0.25">
      <c r="A38" s="18"/>
      <c r="B38" s="18"/>
      <c r="C38" s="18"/>
      <c r="D38" s="18"/>
      <c r="E38" s="18"/>
      <c r="F38" s="19"/>
      <c r="G38" s="19"/>
      <c r="H38" s="19"/>
    </row>
    <row r="39" spans="1:8" ht="17.100000000000001" customHeight="1" x14ac:dyDescent="0.25">
      <c r="A39" s="6" t="s">
        <v>1370</v>
      </c>
      <c r="B39" s="6" t="s">
        <v>1608</v>
      </c>
      <c r="C39" s="6" t="s">
        <v>76</v>
      </c>
      <c r="D39" s="6" t="s">
        <v>73</v>
      </c>
      <c r="E39" s="6" t="s">
        <v>1714</v>
      </c>
      <c r="F39" s="7" t="s">
        <v>765</v>
      </c>
      <c r="G39" s="7" t="s">
        <v>14</v>
      </c>
      <c r="H39" s="7" t="s">
        <v>1691</v>
      </c>
    </row>
    <row r="40" spans="1:8" ht="17.100000000000001" customHeight="1" x14ac:dyDescent="0.25">
      <c r="A40" s="6" t="s">
        <v>1371</v>
      </c>
      <c r="B40" s="6" t="s">
        <v>26</v>
      </c>
      <c r="C40" s="6" t="s">
        <v>76</v>
      </c>
      <c r="D40" s="6" t="s">
        <v>73</v>
      </c>
      <c r="E40" s="6" t="s">
        <v>1733</v>
      </c>
      <c r="F40" s="7" t="s">
        <v>1372</v>
      </c>
      <c r="G40" s="7" t="s">
        <v>14</v>
      </c>
      <c r="H40" s="7"/>
    </row>
    <row r="41" spans="1:8" ht="17.100000000000001" customHeight="1" x14ac:dyDescent="0.25">
      <c r="A41" s="18"/>
      <c r="B41" s="18"/>
      <c r="C41" s="18"/>
      <c r="D41" s="18"/>
      <c r="E41" s="18"/>
      <c r="F41" s="19"/>
      <c r="G41" s="19"/>
      <c r="H41" s="19"/>
    </row>
    <row r="42" spans="1:8" ht="17.100000000000001" customHeight="1" x14ac:dyDescent="0.25">
      <c r="A42" s="6" t="s">
        <v>1395</v>
      </c>
      <c r="B42" s="6" t="s">
        <v>20</v>
      </c>
      <c r="C42" s="6" t="s">
        <v>76</v>
      </c>
      <c r="D42" s="6" t="s">
        <v>82</v>
      </c>
      <c r="E42" s="6" t="s">
        <v>1714</v>
      </c>
      <c r="F42" s="7" t="s">
        <v>1396</v>
      </c>
      <c r="G42" s="7" t="s">
        <v>14</v>
      </c>
      <c r="H42" s="7" t="s">
        <v>1684</v>
      </c>
    </row>
    <row r="43" spans="1:8" ht="17.100000000000001" customHeight="1" x14ac:dyDescent="0.25">
      <c r="A43" s="6" t="s">
        <v>1395</v>
      </c>
      <c r="B43" s="6" t="s">
        <v>20</v>
      </c>
      <c r="C43" s="6" t="s">
        <v>76</v>
      </c>
      <c r="D43" s="6" t="s">
        <v>82</v>
      </c>
      <c r="E43" s="6" t="s">
        <v>1714</v>
      </c>
      <c r="F43" s="7" t="s">
        <v>1397</v>
      </c>
      <c r="G43" s="7" t="s">
        <v>14</v>
      </c>
      <c r="H43" s="7"/>
    </row>
    <row r="44" spans="1:8" ht="17.100000000000001" customHeight="1" x14ac:dyDescent="0.25">
      <c r="A44" s="6"/>
      <c r="B44" s="6"/>
      <c r="C44" s="6"/>
      <c r="D44" s="6"/>
      <c r="E44" s="6"/>
      <c r="F44" s="7"/>
      <c r="G44" s="7"/>
      <c r="H44" s="7"/>
    </row>
    <row r="45" spans="1:8" ht="17.100000000000001" customHeight="1" x14ac:dyDescent="0.25">
      <c r="A45" s="6" t="s">
        <v>1401</v>
      </c>
      <c r="B45" s="6" t="s">
        <v>54</v>
      </c>
      <c r="C45" s="6" t="s">
        <v>76</v>
      </c>
      <c r="D45" s="6" t="s">
        <v>73</v>
      </c>
      <c r="E45" s="6" t="s">
        <v>1714</v>
      </c>
      <c r="F45" s="7" t="s">
        <v>1402</v>
      </c>
      <c r="G45" s="7" t="s">
        <v>14</v>
      </c>
      <c r="H45" s="7"/>
    </row>
    <row r="46" spans="1:8" ht="17.100000000000001" customHeight="1" x14ac:dyDescent="0.25">
      <c r="A46" s="6" t="s">
        <v>1403</v>
      </c>
      <c r="B46" s="6" t="s">
        <v>54</v>
      </c>
      <c r="C46" s="6" t="s">
        <v>76</v>
      </c>
      <c r="D46" s="6" t="s">
        <v>73</v>
      </c>
      <c r="E46" s="6" t="s">
        <v>1714</v>
      </c>
      <c r="F46" s="7" t="s">
        <v>1404</v>
      </c>
      <c r="G46" s="7" t="s">
        <v>14</v>
      </c>
      <c r="H46" s="7"/>
    </row>
    <row r="47" spans="1:8" ht="17.100000000000001" customHeight="1" x14ac:dyDescent="0.25">
      <c r="A47" s="6" t="s">
        <v>1403</v>
      </c>
      <c r="B47" s="6" t="s">
        <v>54</v>
      </c>
      <c r="C47" s="6" t="s">
        <v>76</v>
      </c>
      <c r="D47" s="6" t="s">
        <v>73</v>
      </c>
      <c r="E47" s="6" t="s">
        <v>1714</v>
      </c>
      <c r="F47" s="7" t="s">
        <v>1402</v>
      </c>
      <c r="G47" s="7" t="s">
        <v>14</v>
      </c>
      <c r="H47" s="7"/>
    </row>
    <row r="48" spans="1:8" ht="17.100000000000001" customHeight="1" x14ac:dyDescent="0.25">
      <c r="A48" s="6" t="s">
        <v>1391</v>
      </c>
      <c r="B48" s="6" t="s">
        <v>25</v>
      </c>
      <c r="C48" s="6" t="s">
        <v>76</v>
      </c>
      <c r="D48" s="6" t="s">
        <v>73</v>
      </c>
      <c r="E48" s="6" t="s">
        <v>1721</v>
      </c>
      <c r="F48" s="7" t="s">
        <v>1392</v>
      </c>
      <c r="G48" s="7" t="s">
        <v>14</v>
      </c>
      <c r="H48" s="7"/>
    </row>
    <row r="49" spans="1:8" ht="17.100000000000001" customHeight="1" x14ac:dyDescent="0.25">
      <c r="A49" s="6" t="s">
        <v>1393</v>
      </c>
      <c r="B49" s="6" t="s">
        <v>25</v>
      </c>
      <c r="C49" s="6" t="s">
        <v>76</v>
      </c>
      <c r="D49" s="6" t="s">
        <v>73</v>
      </c>
      <c r="E49" s="6" t="s">
        <v>1714</v>
      </c>
      <c r="F49" s="7" t="s">
        <v>1394</v>
      </c>
      <c r="G49" s="7" t="s">
        <v>14</v>
      </c>
      <c r="H49" s="7"/>
    </row>
    <row r="50" spans="1:8" ht="17.100000000000001" customHeight="1" x14ac:dyDescent="0.25">
      <c r="A50" s="6" t="s">
        <v>1394</v>
      </c>
      <c r="B50" s="6" t="s">
        <v>25</v>
      </c>
      <c r="C50" s="6" t="s">
        <v>76</v>
      </c>
      <c r="D50" s="6" t="s">
        <v>73</v>
      </c>
      <c r="E50" s="6" t="s">
        <v>1714</v>
      </c>
      <c r="F50" s="7" t="s">
        <v>1398</v>
      </c>
      <c r="G50" s="7" t="s">
        <v>14</v>
      </c>
      <c r="H50" s="7"/>
    </row>
    <row r="51" spans="1:8" ht="17.100000000000001" customHeight="1" x14ac:dyDescent="0.25">
      <c r="A51" s="6" t="s">
        <v>1399</v>
      </c>
      <c r="B51" s="6" t="s">
        <v>25</v>
      </c>
      <c r="C51" s="6" t="s">
        <v>76</v>
      </c>
      <c r="D51" s="6" t="s">
        <v>73</v>
      </c>
      <c r="E51" s="6" t="s">
        <v>1714</v>
      </c>
      <c r="F51" s="7" t="s">
        <v>1400</v>
      </c>
      <c r="G51" s="7" t="s">
        <v>14</v>
      </c>
      <c r="H51" s="7"/>
    </row>
    <row r="52" spans="1:8" ht="17.100000000000001" customHeight="1" x14ac:dyDescent="0.25">
      <c r="A52" s="18"/>
      <c r="B52" s="18"/>
      <c r="C52" s="18"/>
      <c r="D52" s="18"/>
      <c r="E52" s="18"/>
      <c r="F52" s="19"/>
      <c r="G52" s="19"/>
      <c r="H52" s="19"/>
    </row>
    <row r="53" spans="1:8" ht="17.100000000000001" customHeight="1" x14ac:dyDescent="0.25">
      <c r="A53" s="6" t="s">
        <v>882</v>
      </c>
      <c r="B53" s="6" t="s">
        <v>1673</v>
      </c>
      <c r="C53" s="6" t="s">
        <v>76</v>
      </c>
      <c r="D53" s="6" t="s">
        <v>74</v>
      </c>
      <c r="E53" s="6" t="s">
        <v>1714</v>
      </c>
      <c r="F53" s="7" t="s">
        <v>881</v>
      </c>
      <c r="G53" s="7" t="s">
        <v>14</v>
      </c>
      <c r="H53" s="7" t="s">
        <v>1724</v>
      </c>
    </row>
    <row r="54" spans="1:8" ht="17.100000000000001" customHeight="1" x14ac:dyDescent="0.25">
      <c r="A54" s="6" t="s">
        <v>884</v>
      </c>
      <c r="B54" s="6" t="s">
        <v>1674</v>
      </c>
      <c r="C54" s="6" t="s">
        <v>76</v>
      </c>
      <c r="D54" s="6" t="s">
        <v>74</v>
      </c>
      <c r="E54" s="6" t="s">
        <v>1714</v>
      </c>
      <c r="F54" s="7" t="s">
        <v>883</v>
      </c>
      <c r="G54" s="7" t="s">
        <v>14</v>
      </c>
      <c r="H54" s="7"/>
    </row>
    <row r="55" spans="1:8" ht="17.100000000000001" customHeight="1" x14ac:dyDescent="0.25">
      <c r="A55" s="6" t="s">
        <v>886</v>
      </c>
      <c r="B55" s="6" t="s">
        <v>1675</v>
      </c>
      <c r="C55" s="6" t="s">
        <v>76</v>
      </c>
      <c r="D55" s="6" t="s">
        <v>74</v>
      </c>
      <c r="E55" s="6" t="s">
        <v>1714</v>
      </c>
      <c r="F55" s="7" t="s">
        <v>885</v>
      </c>
      <c r="G55" s="7" t="s">
        <v>14</v>
      </c>
      <c r="H55" s="7"/>
    </row>
    <row r="56" spans="1:8" ht="17.100000000000001" customHeight="1" x14ac:dyDescent="0.25">
      <c r="A56" s="6" t="s">
        <v>1563</v>
      </c>
      <c r="B56" s="6" t="s">
        <v>1564</v>
      </c>
      <c r="C56" s="6" t="s">
        <v>76</v>
      </c>
      <c r="D56" s="6" t="s">
        <v>74</v>
      </c>
      <c r="E56" s="6" t="s">
        <v>1714</v>
      </c>
      <c r="F56" s="7" t="s">
        <v>1565</v>
      </c>
      <c r="G56" s="7" t="s">
        <v>14</v>
      </c>
      <c r="H56" s="7"/>
    </row>
    <row r="57" spans="1:8" ht="17.100000000000001" customHeight="1" x14ac:dyDescent="0.25">
      <c r="A57" s="6" t="s">
        <v>1258</v>
      </c>
      <c r="B57" s="6" t="s">
        <v>1257</v>
      </c>
      <c r="C57" s="6" t="s">
        <v>76</v>
      </c>
      <c r="D57" s="6" t="s">
        <v>74</v>
      </c>
      <c r="E57" s="6" t="s">
        <v>1721</v>
      </c>
      <c r="F57" s="7" t="s">
        <v>1256</v>
      </c>
      <c r="G57" s="7" t="s">
        <v>14</v>
      </c>
      <c r="H57" s="7"/>
    </row>
    <row r="58" spans="1:8" ht="17.100000000000001" customHeight="1" x14ac:dyDescent="0.25">
      <c r="A58" s="6" t="s">
        <v>1568</v>
      </c>
      <c r="B58" s="6" t="s">
        <v>1569</v>
      </c>
      <c r="C58" s="6" t="s">
        <v>76</v>
      </c>
      <c r="D58" s="6" t="s">
        <v>74</v>
      </c>
      <c r="E58" s="6" t="s">
        <v>1714</v>
      </c>
      <c r="F58" s="7" t="s">
        <v>1570</v>
      </c>
      <c r="G58" s="7" t="s">
        <v>14</v>
      </c>
      <c r="H58" s="7"/>
    </row>
    <row r="59" spans="1:8" ht="17.100000000000001" customHeight="1" x14ac:dyDescent="0.25">
      <c r="A59" s="6" t="s">
        <v>1261</v>
      </c>
      <c r="B59" s="6" t="s">
        <v>1260</v>
      </c>
      <c r="C59" s="6" t="s">
        <v>76</v>
      </c>
      <c r="D59" s="6" t="s">
        <v>74</v>
      </c>
      <c r="E59" s="6" t="s">
        <v>1721</v>
      </c>
      <c r="F59" s="7" t="s">
        <v>1259</v>
      </c>
      <c r="G59" s="7" t="s">
        <v>14</v>
      </c>
      <c r="H59" s="7"/>
    </row>
    <row r="60" spans="1:8" ht="17.100000000000001" customHeight="1" x14ac:dyDescent="0.25">
      <c r="A60" s="6" t="s">
        <v>1575</v>
      </c>
      <c r="B60" s="6" t="s">
        <v>1576</v>
      </c>
      <c r="C60" s="6" t="s">
        <v>76</v>
      </c>
      <c r="D60" s="6" t="s">
        <v>74</v>
      </c>
      <c r="E60" s="6" t="s">
        <v>1714</v>
      </c>
      <c r="F60" s="7" t="s">
        <v>1577</v>
      </c>
      <c r="G60" s="7" t="s">
        <v>14</v>
      </c>
      <c r="H60" s="7"/>
    </row>
    <row r="61" spans="1:8" ht="17.100000000000001" customHeight="1" x14ac:dyDescent="0.25">
      <c r="A61" s="6" t="s">
        <v>1246</v>
      </c>
      <c r="B61" s="6" t="s">
        <v>1245</v>
      </c>
      <c r="C61" s="6" t="s">
        <v>76</v>
      </c>
      <c r="D61" s="6" t="s">
        <v>74</v>
      </c>
      <c r="E61" s="6" t="s">
        <v>1721</v>
      </c>
      <c r="F61" s="7" t="s">
        <v>1244</v>
      </c>
      <c r="G61" s="7" t="s">
        <v>14</v>
      </c>
      <c r="H61" s="7"/>
    </row>
    <row r="62" spans="1:8" ht="17.100000000000001" customHeight="1" x14ac:dyDescent="0.25">
      <c r="A62" s="6" t="s">
        <v>1580</v>
      </c>
      <c r="B62" s="6" t="s">
        <v>1581</v>
      </c>
      <c r="C62" s="6" t="s">
        <v>76</v>
      </c>
      <c r="D62" s="6" t="s">
        <v>74</v>
      </c>
      <c r="E62" s="6" t="s">
        <v>1714</v>
      </c>
      <c r="F62" s="7" t="s">
        <v>1582</v>
      </c>
      <c r="G62" s="7" t="s">
        <v>14</v>
      </c>
      <c r="H62" s="7"/>
    </row>
    <row r="63" spans="1:8" ht="17.100000000000001" customHeight="1" x14ac:dyDescent="0.25">
      <c r="A63" s="6" t="s">
        <v>1252</v>
      </c>
      <c r="B63" s="6" t="s">
        <v>1251</v>
      </c>
      <c r="C63" s="6" t="s">
        <v>76</v>
      </c>
      <c r="D63" s="6" t="s">
        <v>74</v>
      </c>
      <c r="E63" s="6" t="s">
        <v>1721</v>
      </c>
      <c r="F63" s="7" t="s">
        <v>1250</v>
      </c>
      <c r="G63" s="7" t="s">
        <v>14</v>
      </c>
      <c r="H63" s="7"/>
    </row>
    <row r="64" spans="1:8" ht="17.100000000000001" customHeight="1" x14ac:dyDescent="0.25">
      <c r="A64" s="6" t="s">
        <v>1585</v>
      </c>
      <c r="B64" s="6" t="s">
        <v>1586</v>
      </c>
      <c r="C64" s="6" t="s">
        <v>76</v>
      </c>
      <c r="D64" s="6" t="s">
        <v>74</v>
      </c>
      <c r="E64" s="6" t="s">
        <v>1714</v>
      </c>
      <c r="F64" s="7" t="s">
        <v>1587</v>
      </c>
      <c r="G64" s="7" t="s">
        <v>14</v>
      </c>
      <c r="H64" s="7"/>
    </row>
    <row r="65" spans="1:8" ht="17.100000000000001" customHeight="1" x14ac:dyDescent="0.25">
      <c r="A65" s="6" t="s">
        <v>1249</v>
      </c>
      <c r="B65" s="6" t="s">
        <v>1248</v>
      </c>
      <c r="C65" s="6" t="s">
        <v>76</v>
      </c>
      <c r="D65" s="6" t="s">
        <v>74</v>
      </c>
      <c r="E65" s="6" t="s">
        <v>1721</v>
      </c>
      <c r="F65" s="7" t="s">
        <v>1247</v>
      </c>
      <c r="G65" s="7" t="s">
        <v>14</v>
      </c>
      <c r="H65" s="7"/>
    </row>
    <row r="66" spans="1:8" ht="17.100000000000001" customHeight="1" x14ac:dyDescent="0.25">
      <c r="A66" s="6" t="s">
        <v>1589</v>
      </c>
      <c r="B66" s="6" t="s">
        <v>1590</v>
      </c>
      <c r="C66" s="6" t="s">
        <v>76</v>
      </c>
      <c r="D66" s="6" t="s">
        <v>74</v>
      </c>
      <c r="E66" s="6" t="s">
        <v>1714</v>
      </c>
      <c r="F66" s="7" t="s">
        <v>1591</v>
      </c>
      <c r="G66" s="7" t="s">
        <v>14</v>
      </c>
      <c r="H66" s="7"/>
    </row>
    <row r="67" spans="1:8" ht="17.100000000000001" customHeight="1" x14ac:dyDescent="0.25">
      <c r="A67" s="6" t="s">
        <v>1255</v>
      </c>
      <c r="B67" s="6" t="s">
        <v>1254</v>
      </c>
      <c r="C67" s="6" t="s">
        <v>76</v>
      </c>
      <c r="D67" s="6" t="s">
        <v>74</v>
      </c>
      <c r="E67" s="6" t="s">
        <v>1721</v>
      </c>
      <c r="F67" s="7" t="s">
        <v>1253</v>
      </c>
      <c r="G67" s="7" t="s">
        <v>14</v>
      </c>
      <c r="H67" s="7"/>
    </row>
    <row r="68" spans="1:8" ht="17.100000000000001" customHeight="1" x14ac:dyDescent="0.25">
      <c r="A68" s="18"/>
      <c r="B68" s="18"/>
      <c r="C68" s="18"/>
      <c r="D68" s="18"/>
      <c r="E68" s="18"/>
      <c r="F68" s="19"/>
      <c r="G68" s="19"/>
      <c r="H68" s="19"/>
    </row>
    <row r="69" spans="1:8" ht="17.100000000000001" customHeight="1" x14ac:dyDescent="0.25">
      <c r="A69" s="6" t="s">
        <v>1559</v>
      </c>
      <c r="B69" s="6" t="s">
        <v>1560</v>
      </c>
      <c r="C69" s="6" t="s">
        <v>76</v>
      </c>
      <c r="D69" s="6" t="s">
        <v>74</v>
      </c>
      <c r="E69" s="6" t="s">
        <v>1714</v>
      </c>
      <c r="F69" s="7" t="s">
        <v>1561</v>
      </c>
      <c r="G69" s="7" t="s">
        <v>14</v>
      </c>
      <c r="H69" s="7" t="s">
        <v>1725</v>
      </c>
    </row>
    <row r="70" spans="1:8" ht="17.100000000000001" customHeight="1" x14ac:dyDescent="0.25">
      <c r="A70" s="6" t="s">
        <v>1573</v>
      </c>
      <c r="B70" s="6" t="s">
        <v>1560</v>
      </c>
      <c r="C70" s="6" t="s">
        <v>76</v>
      </c>
      <c r="D70" s="6" t="s">
        <v>74</v>
      </c>
      <c r="E70" s="6" t="s">
        <v>1714</v>
      </c>
      <c r="F70" s="7" t="s">
        <v>1574</v>
      </c>
      <c r="G70" s="7" t="s">
        <v>14</v>
      </c>
      <c r="H70" s="7"/>
    </row>
    <row r="71" spans="1:8" ht="17.100000000000001" customHeight="1" x14ac:dyDescent="0.25">
      <c r="A71" s="6" t="s">
        <v>1574</v>
      </c>
      <c r="B71" s="6" t="s">
        <v>1560</v>
      </c>
      <c r="C71" s="6" t="s">
        <v>76</v>
      </c>
      <c r="D71" s="6" t="s">
        <v>74</v>
      </c>
      <c r="E71" s="6" t="s">
        <v>1714</v>
      </c>
      <c r="F71" s="7" t="s">
        <v>1579</v>
      </c>
      <c r="G71" s="7" t="s">
        <v>14</v>
      </c>
      <c r="H71" s="7"/>
    </row>
    <row r="72" spans="1:8" ht="17.100000000000001" customHeight="1" x14ac:dyDescent="0.25">
      <c r="A72" s="6" t="s">
        <v>1579</v>
      </c>
      <c r="B72" s="6" t="s">
        <v>1560</v>
      </c>
      <c r="C72" s="6" t="s">
        <v>76</v>
      </c>
      <c r="D72" s="6" t="s">
        <v>74</v>
      </c>
      <c r="E72" s="6" t="s">
        <v>1714</v>
      </c>
      <c r="F72" s="7" t="s">
        <v>1561</v>
      </c>
      <c r="G72" s="7" t="s">
        <v>14</v>
      </c>
      <c r="H72" s="7"/>
    </row>
    <row r="73" spans="1:8" ht="17.100000000000001" customHeight="1" x14ac:dyDescent="0.25">
      <c r="A73" s="18"/>
      <c r="B73" s="18"/>
      <c r="C73" s="18"/>
      <c r="D73" s="18"/>
      <c r="E73" s="18"/>
      <c r="F73" s="19"/>
      <c r="G73" s="19"/>
      <c r="H73" s="19"/>
    </row>
    <row r="74" spans="1:8" ht="17.100000000000001" customHeight="1" x14ac:dyDescent="0.25">
      <c r="A74" s="6" t="s">
        <v>766</v>
      </c>
      <c r="B74" s="6" t="s">
        <v>1608</v>
      </c>
      <c r="C74" s="6" t="s">
        <v>76</v>
      </c>
      <c r="D74" s="6" t="s">
        <v>73</v>
      </c>
      <c r="E74" s="6" t="s">
        <v>1714</v>
      </c>
      <c r="F74" s="7" t="s">
        <v>1594</v>
      </c>
      <c r="G74" s="7" t="s">
        <v>14</v>
      </c>
      <c r="H74" s="7" t="s">
        <v>1685</v>
      </c>
    </row>
    <row r="75" spans="1:8" ht="17.100000000000001" customHeight="1" x14ac:dyDescent="0.25">
      <c r="A75" s="6" t="s">
        <v>768</v>
      </c>
      <c r="B75" s="6" t="s">
        <v>1608</v>
      </c>
      <c r="C75" s="6" t="s">
        <v>76</v>
      </c>
      <c r="D75" s="6" t="s">
        <v>73</v>
      </c>
      <c r="E75" s="6" t="s">
        <v>1714</v>
      </c>
      <c r="F75" s="7" t="s">
        <v>767</v>
      </c>
      <c r="G75" s="7" t="s">
        <v>14</v>
      </c>
      <c r="H75" s="7"/>
    </row>
    <row r="76" spans="1:8" ht="17.100000000000001" customHeight="1" x14ac:dyDescent="0.25">
      <c r="A76" s="6" t="s">
        <v>1596</v>
      </c>
      <c r="B76" s="6" t="s">
        <v>231</v>
      </c>
      <c r="C76" s="6" t="s">
        <v>76</v>
      </c>
      <c r="D76" s="6" t="s">
        <v>73</v>
      </c>
      <c r="E76" s="6" t="s">
        <v>1714</v>
      </c>
      <c r="F76" s="7" t="s">
        <v>1412</v>
      </c>
      <c r="G76" s="7" t="s">
        <v>14</v>
      </c>
      <c r="H76" s="7"/>
    </row>
    <row r="77" spans="1:8" ht="17.100000000000001" customHeight="1" x14ac:dyDescent="0.25">
      <c r="A77" s="6"/>
      <c r="B77" s="6"/>
      <c r="C77" s="6"/>
      <c r="D77" s="6"/>
      <c r="E77" s="6"/>
      <c r="F77" s="7"/>
      <c r="G77" s="7"/>
      <c r="H77" s="7"/>
    </row>
    <row r="78" spans="1:8" ht="17.100000000000001" customHeight="1" x14ac:dyDescent="0.25">
      <c r="A78" s="6" t="s">
        <v>1402</v>
      </c>
      <c r="B78" s="6" t="s">
        <v>54</v>
      </c>
      <c r="C78" s="6" t="s">
        <v>76</v>
      </c>
      <c r="D78" s="6" t="s">
        <v>101</v>
      </c>
      <c r="E78" s="6" t="s">
        <v>1714</v>
      </c>
      <c r="F78" s="7" t="s">
        <v>1593</v>
      </c>
      <c r="G78" s="7" t="s">
        <v>14</v>
      </c>
      <c r="H78" s="7"/>
    </row>
    <row r="79" spans="1:8" ht="17.100000000000001" customHeight="1" x14ac:dyDescent="0.25">
      <c r="A79" s="6" t="s">
        <v>1595</v>
      </c>
      <c r="B79" s="6" t="s">
        <v>158</v>
      </c>
      <c r="C79" s="6" t="s">
        <v>76</v>
      </c>
      <c r="D79" s="6" t="s">
        <v>101</v>
      </c>
      <c r="E79" s="6" t="s">
        <v>1714</v>
      </c>
      <c r="F79" s="7" t="s">
        <v>1447</v>
      </c>
      <c r="G79" s="7" t="s">
        <v>14</v>
      </c>
      <c r="H79" s="7"/>
    </row>
    <row r="80" spans="1:8" ht="17.100000000000001" customHeight="1" x14ac:dyDescent="0.25">
      <c r="A80" s="16"/>
      <c r="B80" s="16"/>
      <c r="C80" s="16"/>
      <c r="D80" s="16"/>
      <c r="E80" s="16"/>
      <c r="F80" s="17"/>
      <c r="G80" s="17"/>
      <c r="H80" s="17"/>
    </row>
    <row r="81" spans="1:8" ht="17.100000000000001" customHeight="1" x14ac:dyDescent="0.25">
      <c r="A81" s="6" t="s">
        <v>1600</v>
      </c>
      <c r="B81" s="6" t="s">
        <v>1601</v>
      </c>
      <c r="C81" s="13"/>
      <c r="D81" s="13"/>
      <c r="E81" s="6"/>
      <c r="F81" s="7" t="s">
        <v>1602</v>
      </c>
      <c r="G81" s="7" t="s">
        <v>14</v>
      </c>
      <c r="H81" s="7" t="s">
        <v>1696</v>
      </c>
    </row>
    <row r="82" spans="1:8" ht="17.100000000000001" customHeight="1" x14ac:dyDescent="0.25">
      <c r="A82" s="6" t="s">
        <v>1603</v>
      </c>
      <c r="B82" s="6" t="s">
        <v>1604</v>
      </c>
      <c r="C82" s="13"/>
      <c r="D82" s="13"/>
      <c r="E82" s="6"/>
      <c r="F82" s="7" t="s">
        <v>1605</v>
      </c>
      <c r="G82" s="7" t="s">
        <v>14</v>
      </c>
      <c r="H82" s="7"/>
    </row>
  </sheetData>
  <sortState xmlns:xlrd2="http://schemas.microsoft.com/office/spreadsheetml/2017/richdata2" ref="A74:G79">
    <sortCondition descending="1" ref="D74:D79"/>
    <sortCondition ref="B74:B7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3:H67 A69:H72">
    <cfRule type="containsText" dxfId="30" priority="1" operator="containsText" text=":18">
      <formula>NOT(ISERROR(SEARCH(":18",A53)))</formula>
    </cfRule>
    <cfRule type="containsText" dxfId="29" priority="2" operator="containsText" text=":16">
      <formula>NOT(ISERROR(SEARCH(":16",A53)))</formula>
    </cfRule>
    <cfRule type="containsText" dxfId="28" priority="3" operator="containsText" text=":A2">
      <formula>NOT(ISERROR(SEARCH(":A2",A53)))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FEB6-E0D3-4DE7-A933-606AB626AEDF}">
  <sheetPr>
    <tabColor rgb="FF7030A0"/>
  </sheetPr>
  <dimension ref="A1:I186"/>
  <sheetViews>
    <sheetView showGridLines="0" topLeftCell="A71" workbookViewId="0">
      <selection activeCell="A15" sqref="A15"/>
    </sheetView>
  </sheetViews>
  <sheetFormatPr defaultRowHeight="17.100000000000001" customHeight="1" x14ac:dyDescent="0.25"/>
  <cols>
    <col min="1" max="1" width="12.7109375" style="2" bestFit="1" customWidth="1"/>
    <col min="2" max="2" width="16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42578125" bestFit="1" customWidth="1"/>
    <col min="8" max="8" width="12.28515625" bestFit="1" customWidth="1"/>
    <col min="9" max="9" width="10.28515625" customWidth="1"/>
  </cols>
  <sheetData>
    <row r="1" spans="1:9" ht="18" customHeight="1" x14ac:dyDescent="0.25">
      <c r="A1" s="21" t="s">
        <v>1728</v>
      </c>
      <c r="B1" s="21"/>
      <c r="C1" s="21"/>
      <c r="D1" s="21"/>
    </row>
    <row r="2" spans="1:9" ht="12.75" customHeight="1" x14ac:dyDescent="0.25">
      <c r="A2" s="22" t="s">
        <v>764</v>
      </c>
      <c r="B2" s="22"/>
      <c r="C2" s="22"/>
      <c r="D2" s="22"/>
    </row>
    <row r="3" spans="1:9" ht="12" customHeight="1" x14ac:dyDescent="0.25">
      <c r="A3" s="1" t="s">
        <v>0</v>
      </c>
      <c r="B3" s="20" t="s">
        <v>1</v>
      </c>
      <c r="C3" s="20"/>
      <c r="D3" s="20"/>
    </row>
    <row r="4" spans="1:9" ht="12.75" customHeight="1" x14ac:dyDescent="0.25">
      <c r="A4" s="1" t="s">
        <v>2</v>
      </c>
      <c r="B4" s="20" t="s">
        <v>3</v>
      </c>
      <c r="C4" s="20"/>
      <c r="D4" s="20"/>
    </row>
    <row r="5" spans="1:9" ht="12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1431</v>
      </c>
      <c r="B14" s="6" t="s">
        <v>231</v>
      </c>
      <c r="C14" s="6" t="s">
        <v>76</v>
      </c>
      <c r="D14" s="6" t="s">
        <v>74</v>
      </c>
      <c r="E14" s="6" t="s">
        <v>1714</v>
      </c>
      <c r="F14" s="7" t="s">
        <v>1469</v>
      </c>
      <c r="G14" s="7" t="s">
        <v>1699</v>
      </c>
      <c r="H14" s="7" t="s">
        <v>1701</v>
      </c>
    </row>
    <row r="15" spans="1:9" ht="17.100000000000001" customHeight="1" x14ac:dyDescent="0.25">
      <c r="A15" s="6" t="s">
        <v>1477</v>
      </c>
      <c r="B15" s="6" t="s">
        <v>231</v>
      </c>
      <c r="C15" s="6" t="s">
        <v>76</v>
      </c>
      <c r="D15" s="6" t="s">
        <v>74</v>
      </c>
      <c r="E15" s="6" t="s">
        <v>1714</v>
      </c>
      <c r="F15" s="7" t="s">
        <v>1485</v>
      </c>
      <c r="G15" s="7" t="s">
        <v>1699</v>
      </c>
      <c r="H15" s="7"/>
    </row>
    <row r="16" spans="1:9" ht="17.100000000000001" customHeight="1" x14ac:dyDescent="0.25">
      <c r="A16" s="6" t="s">
        <v>1485</v>
      </c>
      <c r="B16" s="6" t="s">
        <v>231</v>
      </c>
      <c r="C16" s="6" t="s">
        <v>76</v>
      </c>
      <c r="D16" s="6" t="s">
        <v>74</v>
      </c>
      <c r="E16" s="6" t="s">
        <v>1714</v>
      </c>
      <c r="F16" s="7" t="s">
        <v>1538</v>
      </c>
      <c r="G16" s="7" t="s">
        <v>1699</v>
      </c>
      <c r="H16" s="7"/>
    </row>
    <row r="17" spans="1:8" ht="17.100000000000001" customHeight="1" x14ac:dyDescent="0.25">
      <c r="A17" s="6" t="s">
        <v>1446</v>
      </c>
      <c r="B17" s="6" t="s">
        <v>158</v>
      </c>
      <c r="C17" s="6" t="s">
        <v>76</v>
      </c>
      <c r="D17" s="6" t="s">
        <v>74</v>
      </c>
      <c r="E17" s="6" t="s">
        <v>1714</v>
      </c>
      <c r="F17" s="7" t="s">
        <v>1462</v>
      </c>
      <c r="G17" s="7" t="s">
        <v>1699</v>
      </c>
      <c r="H17" s="7"/>
    </row>
    <row r="18" spans="1:8" ht="17.100000000000001" customHeight="1" x14ac:dyDescent="0.25">
      <c r="A18" s="7" t="s">
        <v>1417</v>
      </c>
      <c r="B18" s="6" t="s">
        <v>1416</v>
      </c>
      <c r="C18" s="6" t="s">
        <v>76</v>
      </c>
      <c r="D18" s="6" t="s">
        <v>74</v>
      </c>
      <c r="E18" s="6" t="s">
        <v>1714</v>
      </c>
      <c r="F18" s="6" t="s">
        <v>1415</v>
      </c>
      <c r="G18" s="7" t="s">
        <v>1699</v>
      </c>
      <c r="H18" s="7"/>
    </row>
    <row r="19" spans="1:8" ht="17.100000000000001" customHeight="1" x14ac:dyDescent="0.25">
      <c r="A19" s="7" t="s">
        <v>1420</v>
      </c>
      <c r="B19" s="6" t="s">
        <v>1419</v>
      </c>
      <c r="C19" s="6" t="s">
        <v>76</v>
      </c>
      <c r="D19" s="6" t="s">
        <v>74</v>
      </c>
      <c r="E19" s="6" t="s">
        <v>1721</v>
      </c>
      <c r="F19" s="6" t="s">
        <v>1418</v>
      </c>
      <c r="G19" s="7" t="s">
        <v>1699</v>
      </c>
      <c r="H19" s="7"/>
    </row>
    <row r="20" spans="1:8" ht="17.100000000000001" customHeight="1" x14ac:dyDescent="0.25">
      <c r="A20" s="7" t="s">
        <v>1430</v>
      </c>
      <c r="B20" s="6" t="s">
        <v>1429</v>
      </c>
      <c r="C20" s="6" t="s">
        <v>76</v>
      </c>
      <c r="D20" s="6" t="s">
        <v>74</v>
      </c>
      <c r="E20" s="6" t="s">
        <v>1714</v>
      </c>
      <c r="F20" s="6" t="s">
        <v>1428</v>
      </c>
      <c r="G20" s="7" t="s">
        <v>1699</v>
      </c>
      <c r="H20" s="7"/>
    </row>
    <row r="21" spans="1:8" ht="17.100000000000001" customHeight="1" x14ac:dyDescent="0.25">
      <c r="A21" s="7" t="s">
        <v>1468</v>
      </c>
      <c r="B21" s="6" t="s">
        <v>1467</v>
      </c>
      <c r="C21" s="6" t="s">
        <v>76</v>
      </c>
      <c r="D21" s="6" t="s">
        <v>74</v>
      </c>
      <c r="E21" s="6" t="s">
        <v>1714</v>
      </c>
      <c r="F21" s="6" t="s">
        <v>1466</v>
      </c>
      <c r="G21" s="7" t="s">
        <v>1699</v>
      </c>
      <c r="H21" s="7"/>
    </row>
    <row r="22" spans="1:8" ht="17.100000000000001" customHeight="1" x14ac:dyDescent="0.25">
      <c r="A22" s="7" t="s">
        <v>1473</v>
      </c>
      <c r="B22" s="6" t="s">
        <v>1472</v>
      </c>
      <c r="C22" s="6" t="s">
        <v>76</v>
      </c>
      <c r="D22" s="6" t="s">
        <v>74</v>
      </c>
      <c r="E22" s="6" t="s">
        <v>1714</v>
      </c>
      <c r="F22" s="6" t="s">
        <v>1471</v>
      </c>
      <c r="G22" s="7" t="s">
        <v>1699</v>
      </c>
      <c r="H22" s="7"/>
    </row>
    <row r="23" spans="1:8" ht="17.100000000000001" customHeight="1" x14ac:dyDescent="0.25">
      <c r="A23" s="7" t="s">
        <v>1476</v>
      </c>
      <c r="B23" s="6" t="s">
        <v>1475</v>
      </c>
      <c r="C23" s="6" t="s">
        <v>76</v>
      </c>
      <c r="D23" s="6" t="s">
        <v>74</v>
      </c>
      <c r="E23" s="6" t="s">
        <v>1714</v>
      </c>
      <c r="F23" s="6" t="s">
        <v>1474</v>
      </c>
      <c r="G23" s="7" t="s">
        <v>1699</v>
      </c>
      <c r="H23" s="7"/>
    </row>
    <row r="24" spans="1:8" ht="17.100000000000001" customHeight="1" x14ac:dyDescent="0.25">
      <c r="A24" s="6" t="s">
        <v>1552</v>
      </c>
      <c r="B24" s="6" t="s">
        <v>1553</v>
      </c>
      <c r="C24" s="6" t="s">
        <v>76</v>
      </c>
      <c r="D24" s="6" t="s">
        <v>74</v>
      </c>
      <c r="E24" s="6" t="s">
        <v>1714</v>
      </c>
      <c r="F24" s="7" t="s">
        <v>1554</v>
      </c>
      <c r="G24" s="7" t="s">
        <v>1699</v>
      </c>
      <c r="H24" s="7"/>
    </row>
    <row r="25" spans="1:8" ht="17.100000000000001" customHeight="1" x14ac:dyDescent="0.25">
      <c r="A25" s="18"/>
      <c r="B25" s="18"/>
      <c r="C25" s="18"/>
      <c r="D25" s="18"/>
      <c r="E25" s="18"/>
      <c r="F25" s="19"/>
      <c r="G25" s="19"/>
      <c r="H25" s="19"/>
    </row>
    <row r="26" spans="1:8" ht="17.100000000000001" customHeight="1" x14ac:dyDescent="0.25">
      <c r="A26" s="6" t="s">
        <v>1413</v>
      </c>
      <c r="B26" s="6" t="s">
        <v>1608</v>
      </c>
      <c r="C26" s="6" t="s">
        <v>76</v>
      </c>
      <c r="D26" s="6" t="s">
        <v>74</v>
      </c>
      <c r="E26" s="6" t="s">
        <v>1714</v>
      </c>
      <c r="F26" s="7" t="s">
        <v>1414</v>
      </c>
      <c r="G26" s="7" t="s">
        <v>1699</v>
      </c>
      <c r="H26" s="7" t="s">
        <v>1702</v>
      </c>
    </row>
    <row r="27" spans="1:8" ht="17.100000000000001" customHeight="1" x14ac:dyDescent="0.25">
      <c r="A27" s="6" t="s">
        <v>1449</v>
      </c>
      <c r="B27" s="6" t="s">
        <v>1608</v>
      </c>
      <c r="C27" s="6" t="s">
        <v>76</v>
      </c>
      <c r="D27" s="6" t="s">
        <v>74</v>
      </c>
      <c r="E27" s="6" t="s">
        <v>1714</v>
      </c>
      <c r="F27" s="7" t="s">
        <v>1414</v>
      </c>
      <c r="G27" s="7" t="s">
        <v>1699</v>
      </c>
      <c r="H27" s="7"/>
    </row>
    <row r="28" spans="1:8" ht="17.100000000000001" customHeight="1" x14ac:dyDescent="0.25">
      <c r="A28" s="6" t="s">
        <v>1432</v>
      </c>
      <c r="B28" s="6" t="s">
        <v>1608</v>
      </c>
      <c r="C28" s="6" t="s">
        <v>76</v>
      </c>
      <c r="D28" s="6" t="s">
        <v>74</v>
      </c>
      <c r="E28" s="6" t="s">
        <v>1714</v>
      </c>
      <c r="F28" s="7" t="s">
        <v>1470</v>
      </c>
      <c r="G28" s="7" t="s">
        <v>1699</v>
      </c>
      <c r="H28" s="7"/>
    </row>
    <row r="29" spans="1:8" ht="17.100000000000001" customHeight="1" x14ac:dyDescent="0.25">
      <c r="A29" s="6" t="s">
        <v>1478</v>
      </c>
      <c r="B29" s="6" t="s">
        <v>1608</v>
      </c>
      <c r="C29" s="6" t="s">
        <v>76</v>
      </c>
      <c r="D29" s="6" t="s">
        <v>74</v>
      </c>
      <c r="E29" s="6" t="s">
        <v>1714</v>
      </c>
      <c r="F29" s="7" t="s">
        <v>1486</v>
      </c>
      <c r="G29" s="7" t="s">
        <v>1699</v>
      </c>
      <c r="H29" s="7"/>
    </row>
    <row r="30" spans="1:8" ht="17.100000000000001" customHeight="1" x14ac:dyDescent="0.25">
      <c r="A30" s="6" t="s">
        <v>1486</v>
      </c>
      <c r="B30" s="6" t="s">
        <v>1608</v>
      </c>
      <c r="C30" s="6" t="s">
        <v>76</v>
      </c>
      <c r="D30" s="6" t="s">
        <v>74</v>
      </c>
      <c r="E30" s="6" t="s">
        <v>1714</v>
      </c>
      <c r="F30" s="7" t="s">
        <v>1539</v>
      </c>
      <c r="G30" s="7" t="s">
        <v>1699</v>
      </c>
      <c r="H30" s="7"/>
    </row>
    <row r="31" spans="1:8" ht="17.100000000000001" customHeight="1" x14ac:dyDescent="0.25">
      <c r="A31" s="6" t="s">
        <v>1555</v>
      </c>
      <c r="B31" s="6" t="s">
        <v>1556</v>
      </c>
      <c r="C31" s="6" t="s">
        <v>76</v>
      </c>
      <c r="D31" s="6" t="s">
        <v>74</v>
      </c>
      <c r="E31" s="6" t="s">
        <v>1714</v>
      </c>
      <c r="F31" s="7" t="s">
        <v>1557</v>
      </c>
      <c r="G31" s="7" t="s">
        <v>1699</v>
      </c>
      <c r="H31" s="7"/>
    </row>
    <row r="32" spans="1:8" ht="17.100000000000001" customHeight="1" x14ac:dyDescent="0.25">
      <c r="A32" s="6" t="s">
        <v>1493</v>
      </c>
      <c r="B32" s="6" t="s">
        <v>795</v>
      </c>
      <c r="C32" s="6" t="s">
        <v>76</v>
      </c>
      <c r="D32" s="6" t="s">
        <v>74</v>
      </c>
      <c r="E32" s="6" t="s">
        <v>1721</v>
      </c>
      <c r="F32" s="7" t="s">
        <v>796</v>
      </c>
      <c r="G32" s="7" t="s">
        <v>1699</v>
      </c>
      <c r="H32" s="7"/>
    </row>
    <row r="33" spans="1:8" ht="17.100000000000001" customHeight="1" x14ac:dyDescent="0.25">
      <c r="A33" s="6" t="s">
        <v>1500</v>
      </c>
      <c r="B33" s="6" t="s">
        <v>801</v>
      </c>
      <c r="C33" s="6" t="s">
        <v>76</v>
      </c>
      <c r="D33" s="6" t="s">
        <v>74</v>
      </c>
      <c r="E33" s="6" t="s">
        <v>1721</v>
      </c>
      <c r="F33" s="7" t="s">
        <v>802</v>
      </c>
      <c r="G33" s="7" t="s">
        <v>1699</v>
      </c>
      <c r="H33" s="7"/>
    </row>
    <row r="34" spans="1:8" ht="17.100000000000001" customHeight="1" x14ac:dyDescent="0.25">
      <c r="A34" s="18"/>
      <c r="B34" s="18"/>
      <c r="C34" s="18"/>
      <c r="D34" s="18"/>
      <c r="E34" s="18"/>
      <c r="F34" s="19"/>
      <c r="G34" s="19"/>
      <c r="H34" s="19"/>
    </row>
    <row r="35" spans="1:8" ht="17.100000000000001" customHeight="1" x14ac:dyDescent="0.25">
      <c r="A35" s="6" t="s">
        <v>1433</v>
      </c>
      <c r="B35" s="6" t="s">
        <v>1434</v>
      </c>
      <c r="C35" s="6" t="s">
        <v>76</v>
      </c>
      <c r="D35" s="6" t="s">
        <v>74</v>
      </c>
      <c r="E35" s="6" t="s">
        <v>1714</v>
      </c>
      <c r="F35" s="7" t="s">
        <v>1435</v>
      </c>
      <c r="G35" s="7" t="s">
        <v>1699</v>
      </c>
      <c r="H35" s="7" t="s">
        <v>1687</v>
      </c>
    </row>
    <row r="36" spans="1:8" ht="17.100000000000001" customHeight="1" x14ac:dyDescent="0.25">
      <c r="A36" s="6" t="s">
        <v>1487</v>
      </c>
      <c r="B36" s="6" t="s">
        <v>1488</v>
      </c>
      <c r="C36" s="6" t="s">
        <v>76</v>
      </c>
      <c r="D36" s="6" t="s">
        <v>74</v>
      </c>
      <c r="E36" s="6" t="s">
        <v>1714</v>
      </c>
      <c r="F36" s="7" t="s">
        <v>1489</v>
      </c>
      <c r="G36" s="7" t="s">
        <v>1699</v>
      </c>
      <c r="H36" s="7"/>
    </row>
    <row r="37" spans="1:8" ht="17.100000000000001" customHeight="1" x14ac:dyDescent="0.25">
      <c r="A37" s="6" t="s">
        <v>1494</v>
      </c>
      <c r="B37" s="6" t="s">
        <v>1495</v>
      </c>
      <c r="C37" s="6" t="s">
        <v>76</v>
      </c>
      <c r="D37" s="6" t="s">
        <v>74</v>
      </c>
      <c r="E37" s="6" t="s">
        <v>1714</v>
      </c>
      <c r="F37" s="7" t="s">
        <v>1496</v>
      </c>
      <c r="G37" s="7" t="s">
        <v>1699</v>
      </c>
      <c r="H37" s="7"/>
    </row>
    <row r="38" spans="1:8" ht="17.100000000000001" customHeight="1" x14ac:dyDescent="0.25">
      <c r="A38" s="6" t="s">
        <v>1501</v>
      </c>
      <c r="B38" s="6" t="s">
        <v>1502</v>
      </c>
      <c r="C38" s="6" t="s">
        <v>76</v>
      </c>
      <c r="D38" s="6" t="s">
        <v>74</v>
      </c>
      <c r="E38" s="6" t="s">
        <v>1714</v>
      </c>
      <c r="F38" s="7" t="s">
        <v>1503</v>
      </c>
      <c r="G38" s="7" t="s">
        <v>1699</v>
      </c>
      <c r="H38" s="7"/>
    </row>
    <row r="39" spans="1:8" ht="17.100000000000001" customHeight="1" x14ac:dyDescent="0.25">
      <c r="A39" s="6" t="s">
        <v>1508</v>
      </c>
      <c r="B39" s="6" t="s">
        <v>1509</v>
      </c>
      <c r="C39" s="6" t="s">
        <v>76</v>
      </c>
      <c r="D39" s="6" t="s">
        <v>74</v>
      </c>
      <c r="E39" s="6" t="s">
        <v>1714</v>
      </c>
      <c r="F39" s="7" t="s">
        <v>1510</v>
      </c>
      <c r="G39" s="7" t="s">
        <v>1699</v>
      </c>
      <c r="H39" s="7"/>
    </row>
    <row r="40" spans="1:8" ht="17.100000000000001" customHeight="1" x14ac:dyDescent="0.25">
      <c r="A40" s="6" t="s">
        <v>1439</v>
      </c>
      <c r="B40" s="6" t="s">
        <v>1440</v>
      </c>
      <c r="C40" s="6" t="s">
        <v>76</v>
      </c>
      <c r="D40" s="6" t="s">
        <v>74</v>
      </c>
      <c r="E40" s="6" t="s">
        <v>1714</v>
      </c>
      <c r="F40" s="7" t="s">
        <v>1441</v>
      </c>
      <c r="G40" s="7" t="s">
        <v>1699</v>
      </c>
      <c r="H40" s="7"/>
    </row>
    <row r="41" spans="1:8" ht="17.100000000000001" customHeight="1" x14ac:dyDescent="0.25">
      <c r="A41" s="6" t="s">
        <v>1515</v>
      </c>
      <c r="B41" s="6" t="s">
        <v>1516</v>
      </c>
      <c r="C41" s="6" t="s">
        <v>76</v>
      </c>
      <c r="D41" s="6" t="s">
        <v>74</v>
      </c>
      <c r="E41" s="6" t="s">
        <v>1714</v>
      </c>
      <c r="F41" s="7" t="s">
        <v>1517</v>
      </c>
      <c r="G41" s="7" t="s">
        <v>1699</v>
      </c>
      <c r="H41" s="7"/>
    </row>
    <row r="42" spans="1:8" ht="17.100000000000001" customHeight="1" x14ac:dyDescent="0.25">
      <c r="A42" s="6" t="s">
        <v>1522</v>
      </c>
      <c r="B42" s="6" t="s">
        <v>1523</v>
      </c>
      <c r="C42" s="6" t="s">
        <v>76</v>
      </c>
      <c r="D42" s="6" t="s">
        <v>74</v>
      </c>
      <c r="E42" s="6" t="s">
        <v>1714</v>
      </c>
      <c r="F42" s="7" t="s">
        <v>1524</v>
      </c>
      <c r="G42" s="7" t="s">
        <v>1699</v>
      </c>
      <c r="H42" s="7"/>
    </row>
    <row r="43" spans="1:8" ht="17.100000000000001" customHeight="1" x14ac:dyDescent="0.25">
      <c r="A43" s="6" t="s">
        <v>1529</v>
      </c>
      <c r="B43" s="6" t="s">
        <v>1530</v>
      </c>
      <c r="C43" s="6" t="s">
        <v>76</v>
      </c>
      <c r="D43" s="6" t="s">
        <v>74</v>
      </c>
      <c r="E43" s="6" t="s">
        <v>1714</v>
      </c>
      <c r="F43" s="7" t="s">
        <v>1531</v>
      </c>
      <c r="G43" s="7" t="s">
        <v>1699</v>
      </c>
      <c r="H43" s="7"/>
    </row>
    <row r="44" spans="1:8" ht="17.100000000000001" customHeight="1" x14ac:dyDescent="0.25">
      <c r="A44" s="6" t="s">
        <v>1463</v>
      </c>
      <c r="B44" s="6" t="s">
        <v>1464</v>
      </c>
      <c r="C44" s="6" t="s">
        <v>76</v>
      </c>
      <c r="D44" s="6" t="s">
        <v>74</v>
      </c>
      <c r="E44" s="6" t="s">
        <v>1714</v>
      </c>
      <c r="F44" s="7" t="s">
        <v>1465</v>
      </c>
      <c r="G44" s="7" t="s">
        <v>1699</v>
      </c>
      <c r="H44" s="7"/>
    </row>
    <row r="45" spans="1:8" ht="17.100000000000001" customHeight="1" x14ac:dyDescent="0.25">
      <c r="A45" s="6" t="s">
        <v>1421</v>
      </c>
      <c r="B45" s="6" t="s">
        <v>1422</v>
      </c>
      <c r="C45" s="6" t="s">
        <v>76</v>
      </c>
      <c r="D45" s="6" t="s">
        <v>74</v>
      </c>
      <c r="E45" s="6" t="s">
        <v>1714</v>
      </c>
      <c r="F45" s="7" t="s">
        <v>1423</v>
      </c>
      <c r="G45" s="7" t="s">
        <v>1699</v>
      </c>
      <c r="H45" s="7"/>
    </row>
    <row r="46" spans="1:8" ht="17.100000000000001" customHeight="1" x14ac:dyDescent="0.25">
      <c r="A46" s="6" t="s">
        <v>1405</v>
      </c>
      <c r="B46" s="6" t="s">
        <v>1406</v>
      </c>
      <c r="C46" s="6" t="s">
        <v>76</v>
      </c>
      <c r="D46" s="6" t="s">
        <v>74</v>
      </c>
      <c r="E46" s="6" t="s">
        <v>1714</v>
      </c>
      <c r="F46" s="7" t="s">
        <v>1407</v>
      </c>
      <c r="G46" s="7" t="s">
        <v>1699</v>
      </c>
      <c r="H46" s="7"/>
    </row>
    <row r="47" spans="1:8" ht="17.100000000000001" customHeight="1" x14ac:dyDescent="0.25">
      <c r="A47" s="6" t="s">
        <v>1490</v>
      </c>
      <c r="B47" s="6" t="s">
        <v>1491</v>
      </c>
      <c r="C47" s="6" t="s">
        <v>76</v>
      </c>
      <c r="D47" s="6" t="s">
        <v>74</v>
      </c>
      <c r="E47" s="6" t="s">
        <v>1714</v>
      </c>
      <c r="F47" s="7" t="s">
        <v>1492</v>
      </c>
      <c r="G47" s="7" t="s">
        <v>1699</v>
      </c>
      <c r="H47" s="7"/>
    </row>
    <row r="48" spans="1:8" ht="17.100000000000001" customHeight="1" x14ac:dyDescent="0.25">
      <c r="A48" s="6" t="s">
        <v>1497</v>
      </c>
      <c r="B48" s="6" t="s">
        <v>1498</v>
      </c>
      <c r="C48" s="6" t="s">
        <v>76</v>
      </c>
      <c r="D48" s="6" t="s">
        <v>74</v>
      </c>
      <c r="E48" s="6" t="s">
        <v>1714</v>
      </c>
      <c r="F48" s="7" t="s">
        <v>1499</v>
      </c>
      <c r="G48" s="7" t="s">
        <v>1699</v>
      </c>
      <c r="H48" s="7"/>
    </row>
    <row r="49" spans="1:8" ht="17.100000000000001" customHeight="1" x14ac:dyDescent="0.25">
      <c r="A49" s="16"/>
      <c r="B49" s="16"/>
      <c r="C49" s="16"/>
      <c r="D49" s="16"/>
      <c r="E49" s="16"/>
      <c r="F49" s="17"/>
      <c r="G49" s="17"/>
      <c r="H49" s="17"/>
    </row>
    <row r="50" spans="1:8" ht="17.100000000000001" customHeight="1" x14ac:dyDescent="0.25">
      <c r="A50" s="6" t="s">
        <v>1507</v>
      </c>
      <c r="B50" s="6" t="s">
        <v>807</v>
      </c>
      <c r="C50" s="6" t="s">
        <v>76</v>
      </c>
      <c r="D50" s="6" t="s">
        <v>74</v>
      </c>
      <c r="E50" s="6" t="s">
        <v>1709</v>
      </c>
      <c r="F50" s="7" t="s">
        <v>808</v>
      </c>
      <c r="G50" s="7" t="s">
        <v>1700</v>
      </c>
      <c r="H50" s="7" t="s">
        <v>1731</v>
      </c>
    </row>
    <row r="51" spans="1:8" ht="17.100000000000001" customHeight="1" x14ac:dyDescent="0.25">
      <c r="A51" s="6" t="s">
        <v>1514</v>
      </c>
      <c r="B51" s="6" t="s">
        <v>970</v>
      </c>
      <c r="C51" s="6" t="s">
        <v>76</v>
      </c>
      <c r="D51" s="6" t="s">
        <v>74</v>
      </c>
      <c r="E51" s="6" t="s">
        <v>1709</v>
      </c>
      <c r="F51" s="7" t="s">
        <v>971</v>
      </c>
      <c r="G51" s="7" t="s">
        <v>1700</v>
      </c>
      <c r="H51" s="7"/>
    </row>
    <row r="52" spans="1:8" ht="17.100000000000001" customHeight="1" x14ac:dyDescent="0.25">
      <c r="A52" s="6" t="s">
        <v>1521</v>
      </c>
      <c r="B52" s="6" t="s">
        <v>810</v>
      </c>
      <c r="C52" s="6" t="s">
        <v>76</v>
      </c>
      <c r="D52" s="6" t="s">
        <v>74</v>
      </c>
      <c r="E52" s="6" t="s">
        <v>1709</v>
      </c>
      <c r="F52" s="7" t="s">
        <v>811</v>
      </c>
      <c r="G52" s="7" t="s">
        <v>1700</v>
      </c>
      <c r="H52" s="7"/>
    </row>
    <row r="53" spans="1:8" ht="17.100000000000001" customHeight="1" x14ac:dyDescent="0.25">
      <c r="A53" s="6" t="s">
        <v>1528</v>
      </c>
      <c r="B53" s="6" t="s">
        <v>976</v>
      </c>
      <c r="C53" s="6" t="s">
        <v>76</v>
      </c>
      <c r="D53" s="6" t="s">
        <v>74</v>
      </c>
      <c r="E53" s="6" t="s">
        <v>1709</v>
      </c>
      <c r="F53" s="7" t="s">
        <v>977</v>
      </c>
      <c r="G53" s="7" t="s">
        <v>1700</v>
      </c>
      <c r="H53" s="7"/>
    </row>
    <row r="54" spans="1:8" ht="17.100000000000001" customHeight="1" x14ac:dyDescent="0.25">
      <c r="A54" s="18"/>
      <c r="B54" s="18"/>
      <c r="C54" s="18"/>
      <c r="D54" s="18"/>
      <c r="E54" s="18"/>
      <c r="F54" s="19"/>
      <c r="G54" s="19"/>
      <c r="H54" s="19"/>
    </row>
    <row r="55" spans="1:8" ht="17.100000000000001" customHeight="1" x14ac:dyDescent="0.25">
      <c r="A55" s="6" t="s">
        <v>1535</v>
      </c>
      <c r="B55" s="6" t="s">
        <v>1536</v>
      </c>
      <c r="C55" s="6" t="s">
        <v>76</v>
      </c>
      <c r="D55" s="6" t="s">
        <v>74</v>
      </c>
      <c r="E55" s="6" t="s">
        <v>1709</v>
      </c>
      <c r="F55" s="7" t="s">
        <v>1537</v>
      </c>
      <c r="G55" s="7" t="s">
        <v>1700</v>
      </c>
      <c r="H55" s="7" t="s">
        <v>1732</v>
      </c>
    </row>
    <row r="56" spans="1:8" ht="17.100000000000001" customHeight="1" x14ac:dyDescent="0.25">
      <c r="A56" s="6" t="s">
        <v>1408</v>
      </c>
      <c r="B56" s="6" t="s">
        <v>1409</v>
      </c>
      <c r="C56" s="6" t="s">
        <v>76</v>
      </c>
      <c r="D56" s="6" t="s">
        <v>74</v>
      </c>
      <c r="E56" s="6" t="s">
        <v>1709</v>
      </c>
      <c r="F56" s="7" t="s">
        <v>1410</v>
      </c>
      <c r="G56" s="7" t="s">
        <v>1700</v>
      </c>
      <c r="H56" s="7"/>
    </row>
    <row r="57" spans="1:8" ht="17.100000000000001" customHeight="1" x14ac:dyDescent="0.25">
      <c r="A57" s="6" t="s">
        <v>1504</v>
      </c>
      <c r="B57" s="6" t="s">
        <v>1505</v>
      </c>
      <c r="C57" s="6" t="s">
        <v>76</v>
      </c>
      <c r="D57" s="6" t="s">
        <v>74</v>
      </c>
      <c r="E57" s="6" t="s">
        <v>1709</v>
      </c>
      <c r="F57" s="7" t="s">
        <v>1506</v>
      </c>
      <c r="G57" s="7" t="s">
        <v>1700</v>
      </c>
      <c r="H57" s="7"/>
    </row>
    <row r="58" spans="1:8" ht="17.100000000000001" customHeight="1" x14ac:dyDescent="0.25">
      <c r="A58" s="6" t="s">
        <v>1511</v>
      </c>
      <c r="B58" s="6" t="s">
        <v>1512</v>
      </c>
      <c r="C58" s="6" t="s">
        <v>76</v>
      </c>
      <c r="D58" s="6" t="s">
        <v>74</v>
      </c>
      <c r="E58" s="6" t="s">
        <v>1709</v>
      </c>
      <c r="F58" s="7" t="s">
        <v>1513</v>
      </c>
      <c r="G58" s="7" t="s">
        <v>1700</v>
      </c>
      <c r="H58" s="7"/>
    </row>
    <row r="59" spans="1:8" ht="17.100000000000001" customHeight="1" x14ac:dyDescent="0.25">
      <c r="A59" s="6" t="s">
        <v>1482</v>
      </c>
      <c r="B59" s="6" t="s">
        <v>1483</v>
      </c>
      <c r="C59" s="6" t="s">
        <v>76</v>
      </c>
      <c r="D59" s="6" t="s">
        <v>74</v>
      </c>
      <c r="E59" s="6" t="s">
        <v>1709</v>
      </c>
      <c r="F59" s="7" t="s">
        <v>1484</v>
      </c>
      <c r="G59" s="7" t="s">
        <v>1700</v>
      </c>
      <c r="H59" s="7"/>
    </row>
    <row r="60" spans="1:8" ht="17.100000000000001" customHeight="1" x14ac:dyDescent="0.25">
      <c r="A60" s="6" t="s">
        <v>1425</v>
      </c>
      <c r="B60" s="6" t="s">
        <v>1426</v>
      </c>
      <c r="C60" s="6" t="s">
        <v>76</v>
      </c>
      <c r="D60" s="6" t="s">
        <v>74</v>
      </c>
      <c r="E60" s="6" t="s">
        <v>1709</v>
      </c>
      <c r="F60" s="7" t="s">
        <v>1427</v>
      </c>
      <c r="G60" s="7" t="s">
        <v>1700</v>
      </c>
      <c r="H60" s="7"/>
    </row>
    <row r="61" spans="1:8" ht="17.100000000000001" customHeight="1" x14ac:dyDescent="0.25">
      <c r="A61" s="6" t="s">
        <v>1518</v>
      </c>
      <c r="B61" s="6" t="s">
        <v>1519</v>
      </c>
      <c r="C61" s="6" t="s">
        <v>76</v>
      </c>
      <c r="D61" s="6" t="s">
        <v>74</v>
      </c>
      <c r="E61" s="6" t="s">
        <v>1709</v>
      </c>
      <c r="F61" s="7" t="s">
        <v>1520</v>
      </c>
      <c r="G61" s="7" t="s">
        <v>1700</v>
      </c>
      <c r="H61" s="7"/>
    </row>
    <row r="62" spans="1:8" ht="17.100000000000001" customHeight="1" x14ac:dyDescent="0.25">
      <c r="A62" s="6" t="s">
        <v>1525</v>
      </c>
      <c r="B62" s="6" t="s">
        <v>1526</v>
      </c>
      <c r="C62" s="6" t="s">
        <v>76</v>
      </c>
      <c r="D62" s="6" t="s">
        <v>74</v>
      </c>
      <c r="E62" s="6" t="s">
        <v>1709</v>
      </c>
      <c r="F62" s="7" t="s">
        <v>1527</v>
      </c>
      <c r="G62" s="7" t="s">
        <v>1700</v>
      </c>
      <c r="H62" s="7"/>
    </row>
    <row r="63" spans="1:8" ht="17.100000000000001" customHeight="1" x14ac:dyDescent="0.25">
      <c r="A63" s="6" t="s">
        <v>1479</v>
      </c>
      <c r="B63" s="6" t="s">
        <v>1480</v>
      </c>
      <c r="C63" s="6" t="s">
        <v>76</v>
      </c>
      <c r="D63" s="6" t="s">
        <v>74</v>
      </c>
      <c r="E63" s="6" t="s">
        <v>1709</v>
      </c>
      <c r="F63" s="7" t="s">
        <v>1481</v>
      </c>
      <c r="G63" s="7" t="s">
        <v>1700</v>
      </c>
      <c r="H63" s="7"/>
    </row>
    <row r="64" spans="1:8" ht="17.100000000000001" customHeight="1" x14ac:dyDescent="0.25">
      <c r="A64" s="6" t="s">
        <v>1532</v>
      </c>
      <c r="B64" s="6" t="s">
        <v>1533</v>
      </c>
      <c r="C64" s="6" t="s">
        <v>76</v>
      </c>
      <c r="D64" s="6" t="s">
        <v>74</v>
      </c>
      <c r="E64" s="6" t="s">
        <v>1709</v>
      </c>
      <c r="F64" s="7" t="s">
        <v>1534</v>
      </c>
      <c r="G64" s="7" t="s">
        <v>1700</v>
      </c>
      <c r="H64" s="7"/>
    </row>
    <row r="65" spans="1:8" ht="17.100000000000001" customHeight="1" x14ac:dyDescent="0.25">
      <c r="A65" s="6" t="s">
        <v>1540</v>
      </c>
      <c r="B65" s="6" t="s">
        <v>1541</v>
      </c>
      <c r="C65" s="6" t="s">
        <v>76</v>
      </c>
      <c r="D65" s="6" t="s">
        <v>74</v>
      </c>
      <c r="E65" s="6" t="s">
        <v>1709</v>
      </c>
      <c r="F65" s="7" t="s">
        <v>1542</v>
      </c>
      <c r="G65" s="7" t="s">
        <v>1700</v>
      </c>
      <c r="H65" s="7"/>
    </row>
    <row r="66" spans="1:8" ht="17.100000000000001" customHeight="1" x14ac:dyDescent="0.25">
      <c r="A66" s="16"/>
      <c r="B66" s="16"/>
      <c r="C66" s="16"/>
      <c r="D66" s="16"/>
      <c r="E66" s="16"/>
      <c r="F66" s="17"/>
      <c r="G66" s="17"/>
      <c r="H66" s="17"/>
    </row>
    <row r="67" spans="1:8" ht="17.100000000000001" customHeight="1" x14ac:dyDescent="0.25">
      <c r="A67" s="6" t="s">
        <v>1411</v>
      </c>
      <c r="B67" s="6" t="s">
        <v>231</v>
      </c>
      <c r="C67" s="6" t="s">
        <v>76</v>
      </c>
      <c r="D67" s="6" t="s">
        <v>74</v>
      </c>
      <c r="E67" s="6" t="s">
        <v>1719</v>
      </c>
      <c r="F67" s="7" t="s">
        <v>1412</v>
      </c>
      <c r="G67" s="7" t="s">
        <v>1698</v>
      </c>
      <c r="H67" s="7" t="s">
        <v>1703</v>
      </c>
    </row>
    <row r="68" spans="1:8" ht="17.100000000000001" customHeight="1" x14ac:dyDescent="0.25">
      <c r="A68" s="6" t="s">
        <v>1445</v>
      </c>
      <c r="B68" s="6" t="s">
        <v>158</v>
      </c>
      <c r="C68" s="6" t="s">
        <v>76</v>
      </c>
      <c r="D68" s="6" t="s">
        <v>74</v>
      </c>
      <c r="E68" s="6" t="s">
        <v>1719</v>
      </c>
      <c r="F68" s="7" t="s">
        <v>1447</v>
      </c>
      <c r="G68" s="7" t="s">
        <v>1698</v>
      </c>
      <c r="H68" s="7"/>
    </row>
    <row r="69" spans="1:8" ht="17.100000000000001" customHeight="1" x14ac:dyDescent="0.25">
      <c r="A69" s="6" t="s">
        <v>1286</v>
      </c>
      <c r="B69" s="6" t="s">
        <v>1285</v>
      </c>
      <c r="C69" s="6" t="s">
        <v>76</v>
      </c>
      <c r="D69" s="6" t="s">
        <v>74</v>
      </c>
      <c r="E69" s="6" t="s">
        <v>1719</v>
      </c>
      <c r="F69" s="7" t="s">
        <v>1284</v>
      </c>
      <c r="G69" s="7" t="s">
        <v>1698</v>
      </c>
      <c r="H69" s="7"/>
    </row>
    <row r="70" spans="1:8" ht="17.100000000000001" customHeight="1" x14ac:dyDescent="0.25">
      <c r="A70" s="6" t="s">
        <v>1292</v>
      </c>
      <c r="B70" s="6" t="s">
        <v>1291</v>
      </c>
      <c r="C70" s="6" t="s">
        <v>76</v>
      </c>
      <c r="D70" s="6" t="s">
        <v>74</v>
      </c>
      <c r="E70" s="6" t="s">
        <v>1719</v>
      </c>
      <c r="F70" s="7" t="s">
        <v>1290</v>
      </c>
      <c r="G70" s="7" t="s">
        <v>1698</v>
      </c>
      <c r="H70" s="7"/>
    </row>
    <row r="71" spans="1:8" ht="17.100000000000001" customHeight="1" x14ac:dyDescent="0.25">
      <c r="A71" s="6" t="s">
        <v>1301</v>
      </c>
      <c r="B71" s="6" t="s">
        <v>1300</v>
      </c>
      <c r="C71" s="6" t="s">
        <v>76</v>
      </c>
      <c r="D71" s="6" t="s">
        <v>74</v>
      </c>
      <c r="E71" s="6" t="s">
        <v>1719</v>
      </c>
      <c r="F71" s="7" t="s">
        <v>1299</v>
      </c>
      <c r="G71" s="7" t="s">
        <v>1698</v>
      </c>
      <c r="H71" s="7"/>
    </row>
    <row r="72" spans="1:8" ht="17.100000000000001" customHeight="1" x14ac:dyDescent="0.25">
      <c r="A72" s="6" t="s">
        <v>1289</v>
      </c>
      <c r="B72" s="6" t="s">
        <v>1288</v>
      </c>
      <c r="C72" s="6" t="s">
        <v>76</v>
      </c>
      <c r="D72" s="6" t="s">
        <v>74</v>
      </c>
      <c r="E72" s="6" t="s">
        <v>1719</v>
      </c>
      <c r="F72" s="7" t="s">
        <v>1287</v>
      </c>
      <c r="G72" s="7" t="s">
        <v>1698</v>
      </c>
      <c r="H72" s="7"/>
    </row>
    <row r="73" spans="1:8" ht="17.100000000000001" customHeight="1" x14ac:dyDescent="0.25">
      <c r="A73" s="6" t="s">
        <v>1298</v>
      </c>
      <c r="B73" s="6" t="s">
        <v>1297</v>
      </c>
      <c r="C73" s="6" t="s">
        <v>76</v>
      </c>
      <c r="D73" s="6" t="s">
        <v>74</v>
      </c>
      <c r="E73" s="6" t="s">
        <v>1719</v>
      </c>
      <c r="F73" s="7" t="s">
        <v>1296</v>
      </c>
      <c r="G73" s="7" t="s">
        <v>1698</v>
      </c>
      <c r="H73" s="7"/>
    </row>
    <row r="74" spans="1:8" ht="17.100000000000001" customHeight="1" x14ac:dyDescent="0.25">
      <c r="A74" s="6" t="s">
        <v>1307</v>
      </c>
      <c r="B74" s="6" t="s">
        <v>1306</v>
      </c>
      <c r="C74" s="6" t="s">
        <v>76</v>
      </c>
      <c r="D74" s="6" t="s">
        <v>74</v>
      </c>
      <c r="E74" s="6" t="s">
        <v>1719</v>
      </c>
      <c r="F74" s="7" t="s">
        <v>1305</v>
      </c>
      <c r="G74" s="7" t="s">
        <v>1698</v>
      </c>
      <c r="H74" s="7"/>
    </row>
    <row r="75" spans="1:8" ht="17.100000000000001" customHeight="1" x14ac:dyDescent="0.25">
      <c r="A75" s="6" t="s">
        <v>1295</v>
      </c>
      <c r="B75" s="6" t="s">
        <v>1294</v>
      </c>
      <c r="C75" s="6" t="s">
        <v>76</v>
      </c>
      <c r="D75" s="6" t="s">
        <v>74</v>
      </c>
      <c r="E75" s="6" t="s">
        <v>1719</v>
      </c>
      <c r="F75" s="7" t="s">
        <v>1293</v>
      </c>
      <c r="G75" s="7" t="s">
        <v>1698</v>
      </c>
      <c r="H75" s="7"/>
    </row>
    <row r="76" spans="1:8" ht="17.100000000000001" customHeight="1" x14ac:dyDescent="0.25">
      <c r="A76" s="6" t="s">
        <v>1304</v>
      </c>
      <c r="B76" s="6" t="s">
        <v>1303</v>
      </c>
      <c r="C76" s="6" t="s">
        <v>76</v>
      </c>
      <c r="D76" s="6" t="s">
        <v>74</v>
      </c>
      <c r="E76" s="6" t="s">
        <v>1719</v>
      </c>
      <c r="F76" s="7" t="s">
        <v>1302</v>
      </c>
      <c r="G76" s="7" t="s">
        <v>1698</v>
      </c>
      <c r="H76" s="7"/>
    </row>
    <row r="77" spans="1:8" ht="17.100000000000001" customHeight="1" x14ac:dyDescent="0.25">
      <c r="A77" s="6" t="s">
        <v>1310</v>
      </c>
      <c r="B77" s="6" t="s">
        <v>1309</v>
      </c>
      <c r="C77" s="6" t="s">
        <v>76</v>
      </c>
      <c r="D77" s="6" t="s">
        <v>74</v>
      </c>
      <c r="E77" s="6" t="s">
        <v>1719</v>
      </c>
      <c r="F77" s="7" t="s">
        <v>1308</v>
      </c>
      <c r="G77" s="7" t="s">
        <v>1698</v>
      </c>
      <c r="H77" s="7"/>
    </row>
    <row r="78" spans="1:8" ht="17.100000000000001" customHeight="1" x14ac:dyDescent="0.25">
      <c r="A78" s="18"/>
      <c r="B78" s="18"/>
      <c r="C78" s="18"/>
      <c r="D78" s="18"/>
      <c r="E78" s="18"/>
      <c r="F78" s="19"/>
      <c r="G78" s="19"/>
      <c r="H78" s="19"/>
    </row>
    <row r="79" spans="1:8" ht="17.100000000000001" customHeight="1" x14ac:dyDescent="0.25">
      <c r="A79" s="6" t="s">
        <v>1448</v>
      </c>
      <c r="B79" s="6" t="s">
        <v>1608</v>
      </c>
      <c r="C79" s="6" t="s">
        <v>76</v>
      </c>
      <c r="D79" s="6" t="s">
        <v>74</v>
      </c>
      <c r="E79" s="6" t="s">
        <v>1719</v>
      </c>
      <c r="F79" s="7" t="s">
        <v>767</v>
      </c>
      <c r="G79" s="7" t="s">
        <v>1698</v>
      </c>
      <c r="H79" s="7" t="s">
        <v>1704</v>
      </c>
    </row>
    <row r="80" spans="1:8" ht="17.100000000000001" customHeight="1" x14ac:dyDescent="0.25">
      <c r="A80" s="6" t="s">
        <v>1313</v>
      </c>
      <c r="B80" s="6" t="s">
        <v>1312</v>
      </c>
      <c r="C80" s="6" t="s">
        <v>76</v>
      </c>
      <c r="D80" s="6" t="s">
        <v>74</v>
      </c>
      <c r="E80" s="6" t="s">
        <v>1719</v>
      </c>
      <c r="F80" s="7" t="s">
        <v>1311</v>
      </c>
      <c r="G80" s="7" t="s">
        <v>1698</v>
      </c>
      <c r="H80" s="7"/>
    </row>
    <row r="81" spans="1:8" ht="17.100000000000001" customHeight="1" x14ac:dyDescent="0.25">
      <c r="A81" s="6" t="s">
        <v>1319</v>
      </c>
      <c r="B81" s="6" t="s">
        <v>1318</v>
      </c>
      <c r="C81" s="6" t="s">
        <v>76</v>
      </c>
      <c r="D81" s="6" t="s">
        <v>74</v>
      </c>
      <c r="E81" s="6" t="s">
        <v>1719</v>
      </c>
      <c r="F81" s="7" t="s">
        <v>1317</v>
      </c>
      <c r="G81" s="7" t="s">
        <v>1698</v>
      </c>
      <c r="H81" s="7"/>
    </row>
    <row r="82" spans="1:8" ht="17.100000000000001" customHeight="1" x14ac:dyDescent="0.25">
      <c r="A82" s="6" t="s">
        <v>1328</v>
      </c>
      <c r="B82" s="6" t="s">
        <v>1327</v>
      </c>
      <c r="C82" s="6" t="s">
        <v>76</v>
      </c>
      <c r="D82" s="6" t="s">
        <v>74</v>
      </c>
      <c r="E82" s="6" t="s">
        <v>1719</v>
      </c>
      <c r="F82" s="7" t="s">
        <v>1326</v>
      </c>
      <c r="G82" s="7" t="s">
        <v>1698</v>
      </c>
      <c r="H82" s="7"/>
    </row>
    <row r="83" spans="1:8" ht="17.100000000000001" customHeight="1" x14ac:dyDescent="0.25">
      <c r="A83" s="6" t="s">
        <v>1316</v>
      </c>
      <c r="B83" s="6" t="s">
        <v>1315</v>
      </c>
      <c r="C83" s="6" t="s">
        <v>76</v>
      </c>
      <c r="D83" s="6" t="s">
        <v>74</v>
      </c>
      <c r="E83" s="6" t="s">
        <v>1719</v>
      </c>
      <c r="F83" s="7" t="s">
        <v>1314</v>
      </c>
      <c r="G83" s="7" t="s">
        <v>1698</v>
      </c>
      <c r="H83" s="7"/>
    </row>
    <row r="84" spans="1:8" ht="17.100000000000001" customHeight="1" x14ac:dyDescent="0.25">
      <c r="A84" s="6" t="s">
        <v>1325</v>
      </c>
      <c r="B84" s="6" t="s">
        <v>1324</v>
      </c>
      <c r="C84" s="6" t="s">
        <v>76</v>
      </c>
      <c r="D84" s="6" t="s">
        <v>74</v>
      </c>
      <c r="E84" s="6" t="s">
        <v>1719</v>
      </c>
      <c r="F84" s="7" t="s">
        <v>1323</v>
      </c>
      <c r="G84" s="7" t="s">
        <v>1698</v>
      </c>
      <c r="H84" s="7"/>
    </row>
    <row r="85" spans="1:8" ht="17.100000000000001" customHeight="1" x14ac:dyDescent="0.25">
      <c r="A85" s="6" t="s">
        <v>1334</v>
      </c>
      <c r="B85" s="6" t="s">
        <v>1333</v>
      </c>
      <c r="C85" s="6" t="s">
        <v>76</v>
      </c>
      <c r="D85" s="6" t="s">
        <v>74</v>
      </c>
      <c r="E85" s="6" t="s">
        <v>1719</v>
      </c>
      <c r="F85" s="7" t="s">
        <v>1332</v>
      </c>
      <c r="G85" s="7" t="s">
        <v>1698</v>
      </c>
      <c r="H85" s="7"/>
    </row>
    <row r="86" spans="1:8" ht="17.100000000000001" customHeight="1" x14ac:dyDescent="0.25">
      <c r="A86" s="6" t="s">
        <v>1322</v>
      </c>
      <c r="B86" s="6" t="s">
        <v>1321</v>
      </c>
      <c r="C86" s="6" t="s">
        <v>76</v>
      </c>
      <c r="D86" s="6" t="s">
        <v>74</v>
      </c>
      <c r="E86" s="6" t="s">
        <v>1719</v>
      </c>
      <c r="F86" s="7" t="s">
        <v>1320</v>
      </c>
      <c r="G86" s="7" t="s">
        <v>1698</v>
      </c>
      <c r="H86" s="7"/>
    </row>
    <row r="87" spans="1:8" ht="17.100000000000001" customHeight="1" x14ac:dyDescent="0.25">
      <c r="A87" s="6" t="s">
        <v>1331</v>
      </c>
      <c r="B87" s="6" t="s">
        <v>1330</v>
      </c>
      <c r="C87" s="6" t="s">
        <v>76</v>
      </c>
      <c r="D87" s="6" t="s">
        <v>74</v>
      </c>
      <c r="E87" s="6" t="s">
        <v>1719</v>
      </c>
      <c r="F87" s="7" t="s">
        <v>1329</v>
      </c>
      <c r="G87" s="7" t="s">
        <v>1698</v>
      </c>
      <c r="H87" s="7"/>
    </row>
    <row r="88" spans="1:8" ht="17.100000000000001" customHeight="1" x14ac:dyDescent="0.25">
      <c r="A88" s="6" t="s">
        <v>1337</v>
      </c>
      <c r="B88" s="6" t="s">
        <v>1336</v>
      </c>
      <c r="C88" s="6" t="s">
        <v>76</v>
      </c>
      <c r="D88" s="6" t="s">
        <v>74</v>
      </c>
      <c r="E88" s="6" t="s">
        <v>1719</v>
      </c>
      <c r="F88" s="7" t="s">
        <v>1335</v>
      </c>
      <c r="G88" s="7" t="s">
        <v>1698</v>
      </c>
      <c r="H88" s="7"/>
    </row>
    <row r="89" spans="1:8" ht="17.100000000000001" customHeight="1" x14ac:dyDescent="0.25">
      <c r="A89" s="18"/>
      <c r="B89" s="18"/>
      <c r="C89" s="18"/>
      <c r="D89" s="18"/>
      <c r="E89" s="18"/>
      <c r="F89" s="19"/>
      <c r="G89" s="19"/>
      <c r="H89" s="19"/>
    </row>
    <row r="90" spans="1:8" ht="17.100000000000001" customHeight="1" x14ac:dyDescent="0.25">
      <c r="A90" s="6" t="s">
        <v>942</v>
      </c>
      <c r="B90" s="6" t="s">
        <v>1666</v>
      </c>
      <c r="C90" s="6" t="s">
        <v>76</v>
      </c>
      <c r="D90" s="6" t="s">
        <v>74</v>
      </c>
      <c r="E90" s="6" t="s">
        <v>1719</v>
      </c>
      <c r="F90" s="7" t="s">
        <v>941</v>
      </c>
      <c r="G90" s="7" t="s">
        <v>1698</v>
      </c>
      <c r="H90" s="7" t="s">
        <v>1705</v>
      </c>
    </row>
    <row r="91" spans="1:8" ht="17.100000000000001" customHeight="1" x14ac:dyDescent="0.25">
      <c r="A91" s="6" t="s">
        <v>959</v>
      </c>
      <c r="B91" s="6" t="s">
        <v>1667</v>
      </c>
      <c r="C91" s="6" t="s">
        <v>76</v>
      </c>
      <c r="D91" s="6" t="s">
        <v>74</v>
      </c>
      <c r="E91" s="6" t="s">
        <v>1719</v>
      </c>
      <c r="F91" s="7" t="s">
        <v>958</v>
      </c>
      <c r="G91" s="7" t="s">
        <v>1698</v>
      </c>
      <c r="H91" s="7"/>
    </row>
    <row r="92" spans="1:8" ht="17.100000000000001" customHeight="1" x14ac:dyDescent="0.25">
      <c r="A92" s="6" t="s">
        <v>1106</v>
      </c>
      <c r="B92" s="6" t="s">
        <v>1668</v>
      </c>
      <c r="C92" s="6" t="s">
        <v>76</v>
      </c>
      <c r="D92" s="6" t="s">
        <v>74</v>
      </c>
      <c r="E92" s="6" t="s">
        <v>1719</v>
      </c>
      <c r="F92" s="7" t="s">
        <v>1105</v>
      </c>
      <c r="G92" s="7" t="s">
        <v>1698</v>
      </c>
      <c r="H92" s="7"/>
    </row>
    <row r="93" spans="1:8" ht="17.100000000000001" customHeight="1" x14ac:dyDescent="0.25">
      <c r="A93" s="6" t="s">
        <v>1348</v>
      </c>
      <c r="B93" s="6" t="s">
        <v>1669</v>
      </c>
      <c r="C93" s="6" t="s">
        <v>76</v>
      </c>
      <c r="D93" s="6" t="s">
        <v>74</v>
      </c>
      <c r="E93" s="6" t="s">
        <v>1719</v>
      </c>
      <c r="F93" s="7" t="s">
        <v>1347</v>
      </c>
      <c r="G93" s="7" t="s">
        <v>1698</v>
      </c>
      <c r="H93" s="7"/>
    </row>
    <row r="94" spans="1:8" ht="17.100000000000001" customHeight="1" x14ac:dyDescent="0.25">
      <c r="A94" s="6" t="s">
        <v>1350</v>
      </c>
      <c r="B94" s="6" t="s">
        <v>1670</v>
      </c>
      <c r="C94" s="6" t="s">
        <v>76</v>
      </c>
      <c r="D94" s="6" t="s">
        <v>74</v>
      </c>
      <c r="E94" s="6" t="s">
        <v>1719</v>
      </c>
      <c r="F94" s="7" t="s">
        <v>1349</v>
      </c>
      <c r="G94" s="7" t="s">
        <v>1698</v>
      </c>
      <c r="H94" s="7"/>
    </row>
    <row r="95" spans="1:8" ht="17.100000000000001" customHeight="1" x14ac:dyDescent="0.25">
      <c r="A95" s="6" t="s">
        <v>1352</v>
      </c>
      <c r="B95" s="6" t="s">
        <v>1671</v>
      </c>
      <c r="C95" s="6" t="s">
        <v>76</v>
      </c>
      <c r="D95" s="6" t="s">
        <v>74</v>
      </c>
      <c r="E95" s="6" t="s">
        <v>1719</v>
      </c>
      <c r="F95" s="7" t="s">
        <v>1351</v>
      </c>
      <c r="G95" s="7" t="s">
        <v>1698</v>
      </c>
      <c r="H95" s="7"/>
    </row>
    <row r="96" spans="1:8" ht="17.100000000000001" customHeight="1" x14ac:dyDescent="0.25">
      <c r="A96" s="6" t="s">
        <v>1354</v>
      </c>
      <c r="B96" s="6" t="s">
        <v>1672</v>
      </c>
      <c r="C96" s="6" t="s">
        <v>76</v>
      </c>
      <c r="D96" s="6" t="s">
        <v>74</v>
      </c>
      <c r="E96" s="6" t="s">
        <v>1719</v>
      </c>
      <c r="F96" s="7" t="s">
        <v>1353</v>
      </c>
      <c r="G96" s="7" t="s">
        <v>1698</v>
      </c>
      <c r="H96" s="7"/>
    </row>
    <row r="97" spans="1:8" ht="17.100000000000001" customHeight="1" x14ac:dyDescent="0.25">
      <c r="A97" s="6" t="s">
        <v>1424</v>
      </c>
      <c r="B97" s="6" t="s">
        <v>20</v>
      </c>
      <c r="C97" s="6" t="s">
        <v>76</v>
      </c>
      <c r="D97" s="6" t="s">
        <v>74</v>
      </c>
      <c r="E97" s="6" t="s">
        <v>1719</v>
      </c>
      <c r="F97" s="7" t="s">
        <v>1397</v>
      </c>
      <c r="G97" s="7" t="s">
        <v>1698</v>
      </c>
      <c r="H97" s="7"/>
    </row>
    <row r="98" spans="1:8" ht="17.100000000000001" customHeight="1" x14ac:dyDescent="0.25">
      <c r="A98" s="6" t="s">
        <v>793</v>
      </c>
      <c r="B98" s="6" t="s">
        <v>792</v>
      </c>
      <c r="C98" s="6" t="s">
        <v>76</v>
      </c>
      <c r="D98" s="6" t="s">
        <v>74</v>
      </c>
      <c r="E98" s="6" t="s">
        <v>1719</v>
      </c>
      <c r="F98" s="7" t="s">
        <v>791</v>
      </c>
      <c r="G98" s="7" t="s">
        <v>1698</v>
      </c>
      <c r="H98" s="7"/>
    </row>
    <row r="99" spans="1:8" ht="17.100000000000001" customHeight="1" x14ac:dyDescent="0.25">
      <c r="A99" s="6" t="s">
        <v>775</v>
      </c>
      <c r="B99" s="6" t="s">
        <v>774</v>
      </c>
      <c r="C99" s="6" t="s">
        <v>76</v>
      </c>
      <c r="D99" s="6" t="s">
        <v>74</v>
      </c>
      <c r="E99" s="6" t="s">
        <v>1719</v>
      </c>
      <c r="F99" s="7" t="s">
        <v>773</v>
      </c>
      <c r="G99" s="7" t="s">
        <v>1698</v>
      </c>
      <c r="H99" s="7"/>
    </row>
    <row r="100" spans="1:8" ht="17.100000000000001" customHeight="1" x14ac:dyDescent="0.25">
      <c r="A100" s="6" t="s">
        <v>772</v>
      </c>
      <c r="B100" s="6" t="s">
        <v>771</v>
      </c>
      <c r="C100" s="6" t="s">
        <v>76</v>
      </c>
      <c r="D100" s="6" t="s">
        <v>74</v>
      </c>
      <c r="E100" s="6" t="s">
        <v>1719</v>
      </c>
      <c r="F100" s="7" t="s">
        <v>770</v>
      </c>
      <c r="G100" s="7" t="s">
        <v>1698</v>
      </c>
      <c r="H100" s="7"/>
    </row>
    <row r="101" spans="1:8" ht="17.100000000000001" customHeight="1" x14ac:dyDescent="0.25">
      <c r="A101" s="6" t="s">
        <v>778</v>
      </c>
      <c r="B101" s="6" t="s">
        <v>777</v>
      </c>
      <c r="C101" s="6" t="s">
        <v>76</v>
      </c>
      <c r="D101" s="6" t="s">
        <v>74</v>
      </c>
      <c r="E101" s="6" t="s">
        <v>1719</v>
      </c>
      <c r="F101" s="7" t="s">
        <v>776</v>
      </c>
      <c r="G101" s="7" t="s">
        <v>1698</v>
      </c>
      <c r="H101" s="7"/>
    </row>
    <row r="102" spans="1:8" ht="17.100000000000001" customHeight="1" x14ac:dyDescent="0.25">
      <c r="A102" s="6" t="s">
        <v>1567</v>
      </c>
      <c r="B102" s="6" t="s">
        <v>1560</v>
      </c>
      <c r="C102" s="6" t="s">
        <v>76</v>
      </c>
      <c r="D102" s="6" t="s">
        <v>74</v>
      </c>
      <c r="E102" s="6" t="s">
        <v>1719</v>
      </c>
      <c r="F102" s="7" t="s">
        <v>1562</v>
      </c>
      <c r="G102" s="7" t="s">
        <v>1698</v>
      </c>
      <c r="H102" s="7"/>
    </row>
    <row r="103" spans="1:8" ht="17.100000000000001" customHeight="1" x14ac:dyDescent="0.25">
      <c r="A103" s="6" t="s">
        <v>781</v>
      </c>
      <c r="B103" s="6" t="s">
        <v>780</v>
      </c>
      <c r="C103" s="6" t="s">
        <v>76</v>
      </c>
      <c r="D103" s="6" t="s">
        <v>74</v>
      </c>
      <c r="E103" s="6" t="s">
        <v>1719</v>
      </c>
      <c r="F103" s="7" t="s">
        <v>779</v>
      </c>
      <c r="G103" s="7" t="s">
        <v>1698</v>
      </c>
      <c r="H103" s="7"/>
    </row>
    <row r="104" spans="1:8" ht="17.100000000000001" customHeight="1" x14ac:dyDescent="0.25">
      <c r="A104" s="6" t="s">
        <v>787</v>
      </c>
      <c r="B104" s="6" t="s">
        <v>786</v>
      </c>
      <c r="C104" s="6" t="s">
        <v>76</v>
      </c>
      <c r="D104" s="6" t="s">
        <v>74</v>
      </c>
      <c r="E104" s="6" t="s">
        <v>1719</v>
      </c>
      <c r="F104" s="7" t="s">
        <v>785</v>
      </c>
      <c r="G104" s="7" t="s">
        <v>1698</v>
      </c>
      <c r="H104" s="7"/>
    </row>
    <row r="105" spans="1:8" ht="17.100000000000001" customHeight="1" x14ac:dyDescent="0.25">
      <c r="A105" s="6" t="s">
        <v>1436</v>
      </c>
      <c r="B105" s="6" t="s">
        <v>1437</v>
      </c>
      <c r="C105" s="6" t="s">
        <v>76</v>
      </c>
      <c r="D105" s="6" t="s">
        <v>74</v>
      </c>
      <c r="E105" s="6" t="s">
        <v>1719</v>
      </c>
      <c r="F105" s="7" t="s">
        <v>1438</v>
      </c>
      <c r="G105" s="7" t="s">
        <v>1698</v>
      </c>
      <c r="H105" s="7"/>
    </row>
    <row r="106" spans="1:8" ht="17.100000000000001" customHeight="1" x14ac:dyDescent="0.25">
      <c r="A106" s="6" t="s">
        <v>1442</v>
      </c>
      <c r="B106" s="6" t="s">
        <v>1443</v>
      </c>
      <c r="C106" s="6" t="s">
        <v>76</v>
      </c>
      <c r="D106" s="6" t="s">
        <v>74</v>
      </c>
      <c r="E106" s="6" t="s">
        <v>1719</v>
      </c>
      <c r="F106" s="7" t="s">
        <v>1444</v>
      </c>
      <c r="G106" s="7" t="s">
        <v>1698</v>
      </c>
      <c r="H106" s="7"/>
    </row>
    <row r="107" spans="1:8" ht="17.100000000000001" customHeight="1" x14ac:dyDescent="0.25">
      <c r="A107" s="6" t="s">
        <v>1453</v>
      </c>
      <c r="B107" s="6" t="s">
        <v>1454</v>
      </c>
      <c r="C107" s="6" t="s">
        <v>76</v>
      </c>
      <c r="D107" s="6" t="s">
        <v>74</v>
      </c>
      <c r="E107" s="6" t="s">
        <v>1719</v>
      </c>
      <c r="F107" s="7" t="s">
        <v>1455</v>
      </c>
      <c r="G107" s="7" t="s">
        <v>1698</v>
      </c>
      <c r="H107" s="7"/>
    </row>
    <row r="108" spans="1:8" ht="17.100000000000001" customHeight="1" x14ac:dyDescent="0.25">
      <c r="A108" s="6" t="s">
        <v>1456</v>
      </c>
      <c r="B108" s="6" t="s">
        <v>1457</v>
      </c>
      <c r="C108" s="6" t="s">
        <v>76</v>
      </c>
      <c r="D108" s="6" t="s">
        <v>74</v>
      </c>
      <c r="E108" s="6" t="s">
        <v>1719</v>
      </c>
      <c r="F108" s="7" t="s">
        <v>1458</v>
      </c>
      <c r="G108" s="7" t="s">
        <v>1698</v>
      </c>
      <c r="H108" s="7"/>
    </row>
    <row r="109" spans="1:8" ht="17.100000000000001" customHeight="1" x14ac:dyDescent="0.25">
      <c r="A109" s="6" t="s">
        <v>1459</v>
      </c>
      <c r="B109" s="6" t="s">
        <v>1460</v>
      </c>
      <c r="C109" s="6" t="s">
        <v>76</v>
      </c>
      <c r="D109" s="6" t="s">
        <v>74</v>
      </c>
      <c r="E109" s="6" t="s">
        <v>1719</v>
      </c>
      <c r="F109" s="7" t="s">
        <v>1461</v>
      </c>
      <c r="G109" s="7" t="s">
        <v>1698</v>
      </c>
      <c r="H109" s="7"/>
    </row>
    <row r="110" spans="1:8" ht="17.100000000000001" customHeight="1" x14ac:dyDescent="0.25">
      <c r="A110" s="6" t="s">
        <v>784</v>
      </c>
      <c r="B110" s="6" t="s">
        <v>783</v>
      </c>
      <c r="C110" s="6" t="s">
        <v>76</v>
      </c>
      <c r="D110" s="6" t="s">
        <v>74</v>
      </c>
      <c r="E110" s="6" t="s">
        <v>1719</v>
      </c>
      <c r="F110" s="7" t="s">
        <v>782</v>
      </c>
      <c r="G110" s="7" t="s">
        <v>1698</v>
      </c>
      <c r="H110" s="7"/>
    </row>
    <row r="111" spans="1:8" ht="17.100000000000001" customHeight="1" x14ac:dyDescent="0.25">
      <c r="A111" s="6" t="s">
        <v>948</v>
      </c>
      <c r="B111" s="6" t="s">
        <v>947</v>
      </c>
      <c r="C111" s="6" t="s">
        <v>76</v>
      </c>
      <c r="D111" s="6" t="s">
        <v>74</v>
      </c>
      <c r="E111" s="6" t="s">
        <v>1719</v>
      </c>
      <c r="F111" s="7" t="s">
        <v>946</v>
      </c>
      <c r="G111" s="7" t="s">
        <v>1698</v>
      </c>
      <c r="H111" s="7"/>
    </row>
    <row r="112" spans="1:8" ht="17.100000000000001" customHeight="1" x14ac:dyDescent="0.25">
      <c r="A112" s="6" t="s">
        <v>954</v>
      </c>
      <c r="B112" s="6" t="s">
        <v>953</v>
      </c>
      <c r="C112" s="6" t="s">
        <v>76</v>
      </c>
      <c r="D112" s="6" t="s">
        <v>74</v>
      </c>
      <c r="E112" s="6" t="s">
        <v>1719</v>
      </c>
      <c r="F112" s="7" t="s">
        <v>952</v>
      </c>
      <c r="G112" s="7" t="s">
        <v>1698</v>
      </c>
      <c r="H112" s="7"/>
    </row>
    <row r="113" spans="1:8" ht="17.100000000000001" customHeight="1" x14ac:dyDescent="0.25">
      <c r="A113" s="6" t="s">
        <v>820</v>
      </c>
      <c r="B113" s="6" t="s">
        <v>819</v>
      </c>
      <c r="C113" s="6" t="s">
        <v>76</v>
      </c>
      <c r="D113" s="6" t="s">
        <v>74</v>
      </c>
      <c r="E113" s="6" t="s">
        <v>1719</v>
      </c>
      <c r="F113" s="7" t="s">
        <v>818</v>
      </c>
      <c r="G113" s="7" t="s">
        <v>1698</v>
      </c>
      <c r="H113" s="7"/>
    </row>
    <row r="114" spans="1:8" ht="17.100000000000001" customHeight="1" x14ac:dyDescent="0.25">
      <c r="A114" s="6" t="s">
        <v>823</v>
      </c>
      <c r="B114" s="6" t="s">
        <v>822</v>
      </c>
      <c r="C114" s="6" t="s">
        <v>76</v>
      </c>
      <c r="D114" s="6" t="s">
        <v>74</v>
      </c>
      <c r="E114" s="6" t="s">
        <v>1719</v>
      </c>
      <c r="F114" s="7" t="s">
        <v>821</v>
      </c>
      <c r="G114" s="7" t="s">
        <v>1698</v>
      </c>
      <c r="H114" s="7"/>
    </row>
    <row r="115" spans="1:8" ht="17.100000000000001" customHeight="1" x14ac:dyDescent="0.25">
      <c r="A115" s="6" t="s">
        <v>790</v>
      </c>
      <c r="B115" s="6" t="s">
        <v>789</v>
      </c>
      <c r="C115" s="6" t="s">
        <v>76</v>
      </c>
      <c r="D115" s="6" t="s">
        <v>74</v>
      </c>
      <c r="E115" s="6" t="s">
        <v>1719</v>
      </c>
      <c r="F115" s="7" t="s">
        <v>788</v>
      </c>
      <c r="G115" s="7" t="s">
        <v>1698</v>
      </c>
      <c r="H115" s="7"/>
    </row>
    <row r="116" spans="1:8" ht="17.100000000000001" customHeight="1" x14ac:dyDescent="0.25">
      <c r="A116" s="6" t="s">
        <v>826</v>
      </c>
      <c r="B116" s="6" t="s">
        <v>825</v>
      </c>
      <c r="C116" s="6" t="s">
        <v>76</v>
      </c>
      <c r="D116" s="6" t="s">
        <v>74</v>
      </c>
      <c r="E116" s="6" t="s">
        <v>1719</v>
      </c>
      <c r="F116" s="7" t="s">
        <v>824</v>
      </c>
      <c r="G116" s="7" t="s">
        <v>1698</v>
      </c>
      <c r="H116" s="7"/>
    </row>
    <row r="117" spans="1:8" ht="17.100000000000001" customHeight="1" x14ac:dyDescent="0.25">
      <c r="A117" s="6" t="s">
        <v>989</v>
      </c>
      <c r="B117" s="6" t="s">
        <v>988</v>
      </c>
      <c r="C117" s="6" t="s">
        <v>76</v>
      </c>
      <c r="D117" s="6" t="s">
        <v>74</v>
      </c>
      <c r="E117" s="6" t="s">
        <v>1719</v>
      </c>
      <c r="F117" s="7" t="s">
        <v>987</v>
      </c>
      <c r="G117" s="7" t="s">
        <v>1698</v>
      </c>
      <c r="H117" s="7"/>
    </row>
    <row r="118" spans="1:8" ht="17.100000000000001" customHeight="1" x14ac:dyDescent="0.25">
      <c r="A118" s="6" t="s">
        <v>962</v>
      </c>
      <c r="B118" s="6" t="s">
        <v>961</v>
      </c>
      <c r="C118" s="6" t="s">
        <v>76</v>
      </c>
      <c r="D118" s="6" t="s">
        <v>74</v>
      </c>
      <c r="E118" s="6" t="s">
        <v>1719</v>
      </c>
      <c r="F118" s="7" t="s">
        <v>960</v>
      </c>
      <c r="G118" s="7" t="s">
        <v>1698</v>
      </c>
      <c r="H118" s="7"/>
    </row>
    <row r="119" spans="1:8" ht="17.100000000000001" customHeight="1" x14ac:dyDescent="0.25">
      <c r="A119" s="6" t="s">
        <v>829</v>
      </c>
      <c r="B119" s="6" t="s">
        <v>828</v>
      </c>
      <c r="C119" s="6" t="s">
        <v>76</v>
      </c>
      <c r="D119" s="6" t="s">
        <v>74</v>
      </c>
      <c r="E119" s="6" t="s">
        <v>1719</v>
      </c>
      <c r="F119" s="7" t="s">
        <v>827</v>
      </c>
      <c r="G119" s="7" t="s">
        <v>1698</v>
      </c>
      <c r="H119" s="7"/>
    </row>
    <row r="120" spans="1:8" ht="17.100000000000001" customHeight="1" x14ac:dyDescent="0.25">
      <c r="A120" s="6" t="s">
        <v>992</v>
      </c>
      <c r="B120" s="6" t="s">
        <v>991</v>
      </c>
      <c r="C120" s="6" t="s">
        <v>76</v>
      </c>
      <c r="D120" s="6" t="s">
        <v>74</v>
      </c>
      <c r="E120" s="6" t="s">
        <v>1719</v>
      </c>
      <c r="F120" s="7" t="s">
        <v>990</v>
      </c>
      <c r="G120" s="7" t="s">
        <v>1698</v>
      </c>
      <c r="H120" s="7"/>
    </row>
    <row r="121" spans="1:8" ht="17.100000000000001" customHeight="1" x14ac:dyDescent="0.25">
      <c r="A121" s="6" t="s">
        <v>1104</v>
      </c>
      <c r="B121" s="6" t="s">
        <v>1103</v>
      </c>
      <c r="C121" s="6" t="s">
        <v>76</v>
      </c>
      <c r="D121" s="6" t="s">
        <v>74</v>
      </c>
      <c r="E121" s="6" t="s">
        <v>1719</v>
      </c>
      <c r="F121" s="7" t="s">
        <v>1102</v>
      </c>
      <c r="G121" s="7" t="s">
        <v>1698</v>
      </c>
      <c r="H121" s="7"/>
    </row>
    <row r="122" spans="1:8" ht="17.100000000000001" customHeight="1" x14ac:dyDescent="0.25">
      <c r="A122" s="6" t="s">
        <v>1543</v>
      </c>
      <c r="B122" s="6" t="s">
        <v>1544</v>
      </c>
      <c r="C122" s="6" t="s">
        <v>76</v>
      </c>
      <c r="D122" s="6" t="s">
        <v>74</v>
      </c>
      <c r="E122" s="6" t="s">
        <v>1719</v>
      </c>
      <c r="F122" s="7" t="s">
        <v>1545</v>
      </c>
      <c r="G122" s="7" t="s">
        <v>1698</v>
      </c>
      <c r="H122" s="7"/>
    </row>
    <row r="123" spans="1:8" ht="17.100000000000001" customHeight="1" x14ac:dyDescent="0.25">
      <c r="A123" s="6" t="s">
        <v>1546</v>
      </c>
      <c r="B123" s="6" t="s">
        <v>1547</v>
      </c>
      <c r="C123" s="6" t="s">
        <v>76</v>
      </c>
      <c r="D123" s="6" t="s">
        <v>74</v>
      </c>
      <c r="E123" s="6" t="s">
        <v>1719</v>
      </c>
      <c r="F123" s="7" t="s">
        <v>1548</v>
      </c>
      <c r="G123" s="7" t="s">
        <v>1698</v>
      </c>
      <c r="H123" s="7"/>
    </row>
    <row r="124" spans="1:8" ht="17.100000000000001" customHeight="1" x14ac:dyDescent="0.25">
      <c r="A124" s="6" t="s">
        <v>1549</v>
      </c>
      <c r="B124" s="6" t="s">
        <v>1550</v>
      </c>
      <c r="C124" s="6" t="s">
        <v>76</v>
      </c>
      <c r="D124" s="6" t="s">
        <v>74</v>
      </c>
      <c r="E124" s="6" t="s">
        <v>1719</v>
      </c>
      <c r="F124" s="7" t="s">
        <v>1551</v>
      </c>
      <c r="G124" s="7" t="s">
        <v>1698</v>
      </c>
      <c r="H124" s="7"/>
    </row>
    <row r="125" spans="1:8" ht="17.100000000000001" customHeight="1" x14ac:dyDescent="0.25">
      <c r="A125" s="6" t="s">
        <v>1184</v>
      </c>
      <c r="B125" s="6" t="s">
        <v>1183</v>
      </c>
      <c r="C125" s="6" t="s">
        <v>76</v>
      </c>
      <c r="D125" s="6" t="s">
        <v>74</v>
      </c>
      <c r="E125" s="6" t="s">
        <v>1719</v>
      </c>
      <c r="F125" s="7" t="s">
        <v>1182</v>
      </c>
      <c r="G125" s="7" t="s">
        <v>1698</v>
      </c>
      <c r="H125" s="7"/>
    </row>
    <row r="126" spans="1:8" ht="17.100000000000001" customHeight="1" x14ac:dyDescent="0.25">
      <c r="A126" s="6" t="s">
        <v>1142</v>
      </c>
      <c r="B126" s="6" t="s">
        <v>1141</v>
      </c>
      <c r="C126" s="6" t="s">
        <v>76</v>
      </c>
      <c r="D126" s="6" t="s">
        <v>74</v>
      </c>
      <c r="E126" s="6" t="s">
        <v>1719</v>
      </c>
      <c r="F126" s="7" t="s">
        <v>1140</v>
      </c>
      <c r="G126" s="7" t="s">
        <v>1698</v>
      </c>
      <c r="H126" s="7"/>
    </row>
    <row r="127" spans="1:8" ht="17.100000000000001" customHeight="1" x14ac:dyDescent="0.25">
      <c r="A127" s="6" t="s">
        <v>1450</v>
      </c>
      <c r="B127" s="6" t="s">
        <v>1451</v>
      </c>
      <c r="C127" s="6" t="s">
        <v>76</v>
      </c>
      <c r="D127" s="6" t="s">
        <v>74</v>
      </c>
      <c r="E127" s="6" t="s">
        <v>1719</v>
      </c>
      <c r="F127" s="7" t="s">
        <v>1452</v>
      </c>
      <c r="G127" s="7" t="s">
        <v>1698</v>
      </c>
      <c r="H127" s="7"/>
    </row>
    <row r="128" spans="1:8" ht="17.100000000000001" customHeight="1" x14ac:dyDescent="0.25">
      <c r="A128" s="18"/>
      <c r="B128" s="18"/>
      <c r="C128" s="18"/>
      <c r="D128" s="18"/>
      <c r="E128" s="18"/>
      <c r="F128" s="19"/>
      <c r="G128" s="19"/>
      <c r="H128" s="19"/>
    </row>
    <row r="129" spans="1:8" ht="17.100000000000001" customHeight="1" x14ac:dyDescent="0.25">
      <c r="A129" s="7" t="s">
        <v>1178</v>
      </c>
      <c r="B129" s="6" t="s">
        <v>1177</v>
      </c>
      <c r="C129" s="6" t="s">
        <v>76</v>
      </c>
      <c r="D129" s="6" t="s">
        <v>74</v>
      </c>
      <c r="E129" s="6" t="s">
        <v>1719</v>
      </c>
      <c r="F129" s="6" t="s">
        <v>1176</v>
      </c>
      <c r="G129" s="7" t="s">
        <v>1698</v>
      </c>
      <c r="H129" s="7" t="s">
        <v>1706</v>
      </c>
    </row>
    <row r="130" spans="1:8" ht="17.100000000000001" customHeight="1" x14ac:dyDescent="0.25">
      <c r="A130" s="7" t="s">
        <v>1136</v>
      </c>
      <c r="B130" s="6" t="s">
        <v>1135</v>
      </c>
      <c r="C130" s="6" t="s">
        <v>76</v>
      </c>
      <c r="D130" s="6" t="s">
        <v>74</v>
      </c>
      <c r="E130" s="6" t="s">
        <v>1719</v>
      </c>
      <c r="F130" s="6" t="s">
        <v>1134</v>
      </c>
      <c r="G130" s="7" t="s">
        <v>1698</v>
      </c>
      <c r="H130" s="7"/>
    </row>
    <row r="131" spans="1:8" ht="17.100000000000001" customHeight="1" x14ac:dyDescent="0.25">
      <c r="A131" s="7" t="s">
        <v>1181</v>
      </c>
      <c r="B131" s="6" t="s">
        <v>1180</v>
      </c>
      <c r="C131" s="6" t="s">
        <v>76</v>
      </c>
      <c r="D131" s="6" t="s">
        <v>74</v>
      </c>
      <c r="E131" s="6" t="s">
        <v>1719</v>
      </c>
      <c r="F131" s="6" t="s">
        <v>1179</v>
      </c>
      <c r="G131" s="7" t="s">
        <v>1698</v>
      </c>
      <c r="H131" s="7"/>
    </row>
    <row r="132" spans="1:8" ht="17.100000000000001" customHeight="1" x14ac:dyDescent="0.25">
      <c r="A132" s="7" t="s">
        <v>1139</v>
      </c>
      <c r="B132" s="6" t="s">
        <v>1138</v>
      </c>
      <c r="C132" s="6" t="s">
        <v>76</v>
      </c>
      <c r="D132" s="6" t="s">
        <v>74</v>
      </c>
      <c r="E132" s="6" t="s">
        <v>1719</v>
      </c>
      <c r="F132" s="6" t="s">
        <v>1137</v>
      </c>
      <c r="G132" s="7" t="s">
        <v>1698</v>
      </c>
      <c r="H132" s="7"/>
    </row>
    <row r="133" spans="1:8" ht="17.100000000000001" customHeight="1" x14ac:dyDescent="0.25">
      <c r="A133" s="7" t="s">
        <v>1187</v>
      </c>
      <c r="B133" s="6" t="s">
        <v>1186</v>
      </c>
      <c r="C133" s="6" t="s">
        <v>76</v>
      </c>
      <c r="D133" s="6" t="s">
        <v>74</v>
      </c>
      <c r="E133" s="6" t="s">
        <v>1719</v>
      </c>
      <c r="F133" s="6" t="s">
        <v>1185</v>
      </c>
      <c r="G133" s="7" t="s">
        <v>1698</v>
      </c>
      <c r="H133" s="7"/>
    </row>
    <row r="134" spans="1:8" ht="17.100000000000001" customHeight="1" x14ac:dyDescent="0.25">
      <c r="A134" s="7" t="s">
        <v>1145</v>
      </c>
      <c r="B134" s="6" t="s">
        <v>1144</v>
      </c>
      <c r="C134" s="6" t="s">
        <v>76</v>
      </c>
      <c r="D134" s="6" t="s">
        <v>74</v>
      </c>
      <c r="E134" s="6" t="s">
        <v>1719</v>
      </c>
      <c r="F134" s="6" t="s">
        <v>1143</v>
      </c>
      <c r="G134" s="7" t="s">
        <v>1698</v>
      </c>
      <c r="H134" s="7"/>
    </row>
    <row r="135" spans="1:8" ht="17.100000000000001" customHeight="1" x14ac:dyDescent="0.25">
      <c r="A135" s="7" t="s">
        <v>983</v>
      </c>
      <c r="B135" s="6" t="s">
        <v>982</v>
      </c>
      <c r="C135" s="6" t="s">
        <v>76</v>
      </c>
      <c r="D135" s="6" t="s">
        <v>74</v>
      </c>
      <c r="E135" s="6" t="s">
        <v>1719</v>
      </c>
      <c r="F135" s="6" t="s">
        <v>981</v>
      </c>
      <c r="G135" s="7" t="s">
        <v>1698</v>
      </c>
      <c r="H135" s="7"/>
    </row>
    <row r="136" spans="1:8" ht="17.100000000000001" customHeight="1" x14ac:dyDescent="0.25">
      <c r="A136" s="7" t="s">
        <v>965</v>
      </c>
      <c r="B136" s="6" t="s">
        <v>964</v>
      </c>
      <c r="C136" s="6" t="s">
        <v>76</v>
      </c>
      <c r="D136" s="6" t="s">
        <v>74</v>
      </c>
      <c r="E136" s="6" t="s">
        <v>1719</v>
      </c>
      <c r="F136" s="6" t="s">
        <v>963</v>
      </c>
      <c r="G136" s="7" t="s">
        <v>1698</v>
      </c>
      <c r="H136" s="7"/>
    </row>
    <row r="137" spans="1:8" ht="17.100000000000001" customHeight="1" x14ac:dyDescent="0.25">
      <c r="A137" s="6" t="s">
        <v>1597</v>
      </c>
      <c r="B137" s="6" t="s">
        <v>1598</v>
      </c>
      <c r="C137" s="6" t="s">
        <v>76</v>
      </c>
      <c r="D137" s="6" t="s">
        <v>74</v>
      </c>
      <c r="E137" s="6" t="s">
        <v>1719</v>
      </c>
      <c r="F137" s="7" t="s">
        <v>1599</v>
      </c>
      <c r="G137" s="7" t="s">
        <v>1698</v>
      </c>
      <c r="H137" s="7"/>
    </row>
    <row r="138" spans="1:8" ht="17.100000000000001" customHeight="1" x14ac:dyDescent="0.25">
      <c r="A138" s="7" t="s">
        <v>814</v>
      </c>
      <c r="B138" s="6" t="s">
        <v>813</v>
      </c>
      <c r="C138" s="6" t="s">
        <v>76</v>
      </c>
      <c r="D138" s="6" t="s">
        <v>74</v>
      </c>
      <c r="E138" s="6" t="s">
        <v>1719</v>
      </c>
      <c r="F138" s="6" t="s">
        <v>812</v>
      </c>
      <c r="G138" s="7" t="s">
        <v>1698</v>
      </c>
      <c r="H138" s="7"/>
    </row>
    <row r="139" spans="1:8" ht="17.100000000000001" customHeight="1" x14ac:dyDescent="0.25">
      <c r="A139" s="7" t="s">
        <v>817</v>
      </c>
      <c r="B139" s="6" t="s">
        <v>816</v>
      </c>
      <c r="C139" s="6" t="s">
        <v>76</v>
      </c>
      <c r="D139" s="6" t="s">
        <v>74</v>
      </c>
      <c r="E139" s="6" t="s">
        <v>1719</v>
      </c>
      <c r="F139" s="6" t="s">
        <v>815</v>
      </c>
      <c r="G139" s="7" t="s">
        <v>1698</v>
      </c>
      <c r="H139" s="7"/>
    </row>
    <row r="140" spans="1:8" ht="17.100000000000001" customHeight="1" x14ac:dyDescent="0.25">
      <c r="A140" s="7" t="s">
        <v>796</v>
      </c>
      <c r="B140" s="6" t="s">
        <v>795</v>
      </c>
      <c r="C140" s="6" t="s">
        <v>76</v>
      </c>
      <c r="D140" s="6" t="s">
        <v>74</v>
      </c>
      <c r="E140" s="6" t="s">
        <v>1719</v>
      </c>
      <c r="F140" s="6" t="s">
        <v>794</v>
      </c>
      <c r="G140" s="7" t="s">
        <v>1698</v>
      </c>
      <c r="H140" s="7"/>
    </row>
    <row r="141" spans="1:8" ht="17.100000000000001" customHeight="1" x14ac:dyDescent="0.25">
      <c r="A141" s="7" t="s">
        <v>945</v>
      </c>
      <c r="B141" s="6" t="s">
        <v>944</v>
      </c>
      <c r="C141" s="6" t="s">
        <v>76</v>
      </c>
      <c r="D141" s="6" t="s">
        <v>74</v>
      </c>
      <c r="E141" s="6" t="s">
        <v>1719</v>
      </c>
      <c r="F141" s="6" t="s">
        <v>943</v>
      </c>
      <c r="G141" s="7" t="s">
        <v>1698</v>
      </c>
      <c r="H141" s="7"/>
    </row>
    <row r="142" spans="1:8" ht="17.100000000000001" customHeight="1" x14ac:dyDescent="0.25">
      <c r="A142" s="7" t="s">
        <v>968</v>
      </c>
      <c r="B142" s="6" t="s">
        <v>967</v>
      </c>
      <c r="C142" s="6" t="s">
        <v>76</v>
      </c>
      <c r="D142" s="6" t="s">
        <v>74</v>
      </c>
      <c r="E142" s="6" t="s">
        <v>1719</v>
      </c>
      <c r="F142" s="6" t="s">
        <v>966</v>
      </c>
      <c r="G142" s="7" t="s">
        <v>1698</v>
      </c>
      <c r="H142" s="7"/>
    </row>
    <row r="143" spans="1:8" ht="17.100000000000001" customHeight="1" x14ac:dyDescent="0.25">
      <c r="A143" s="7" t="s">
        <v>951</v>
      </c>
      <c r="B143" s="6" t="s">
        <v>950</v>
      </c>
      <c r="C143" s="6" t="s">
        <v>76</v>
      </c>
      <c r="D143" s="6" t="s">
        <v>74</v>
      </c>
      <c r="E143" s="6" t="s">
        <v>1719</v>
      </c>
      <c r="F143" s="6" t="s">
        <v>949</v>
      </c>
      <c r="G143" s="7" t="s">
        <v>1698</v>
      </c>
      <c r="H143" s="7"/>
    </row>
    <row r="144" spans="1:8" ht="17.100000000000001" customHeight="1" x14ac:dyDescent="0.25">
      <c r="A144" s="7" t="s">
        <v>974</v>
      </c>
      <c r="B144" s="6" t="s">
        <v>973</v>
      </c>
      <c r="C144" s="6" t="s">
        <v>76</v>
      </c>
      <c r="D144" s="6" t="s">
        <v>74</v>
      </c>
      <c r="E144" s="6" t="s">
        <v>1719</v>
      </c>
      <c r="F144" s="6" t="s">
        <v>972</v>
      </c>
      <c r="G144" s="7" t="s">
        <v>1698</v>
      </c>
      <c r="H144" s="7"/>
    </row>
    <row r="145" spans="1:8" ht="17.100000000000001" customHeight="1" x14ac:dyDescent="0.25">
      <c r="A145" s="7" t="s">
        <v>957</v>
      </c>
      <c r="B145" s="6" t="s">
        <v>956</v>
      </c>
      <c r="C145" s="6" t="s">
        <v>76</v>
      </c>
      <c r="D145" s="6" t="s">
        <v>74</v>
      </c>
      <c r="E145" s="6" t="s">
        <v>1719</v>
      </c>
      <c r="F145" s="6" t="s">
        <v>955</v>
      </c>
      <c r="G145" s="7" t="s">
        <v>1698</v>
      </c>
      <c r="H145" s="7"/>
    </row>
    <row r="146" spans="1:8" ht="17.100000000000001" customHeight="1" x14ac:dyDescent="0.25">
      <c r="A146" s="7" t="s">
        <v>980</v>
      </c>
      <c r="B146" s="6" t="s">
        <v>979</v>
      </c>
      <c r="C146" s="6" t="s">
        <v>76</v>
      </c>
      <c r="D146" s="6" t="s">
        <v>74</v>
      </c>
      <c r="E146" s="6" t="s">
        <v>1719</v>
      </c>
      <c r="F146" s="6" t="s">
        <v>978</v>
      </c>
      <c r="G146" s="7" t="s">
        <v>1698</v>
      </c>
      <c r="H146" s="7"/>
    </row>
    <row r="147" spans="1:8" ht="17.100000000000001" customHeight="1" x14ac:dyDescent="0.25">
      <c r="A147" s="7" t="s">
        <v>802</v>
      </c>
      <c r="B147" s="6" t="s">
        <v>801</v>
      </c>
      <c r="C147" s="6" t="s">
        <v>76</v>
      </c>
      <c r="D147" s="6" t="s">
        <v>74</v>
      </c>
      <c r="E147" s="6" t="s">
        <v>1719</v>
      </c>
      <c r="F147" s="6" t="s">
        <v>800</v>
      </c>
      <c r="G147" s="7" t="s">
        <v>1698</v>
      </c>
      <c r="H147" s="7"/>
    </row>
    <row r="148" spans="1:8" ht="17.100000000000001" customHeight="1" x14ac:dyDescent="0.25">
      <c r="A148" s="7" t="s">
        <v>1205</v>
      </c>
      <c r="B148" s="6" t="s">
        <v>1204</v>
      </c>
      <c r="C148" s="6" t="s">
        <v>76</v>
      </c>
      <c r="D148" s="6" t="s">
        <v>74</v>
      </c>
      <c r="E148" s="6" t="s">
        <v>1719</v>
      </c>
      <c r="F148" s="6" t="s">
        <v>1203</v>
      </c>
      <c r="G148" s="7" t="s">
        <v>1698</v>
      </c>
      <c r="H148" s="7"/>
    </row>
    <row r="149" spans="1:8" ht="17.100000000000001" customHeight="1" x14ac:dyDescent="0.25">
      <c r="A149" s="7" t="s">
        <v>1163</v>
      </c>
      <c r="B149" s="6" t="s">
        <v>1162</v>
      </c>
      <c r="C149" s="6" t="s">
        <v>76</v>
      </c>
      <c r="D149" s="6" t="s">
        <v>74</v>
      </c>
      <c r="E149" s="6" t="s">
        <v>1719</v>
      </c>
      <c r="F149" s="6" t="s">
        <v>1161</v>
      </c>
      <c r="G149" s="7" t="s">
        <v>1698</v>
      </c>
      <c r="H149" s="7"/>
    </row>
    <row r="150" spans="1:8" ht="17.100000000000001" customHeight="1" x14ac:dyDescent="0.25">
      <c r="A150" s="7" t="s">
        <v>1190</v>
      </c>
      <c r="B150" s="6" t="s">
        <v>1189</v>
      </c>
      <c r="C150" s="6" t="s">
        <v>76</v>
      </c>
      <c r="D150" s="6" t="s">
        <v>74</v>
      </c>
      <c r="E150" s="6" t="s">
        <v>1719</v>
      </c>
      <c r="F150" s="6" t="s">
        <v>1188</v>
      </c>
      <c r="G150" s="7" t="s">
        <v>1698</v>
      </c>
      <c r="H150" s="7"/>
    </row>
    <row r="151" spans="1:8" ht="17.100000000000001" customHeight="1" x14ac:dyDescent="0.25">
      <c r="A151" s="7" t="s">
        <v>1148</v>
      </c>
      <c r="B151" s="6" t="s">
        <v>1147</v>
      </c>
      <c r="C151" s="6" t="s">
        <v>76</v>
      </c>
      <c r="D151" s="6" t="s">
        <v>74</v>
      </c>
      <c r="E151" s="6" t="s">
        <v>1719</v>
      </c>
      <c r="F151" s="6" t="s">
        <v>1146</v>
      </c>
      <c r="G151" s="7" t="s">
        <v>1698</v>
      </c>
      <c r="H151" s="7"/>
    </row>
    <row r="152" spans="1:8" ht="17.100000000000001" customHeight="1" x14ac:dyDescent="0.25">
      <c r="A152" s="7" t="s">
        <v>904</v>
      </c>
      <c r="B152" s="6" t="s">
        <v>903</v>
      </c>
      <c r="C152" s="6" t="s">
        <v>76</v>
      </c>
      <c r="D152" s="6" t="s">
        <v>74</v>
      </c>
      <c r="E152" s="6" t="s">
        <v>1719</v>
      </c>
      <c r="F152" s="6" t="s">
        <v>902</v>
      </c>
      <c r="G152" s="7" t="s">
        <v>1698</v>
      </c>
      <c r="H152" s="7"/>
    </row>
    <row r="153" spans="1:8" ht="17.100000000000001" customHeight="1" x14ac:dyDescent="0.25">
      <c r="A153" s="7" t="s">
        <v>850</v>
      </c>
      <c r="B153" s="6" t="s">
        <v>849</v>
      </c>
      <c r="C153" s="6" t="s">
        <v>76</v>
      </c>
      <c r="D153" s="6" t="s">
        <v>74</v>
      </c>
      <c r="E153" s="6" t="s">
        <v>1719</v>
      </c>
      <c r="F153" s="6" t="s">
        <v>848</v>
      </c>
      <c r="G153" s="7" t="s">
        <v>1698</v>
      </c>
      <c r="H153" s="7"/>
    </row>
    <row r="154" spans="1:8" ht="17.100000000000001" customHeight="1" x14ac:dyDescent="0.25">
      <c r="A154" s="7" t="s">
        <v>910</v>
      </c>
      <c r="B154" s="6" t="s">
        <v>909</v>
      </c>
      <c r="C154" s="6" t="s">
        <v>76</v>
      </c>
      <c r="D154" s="6" t="s">
        <v>74</v>
      </c>
      <c r="E154" s="6" t="s">
        <v>1719</v>
      </c>
      <c r="F154" s="6" t="s">
        <v>908</v>
      </c>
      <c r="G154" s="7" t="s">
        <v>1698</v>
      </c>
      <c r="H154" s="7"/>
    </row>
    <row r="155" spans="1:8" ht="17.100000000000001" customHeight="1" x14ac:dyDescent="0.25">
      <c r="A155" s="7" t="s">
        <v>856</v>
      </c>
      <c r="B155" s="6" t="s">
        <v>855</v>
      </c>
      <c r="C155" s="6" t="s">
        <v>76</v>
      </c>
      <c r="D155" s="6" t="s">
        <v>74</v>
      </c>
      <c r="E155" s="6" t="s">
        <v>1719</v>
      </c>
      <c r="F155" s="6" t="s">
        <v>854</v>
      </c>
      <c r="G155" s="7" t="s">
        <v>1698</v>
      </c>
      <c r="H155" s="7"/>
    </row>
    <row r="156" spans="1:8" ht="17.100000000000001" customHeight="1" x14ac:dyDescent="0.25">
      <c r="A156" s="7" t="s">
        <v>856</v>
      </c>
      <c r="B156" s="6" t="s">
        <v>855</v>
      </c>
      <c r="C156" s="6" t="s">
        <v>76</v>
      </c>
      <c r="D156" s="6" t="s">
        <v>74</v>
      </c>
      <c r="E156" s="6" t="s">
        <v>1719</v>
      </c>
      <c r="F156" s="6" t="s">
        <v>1558</v>
      </c>
      <c r="G156" s="7" t="s">
        <v>1698</v>
      </c>
      <c r="H156" s="7"/>
    </row>
    <row r="157" spans="1:8" ht="17.100000000000001" customHeight="1" x14ac:dyDescent="0.25">
      <c r="A157" s="7" t="s">
        <v>1276</v>
      </c>
      <c r="B157" s="6" t="s">
        <v>1275</v>
      </c>
      <c r="C157" s="6" t="s">
        <v>76</v>
      </c>
      <c r="D157" s="6" t="s">
        <v>74</v>
      </c>
      <c r="E157" s="6" t="s">
        <v>1719</v>
      </c>
      <c r="F157" s="6" t="s">
        <v>1274</v>
      </c>
      <c r="G157" s="7" t="s">
        <v>1698</v>
      </c>
      <c r="H157" s="7"/>
    </row>
    <row r="158" spans="1:8" ht="17.100000000000001" customHeight="1" x14ac:dyDescent="0.25">
      <c r="A158" s="7" t="s">
        <v>1240</v>
      </c>
      <c r="B158" s="6" t="s">
        <v>1239</v>
      </c>
      <c r="C158" s="6" t="s">
        <v>76</v>
      </c>
      <c r="D158" s="6" t="s">
        <v>74</v>
      </c>
      <c r="E158" s="6" t="s">
        <v>1719</v>
      </c>
      <c r="F158" s="6" t="s">
        <v>1238</v>
      </c>
      <c r="G158" s="7" t="s">
        <v>1698</v>
      </c>
      <c r="H158" s="7"/>
    </row>
    <row r="159" spans="1:8" ht="17.100000000000001" customHeight="1" x14ac:dyDescent="0.25">
      <c r="A159" s="7" t="s">
        <v>1240</v>
      </c>
      <c r="B159" s="6" t="s">
        <v>1239</v>
      </c>
      <c r="C159" s="6" t="s">
        <v>76</v>
      </c>
      <c r="D159" s="6" t="s">
        <v>74</v>
      </c>
      <c r="E159" s="6" t="s">
        <v>1719</v>
      </c>
      <c r="F159" s="6" t="s">
        <v>1566</v>
      </c>
      <c r="G159" s="7" t="s">
        <v>1698</v>
      </c>
      <c r="H159" s="7"/>
    </row>
    <row r="160" spans="1:8" ht="17.100000000000001" customHeight="1" x14ac:dyDescent="0.25">
      <c r="A160" s="7" t="s">
        <v>1279</v>
      </c>
      <c r="B160" s="6" t="s">
        <v>1278</v>
      </c>
      <c r="C160" s="6" t="s">
        <v>76</v>
      </c>
      <c r="D160" s="6" t="s">
        <v>74</v>
      </c>
      <c r="E160" s="6" t="s">
        <v>1719</v>
      </c>
      <c r="F160" s="6" t="s">
        <v>1277</v>
      </c>
      <c r="G160" s="7" t="s">
        <v>1698</v>
      </c>
      <c r="H160" s="7"/>
    </row>
    <row r="161" spans="1:8" ht="17.100000000000001" customHeight="1" x14ac:dyDescent="0.25">
      <c r="A161" s="7" t="s">
        <v>1243</v>
      </c>
      <c r="B161" s="6" t="s">
        <v>1242</v>
      </c>
      <c r="C161" s="6" t="s">
        <v>76</v>
      </c>
      <c r="D161" s="6" t="s">
        <v>74</v>
      </c>
      <c r="E161" s="6" t="s">
        <v>1719</v>
      </c>
      <c r="F161" s="6" t="s">
        <v>1241</v>
      </c>
      <c r="G161" s="7" t="s">
        <v>1698</v>
      </c>
      <c r="H161" s="7"/>
    </row>
    <row r="162" spans="1:8" ht="17.100000000000001" customHeight="1" x14ac:dyDescent="0.25">
      <c r="A162" s="7" t="s">
        <v>1243</v>
      </c>
      <c r="B162" s="6" t="s">
        <v>1242</v>
      </c>
      <c r="C162" s="6" t="s">
        <v>76</v>
      </c>
      <c r="D162" s="6" t="s">
        <v>74</v>
      </c>
      <c r="E162" s="6" t="s">
        <v>1719</v>
      </c>
      <c r="F162" s="6" t="s">
        <v>1571</v>
      </c>
      <c r="G162" s="7" t="s">
        <v>1698</v>
      </c>
      <c r="H162" s="7"/>
    </row>
    <row r="163" spans="1:8" ht="17.100000000000001" customHeight="1" x14ac:dyDescent="0.25">
      <c r="A163" s="7" t="s">
        <v>1208</v>
      </c>
      <c r="B163" s="6" t="s">
        <v>1207</v>
      </c>
      <c r="C163" s="6" t="s">
        <v>76</v>
      </c>
      <c r="D163" s="6" t="s">
        <v>74</v>
      </c>
      <c r="E163" s="6" t="s">
        <v>1719</v>
      </c>
      <c r="F163" s="6" t="s">
        <v>1206</v>
      </c>
      <c r="G163" s="7" t="s">
        <v>1698</v>
      </c>
      <c r="H163" s="7"/>
    </row>
    <row r="164" spans="1:8" ht="17.100000000000001" customHeight="1" x14ac:dyDescent="0.25">
      <c r="A164" s="7" t="s">
        <v>1166</v>
      </c>
      <c r="B164" s="6" t="s">
        <v>1165</v>
      </c>
      <c r="C164" s="6" t="s">
        <v>76</v>
      </c>
      <c r="D164" s="6" t="s">
        <v>74</v>
      </c>
      <c r="E164" s="6" t="s">
        <v>1719</v>
      </c>
      <c r="F164" s="6" t="s">
        <v>1164</v>
      </c>
      <c r="G164" s="7" t="s">
        <v>1698</v>
      </c>
      <c r="H164" s="7"/>
    </row>
    <row r="165" spans="1:8" ht="17.100000000000001" customHeight="1" x14ac:dyDescent="0.25">
      <c r="A165" s="7" t="s">
        <v>1193</v>
      </c>
      <c r="B165" s="6" t="s">
        <v>1192</v>
      </c>
      <c r="C165" s="6" t="s">
        <v>76</v>
      </c>
      <c r="D165" s="6" t="s">
        <v>74</v>
      </c>
      <c r="E165" s="6" t="s">
        <v>1719</v>
      </c>
      <c r="F165" s="6" t="s">
        <v>1191</v>
      </c>
      <c r="G165" s="7" t="s">
        <v>1698</v>
      </c>
      <c r="H165" s="7"/>
    </row>
    <row r="166" spans="1:8" ht="17.100000000000001" customHeight="1" x14ac:dyDescent="0.25">
      <c r="A166" s="7" t="s">
        <v>1151</v>
      </c>
      <c r="B166" s="6" t="s">
        <v>1150</v>
      </c>
      <c r="C166" s="6" t="s">
        <v>76</v>
      </c>
      <c r="D166" s="6" t="s">
        <v>74</v>
      </c>
      <c r="E166" s="6" t="s">
        <v>1719</v>
      </c>
      <c r="F166" s="6" t="s">
        <v>1149</v>
      </c>
      <c r="G166" s="7" t="s">
        <v>1698</v>
      </c>
      <c r="H166" s="7"/>
    </row>
    <row r="167" spans="1:8" ht="17.100000000000001" customHeight="1" x14ac:dyDescent="0.25">
      <c r="A167" s="7" t="s">
        <v>907</v>
      </c>
      <c r="B167" s="6" t="s">
        <v>906</v>
      </c>
      <c r="C167" s="6" t="s">
        <v>76</v>
      </c>
      <c r="D167" s="6" t="s">
        <v>74</v>
      </c>
      <c r="E167" s="6" t="s">
        <v>1719</v>
      </c>
      <c r="F167" s="6" t="s">
        <v>905</v>
      </c>
      <c r="G167" s="7" t="s">
        <v>1698</v>
      </c>
      <c r="H167" s="7"/>
    </row>
    <row r="168" spans="1:8" ht="17.100000000000001" customHeight="1" x14ac:dyDescent="0.25">
      <c r="A168" s="7" t="s">
        <v>853</v>
      </c>
      <c r="B168" s="6" t="s">
        <v>852</v>
      </c>
      <c r="C168" s="6" t="s">
        <v>76</v>
      </c>
      <c r="D168" s="6" t="s">
        <v>74</v>
      </c>
      <c r="E168" s="6" t="s">
        <v>1719</v>
      </c>
      <c r="F168" s="6" t="s">
        <v>851</v>
      </c>
      <c r="G168" s="7" t="s">
        <v>1698</v>
      </c>
      <c r="H168" s="7"/>
    </row>
    <row r="169" spans="1:8" ht="17.100000000000001" customHeight="1" x14ac:dyDescent="0.25">
      <c r="A169" s="7" t="s">
        <v>913</v>
      </c>
      <c r="B169" s="6" t="s">
        <v>912</v>
      </c>
      <c r="C169" s="6" t="s">
        <v>76</v>
      </c>
      <c r="D169" s="6" t="s">
        <v>74</v>
      </c>
      <c r="E169" s="6" t="s">
        <v>1719</v>
      </c>
      <c r="F169" s="6" t="s">
        <v>911</v>
      </c>
      <c r="G169" s="7" t="s">
        <v>1698</v>
      </c>
      <c r="H169" s="7"/>
    </row>
    <row r="170" spans="1:8" ht="17.100000000000001" customHeight="1" x14ac:dyDescent="0.25">
      <c r="A170" s="7" t="s">
        <v>859</v>
      </c>
      <c r="B170" s="6" t="s">
        <v>858</v>
      </c>
      <c r="C170" s="6" t="s">
        <v>76</v>
      </c>
      <c r="D170" s="6" t="s">
        <v>74</v>
      </c>
      <c r="E170" s="6" t="s">
        <v>1719</v>
      </c>
      <c r="F170" s="6" t="s">
        <v>857</v>
      </c>
      <c r="G170" s="7" t="s">
        <v>1698</v>
      </c>
      <c r="H170" s="7"/>
    </row>
    <row r="171" spans="1:8" ht="17.100000000000001" customHeight="1" x14ac:dyDescent="0.25">
      <c r="A171" s="7" t="s">
        <v>916</v>
      </c>
      <c r="B171" s="6" t="s">
        <v>915</v>
      </c>
      <c r="C171" s="6" t="s">
        <v>76</v>
      </c>
      <c r="D171" s="6" t="s">
        <v>74</v>
      </c>
      <c r="E171" s="6" t="s">
        <v>1719</v>
      </c>
      <c r="F171" s="6" t="s">
        <v>914</v>
      </c>
      <c r="G171" s="7" t="s">
        <v>1698</v>
      </c>
      <c r="H171" s="7"/>
    </row>
    <row r="172" spans="1:8" ht="17.100000000000001" customHeight="1" x14ac:dyDescent="0.25">
      <c r="A172" s="7" t="s">
        <v>862</v>
      </c>
      <c r="B172" s="6" t="s">
        <v>861</v>
      </c>
      <c r="C172" s="6" t="s">
        <v>76</v>
      </c>
      <c r="D172" s="6" t="s">
        <v>74</v>
      </c>
      <c r="E172" s="6" t="s">
        <v>1719</v>
      </c>
      <c r="F172" s="6" t="s">
        <v>860</v>
      </c>
      <c r="G172" s="7" t="s">
        <v>1698</v>
      </c>
      <c r="H172" s="7"/>
    </row>
    <row r="173" spans="1:8" ht="17.100000000000001" customHeight="1" x14ac:dyDescent="0.25">
      <c r="A173" s="7" t="s">
        <v>925</v>
      </c>
      <c r="B173" s="6" t="s">
        <v>924</v>
      </c>
      <c r="C173" s="6" t="s">
        <v>76</v>
      </c>
      <c r="D173" s="6" t="s">
        <v>74</v>
      </c>
      <c r="E173" s="6" t="s">
        <v>1719</v>
      </c>
      <c r="F173" s="6" t="s">
        <v>923</v>
      </c>
      <c r="G173" s="7" t="s">
        <v>1698</v>
      </c>
      <c r="H173" s="7"/>
    </row>
    <row r="174" spans="1:8" ht="17.100000000000001" customHeight="1" x14ac:dyDescent="0.25">
      <c r="A174" s="7" t="s">
        <v>871</v>
      </c>
      <c r="B174" s="6" t="s">
        <v>870</v>
      </c>
      <c r="C174" s="6" t="s">
        <v>76</v>
      </c>
      <c r="D174" s="6" t="s">
        <v>74</v>
      </c>
      <c r="E174" s="6" t="s">
        <v>1719</v>
      </c>
      <c r="F174" s="6" t="s">
        <v>869</v>
      </c>
      <c r="G174" s="7" t="s">
        <v>1698</v>
      </c>
      <c r="H174" s="7"/>
    </row>
    <row r="175" spans="1:8" ht="17.100000000000001" customHeight="1" x14ac:dyDescent="0.25">
      <c r="A175" s="7" t="s">
        <v>892</v>
      </c>
      <c r="B175" s="6" t="s">
        <v>891</v>
      </c>
      <c r="C175" s="6" t="s">
        <v>76</v>
      </c>
      <c r="D175" s="6" t="s">
        <v>74</v>
      </c>
      <c r="E175" s="6" t="s">
        <v>1719</v>
      </c>
      <c r="F175" s="6" t="s">
        <v>890</v>
      </c>
      <c r="G175" s="7" t="s">
        <v>1698</v>
      </c>
      <c r="H175" s="7"/>
    </row>
    <row r="176" spans="1:8" ht="17.100000000000001" customHeight="1" x14ac:dyDescent="0.25">
      <c r="A176" s="7" t="s">
        <v>838</v>
      </c>
      <c r="B176" s="6" t="s">
        <v>837</v>
      </c>
      <c r="C176" s="6" t="s">
        <v>76</v>
      </c>
      <c r="D176" s="6" t="s">
        <v>74</v>
      </c>
      <c r="E176" s="6" t="s">
        <v>1719</v>
      </c>
      <c r="F176" s="6" t="s">
        <v>836</v>
      </c>
      <c r="G176" s="7" t="s">
        <v>1698</v>
      </c>
      <c r="H176" s="7"/>
    </row>
    <row r="177" spans="1:8" ht="17.100000000000001" customHeight="1" x14ac:dyDescent="0.25">
      <c r="A177" s="7" t="s">
        <v>889</v>
      </c>
      <c r="B177" s="6" t="s">
        <v>888</v>
      </c>
      <c r="C177" s="6" t="s">
        <v>76</v>
      </c>
      <c r="D177" s="6" t="s">
        <v>74</v>
      </c>
      <c r="E177" s="6" t="s">
        <v>1719</v>
      </c>
      <c r="F177" s="6" t="s">
        <v>887</v>
      </c>
      <c r="G177" s="7" t="s">
        <v>1698</v>
      </c>
      <c r="H177" s="7"/>
    </row>
    <row r="178" spans="1:8" ht="17.100000000000001" customHeight="1" x14ac:dyDescent="0.25">
      <c r="A178" s="7" t="s">
        <v>835</v>
      </c>
      <c r="B178" s="6" t="s">
        <v>834</v>
      </c>
      <c r="C178" s="6" t="s">
        <v>76</v>
      </c>
      <c r="D178" s="6" t="s">
        <v>74</v>
      </c>
      <c r="E178" s="6" t="s">
        <v>1719</v>
      </c>
      <c r="F178" s="6" t="s">
        <v>833</v>
      </c>
      <c r="G178" s="7" t="s">
        <v>1698</v>
      </c>
      <c r="H178" s="7"/>
    </row>
    <row r="179" spans="1:8" ht="17.100000000000001" customHeight="1" x14ac:dyDescent="0.25">
      <c r="A179" s="7" t="s">
        <v>898</v>
      </c>
      <c r="B179" s="6" t="s">
        <v>897</v>
      </c>
      <c r="C179" s="6" t="s">
        <v>76</v>
      </c>
      <c r="D179" s="6" t="s">
        <v>74</v>
      </c>
      <c r="E179" s="6" t="s">
        <v>1719</v>
      </c>
      <c r="F179" s="6" t="s">
        <v>896</v>
      </c>
      <c r="G179" s="7" t="s">
        <v>1698</v>
      </c>
      <c r="H179" s="7"/>
    </row>
    <row r="180" spans="1:8" ht="17.100000000000001" customHeight="1" x14ac:dyDescent="0.25">
      <c r="A180" s="7" t="s">
        <v>844</v>
      </c>
      <c r="B180" s="6" t="s">
        <v>843</v>
      </c>
      <c r="C180" s="6" t="s">
        <v>76</v>
      </c>
      <c r="D180" s="6" t="s">
        <v>74</v>
      </c>
      <c r="E180" s="6" t="s">
        <v>1719</v>
      </c>
      <c r="F180" s="6" t="s">
        <v>842</v>
      </c>
      <c r="G180" s="7" t="s">
        <v>1698</v>
      </c>
      <c r="H180" s="7"/>
    </row>
    <row r="181" spans="1:8" ht="17.100000000000001" customHeight="1" x14ac:dyDescent="0.25">
      <c r="A181" s="7" t="s">
        <v>895</v>
      </c>
      <c r="B181" s="6" t="s">
        <v>894</v>
      </c>
      <c r="C181" s="6" t="s">
        <v>76</v>
      </c>
      <c r="D181" s="6" t="s">
        <v>74</v>
      </c>
      <c r="E181" s="6" t="s">
        <v>1719</v>
      </c>
      <c r="F181" s="6" t="s">
        <v>893</v>
      </c>
      <c r="G181" s="7" t="s">
        <v>1698</v>
      </c>
      <c r="H181" s="7"/>
    </row>
    <row r="182" spans="1:8" ht="17.100000000000001" customHeight="1" x14ac:dyDescent="0.25">
      <c r="A182" s="7" t="s">
        <v>841</v>
      </c>
      <c r="B182" s="6" t="s">
        <v>840</v>
      </c>
      <c r="C182" s="6" t="s">
        <v>76</v>
      </c>
      <c r="D182" s="6" t="s">
        <v>74</v>
      </c>
      <c r="E182" s="6" t="s">
        <v>1719</v>
      </c>
      <c r="F182" s="6" t="s">
        <v>839</v>
      </c>
      <c r="G182" s="7" t="s">
        <v>1698</v>
      </c>
      <c r="H182" s="7"/>
    </row>
    <row r="183" spans="1:8" ht="17.100000000000001" customHeight="1" x14ac:dyDescent="0.25">
      <c r="A183" s="7" t="s">
        <v>931</v>
      </c>
      <c r="B183" s="6" t="s">
        <v>930</v>
      </c>
      <c r="C183" s="6" t="s">
        <v>76</v>
      </c>
      <c r="D183" s="6" t="s">
        <v>74</v>
      </c>
      <c r="E183" s="6" t="s">
        <v>1719</v>
      </c>
      <c r="F183" s="6" t="s">
        <v>929</v>
      </c>
      <c r="G183" s="7" t="s">
        <v>1698</v>
      </c>
      <c r="H183" s="7"/>
    </row>
    <row r="184" spans="1:8" ht="17.100000000000001" customHeight="1" x14ac:dyDescent="0.25">
      <c r="A184" s="7" t="s">
        <v>877</v>
      </c>
      <c r="B184" s="6" t="s">
        <v>876</v>
      </c>
      <c r="C184" s="6" t="s">
        <v>76</v>
      </c>
      <c r="D184" s="6" t="s">
        <v>74</v>
      </c>
      <c r="E184" s="6" t="s">
        <v>1719</v>
      </c>
      <c r="F184" s="6" t="s">
        <v>875</v>
      </c>
      <c r="G184" s="7" t="s">
        <v>1698</v>
      </c>
      <c r="H184" s="7"/>
    </row>
    <row r="185" spans="1:8" ht="17.100000000000001" customHeight="1" x14ac:dyDescent="0.25">
      <c r="A185" s="7" t="s">
        <v>928</v>
      </c>
      <c r="B185" s="6" t="s">
        <v>927</v>
      </c>
      <c r="C185" s="6" t="s">
        <v>76</v>
      </c>
      <c r="D185" s="6" t="s">
        <v>74</v>
      </c>
      <c r="E185" s="6" t="s">
        <v>1719</v>
      </c>
      <c r="F185" s="6" t="s">
        <v>926</v>
      </c>
      <c r="G185" s="7" t="s">
        <v>1698</v>
      </c>
      <c r="H185" s="7"/>
    </row>
    <row r="186" spans="1:8" ht="17.100000000000001" customHeight="1" x14ac:dyDescent="0.25">
      <c r="A186" s="7" t="s">
        <v>874</v>
      </c>
      <c r="B186" s="6" t="s">
        <v>873</v>
      </c>
      <c r="C186" s="6" t="s">
        <v>76</v>
      </c>
      <c r="D186" s="6" t="s">
        <v>74</v>
      </c>
      <c r="E186" s="6" t="s">
        <v>1719</v>
      </c>
      <c r="F186" s="6" t="s">
        <v>872</v>
      </c>
      <c r="G186" s="7" t="s">
        <v>1698</v>
      </c>
      <c r="H186" s="7"/>
    </row>
  </sheetData>
  <sortState xmlns:xlrd2="http://schemas.microsoft.com/office/spreadsheetml/2017/richdata2" ref="A14:G24">
    <sortCondition ref="B14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G48">
    <cfRule type="containsText" dxfId="27" priority="7" operator="containsText" text=":A2">
      <formula>NOT(ISERROR(SEARCH(":A2",A14)))</formula>
    </cfRule>
    <cfRule type="containsText" dxfId="26" priority="8" operator="containsText" text=":A1">
      <formula>NOT(ISERROR(SEARCH(":A1",A14)))</formula>
    </cfRule>
  </conditionalFormatting>
  <conditionalFormatting sqref="A50:G65">
    <cfRule type="containsText" dxfId="25" priority="3" operator="containsText" text=":A2">
      <formula>NOT(ISERROR(SEARCH(":A2",A50)))</formula>
    </cfRule>
    <cfRule type="containsText" dxfId="24" priority="4" operator="containsText" text=":A1">
      <formula>NOT(ISERROR(SEARCH(":A1",A50)))</formula>
    </cfRule>
  </conditionalFormatting>
  <conditionalFormatting sqref="A66:G66 A49:G49">
    <cfRule type="containsText" dxfId="23" priority="22" operator="containsText" text="XT9074M">
      <formula>NOT(ISERROR(SEARCH("XT9074M",A49)))</formula>
    </cfRule>
    <cfRule type="containsText" dxfId="22" priority="23" operator="containsText" text="KA">
      <formula>NOT(ISERROR(SEARCH("KA",A49)))</formula>
    </cfRule>
  </conditionalFormatting>
  <conditionalFormatting sqref="A66:G66">
    <cfRule type="containsText" dxfId="21" priority="10" operator="containsText" text="XT0004">
      <formula>NOT(ISERROR(SEARCH("XT0004",A66)))</formula>
    </cfRule>
    <cfRule type="containsText" dxfId="20" priority="11" operator="containsText" text="XT292M">
      <formula>NOT(ISERROR(SEARCH("XT292M",A66)))</formula>
    </cfRule>
    <cfRule type="containsText" dxfId="19" priority="12" operator="containsText" text="XT9075M">
      <formula>NOT(ISERROR(SEARCH("XT9075M",A66)))</formula>
    </cfRule>
    <cfRule type="containsText" dxfId="18" priority="13" operator="containsText" text="BA1212">
      <formula>NOT(ISERROR(SEARCH("BA1212",A66)))</formula>
    </cfRule>
    <cfRule type="containsText" dxfId="17" priority="14" operator="containsText" text="BA0007">
      <formula>NOT(ISERROR(SEARCH("BA0007",A66)))</formula>
    </cfRule>
    <cfRule type="containsText" dxfId="16" priority="15" operator="containsText" text="BA0008">
      <formula>NOT(ISERROR(SEARCH("BA0008",A66)))</formula>
    </cfRule>
  </conditionalFormatting>
  <conditionalFormatting sqref="A67:G127">
    <cfRule type="containsText" dxfId="15" priority="5" operator="containsText" text=":A2">
      <formula>NOT(ISERROR(SEARCH(":A2",A67)))</formula>
    </cfRule>
    <cfRule type="containsText" dxfId="14" priority="6" operator="containsText" text=":A1">
      <formula>NOT(ISERROR(SEARCH(":A1",A67)))</formula>
    </cfRule>
  </conditionalFormatting>
  <conditionalFormatting sqref="E129:E186">
    <cfRule type="containsText" dxfId="13" priority="1" operator="containsText" text=":A2">
      <formula>NOT(ISERROR(SEARCH(":A2",E129)))</formula>
    </cfRule>
    <cfRule type="containsText" dxfId="12" priority="2" operator="containsText" text=":A1">
      <formula>NOT(ISERROR(SEARCH(":A1",E129)))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FD51-44CF-4E52-857C-522DDB668D3B}">
  <sheetPr>
    <tabColor rgb="FF7030A0"/>
  </sheetPr>
  <dimension ref="A1:I113"/>
  <sheetViews>
    <sheetView showGridLines="0" workbookViewId="0">
      <selection activeCell="A15" sqref="A15"/>
    </sheetView>
  </sheetViews>
  <sheetFormatPr defaultRowHeight="17.100000000000001" customHeight="1" x14ac:dyDescent="0.25"/>
  <cols>
    <col min="1" max="1" width="12.7109375" style="2" bestFit="1" customWidth="1"/>
    <col min="2" max="2" width="16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7109375" bestFit="1" customWidth="1"/>
    <col min="8" max="8" width="11.85546875" bestFit="1" customWidth="1"/>
    <col min="9" max="9" width="10.28515625" customWidth="1"/>
  </cols>
  <sheetData>
    <row r="1" spans="1:9" ht="18" customHeight="1" x14ac:dyDescent="0.25">
      <c r="A1" s="21" t="s">
        <v>1726</v>
      </c>
      <c r="B1" s="21"/>
      <c r="C1" s="21"/>
      <c r="D1" s="21"/>
    </row>
    <row r="2" spans="1:9" ht="12.75" customHeight="1" x14ac:dyDescent="0.25">
      <c r="A2" s="22" t="s">
        <v>764</v>
      </c>
      <c r="B2" s="22"/>
      <c r="C2" s="22"/>
      <c r="D2" s="22"/>
    </row>
    <row r="3" spans="1:9" ht="12" customHeight="1" x14ac:dyDescent="0.25">
      <c r="A3" s="1" t="s">
        <v>0</v>
      </c>
      <c r="B3" s="20" t="s">
        <v>1</v>
      </c>
      <c r="C3" s="20"/>
      <c r="D3" s="20"/>
    </row>
    <row r="4" spans="1:9" ht="12.75" customHeight="1" x14ac:dyDescent="0.25">
      <c r="A4" s="1" t="s">
        <v>2</v>
      </c>
      <c r="B4" s="20" t="s">
        <v>3</v>
      </c>
      <c r="C4" s="20"/>
      <c r="D4" s="20"/>
    </row>
    <row r="5" spans="1:9" ht="12" customHeight="1" x14ac:dyDescent="0.25">
      <c r="A5" s="1" t="s">
        <v>4</v>
      </c>
      <c r="B5" s="20" t="s">
        <v>5</v>
      </c>
      <c r="C5" s="20"/>
      <c r="D5" s="20"/>
    </row>
    <row r="6" spans="1:9" ht="5.25" customHeight="1" x14ac:dyDescent="0.25"/>
    <row r="7" spans="1:9" ht="12" customHeight="1" x14ac:dyDescent="0.25">
      <c r="A7" s="1" t="s">
        <v>6</v>
      </c>
      <c r="B7" s="20" t="s">
        <v>7</v>
      </c>
      <c r="C7" s="20"/>
      <c r="D7" s="20"/>
    </row>
    <row r="8" spans="1:9" ht="12.75" customHeight="1" x14ac:dyDescent="0.25">
      <c r="A8" s="1" t="s">
        <v>8</v>
      </c>
      <c r="B8" s="20" t="s">
        <v>9</v>
      </c>
      <c r="C8" s="20"/>
      <c r="D8" s="20"/>
    </row>
    <row r="9" spans="1:9" ht="12" customHeight="1" x14ac:dyDescent="0.25">
      <c r="A9" s="1" t="s">
        <v>10</v>
      </c>
      <c r="B9" s="20" t="s">
        <v>11</v>
      </c>
      <c r="C9" s="20"/>
      <c r="D9" s="20"/>
    </row>
    <row r="10" spans="1:9" ht="12.75" customHeight="1" x14ac:dyDescent="0.25">
      <c r="A10" s="1" t="s">
        <v>8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3" t="s">
        <v>68</v>
      </c>
      <c r="B12" s="23"/>
      <c r="C12" s="23"/>
      <c r="D12" s="23"/>
      <c r="E12" s="23"/>
      <c r="F12" s="23"/>
      <c r="G12" s="24" t="s">
        <v>69</v>
      </c>
      <c r="H12" s="25"/>
      <c r="I12" s="8"/>
    </row>
    <row r="13" spans="1:9" ht="43.5" customHeight="1" x14ac:dyDescent="0.25">
      <c r="A13" s="3" t="s">
        <v>12</v>
      </c>
      <c r="B13" s="4" t="s">
        <v>71</v>
      </c>
      <c r="C13" s="4" t="s">
        <v>70</v>
      </c>
      <c r="D13" s="4" t="s">
        <v>72</v>
      </c>
      <c r="E13" s="4" t="s">
        <v>1606</v>
      </c>
      <c r="F13" s="5" t="s">
        <v>12</v>
      </c>
      <c r="G13" s="5" t="s">
        <v>13</v>
      </c>
      <c r="H13" s="5" t="s">
        <v>1607</v>
      </c>
    </row>
    <row r="14" spans="1:9" ht="17.100000000000001" customHeight="1" x14ac:dyDescent="0.25">
      <c r="A14" s="6" t="s">
        <v>1375</v>
      </c>
      <c r="B14" s="6" t="s">
        <v>1608</v>
      </c>
      <c r="C14" s="6" t="s">
        <v>76</v>
      </c>
      <c r="D14" s="6" t="s">
        <v>82</v>
      </c>
      <c r="E14" s="6" t="s">
        <v>1714</v>
      </c>
      <c r="F14" s="6" t="s">
        <v>1376</v>
      </c>
      <c r="G14" s="7" t="s">
        <v>1700</v>
      </c>
      <c r="H14" s="7" t="s">
        <v>15</v>
      </c>
    </row>
    <row r="15" spans="1:9" ht="17.100000000000001" customHeight="1" x14ac:dyDescent="0.25">
      <c r="A15" s="6" t="s">
        <v>1379</v>
      </c>
      <c r="B15" s="6" t="s">
        <v>1608</v>
      </c>
      <c r="C15" s="6" t="s">
        <v>76</v>
      </c>
      <c r="D15" s="6" t="s">
        <v>82</v>
      </c>
      <c r="E15" s="6"/>
      <c r="F15" s="6" t="s">
        <v>1380</v>
      </c>
      <c r="G15" s="7" t="s">
        <v>1700</v>
      </c>
      <c r="H15" s="7"/>
    </row>
    <row r="16" spans="1:9" ht="17.100000000000001" customHeight="1" x14ac:dyDescent="0.25">
      <c r="A16" s="16"/>
      <c r="B16" s="16"/>
      <c r="C16" s="16"/>
      <c r="D16" s="16"/>
      <c r="E16" s="16"/>
      <c r="F16" s="16"/>
      <c r="G16" s="17"/>
      <c r="H16" s="17"/>
    </row>
    <row r="17" spans="1:8" ht="17.100000000000001" customHeight="1" x14ac:dyDescent="0.25">
      <c r="A17" s="6" t="s">
        <v>1383</v>
      </c>
      <c r="B17" s="6" t="s">
        <v>1608</v>
      </c>
      <c r="C17" s="6" t="s">
        <v>76</v>
      </c>
      <c r="D17" s="6" t="s">
        <v>82</v>
      </c>
      <c r="E17" s="6" t="s">
        <v>1719</v>
      </c>
      <c r="F17" s="7" t="s">
        <v>766</v>
      </c>
      <c r="G17" s="7" t="s">
        <v>1698</v>
      </c>
      <c r="H17" s="7" t="s">
        <v>1734</v>
      </c>
    </row>
    <row r="18" spans="1:8" ht="17.100000000000001" customHeight="1" x14ac:dyDescent="0.25">
      <c r="A18" s="6" t="s">
        <v>1377</v>
      </c>
      <c r="B18" s="6" t="s">
        <v>16</v>
      </c>
      <c r="C18" s="6" t="s">
        <v>76</v>
      </c>
      <c r="D18" s="6" t="s">
        <v>82</v>
      </c>
      <c r="E18" s="6" t="s">
        <v>1719</v>
      </c>
      <c r="F18" s="6" t="s">
        <v>1378</v>
      </c>
      <c r="G18" s="7" t="s">
        <v>1698</v>
      </c>
      <c r="H18" s="7"/>
    </row>
    <row r="19" spans="1:8" ht="17.100000000000001" customHeight="1" x14ac:dyDescent="0.25">
      <c r="A19" s="6" t="s">
        <v>1381</v>
      </c>
      <c r="B19" s="6" t="s">
        <v>17</v>
      </c>
      <c r="C19" s="6" t="s">
        <v>76</v>
      </c>
      <c r="D19" s="6" t="s">
        <v>82</v>
      </c>
      <c r="E19" s="6" t="s">
        <v>1719</v>
      </c>
      <c r="F19" s="7" t="s">
        <v>1382</v>
      </c>
      <c r="G19" s="7" t="s">
        <v>1698</v>
      </c>
      <c r="H19" s="7"/>
    </row>
    <row r="20" spans="1:8" ht="17.100000000000001" customHeight="1" x14ac:dyDescent="0.25">
      <c r="A20" s="6" t="s">
        <v>1384</v>
      </c>
      <c r="B20" s="6" t="s">
        <v>1385</v>
      </c>
      <c r="C20" s="6" t="s">
        <v>76</v>
      </c>
      <c r="D20" s="6" t="s">
        <v>82</v>
      </c>
      <c r="E20" s="6" t="s">
        <v>1719</v>
      </c>
      <c r="F20" s="7" t="s">
        <v>1386</v>
      </c>
      <c r="G20" s="7" t="s">
        <v>1698</v>
      </c>
      <c r="H20" s="7"/>
    </row>
    <row r="21" spans="1:8" ht="17.100000000000001" customHeight="1" x14ac:dyDescent="0.25">
      <c r="A21" s="18"/>
      <c r="B21" s="18"/>
      <c r="C21" s="18"/>
      <c r="D21" s="18"/>
      <c r="E21" s="18"/>
      <c r="F21" s="19"/>
      <c r="G21" s="19"/>
      <c r="H21" s="19"/>
    </row>
    <row r="22" spans="1:8" ht="17.100000000000001" customHeight="1" x14ac:dyDescent="0.25">
      <c r="A22" s="7" t="s">
        <v>1363</v>
      </c>
      <c r="B22" s="6" t="s">
        <v>1362</v>
      </c>
      <c r="C22" s="6" t="s">
        <v>76</v>
      </c>
      <c r="D22" s="6" t="s">
        <v>74</v>
      </c>
      <c r="E22" s="6" t="s">
        <v>1719</v>
      </c>
      <c r="F22" s="6" t="s">
        <v>1361</v>
      </c>
      <c r="G22" s="7" t="s">
        <v>1698</v>
      </c>
      <c r="H22" s="7" t="s">
        <v>1706</v>
      </c>
    </row>
    <row r="23" spans="1:8" ht="17.100000000000001" customHeight="1" x14ac:dyDescent="0.25">
      <c r="A23" s="7" t="s">
        <v>986</v>
      </c>
      <c r="B23" s="6" t="s">
        <v>985</v>
      </c>
      <c r="C23" s="6" t="s">
        <v>76</v>
      </c>
      <c r="D23" s="6" t="s">
        <v>74</v>
      </c>
      <c r="E23" s="6" t="s">
        <v>1719</v>
      </c>
      <c r="F23" s="6" t="s">
        <v>984</v>
      </c>
      <c r="G23" s="7" t="s">
        <v>1698</v>
      </c>
      <c r="H23" s="7"/>
    </row>
    <row r="24" spans="1:8" ht="17.100000000000001" customHeight="1" x14ac:dyDescent="0.25">
      <c r="A24" s="7" t="s">
        <v>799</v>
      </c>
      <c r="B24" s="6" t="s">
        <v>798</v>
      </c>
      <c r="C24" s="6" t="s">
        <v>76</v>
      </c>
      <c r="D24" s="6" t="s">
        <v>74</v>
      </c>
      <c r="E24" s="6" t="s">
        <v>1719</v>
      </c>
      <c r="F24" s="6" t="s">
        <v>797</v>
      </c>
      <c r="G24" s="7" t="s">
        <v>1698</v>
      </c>
      <c r="H24" s="7"/>
    </row>
    <row r="25" spans="1:8" ht="17.100000000000001" customHeight="1" x14ac:dyDescent="0.25">
      <c r="A25" s="7" t="s">
        <v>808</v>
      </c>
      <c r="B25" s="6" t="s">
        <v>807</v>
      </c>
      <c r="C25" s="6" t="s">
        <v>76</v>
      </c>
      <c r="D25" s="6" t="s">
        <v>74</v>
      </c>
      <c r="E25" s="6" t="s">
        <v>1719</v>
      </c>
      <c r="F25" s="6" t="s">
        <v>806</v>
      </c>
      <c r="G25" s="7" t="s">
        <v>1698</v>
      </c>
      <c r="H25" s="7"/>
    </row>
    <row r="26" spans="1:8" ht="17.100000000000001" customHeight="1" x14ac:dyDescent="0.25">
      <c r="A26" s="7" t="s">
        <v>971</v>
      </c>
      <c r="B26" s="6" t="s">
        <v>970</v>
      </c>
      <c r="C26" s="6" t="s">
        <v>76</v>
      </c>
      <c r="D26" s="6" t="s">
        <v>74</v>
      </c>
      <c r="E26" s="6" t="s">
        <v>1719</v>
      </c>
      <c r="F26" s="6" t="s">
        <v>969</v>
      </c>
      <c r="G26" s="7" t="s">
        <v>1698</v>
      </c>
      <c r="H26" s="7"/>
    </row>
    <row r="27" spans="1:8" ht="17.100000000000001" customHeight="1" x14ac:dyDescent="0.25">
      <c r="A27" s="7" t="s">
        <v>1115</v>
      </c>
      <c r="B27" s="6" t="s">
        <v>1114</v>
      </c>
      <c r="C27" s="6" t="s">
        <v>76</v>
      </c>
      <c r="D27" s="6" t="s">
        <v>74</v>
      </c>
      <c r="E27" s="6" t="s">
        <v>1719</v>
      </c>
      <c r="F27" s="6" t="s">
        <v>1113</v>
      </c>
      <c r="G27" s="7" t="s">
        <v>1698</v>
      </c>
      <c r="H27" s="7"/>
    </row>
    <row r="28" spans="1:8" ht="17.100000000000001" customHeight="1" x14ac:dyDescent="0.25">
      <c r="A28" s="7" t="s">
        <v>1130</v>
      </c>
      <c r="B28" s="6" t="s">
        <v>1129</v>
      </c>
      <c r="C28" s="6" t="s">
        <v>76</v>
      </c>
      <c r="D28" s="6" t="s">
        <v>74</v>
      </c>
      <c r="E28" s="6" t="s">
        <v>1719</v>
      </c>
      <c r="F28" s="6" t="s">
        <v>1128</v>
      </c>
      <c r="G28" s="7" t="s">
        <v>1698</v>
      </c>
      <c r="H28" s="7"/>
    </row>
    <row r="29" spans="1:8" ht="17.100000000000001" customHeight="1" x14ac:dyDescent="0.25">
      <c r="A29" s="7" t="s">
        <v>1109</v>
      </c>
      <c r="B29" s="6" t="s">
        <v>1108</v>
      </c>
      <c r="C29" s="6" t="s">
        <v>76</v>
      </c>
      <c r="D29" s="6" t="s">
        <v>74</v>
      </c>
      <c r="E29" s="6" t="s">
        <v>1719</v>
      </c>
      <c r="F29" s="6" t="s">
        <v>1107</v>
      </c>
      <c r="G29" s="7" t="s">
        <v>1698</v>
      </c>
      <c r="H29" s="7"/>
    </row>
    <row r="30" spans="1:8" ht="17.100000000000001" customHeight="1" x14ac:dyDescent="0.25">
      <c r="A30" s="7" t="s">
        <v>1124</v>
      </c>
      <c r="B30" s="6" t="s">
        <v>1123</v>
      </c>
      <c r="C30" s="6" t="s">
        <v>76</v>
      </c>
      <c r="D30" s="6" t="s">
        <v>74</v>
      </c>
      <c r="E30" s="6" t="s">
        <v>1719</v>
      </c>
      <c r="F30" s="6" t="s">
        <v>1122</v>
      </c>
      <c r="G30" s="7" t="s">
        <v>1698</v>
      </c>
      <c r="H30" s="7"/>
    </row>
    <row r="31" spans="1:8" ht="17.100000000000001" customHeight="1" x14ac:dyDescent="0.25">
      <c r="A31" s="7" t="s">
        <v>1112</v>
      </c>
      <c r="B31" s="6" t="s">
        <v>1111</v>
      </c>
      <c r="C31" s="6" t="s">
        <v>76</v>
      </c>
      <c r="D31" s="6" t="s">
        <v>74</v>
      </c>
      <c r="E31" s="6" t="s">
        <v>1719</v>
      </c>
      <c r="F31" s="6" t="s">
        <v>1110</v>
      </c>
      <c r="G31" s="7" t="s">
        <v>1698</v>
      </c>
      <c r="H31" s="7"/>
    </row>
    <row r="32" spans="1:8" ht="17.100000000000001" customHeight="1" x14ac:dyDescent="0.25">
      <c r="A32" s="7" t="s">
        <v>1127</v>
      </c>
      <c r="B32" s="6" t="s">
        <v>1126</v>
      </c>
      <c r="C32" s="6" t="s">
        <v>76</v>
      </c>
      <c r="D32" s="6" t="s">
        <v>74</v>
      </c>
      <c r="E32" s="6" t="s">
        <v>1719</v>
      </c>
      <c r="F32" s="6" t="s">
        <v>1125</v>
      </c>
      <c r="G32" s="7" t="s">
        <v>1698</v>
      </c>
      <c r="H32" s="7"/>
    </row>
    <row r="33" spans="1:8" ht="17.100000000000001" customHeight="1" x14ac:dyDescent="0.25">
      <c r="A33" s="7" t="s">
        <v>1357</v>
      </c>
      <c r="B33" s="6" t="s">
        <v>1356</v>
      </c>
      <c r="C33" s="6" t="s">
        <v>76</v>
      </c>
      <c r="D33" s="6" t="s">
        <v>74</v>
      </c>
      <c r="E33" s="6" t="s">
        <v>1719</v>
      </c>
      <c r="F33" s="6" t="s">
        <v>1355</v>
      </c>
      <c r="G33" s="7" t="s">
        <v>1698</v>
      </c>
      <c r="H33" s="7"/>
    </row>
    <row r="34" spans="1:8" ht="17.100000000000001" customHeight="1" x14ac:dyDescent="0.25">
      <c r="A34" s="7" t="s">
        <v>1118</v>
      </c>
      <c r="B34" s="6" t="s">
        <v>1117</v>
      </c>
      <c r="C34" s="6" t="s">
        <v>76</v>
      </c>
      <c r="D34" s="6" t="s">
        <v>74</v>
      </c>
      <c r="E34" s="6" t="s">
        <v>1719</v>
      </c>
      <c r="F34" s="6" t="s">
        <v>1116</v>
      </c>
      <c r="G34" s="7" t="s">
        <v>1698</v>
      </c>
      <c r="H34" s="7"/>
    </row>
    <row r="35" spans="1:8" ht="17.100000000000001" customHeight="1" x14ac:dyDescent="0.25">
      <c r="A35" s="7" t="s">
        <v>805</v>
      </c>
      <c r="B35" s="6" t="s">
        <v>804</v>
      </c>
      <c r="C35" s="6" t="s">
        <v>76</v>
      </c>
      <c r="D35" s="6" t="s">
        <v>74</v>
      </c>
      <c r="E35" s="6" t="s">
        <v>1719</v>
      </c>
      <c r="F35" s="6" t="s">
        <v>803</v>
      </c>
      <c r="G35" s="7" t="s">
        <v>1698</v>
      </c>
      <c r="H35" s="7"/>
    </row>
    <row r="36" spans="1:8" ht="17.100000000000001" customHeight="1" x14ac:dyDescent="0.25">
      <c r="A36" s="7" t="s">
        <v>811</v>
      </c>
      <c r="B36" s="6" t="s">
        <v>810</v>
      </c>
      <c r="C36" s="6" t="s">
        <v>76</v>
      </c>
      <c r="D36" s="6" t="s">
        <v>74</v>
      </c>
      <c r="E36" s="6" t="s">
        <v>1719</v>
      </c>
      <c r="F36" s="6" t="s">
        <v>809</v>
      </c>
      <c r="G36" s="7" t="s">
        <v>1698</v>
      </c>
      <c r="H36" s="7"/>
    </row>
    <row r="37" spans="1:8" ht="17.100000000000001" customHeight="1" x14ac:dyDescent="0.25">
      <c r="A37" s="7" t="s">
        <v>977</v>
      </c>
      <c r="B37" s="6" t="s">
        <v>976</v>
      </c>
      <c r="C37" s="6" t="s">
        <v>76</v>
      </c>
      <c r="D37" s="6" t="s">
        <v>74</v>
      </c>
      <c r="E37" s="6" t="s">
        <v>1719</v>
      </c>
      <c r="F37" s="6" t="s">
        <v>975</v>
      </c>
      <c r="G37" s="7" t="s">
        <v>1698</v>
      </c>
      <c r="H37" s="7"/>
    </row>
    <row r="38" spans="1:8" ht="17.100000000000001" customHeight="1" x14ac:dyDescent="0.25">
      <c r="A38" s="7" t="s">
        <v>1121</v>
      </c>
      <c r="B38" s="6" t="s">
        <v>1120</v>
      </c>
      <c r="C38" s="6" t="s">
        <v>76</v>
      </c>
      <c r="D38" s="6" t="s">
        <v>74</v>
      </c>
      <c r="E38" s="6" t="s">
        <v>1719</v>
      </c>
      <c r="F38" s="6" t="s">
        <v>1119</v>
      </c>
      <c r="G38" s="7" t="s">
        <v>1698</v>
      </c>
      <c r="H38" s="7"/>
    </row>
    <row r="39" spans="1:8" ht="17.100000000000001" customHeight="1" x14ac:dyDescent="0.25">
      <c r="A39" s="7" t="s">
        <v>1360</v>
      </c>
      <c r="B39" s="6" t="s">
        <v>1359</v>
      </c>
      <c r="C39" s="6" t="s">
        <v>76</v>
      </c>
      <c r="D39" s="6" t="s">
        <v>74</v>
      </c>
      <c r="E39" s="6" t="s">
        <v>1719</v>
      </c>
      <c r="F39" s="6" t="s">
        <v>1358</v>
      </c>
      <c r="G39" s="7" t="s">
        <v>1698</v>
      </c>
      <c r="H39" s="7"/>
    </row>
    <row r="40" spans="1:8" ht="17.100000000000001" customHeight="1" x14ac:dyDescent="0.25">
      <c r="A40" s="7" t="s">
        <v>1366</v>
      </c>
      <c r="B40" s="6" t="s">
        <v>1365</v>
      </c>
      <c r="C40" s="6" t="s">
        <v>76</v>
      </c>
      <c r="D40" s="6" t="s">
        <v>74</v>
      </c>
      <c r="E40" s="6" t="s">
        <v>1719</v>
      </c>
      <c r="F40" s="6" t="s">
        <v>1364</v>
      </c>
      <c r="G40" s="7" t="s">
        <v>1698</v>
      </c>
      <c r="H40" s="7"/>
    </row>
    <row r="41" spans="1:8" ht="17.100000000000001" customHeight="1" x14ac:dyDescent="0.25">
      <c r="A41" s="7" t="s">
        <v>1002</v>
      </c>
      <c r="B41" s="6" t="s">
        <v>1001</v>
      </c>
      <c r="C41" s="6" t="s">
        <v>76</v>
      </c>
      <c r="D41" s="6" t="s">
        <v>74</v>
      </c>
      <c r="E41" s="6" t="s">
        <v>1719</v>
      </c>
      <c r="F41" s="6" t="s">
        <v>1000</v>
      </c>
      <c r="G41" s="7" t="s">
        <v>1698</v>
      </c>
      <c r="H41" s="7"/>
    </row>
    <row r="42" spans="1:8" ht="17.100000000000001" customHeight="1" x14ac:dyDescent="0.25">
      <c r="A42" s="7" t="s">
        <v>1089</v>
      </c>
      <c r="B42" s="6" t="s">
        <v>1088</v>
      </c>
      <c r="C42" s="6" t="s">
        <v>76</v>
      </c>
      <c r="D42" s="6" t="s">
        <v>74</v>
      </c>
      <c r="E42" s="6" t="s">
        <v>1719</v>
      </c>
      <c r="F42" s="6" t="s">
        <v>1087</v>
      </c>
      <c r="G42" s="7" t="s">
        <v>1698</v>
      </c>
      <c r="H42" s="7"/>
    </row>
    <row r="43" spans="1:8" ht="17.100000000000001" customHeight="1" x14ac:dyDescent="0.25">
      <c r="A43" s="7" t="s">
        <v>1041</v>
      </c>
      <c r="B43" s="6" t="s">
        <v>1040</v>
      </c>
      <c r="C43" s="6" t="s">
        <v>76</v>
      </c>
      <c r="D43" s="6" t="s">
        <v>74</v>
      </c>
      <c r="E43" s="6" t="s">
        <v>1719</v>
      </c>
      <c r="F43" s="6" t="s">
        <v>1039</v>
      </c>
      <c r="G43" s="7" t="s">
        <v>1698</v>
      </c>
      <c r="H43" s="7"/>
    </row>
    <row r="44" spans="1:8" ht="17.100000000000001" customHeight="1" x14ac:dyDescent="0.25">
      <c r="A44" s="7" t="s">
        <v>1059</v>
      </c>
      <c r="B44" s="6" t="s">
        <v>1058</v>
      </c>
      <c r="C44" s="6" t="s">
        <v>76</v>
      </c>
      <c r="D44" s="6" t="s">
        <v>74</v>
      </c>
      <c r="E44" s="6" t="s">
        <v>1719</v>
      </c>
      <c r="F44" s="6" t="s">
        <v>1057</v>
      </c>
      <c r="G44" s="7" t="s">
        <v>1698</v>
      </c>
      <c r="H44" s="7"/>
    </row>
    <row r="45" spans="1:8" ht="17.100000000000001" customHeight="1" x14ac:dyDescent="0.25">
      <c r="A45" s="7" t="s">
        <v>1011</v>
      </c>
      <c r="B45" s="6" t="s">
        <v>1010</v>
      </c>
      <c r="C45" s="6" t="s">
        <v>76</v>
      </c>
      <c r="D45" s="6" t="s">
        <v>74</v>
      </c>
      <c r="E45" s="6" t="s">
        <v>1719</v>
      </c>
      <c r="F45" s="6" t="s">
        <v>1009</v>
      </c>
      <c r="G45" s="7" t="s">
        <v>1698</v>
      </c>
      <c r="H45" s="7"/>
    </row>
    <row r="46" spans="1:8" ht="17.100000000000001" customHeight="1" x14ac:dyDescent="0.25">
      <c r="A46" s="7" t="s">
        <v>919</v>
      </c>
      <c r="B46" s="6" t="s">
        <v>918</v>
      </c>
      <c r="C46" s="6" t="s">
        <v>76</v>
      </c>
      <c r="D46" s="6" t="s">
        <v>74</v>
      </c>
      <c r="E46" s="6" t="s">
        <v>1719</v>
      </c>
      <c r="F46" s="6" t="s">
        <v>917</v>
      </c>
      <c r="G46" s="7" t="s">
        <v>1698</v>
      </c>
      <c r="H46" s="7"/>
    </row>
    <row r="47" spans="1:8" ht="17.100000000000001" customHeight="1" x14ac:dyDescent="0.25">
      <c r="A47" s="7" t="s">
        <v>865</v>
      </c>
      <c r="B47" s="6" t="s">
        <v>864</v>
      </c>
      <c r="C47" s="6" t="s">
        <v>76</v>
      </c>
      <c r="D47" s="6" t="s">
        <v>74</v>
      </c>
      <c r="E47" s="6" t="s">
        <v>1719</v>
      </c>
      <c r="F47" s="6" t="s">
        <v>863</v>
      </c>
      <c r="G47" s="7" t="s">
        <v>1698</v>
      </c>
      <c r="H47" s="7"/>
    </row>
    <row r="48" spans="1:8" ht="17.100000000000001" customHeight="1" x14ac:dyDescent="0.25">
      <c r="A48" s="7" t="s">
        <v>865</v>
      </c>
      <c r="B48" s="6" t="s">
        <v>864</v>
      </c>
      <c r="C48" s="6" t="s">
        <v>76</v>
      </c>
      <c r="D48" s="6" t="s">
        <v>74</v>
      </c>
      <c r="E48" s="6" t="s">
        <v>1719</v>
      </c>
      <c r="F48" s="6" t="s">
        <v>1572</v>
      </c>
      <c r="G48" s="7" t="s">
        <v>1698</v>
      </c>
      <c r="H48" s="7"/>
    </row>
    <row r="49" spans="1:8" ht="17.100000000000001" customHeight="1" x14ac:dyDescent="0.25">
      <c r="A49" s="7" t="s">
        <v>1264</v>
      </c>
      <c r="B49" s="6" t="s">
        <v>1263</v>
      </c>
      <c r="C49" s="6" t="s">
        <v>76</v>
      </c>
      <c r="D49" s="6" t="s">
        <v>74</v>
      </c>
      <c r="E49" s="6" t="s">
        <v>1719</v>
      </c>
      <c r="F49" s="6" t="s">
        <v>1262</v>
      </c>
      <c r="G49" s="7" t="s">
        <v>1698</v>
      </c>
      <c r="H49" s="7"/>
    </row>
    <row r="50" spans="1:8" ht="17.100000000000001" customHeight="1" x14ac:dyDescent="0.25">
      <c r="A50" s="7" t="s">
        <v>1228</v>
      </c>
      <c r="B50" s="6" t="s">
        <v>1227</v>
      </c>
      <c r="C50" s="6" t="s">
        <v>76</v>
      </c>
      <c r="D50" s="6" t="s">
        <v>74</v>
      </c>
      <c r="E50" s="6" t="s">
        <v>1719</v>
      </c>
      <c r="F50" s="6" t="s">
        <v>1226</v>
      </c>
      <c r="G50" s="7" t="s">
        <v>1698</v>
      </c>
      <c r="H50" s="7"/>
    </row>
    <row r="51" spans="1:8" ht="17.100000000000001" customHeight="1" x14ac:dyDescent="0.25">
      <c r="A51" s="7" t="s">
        <v>1228</v>
      </c>
      <c r="B51" s="6" t="s">
        <v>1227</v>
      </c>
      <c r="C51" s="6" t="s">
        <v>76</v>
      </c>
      <c r="D51" s="6" t="s">
        <v>74</v>
      </c>
      <c r="E51" s="6" t="s">
        <v>1719</v>
      </c>
      <c r="F51" s="6" t="s">
        <v>1578</v>
      </c>
      <c r="G51" s="7" t="s">
        <v>1698</v>
      </c>
      <c r="H51" s="7"/>
    </row>
    <row r="52" spans="1:8" ht="17.100000000000001" customHeight="1" x14ac:dyDescent="0.25">
      <c r="A52" s="7" t="s">
        <v>1270</v>
      </c>
      <c r="B52" s="6" t="s">
        <v>1269</v>
      </c>
      <c r="C52" s="6" t="s">
        <v>76</v>
      </c>
      <c r="D52" s="6" t="s">
        <v>74</v>
      </c>
      <c r="E52" s="6" t="s">
        <v>1719</v>
      </c>
      <c r="F52" s="6" t="s">
        <v>1268</v>
      </c>
      <c r="G52" s="7" t="s">
        <v>1698</v>
      </c>
      <c r="H52" s="7"/>
    </row>
    <row r="53" spans="1:8" ht="17.100000000000001" customHeight="1" x14ac:dyDescent="0.25">
      <c r="A53" s="7" t="s">
        <v>1234</v>
      </c>
      <c r="B53" s="6" t="s">
        <v>1233</v>
      </c>
      <c r="C53" s="6" t="s">
        <v>76</v>
      </c>
      <c r="D53" s="6" t="s">
        <v>74</v>
      </c>
      <c r="E53" s="6" t="s">
        <v>1719</v>
      </c>
      <c r="F53" s="6" t="s">
        <v>1232</v>
      </c>
      <c r="G53" s="7" t="s">
        <v>1698</v>
      </c>
      <c r="H53" s="7"/>
    </row>
    <row r="54" spans="1:8" ht="17.100000000000001" customHeight="1" x14ac:dyDescent="0.25">
      <c r="A54" s="7" t="s">
        <v>1234</v>
      </c>
      <c r="B54" s="6" t="s">
        <v>1233</v>
      </c>
      <c r="C54" s="6" t="s">
        <v>76</v>
      </c>
      <c r="D54" s="6" t="s">
        <v>74</v>
      </c>
      <c r="E54" s="6" t="s">
        <v>1719</v>
      </c>
      <c r="F54" s="6" t="s">
        <v>1583</v>
      </c>
      <c r="G54" s="7" t="s">
        <v>1698</v>
      </c>
      <c r="H54" s="7"/>
    </row>
    <row r="55" spans="1:8" ht="17.100000000000001" customHeight="1" x14ac:dyDescent="0.25">
      <c r="A55" s="7" t="s">
        <v>1077</v>
      </c>
      <c r="B55" s="6" t="s">
        <v>1076</v>
      </c>
      <c r="C55" s="6" t="s">
        <v>76</v>
      </c>
      <c r="D55" s="6" t="s">
        <v>74</v>
      </c>
      <c r="E55" s="6" t="s">
        <v>1719</v>
      </c>
      <c r="F55" s="6" t="s">
        <v>1075</v>
      </c>
      <c r="G55" s="7" t="s">
        <v>1698</v>
      </c>
      <c r="H55" s="7"/>
    </row>
    <row r="56" spans="1:8" ht="17.100000000000001" customHeight="1" x14ac:dyDescent="0.25">
      <c r="A56" s="7" t="s">
        <v>1029</v>
      </c>
      <c r="B56" s="6" t="s">
        <v>1028</v>
      </c>
      <c r="C56" s="6" t="s">
        <v>76</v>
      </c>
      <c r="D56" s="6" t="s">
        <v>74</v>
      </c>
      <c r="E56" s="6" t="s">
        <v>1719</v>
      </c>
      <c r="F56" s="6" t="s">
        <v>1027</v>
      </c>
      <c r="G56" s="7" t="s">
        <v>1698</v>
      </c>
      <c r="H56" s="7"/>
    </row>
    <row r="57" spans="1:8" ht="17.100000000000001" customHeight="1" x14ac:dyDescent="0.25">
      <c r="A57" s="7" t="s">
        <v>1065</v>
      </c>
      <c r="B57" s="6" t="s">
        <v>1064</v>
      </c>
      <c r="C57" s="6" t="s">
        <v>76</v>
      </c>
      <c r="D57" s="6" t="s">
        <v>74</v>
      </c>
      <c r="E57" s="6" t="s">
        <v>1719</v>
      </c>
      <c r="F57" s="6" t="s">
        <v>1063</v>
      </c>
      <c r="G57" s="7" t="s">
        <v>1698</v>
      </c>
      <c r="H57" s="7"/>
    </row>
    <row r="58" spans="1:8" ht="17.100000000000001" customHeight="1" x14ac:dyDescent="0.25">
      <c r="A58" s="7" t="s">
        <v>1017</v>
      </c>
      <c r="B58" s="6" t="s">
        <v>1016</v>
      </c>
      <c r="C58" s="6" t="s">
        <v>76</v>
      </c>
      <c r="D58" s="6" t="s">
        <v>74</v>
      </c>
      <c r="E58" s="6" t="s">
        <v>1719</v>
      </c>
      <c r="F58" s="6" t="s">
        <v>1015</v>
      </c>
      <c r="G58" s="7" t="s">
        <v>1698</v>
      </c>
      <c r="H58" s="7"/>
    </row>
    <row r="59" spans="1:8" ht="17.100000000000001" customHeight="1" x14ac:dyDescent="0.25">
      <c r="A59" s="7" t="s">
        <v>934</v>
      </c>
      <c r="B59" s="6" t="s">
        <v>933</v>
      </c>
      <c r="C59" s="6" t="s">
        <v>76</v>
      </c>
      <c r="D59" s="6" t="s">
        <v>74</v>
      </c>
      <c r="E59" s="6" t="s">
        <v>1719</v>
      </c>
      <c r="F59" s="6" t="s">
        <v>932</v>
      </c>
      <c r="G59" s="7" t="s">
        <v>1698</v>
      </c>
      <c r="H59" s="7"/>
    </row>
    <row r="60" spans="1:8" ht="17.100000000000001" customHeight="1" x14ac:dyDescent="0.25">
      <c r="A60" s="7" t="s">
        <v>880</v>
      </c>
      <c r="B60" s="6" t="s">
        <v>879</v>
      </c>
      <c r="C60" s="6" t="s">
        <v>76</v>
      </c>
      <c r="D60" s="6" t="s">
        <v>74</v>
      </c>
      <c r="E60" s="6" t="s">
        <v>1719</v>
      </c>
      <c r="F60" s="6" t="s">
        <v>878</v>
      </c>
      <c r="G60" s="7" t="s">
        <v>1698</v>
      </c>
      <c r="H60" s="7"/>
    </row>
    <row r="61" spans="1:8" ht="17.100000000000001" customHeight="1" x14ac:dyDescent="0.25">
      <c r="A61" s="7" t="s">
        <v>880</v>
      </c>
      <c r="B61" s="6" t="s">
        <v>879</v>
      </c>
      <c r="C61" s="6" t="s">
        <v>76</v>
      </c>
      <c r="D61" s="6" t="s">
        <v>74</v>
      </c>
      <c r="E61" s="6" t="s">
        <v>1719</v>
      </c>
      <c r="F61" s="6" t="s">
        <v>1584</v>
      </c>
      <c r="G61" s="7" t="s">
        <v>1698</v>
      </c>
      <c r="H61" s="7"/>
    </row>
    <row r="62" spans="1:8" ht="17.100000000000001" customHeight="1" x14ac:dyDescent="0.25">
      <c r="A62" s="7" t="s">
        <v>1267</v>
      </c>
      <c r="B62" s="6" t="s">
        <v>1266</v>
      </c>
      <c r="C62" s="6" t="s">
        <v>76</v>
      </c>
      <c r="D62" s="6" t="s">
        <v>74</v>
      </c>
      <c r="E62" s="6" t="s">
        <v>1719</v>
      </c>
      <c r="F62" s="6" t="s">
        <v>1265</v>
      </c>
      <c r="G62" s="7" t="s">
        <v>1698</v>
      </c>
      <c r="H62" s="7"/>
    </row>
    <row r="63" spans="1:8" ht="17.100000000000001" customHeight="1" x14ac:dyDescent="0.25">
      <c r="A63" s="7" t="s">
        <v>1231</v>
      </c>
      <c r="B63" s="6" t="s">
        <v>1230</v>
      </c>
      <c r="C63" s="6" t="s">
        <v>76</v>
      </c>
      <c r="D63" s="6" t="s">
        <v>74</v>
      </c>
      <c r="E63" s="6" t="s">
        <v>1719</v>
      </c>
      <c r="F63" s="6" t="s">
        <v>1229</v>
      </c>
      <c r="G63" s="7" t="s">
        <v>1698</v>
      </c>
      <c r="H63" s="7"/>
    </row>
    <row r="64" spans="1:8" ht="17.100000000000001" customHeight="1" x14ac:dyDescent="0.25">
      <c r="A64" s="7" t="s">
        <v>1231</v>
      </c>
      <c r="B64" s="6" t="s">
        <v>1230</v>
      </c>
      <c r="C64" s="6" t="s">
        <v>76</v>
      </c>
      <c r="D64" s="6" t="s">
        <v>74</v>
      </c>
      <c r="E64" s="6" t="s">
        <v>1719</v>
      </c>
      <c r="F64" s="6" t="s">
        <v>1588</v>
      </c>
      <c r="G64" s="7" t="s">
        <v>1698</v>
      </c>
      <c r="H64" s="7"/>
    </row>
    <row r="65" spans="1:8" ht="17.100000000000001" customHeight="1" x14ac:dyDescent="0.25">
      <c r="A65" s="7" t="s">
        <v>1273</v>
      </c>
      <c r="B65" s="6" t="s">
        <v>1272</v>
      </c>
      <c r="C65" s="6" t="s">
        <v>76</v>
      </c>
      <c r="D65" s="6" t="s">
        <v>74</v>
      </c>
      <c r="E65" s="6" t="s">
        <v>1719</v>
      </c>
      <c r="F65" s="6" t="s">
        <v>1271</v>
      </c>
      <c r="G65" s="7" t="s">
        <v>1698</v>
      </c>
      <c r="H65" s="7"/>
    </row>
    <row r="66" spans="1:8" ht="17.100000000000001" customHeight="1" x14ac:dyDescent="0.25">
      <c r="A66" s="7" t="s">
        <v>1237</v>
      </c>
      <c r="B66" s="6" t="s">
        <v>1236</v>
      </c>
      <c r="C66" s="6" t="s">
        <v>76</v>
      </c>
      <c r="D66" s="6" t="s">
        <v>74</v>
      </c>
      <c r="E66" s="6" t="s">
        <v>1719</v>
      </c>
      <c r="F66" s="6" t="s">
        <v>1235</v>
      </c>
      <c r="G66" s="7" t="s">
        <v>1698</v>
      </c>
      <c r="H66" s="7"/>
    </row>
    <row r="67" spans="1:8" ht="17.100000000000001" customHeight="1" x14ac:dyDescent="0.25">
      <c r="A67" s="7" t="s">
        <v>1237</v>
      </c>
      <c r="B67" s="6" t="s">
        <v>1236</v>
      </c>
      <c r="C67" s="6" t="s">
        <v>76</v>
      </c>
      <c r="D67" s="6" t="s">
        <v>74</v>
      </c>
      <c r="E67" s="6" t="s">
        <v>1719</v>
      </c>
      <c r="F67" s="6" t="s">
        <v>1592</v>
      </c>
      <c r="G67" s="7" t="s">
        <v>1698</v>
      </c>
      <c r="H67" s="7"/>
    </row>
    <row r="68" spans="1:8" ht="17.100000000000001" customHeight="1" x14ac:dyDescent="0.25">
      <c r="A68" s="7" t="s">
        <v>1071</v>
      </c>
      <c r="B68" s="6" t="s">
        <v>1070</v>
      </c>
      <c r="C68" s="6" t="s">
        <v>76</v>
      </c>
      <c r="D68" s="6" t="s">
        <v>74</v>
      </c>
      <c r="E68" s="6" t="s">
        <v>1719</v>
      </c>
      <c r="F68" s="6" t="s">
        <v>1069</v>
      </c>
      <c r="G68" s="7" t="s">
        <v>1698</v>
      </c>
      <c r="H68" s="7"/>
    </row>
    <row r="69" spans="1:8" ht="17.100000000000001" customHeight="1" x14ac:dyDescent="0.25">
      <c r="A69" s="7" t="s">
        <v>1023</v>
      </c>
      <c r="B69" s="6" t="s">
        <v>1022</v>
      </c>
      <c r="C69" s="6" t="s">
        <v>76</v>
      </c>
      <c r="D69" s="6" t="s">
        <v>74</v>
      </c>
      <c r="E69" s="6" t="s">
        <v>1719</v>
      </c>
      <c r="F69" s="6" t="s">
        <v>1021</v>
      </c>
      <c r="G69" s="7" t="s">
        <v>1698</v>
      </c>
      <c r="H69" s="7"/>
    </row>
    <row r="70" spans="1:8" ht="17.100000000000001" customHeight="1" x14ac:dyDescent="0.25">
      <c r="A70" s="7" t="s">
        <v>1083</v>
      </c>
      <c r="B70" s="6" t="s">
        <v>1082</v>
      </c>
      <c r="C70" s="6" t="s">
        <v>76</v>
      </c>
      <c r="D70" s="6" t="s">
        <v>74</v>
      </c>
      <c r="E70" s="6" t="s">
        <v>1719</v>
      </c>
      <c r="F70" s="6" t="s">
        <v>1081</v>
      </c>
      <c r="G70" s="7" t="s">
        <v>1698</v>
      </c>
      <c r="H70" s="7"/>
    </row>
    <row r="71" spans="1:8" ht="17.100000000000001" customHeight="1" x14ac:dyDescent="0.25">
      <c r="A71" s="7" t="s">
        <v>1035</v>
      </c>
      <c r="B71" s="6" t="s">
        <v>1034</v>
      </c>
      <c r="C71" s="6" t="s">
        <v>76</v>
      </c>
      <c r="D71" s="6" t="s">
        <v>74</v>
      </c>
      <c r="E71" s="6" t="s">
        <v>1719</v>
      </c>
      <c r="F71" s="6" t="s">
        <v>1033</v>
      </c>
      <c r="G71" s="7" t="s">
        <v>1698</v>
      </c>
      <c r="H71" s="7"/>
    </row>
    <row r="72" spans="1:8" ht="17.100000000000001" customHeight="1" x14ac:dyDescent="0.25">
      <c r="A72" s="7" t="s">
        <v>1101</v>
      </c>
      <c r="B72" s="6" t="s">
        <v>1100</v>
      </c>
      <c r="C72" s="6" t="s">
        <v>76</v>
      </c>
      <c r="D72" s="6" t="s">
        <v>74</v>
      </c>
      <c r="E72" s="6" t="s">
        <v>1719</v>
      </c>
      <c r="F72" s="6" t="s">
        <v>1099</v>
      </c>
      <c r="G72" s="7" t="s">
        <v>1698</v>
      </c>
      <c r="H72" s="7"/>
    </row>
    <row r="73" spans="1:8" ht="17.100000000000001" customHeight="1" x14ac:dyDescent="0.25">
      <c r="A73" s="7" t="s">
        <v>1095</v>
      </c>
      <c r="B73" s="6" t="s">
        <v>1094</v>
      </c>
      <c r="C73" s="6" t="s">
        <v>76</v>
      </c>
      <c r="D73" s="6" t="s">
        <v>74</v>
      </c>
      <c r="E73" s="6" t="s">
        <v>1719</v>
      </c>
      <c r="F73" s="6" t="s">
        <v>1093</v>
      </c>
      <c r="G73" s="7" t="s">
        <v>1698</v>
      </c>
      <c r="H73" s="7"/>
    </row>
    <row r="74" spans="1:8" ht="17.100000000000001" customHeight="1" x14ac:dyDescent="0.25">
      <c r="A74" s="7" t="s">
        <v>1086</v>
      </c>
      <c r="B74" s="6" t="s">
        <v>1085</v>
      </c>
      <c r="C74" s="6" t="s">
        <v>76</v>
      </c>
      <c r="D74" s="6" t="s">
        <v>74</v>
      </c>
      <c r="E74" s="6" t="s">
        <v>1719</v>
      </c>
      <c r="F74" s="6" t="s">
        <v>1084</v>
      </c>
      <c r="G74" s="7" t="s">
        <v>1698</v>
      </c>
      <c r="H74" s="7"/>
    </row>
    <row r="75" spans="1:8" ht="17.100000000000001" customHeight="1" x14ac:dyDescent="0.25">
      <c r="A75" s="7" t="s">
        <v>1038</v>
      </c>
      <c r="B75" s="6" t="s">
        <v>1037</v>
      </c>
      <c r="C75" s="6" t="s">
        <v>76</v>
      </c>
      <c r="D75" s="6" t="s">
        <v>74</v>
      </c>
      <c r="E75" s="6" t="s">
        <v>1719</v>
      </c>
      <c r="F75" s="6" t="s">
        <v>1036</v>
      </c>
      <c r="G75" s="7" t="s">
        <v>1698</v>
      </c>
      <c r="H75" s="7"/>
    </row>
    <row r="76" spans="1:8" ht="17.100000000000001" customHeight="1" x14ac:dyDescent="0.25">
      <c r="A76" s="7" t="s">
        <v>1056</v>
      </c>
      <c r="B76" s="6" t="s">
        <v>1055</v>
      </c>
      <c r="C76" s="6" t="s">
        <v>76</v>
      </c>
      <c r="D76" s="6" t="s">
        <v>74</v>
      </c>
      <c r="E76" s="6" t="s">
        <v>1719</v>
      </c>
      <c r="F76" s="6" t="s">
        <v>1054</v>
      </c>
      <c r="G76" s="7" t="s">
        <v>1698</v>
      </c>
      <c r="H76" s="7"/>
    </row>
    <row r="77" spans="1:8" ht="17.100000000000001" customHeight="1" x14ac:dyDescent="0.25">
      <c r="A77" s="7" t="s">
        <v>1008</v>
      </c>
      <c r="B77" s="6" t="s">
        <v>1007</v>
      </c>
      <c r="C77" s="6" t="s">
        <v>76</v>
      </c>
      <c r="D77" s="6" t="s">
        <v>74</v>
      </c>
      <c r="E77" s="6" t="s">
        <v>1719</v>
      </c>
      <c r="F77" s="6" t="s">
        <v>1006</v>
      </c>
      <c r="G77" s="7" t="s">
        <v>1698</v>
      </c>
      <c r="H77" s="7"/>
    </row>
    <row r="78" spans="1:8" ht="17.100000000000001" customHeight="1" x14ac:dyDescent="0.25">
      <c r="A78" s="7" t="s">
        <v>901</v>
      </c>
      <c r="B78" s="6" t="s">
        <v>900</v>
      </c>
      <c r="C78" s="6" t="s">
        <v>76</v>
      </c>
      <c r="D78" s="6" t="s">
        <v>74</v>
      </c>
      <c r="E78" s="6" t="s">
        <v>1719</v>
      </c>
      <c r="F78" s="6" t="s">
        <v>899</v>
      </c>
      <c r="G78" s="7" t="s">
        <v>1698</v>
      </c>
      <c r="H78" s="7"/>
    </row>
    <row r="79" spans="1:8" ht="17.100000000000001" customHeight="1" x14ac:dyDescent="0.25">
      <c r="A79" s="7" t="s">
        <v>847</v>
      </c>
      <c r="B79" s="6" t="s">
        <v>846</v>
      </c>
      <c r="C79" s="6" t="s">
        <v>76</v>
      </c>
      <c r="D79" s="6" t="s">
        <v>74</v>
      </c>
      <c r="E79" s="6" t="s">
        <v>1719</v>
      </c>
      <c r="F79" s="6" t="s">
        <v>845</v>
      </c>
      <c r="G79" s="7" t="s">
        <v>1698</v>
      </c>
      <c r="H79" s="7"/>
    </row>
    <row r="80" spans="1:8" ht="17.100000000000001" customHeight="1" x14ac:dyDescent="0.25">
      <c r="A80" s="7" t="s">
        <v>1044</v>
      </c>
      <c r="B80" s="6" t="s">
        <v>1043</v>
      </c>
      <c r="C80" s="6" t="s">
        <v>76</v>
      </c>
      <c r="D80" s="6" t="s">
        <v>74</v>
      </c>
      <c r="E80" s="6" t="s">
        <v>1719</v>
      </c>
      <c r="F80" s="6" t="s">
        <v>1042</v>
      </c>
      <c r="G80" s="7" t="s">
        <v>1698</v>
      </c>
      <c r="H80" s="7"/>
    </row>
    <row r="81" spans="1:8" ht="17.100000000000001" customHeight="1" x14ac:dyDescent="0.25">
      <c r="A81" s="7" t="s">
        <v>996</v>
      </c>
      <c r="B81" s="6" t="s">
        <v>995</v>
      </c>
      <c r="C81" s="6" t="s">
        <v>76</v>
      </c>
      <c r="D81" s="6" t="s">
        <v>74</v>
      </c>
      <c r="E81" s="6" t="s">
        <v>1719</v>
      </c>
      <c r="F81" s="6" t="s">
        <v>994</v>
      </c>
      <c r="G81" s="7" t="s">
        <v>1698</v>
      </c>
      <c r="H81" s="7"/>
    </row>
    <row r="82" spans="1:8" ht="17.100000000000001" customHeight="1" x14ac:dyDescent="0.25">
      <c r="A82" s="7" t="s">
        <v>1050</v>
      </c>
      <c r="B82" s="6" t="s">
        <v>1049</v>
      </c>
      <c r="C82" s="6" t="s">
        <v>76</v>
      </c>
      <c r="D82" s="6" t="s">
        <v>74</v>
      </c>
      <c r="E82" s="6" t="s">
        <v>1719</v>
      </c>
      <c r="F82" s="6" t="s">
        <v>1048</v>
      </c>
      <c r="G82" s="7" t="s">
        <v>1698</v>
      </c>
      <c r="H82" s="7"/>
    </row>
    <row r="83" spans="1:8" ht="17.100000000000001" customHeight="1" x14ac:dyDescent="0.25">
      <c r="A83" s="7" t="s">
        <v>1074</v>
      </c>
      <c r="B83" s="6" t="s">
        <v>1073</v>
      </c>
      <c r="C83" s="6" t="s">
        <v>76</v>
      </c>
      <c r="D83" s="6" t="s">
        <v>74</v>
      </c>
      <c r="E83" s="6" t="s">
        <v>1719</v>
      </c>
      <c r="F83" s="6" t="s">
        <v>1072</v>
      </c>
      <c r="G83" s="7" t="s">
        <v>1698</v>
      </c>
      <c r="H83" s="7"/>
    </row>
    <row r="84" spans="1:8" ht="17.100000000000001" customHeight="1" x14ac:dyDescent="0.25">
      <c r="A84" s="7" t="s">
        <v>1026</v>
      </c>
      <c r="B84" s="6" t="s">
        <v>1025</v>
      </c>
      <c r="C84" s="6" t="s">
        <v>76</v>
      </c>
      <c r="D84" s="6" t="s">
        <v>74</v>
      </c>
      <c r="E84" s="6" t="s">
        <v>1719</v>
      </c>
      <c r="F84" s="6" t="s">
        <v>1024</v>
      </c>
      <c r="G84" s="7" t="s">
        <v>1698</v>
      </c>
      <c r="H84" s="7"/>
    </row>
    <row r="85" spans="1:8" ht="17.100000000000001" customHeight="1" x14ac:dyDescent="0.25">
      <c r="A85" s="7" t="s">
        <v>1062</v>
      </c>
      <c r="B85" s="6" t="s">
        <v>1061</v>
      </c>
      <c r="C85" s="6" t="s">
        <v>76</v>
      </c>
      <c r="D85" s="6" t="s">
        <v>74</v>
      </c>
      <c r="E85" s="6" t="s">
        <v>1719</v>
      </c>
      <c r="F85" s="6" t="s">
        <v>1060</v>
      </c>
      <c r="G85" s="7" t="s">
        <v>1698</v>
      </c>
      <c r="H85" s="7"/>
    </row>
    <row r="86" spans="1:8" ht="17.100000000000001" customHeight="1" x14ac:dyDescent="0.25">
      <c r="A86" s="7" t="s">
        <v>1014</v>
      </c>
      <c r="B86" s="6" t="s">
        <v>1013</v>
      </c>
      <c r="C86" s="6" t="s">
        <v>76</v>
      </c>
      <c r="D86" s="6" t="s">
        <v>74</v>
      </c>
      <c r="E86" s="6" t="s">
        <v>1719</v>
      </c>
      <c r="F86" s="6" t="s">
        <v>1012</v>
      </c>
      <c r="G86" s="7" t="s">
        <v>1698</v>
      </c>
      <c r="H86" s="7"/>
    </row>
    <row r="87" spans="1:8" ht="17.100000000000001" customHeight="1" x14ac:dyDescent="0.25">
      <c r="A87" s="7" t="s">
        <v>922</v>
      </c>
      <c r="B87" s="6" t="s">
        <v>921</v>
      </c>
      <c r="C87" s="6" t="s">
        <v>76</v>
      </c>
      <c r="D87" s="6" t="s">
        <v>74</v>
      </c>
      <c r="E87" s="6" t="s">
        <v>1719</v>
      </c>
      <c r="F87" s="6" t="s">
        <v>920</v>
      </c>
      <c r="G87" s="7" t="s">
        <v>1698</v>
      </c>
      <c r="H87" s="7"/>
    </row>
    <row r="88" spans="1:8" ht="17.100000000000001" customHeight="1" x14ac:dyDescent="0.25">
      <c r="A88" s="7" t="s">
        <v>868</v>
      </c>
      <c r="B88" s="6" t="s">
        <v>867</v>
      </c>
      <c r="C88" s="6" t="s">
        <v>76</v>
      </c>
      <c r="D88" s="6" t="s">
        <v>74</v>
      </c>
      <c r="E88" s="6" t="s">
        <v>1719</v>
      </c>
      <c r="F88" s="6" t="s">
        <v>866</v>
      </c>
      <c r="G88" s="7" t="s">
        <v>1698</v>
      </c>
      <c r="H88" s="7"/>
    </row>
    <row r="89" spans="1:8" ht="17.100000000000001" customHeight="1" x14ac:dyDescent="0.25">
      <c r="A89" s="7" t="s">
        <v>1047</v>
      </c>
      <c r="B89" s="6" t="s">
        <v>1046</v>
      </c>
      <c r="C89" s="6" t="s">
        <v>76</v>
      </c>
      <c r="D89" s="6" t="s">
        <v>74</v>
      </c>
      <c r="E89" s="6" t="s">
        <v>1719</v>
      </c>
      <c r="F89" s="6" t="s">
        <v>1045</v>
      </c>
      <c r="G89" s="7" t="s">
        <v>1698</v>
      </c>
      <c r="H89" s="7"/>
    </row>
    <row r="90" spans="1:8" ht="17.100000000000001" customHeight="1" x14ac:dyDescent="0.25">
      <c r="A90" s="7" t="s">
        <v>999</v>
      </c>
      <c r="B90" s="6" t="s">
        <v>998</v>
      </c>
      <c r="C90" s="6" t="s">
        <v>76</v>
      </c>
      <c r="D90" s="6" t="s">
        <v>74</v>
      </c>
      <c r="E90" s="6" t="s">
        <v>1719</v>
      </c>
      <c r="F90" s="6" t="s">
        <v>997</v>
      </c>
      <c r="G90" s="7" t="s">
        <v>1698</v>
      </c>
      <c r="H90" s="7"/>
    </row>
    <row r="91" spans="1:8" ht="17.100000000000001" customHeight="1" x14ac:dyDescent="0.25">
      <c r="A91" s="7" t="s">
        <v>1053</v>
      </c>
      <c r="B91" s="6" t="s">
        <v>1052</v>
      </c>
      <c r="C91" s="6" t="s">
        <v>76</v>
      </c>
      <c r="D91" s="6" t="s">
        <v>74</v>
      </c>
      <c r="E91" s="6" t="s">
        <v>1719</v>
      </c>
      <c r="F91" s="6" t="s">
        <v>1051</v>
      </c>
      <c r="G91" s="7" t="s">
        <v>1698</v>
      </c>
      <c r="H91" s="7"/>
    </row>
    <row r="92" spans="1:8" ht="17.100000000000001" customHeight="1" x14ac:dyDescent="0.25">
      <c r="A92" s="7" t="s">
        <v>1005</v>
      </c>
      <c r="B92" s="6" t="s">
        <v>1004</v>
      </c>
      <c r="C92" s="6" t="s">
        <v>76</v>
      </c>
      <c r="D92" s="6" t="s">
        <v>74</v>
      </c>
      <c r="E92" s="6" t="s">
        <v>1719</v>
      </c>
      <c r="F92" s="6" t="s">
        <v>1003</v>
      </c>
      <c r="G92" s="7" t="s">
        <v>1698</v>
      </c>
      <c r="H92" s="7"/>
    </row>
    <row r="93" spans="1:8" ht="17.100000000000001" customHeight="1" x14ac:dyDescent="0.25">
      <c r="A93" s="7" t="s">
        <v>1068</v>
      </c>
      <c r="B93" s="6" t="s">
        <v>1067</v>
      </c>
      <c r="C93" s="6" t="s">
        <v>76</v>
      </c>
      <c r="D93" s="6" t="s">
        <v>74</v>
      </c>
      <c r="E93" s="6" t="s">
        <v>1719</v>
      </c>
      <c r="F93" s="6" t="s">
        <v>1066</v>
      </c>
      <c r="G93" s="7" t="s">
        <v>1698</v>
      </c>
      <c r="H93" s="7"/>
    </row>
    <row r="94" spans="1:8" ht="17.100000000000001" customHeight="1" x14ac:dyDescent="0.25">
      <c r="A94" s="7" t="s">
        <v>1020</v>
      </c>
      <c r="B94" s="6" t="s">
        <v>1019</v>
      </c>
      <c r="C94" s="6" t="s">
        <v>76</v>
      </c>
      <c r="D94" s="6" t="s">
        <v>74</v>
      </c>
      <c r="E94" s="6" t="s">
        <v>1719</v>
      </c>
      <c r="F94" s="6" t="s">
        <v>1018</v>
      </c>
      <c r="G94" s="7" t="s">
        <v>1698</v>
      </c>
      <c r="H94" s="7"/>
    </row>
    <row r="95" spans="1:8" ht="17.100000000000001" customHeight="1" x14ac:dyDescent="0.25">
      <c r="A95" s="7" t="s">
        <v>1080</v>
      </c>
      <c r="B95" s="6" t="s">
        <v>1079</v>
      </c>
      <c r="C95" s="6" t="s">
        <v>76</v>
      </c>
      <c r="D95" s="6" t="s">
        <v>74</v>
      </c>
      <c r="E95" s="6" t="s">
        <v>1719</v>
      </c>
      <c r="F95" s="6" t="s">
        <v>1078</v>
      </c>
      <c r="G95" s="7" t="s">
        <v>1698</v>
      </c>
      <c r="H95" s="7"/>
    </row>
    <row r="96" spans="1:8" ht="17.100000000000001" customHeight="1" x14ac:dyDescent="0.25">
      <c r="A96" s="7" t="s">
        <v>1032</v>
      </c>
      <c r="B96" s="6" t="s">
        <v>1031</v>
      </c>
      <c r="C96" s="6" t="s">
        <v>76</v>
      </c>
      <c r="D96" s="6" t="s">
        <v>74</v>
      </c>
      <c r="E96" s="6" t="s">
        <v>1719</v>
      </c>
      <c r="F96" s="6" t="s">
        <v>1030</v>
      </c>
      <c r="G96" s="7" t="s">
        <v>1698</v>
      </c>
      <c r="H96" s="7"/>
    </row>
    <row r="97" spans="1:8" ht="17.100000000000001" customHeight="1" x14ac:dyDescent="0.25">
      <c r="A97" s="7" t="s">
        <v>1098</v>
      </c>
      <c r="B97" s="6" t="s">
        <v>1097</v>
      </c>
      <c r="C97" s="6" t="s">
        <v>76</v>
      </c>
      <c r="D97" s="6" t="s">
        <v>74</v>
      </c>
      <c r="E97" s="6" t="s">
        <v>1719</v>
      </c>
      <c r="F97" s="6" t="s">
        <v>1096</v>
      </c>
      <c r="G97" s="7" t="s">
        <v>1698</v>
      </c>
      <c r="H97" s="7"/>
    </row>
    <row r="98" spans="1:8" ht="17.100000000000001" customHeight="1" x14ac:dyDescent="0.25">
      <c r="A98" s="7" t="s">
        <v>1092</v>
      </c>
      <c r="B98" s="6" t="s">
        <v>1091</v>
      </c>
      <c r="C98" s="6" t="s">
        <v>76</v>
      </c>
      <c r="D98" s="6" t="s">
        <v>74</v>
      </c>
      <c r="E98" s="6" t="s">
        <v>1719</v>
      </c>
      <c r="F98" s="6" t="s">
        <v>1090</v>
      </c>
      <c r="G98" s="7" t="s">
        <v>1698</v>
      </c>
      <c r="H98" s="7"/>
    </row>
    <row r="99" spans="1:8" ht="17.100000000000001" customHeight="1" x14ac:dyDescent="0.25">
      <c r="A99" s="7" t="s">
        <v>1211</v>
      </c>
      <c r="B99" s="6" t="s">
        <v>1210</v>
      </c>
      <c r="C99" s="6" t="s">
        <v>76</v>
      </c>
      <c r="D99" s="6" t="s">
        <v>74</v>
      </c>
      <c r="E99" s="6" t="s">
        <v>1719</v>
      </c>
      <c r="F99" s="6" t="s">
        <v>1209</v>
      </c>
      <c r="G99" s="7" t="s">
        <v>1698</v>
      </c>
      <c r="H99" s="7"/>
    </row>
    <row r="100" spans="1:8" ht="17.100000000000001" customHeight="1" x14ac:dyDescent="0.25">
      <c r="A100" s="7" t="s">
        <v>1169</v>
      </c>
      <c r="B100" s="6" t="s">
        <v>1168</v>
      </c>
      <c r="C100" s="6" t="s">
        <v>76</v>
      </c>
      <c r="D100" s="6" t="s">
        <v>74</v>
      </c>
      <c r="E100" s="6" t="s">
        <v>1719</v>
      </c>
      <c r="F100" s="6" t="s">
        <v>1167</v>
      </c>
      <c r="G100" s="7" t="s">
        <v>1698</v>
      </c>
      <c r="H100" s="7"/>
    </row>
    <row r="101" spans="1:8" ht="17.100000000000001" customHeight="1" x14ac:dyDescent="0.25">
      <c r="A101" s="7" t="s">
        <v>1214</v>
      </c>
      <c r="B101" s="6" t="s">
        <v>1213</v>
      </c>
      <c r="C101" s="6" t="s">
        <v>76</v>
      </c>
      <c r="D101" s="6" t="s">
        <v>74</v>
      </c>
      <c r="E101" s="6" t="s">
        <v>1719</v>
      </c>
      <c r="F101" s="6" t="s">
        <v>1212</v>
      </c>
      <c r="G101" s="7" t="s">
        <v>1698</v>
      </c>
      <c r="H101" s="7"/>
    </row>
    <row r="102" spans="1:8" ht="17.100000000000001" customHeight="1" x14ac:dyDescent="0.25">
      <c r="A102" s="7" t="s">
        <v>1172</v>
      </c>
      <c r="B102" s="6" t="s">
        <v>1171</v>
      </c>
      <c r="C102" s="6" t="s">
        <v>76</v>
      </c>
      <c r="D102" s="6" t="s">
        <v>74</v>
      </c>
      <c r="E102" s="6" t="s">
        <v>1719</v>
      </c>
      <c r="F102" s="6" t="s">
        <v>1170</v>
      </c>
      <c r="G102" s="7" t="s">
        <v>1698</v>
      </c>
      <c r="H102" s="7"/>
    </row>
    <row r="103" spans="1:8" ht="17.100000000000001" customHeight="1" x14ac:dyDescent="0.25">
      <c r="A103" s="7" t="s">
        <v>1196</v>
      </c>
      <c r="B103" s="6" t="s">
        <v>1195</v>
      </c>
      <c r="C103" s="6" t="s">
        <v>76</v>
      </c>
      <c r="D103" s="6" t="s">
        <v>74</v>
      </c>
      <c r="E103" s="6" t="s">
        <v>1719</v>
      </c>
      <c r="F103" s="6" t="s">
        <v>1194</v>
      </c>
      <c r="G103" s="7" t="s">
        <v>1698</v>
      </c>
      <c r="H103" s="7"/>
    </row>
    <row r="104" spans="1:8" ht="17.100000000000001" customHeight="1" x14ac:dyDescent="0.25">
      <c r="A104" s="7" t="s">
        <v>1154</v>
      </c>
      <c r="B104" s="6" t="s">
        <v>1153</v>
      </c>
      <c r="C104" s="6" t="s">
        <v>76</v>
      </c>
      <c r="D104" s="6" t="s">
        <v>74</v>
      </c>
      <c r="E104" s="6" t="s">
        <v>1719</v>
      </c>
      <c r="F104" s="6" t="s">
        <v>1152</v>
      </c>
      <c r="G104" s="7" t="s">
        <v>1698</v>
      </c>
      <c r="H104" s="7"/>
    </row>
    <row r="105" spans="1:8" ht="17.100000000000001" customHeight="1" x14ac:dyDescent="0.25">
      <c r="A105" s="7" t="s">
        <v>1217</v>
      </c>
      <c r="B105" s="6" t="s">
        <v>1216</v>
      </c>
      <c r="C105" s="6" t="s">
        <v>76</v>
      </c>
      <c r="D105" s="6" t="s">
        <v>74</v>
      </c>
      <c r="E105" s="6" t="s">
        <v>1719</v>
      </c>
      <c r="F105" s="6" t="s">
        <v>1215</v>
      </c>
      <c r="G105" s="7" t="s">
        <v>1698</v>
      </c>
      <c r="H105" s="7"/>
    </row>
    <row r="106" spans="1:8" ht="17.100000000000001" customHeight="1" x14ac:dyDescent="0.25">
      <c r="A106" s="7" t="s">
        <v>1175</v>
      </c>
      <c r="B106" s="6" t="s">
        <v>1174</v>
      </c>
      <c r="C106" s="6" t="s">
        <v>76</v>
      </c>
      <c r="D106" s="6" t="s">
        <v>74</v>
      </c>
      <c r="E106" s="6" t="s">
        <v>1719</v>
      </c>
      <c r="F106" s="6" t="s">
        <v>1173</v>
      </c>
      <c r="G106" s="7" t="s">
        <v>1698</v>
      </c>
      <c r="H106" s="7"/>
    </row>
    <row r="107" spans="1:8" ht="17.100000000000001" customHeight="1" x14ac:dyDescent="0.25">
      <c r="A107" s="7" t="s">
        <v>1199</v>
      </c>
      <c r="B107" s="6" t="s">
        <v>1198</v>
      </c>
      <c r="C107" s="6" t="s">
        <v>76</v>
      </c>
      <c r="D107" s="6" t="s">
        <v>74</v>
      </c>
      <c r="E107" s="6" t="s">
        <v>1719</v>
      </c>
      <c r="F107" s="6" t="s">
        <v>1197</v>
      </c>
      <c r="G107" s="7" t="s">
        <v>1698</v>
      </c>
      <c r="H107" s="7"/>
    </row>
    <row r="108" spans="1:8" ht="17.100000000000001" customHeight="1" x14ac:dyDescent="0.25">
      <c r="A108" s="7" t="s">
        <v>1157</v>
      </c>
      <c r="B108" s="6" t="s">
        <v>1156</v>
      </c>
      <c r="C108" s="6" t="s">
        <v>76</v>
      </c>
      <c r="D108" s="6" t="s">
        <v>74</v>
      </c>
      <c r="E108" s="6" t="s">
        <v>1719</v>
      </c>
      <c r="F108" s="6" t="s">
        <v>1155</v>
      </c>
      <c r="G108" s="7" t="s">
        <v>1698</v>
      </c>
      <c r="H108" s="7"/>
    </row>
    <row r="109" spans="1:8" ht="17.100000000000001" customHeight="1" x14ac:dyDescent="0.25">
      <c r="A109" s="7" t="s">
        <v>1202</v>
      </c>
      <c r="B109" s="6" t="s">
        <v>1201</v>
      </c>
      <c r="C109" s="6" t="s">
        <v>76</v>
      </c>
      <c r="D109" s="6" t="s">
        <v>74</v>
      </c>
      <c r="E109" s="6" t="s">
        <v>1719</v>
      </c>
      <c r="F109" s="6" t="s">
        <v>1200</v>
      </c>
      <c r="G109" s="7" t="s">
        <v>1698</v>
      </c>
      <c r="H109" s="7"/>
    </row>
    <row r="110" spans="1:8" ht="17.100000000000001" customHeight="1" x14ac:dyDescent="0.25">
      <c r="A110" s="7" t="s">
        <v>1160</v>
      </c>
      <c r="B110" s="6" t="s">
        <v>1159</v>
      </c>
      <c r="C110" s="6" t="s">
        <v>76</v>
      </c>
      <c r="D110" s="6" t="s">
        <v>74</v>
      </c>
      <c r="E110" s="6" t="s">
        <v>1719</v>
      </c>
      <c r="F110" s="6" t="s">
        <v>1158</v>
      </c>
      <c r="G110" s="7" t="s">
        <v>1698</v>
      </c>
      <c r="H110" s="7"/>
    </row>
    <row r="111" spans="1:8" ht="17.100000000000001" customHeight="1" x14ac:dyDescent="0.25">
      <c r="A111" s="7"/>
      <c r="B111" s="6"/>
      <c r="C111" s="6"/>
      <c r="D111" s="6"/>
      <c r="E111" s="6"/>
      <c r="F111" s="6"/>
      <c r="G111" s="7"/>
      <c r="H111" s="7"/>
    </row>
    <row r="112" spans="1:8" ht="17.100000000000001" customHeight="1" x14ac:dyDescent="0.25">
      <c r="A112" s="7" t="s">
        <v>1388</v>
      </c>
      <c r="B112" s="6" t="s">
        <v>54</v>
      </c>
      <c r="C112" s="6" t="s">
        <v>76</v>
      </c>
      <c r="D112" s="6" t="s">
        <v>82</v>
      </c>
      <c r="E112" s="6" t="s">
        <v>1719</v>
      </c>
      <c r="F112" s="6" t="s">
        <v>1387</v>
      </c>
      <c r="G112" s="7" t="s">
        <v>1698</v>
      </c>
      <c r="H112" s="7"/>
    </row>
    <row r="113" spans="1:8" ht="17.100000000000001" customHeight="1" x14ac:dyDescent="0.25">
      <c r="A113" s="7" t="s">
        <v>1390</v>
      </c>
      <c r="B113" s="6" t="s">
        <v>54</v>
      </c>
      <c r="C113" s="6" t="s">
        <v>76</v>
      </c>
      <c r="D113" s="6" t="s">
        <v>82</v>
      </c>
      <c r="E113" s="6" t="s">
        <v>1719</v>
      </c>
      <c r="F113" s="6" t="s">
        <v>1389</v>
      </c>
      <c r="G113" s="7" t="s">
        <v>1698</v>
      </c>
      <c r="H113" s="7"/>
    </row>
  </sheetData>
  <autoFilter ref="H1:H393" xr:uid="{75A1FD51-44CF-4E52-857C-522DDB668D3B}"/>
  <sortState xmlns:xlrd2="http://schemas.microsoft.com/office/spreadsheetml/2017/richdata2" ref="A17:G20">
    <sortCondition ref="B17:B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G113">
    <cfRule type="containsText" dxfId="11" priority="1" operator="containsText" text="XT0004">
      <formula>NOT(ISERROR(SEARCH("XT0004",A14)))</formula>
    </cfRule>
    <cfRule type="containsText" dxfId="10" priority="2" operator="containsText" text="XT292M">
      <formula>NOT(ISERROR(SEARCH("XT292M",A14)))</formula>
    </cfRule>
    <cfRule type="containsText" dxfId="9" priority="3" operator="containsText" text="XT9075M">
      <formula>NOT(ISERROR(SEARCH("XT9075M",A14)))</formula>
    </cfRule>
    <cfRule type="containsText" dxfId="8" priority="4" operator="containsText" text="BA">
      <formula>NOT(ISERROR(SEARCH("BA",A14)))</formula>
    </cfRule>
  </conditionalFormatting>
  <conditionalFormatting sqref="B14:E17 G14:G17 B18:G113">
    <cfRule type="containsText" dxfId="7" priority="5" operator="containsText" text="BA0008">
      <formula>NOT(ISERROR(SEARCH("BA0008",B14)))</formula>
    </cfRule>
    <cfRule type="containsText" dxfId="6" priority="6" operator="containsText" text="BA0007">
      <formula>NOT(ISERROR(SEARCH("BA0007",B14)))</formula>
    </cfRule>
    <cfRule type="containsText" dxfId="5" priority="7" operator="containsText" text="BA1212">
      <formula>NOT(ISERROR(SEARCH("BA1212",B14)))</formula>
    </cfRule>
    <cfRule type="containsText" dxfId="4" priority="8" operator="containsText" text="XT9075M">
      <formula>NOT(ISERROR(SEARCH("XT9075M",B14)))</formula>
    </cfRule>
    <cfRule type="containsText" dxfId="3" priority="9" operator="containsText" text="XT292M">
      <formula>NOT(ISERROR(SEARCH("XT292M",B14)))</formula>
    </cfRule>
    <cfRule type="containsText" dxfId="2" priority="10" operator="containsText" text="XT0004">
      <formula>NOT(ISERROR(SEARCH("XT0004",B14)))</formula>
    </cfRule>
  </conditionalFormatting>
  <conditionalFormatting sqref="B14:E17 G14:H17 B18:H113">
    <cfRule type="containsText" dxfId="1" priority="11" operator="containsText" text="XT9074M">
      <formula>NOT(ISERROR(SEARCH("XT9074M",B14)))</formula>
    </cfRule>
    <cfRule type="containsText" dxfId="0" priority="12" operator="containsText" text="KA">
      <formula>NOT(ISERROR(SEARCH("KA",B14)))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6144-0AB4-4620-A8E8-6E9B3023309A}">
  <dimension ref="A1:AE50"/>
  <sheetViews>
    <sheetView workbookViewId="0">
      <selection activeCell="K7" sqref="K7:K9"/>
    </sheetView>
  </sheetViews>
  <sheetFormatPr defaultRowHeight="15" x14ac:dyDescent="0.25"/>
  <cols>
    <col min="1" max="31" width="13.28515625" customWidth="1"/>
  </cols>
  <sheetData>
    <row r="1" spans="1:31" x14ac:dyDescent="0.25">
      <c r="A1" s="26" t="s">
        <v>1735</v>
      </c>
      <c r="B1" s="26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25">
      <c r="A3" s="9" t="s">
        <v>1736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25">
      <c r="A6" s="10" t="s">
        <v>37</v>
      </c>
      <c r="B6" s="10" t="s">
        <v>1708</v>
      </c>
      <c r="C6" s="10" t="s">
        <v>1707</v>
      </c>
      <c r="D6" s="10" t="s">
        <v>1737</v>
      </c>
      <c r="E6" s="10" t="s">
        <v>1738</v>
      </c>
      <c r="F6" s="10" t="s">
        <v>5</v>
      </c>
      <c r="G6" s="10" t="s">
        <v>1739</v>
      </c>
      <c r="H6" s="10" t="s">
        <v>1697</v>
      </c>
      <c r="I6" s="10" t="s">
        <v>1698</v>
      </c>
      <c r="J6" s="10" t="s">
        <v>1699</v>
      </c>
      <c r="K6" s="10" t="s">
        <v>1700</v>
      </c>
      <c r="L6" s="10" t="s">
        <v>1676</v>
      </c>
      <c r="M6" s="10" t="s">
        <v>1676</v>
      </c>
      <c r="N6" s="10" t="s">
        <v>1676</v>
      </c>
      <c r="O6" s="10" t="s">
        <v>1676</v>
      </c>
      <c r="P6" s="10" t="s">
        <v>1676</v>
      </c>
      <c r="Q6" s="10" t="s">
        <v>1676</v>
      </c>
      <c r="R6" s="10" t="s">
        <v>1676</v>
      </c>
      <c r="S6" s="10" t="s">
        <v>1676</v>
      </c>
      <c r="T6" s="10" t="s">
        <v>1676</v>
      </c>
      <c r="U6" s="10" t="s">
        <v>1676</v>
      </c>
      <c r="V6" s="10" t="s">
        <v>1676</v>
      </c>
      <c r="W6" s="10" t="s">
        <v>1676</v>
      </c>
      <c r="X6" s="10" t="s">
        <v>1676</v>
      </c>
      <c r="Y6" s="10" t="s">
        <v>1676</v>
      </c>
      <c r="Z6" s="10" t="s">
        <v>1676</v>
      </c>
      <c r="AA6" s="10" t="s">
        <v>1676</v>
      </c>
      <c r="AB6" s="10" t="s">
        <v>1676</v>
      </c>
      <c r="AC6" s="10" t="s">
        <v>1676</v>
      </c>
      <c r="AD6" s="10" t="s">
        <v>1676</v>
      </c>
      <c r="AE6" s="10" t="s">
        <v>1676</v>
      </c>
    </row>
    <row r="7" spans="1:31" x14ac:dyDescent="0.25">
      <c r="A7" s="10" t="s">
        <v>36</v>
      </c>
      <c r="B7" s="10" t="s">
        <v>1712</v>
      </c>
      <c r="C7" s="10" t="s">
        <v>1715</v>
      </c>
      <c r="D7" s="10" t="s">
        <v>1677</v>
      </c>
      <c r="E7" s="10" t="s">
        <v>1682</v>
      </c>
      <c r="F7" s="10" t="s">
        <v>1695</v>
      </c>
      <c r="G7" s="10" t="s">
        <v>1723</v>
      </c>
      <c r="H7" s="10" t="s">
        <v>1723</v>
      </c>
      <c r="I7" s="10" t="s">
        <v>1729</v>
      </c>
      <c r="J7" s="10" t="s">
        <v>1701</v>
      </c>
      <c r="K7" s="10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x14ac:dyDescent="0.25">
      <c r="A8" s="10" t="s">
        <v>38</v>
      </c>
      <c r="B8" s="10" t="s">
        <v>1713</v>
      </c>
      <c r="C8" s="10" t="s">
        <v>1716</v>
      </c>
      <c r="D8" s="10" t="s">
        <v>1678</v>
      </c>
      <c r="E8" s="10" t="s">
        <v>1683</v>
      </c>
      <c r="F8" s="10" t="s">
        <v>1691</v>
      </c>
      <c r="G8" s="10" t="s">
        <v>1684</v>
      </c>
      <c r="H8" s="10" t="s">
        <v>1691</v>
      </c>
      <c r="I8" s="10" t="s">
        <v>1730</v>
      </c>
      <c r="J8" s="10" t="s">
        <v>1702</v>
      </c>
      <c r="K8" s="10" t="s">
        <v>1734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x14ac:dyDescent="0.25">
      <c r="A9" s="10" t="s">
        <v>39</v>
      </c>
      <c r="B9" s="10"/>
      <c r="C9" s="10" t="s">
        <v>1717</v>
      </c>
      <c r="D9" s="10" t="s">
        <v>1679</v>
      </c>
      <c r="E9" s="10" t="s">
        <v>1684</v>
      </c>
      <c r="F9" s="10" t="s">
        <v>1684</v>
      </c>
      <c r="G9" s="10"/>
      <c r="H9" s="10" t="s">
        <v>1684</v>
      </c>
      <c r="I9" s="10" t="s">
        <v>1691</v>
      </c>
      <c r="J9" s="10" t="s">
        <v>1687</v>
      </c>
      <c r="K9" s="10" t="s">
        <v>1706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x14ac:dyDescent="0.25">
      <c r="A10" s="10" t="s">
        <v>40</v>
      </c>
      <c r="B10" s="10"/>
      <c r="C10" s="10" t="s">
        <v>1718</v>
      </c>
      <c r="D10" s="10" t="s">
        <v>1680</v>
      </c>
      <c r="E10" s="10" t="s">
        <v>1687</v>
      </c>
      <c r="F10" s="10" t="s">
        <v>1701</v>
      </c>
      <c r="G10" s="10"/>
      <c r="H10" s="10" t="s">
        <v>1685</v>
      </c>
      <c r="I10" s="10" t="s">
        <v>1684</v>
      </c>
      <c r="J10" s="10" t="s">
        <v>1731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x14ac:dyDescent="0.25">
      <c r="A11" s="10" t="s">
        <v>41</v>
      </c>
      <c r="B11" s="10"/>
      <c r="C11" s="10"/>
      <c r="D11" s="10" t="s">
        <v>1681</v>
      </c>
      <c r="E11" s="10" t="s">
        <v>1722</v>
      </c>
      <c r="F11" s="10" t="s">
        <v>1702</v>
      </c>
      <c r="G11" s="10"/>
      <c r="H11" s="10"/>
      <c r="I11" s="10" t="s">
        <v>1724</v>
      </c>
      <c r="J11" s="10" t="s">
        <v>1732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x14ac:dyDescent="0.25">
      <c r="A12" s="10" t="s">
        <v>42</v>
      </c>
      <c r="B12" s="10"/>
      <c r="C12" s="10"/>
      <c r="D12" s="10"/>
      <c r="E12" s="10" t="s">
        <v>1686</v>
      </c>
      <c r="F12" s="10" t="s">
        <v>1687</v>
      </c>
      <c r="G12" s="10"/>
      <c r="H12" s="10"/>
      <c r="I12" s="10" t="s">
        <v>1725</v>
      </c>
      <c r="J12" s="10" t="s">
        <v>1703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x14ac:dyDescent="0.25">
      <c r="A13" s="10" t="s">
        <v>43</v>
      </c>
      <c r="B13" s="10"/>
      <c r="C13" s="10"/>
      <c r="D13" s="10"/>
      <c r="E13" s="10" t="s">
        <v>1685</v>
      </c>
      <c r="F13" s="10" t="s">
        <v>1724</v>
      </c>
      <c r="G13" s="10"/>
      <c r="H13" s="10"/>
      <c r="I13" s="10" t="s">
        <v>1685</v>
      </c>
      <c r="J13" s="10" t="s">
        <v>1704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x14ac:dyDescent="0.25">
      <c r="A14" s="10" t="s">
        <v>44</v>
      </c>
      <c r="B14" s="10"/>
      <c r="C14" s="10"/>
      <c r="D14" s="10"/>
      <c r="E14" s="10" t="s">
        <v>1689</v>
      </c>
      <c r="F14" s="10" t="s">
        <v>1725</v>
      </c>
      <c r="G14" s="10"/>
      <c r="H14" s="10"/>
      <c r="I14" s="10"/>
      <c r="J14" s="10" t="s">
        <v>1705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x14ac:dyDescent="0.25">
      <c r="A15" s="10" t="s">
        <v>45</v>
      </c>
      <c r="B15" s="10"/>
      <c r="C15" s="10"/>
      <c r="D15" s="10"/>
      <c r="E15" s="10" t="s">
        <v>1690</v>
      </c>
      <c r="F15" s="10" t="s">
        <v>1685</v>
      </c>
      <c r="G15" s="10"/>
      <c r="H15" s="10"/>
      <c r="I15" s="10"/>
      <c r="J15" s="10" t="s">
        <v>1706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x14ac:dyDescent="0.25">
      <c r="A16" s="10" t="s">
        <v>46</v>
      </c>
      <c r="B16" s="10"/>
      <c r="C16" s="10"/>
      <c r="D16" s="10"/>
      <c r="E16" s="10" t="s">
        <v>1693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x14ac:dyDescent="0.25">
      <c r="A17" s="10" t="s">
        <v>47</v>
      </c>
      <c r="B17" s="10"/>
      <c r="C17" s="10"/>
      <c r="D17" s="10"/>
      <c r="E17" s="10" t="s">
        <v>1694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x14ac:dyDescent="0.25">
      <c r="A18" s="10"/>
      <c r="B18" s="10"/>
      <c r="C18" s="10"/>
      <c r="D18" s="10"/>
      <c r="E18" s="10" t="s">
        <v>1692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x14ac:dyDescent="0.25">
      <c r="A19" s="10"/>
      <c r="B19" s="10"/>
      <c r="C19" s="10"/>
      <c r="D19" s="10"/>
      <c r="E19" s="10" t="s">
        <v>1688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23D1-EB5B-458C-9324-613D737EF529}">
  <dimension ref="A1:AD31"/>
  <sheetViews>
    <sheetView workbookViewId="0">
      <selection activeCell="E3" sqref="E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JB70</v>
      </c>
      <c r="B1" s="11" t="str">
        <f>IF('Bundle Tag Info'!B6&lt;&gt;"Panel Name",'Bundle Tag Info'!B6,"")</f>
        <v>JB70 R RAIL</v>
      </c>
      <c r="C1" s="11" t="str">
        <f>IF('Bundle Tag Info'!C6&lt;&gt;"Panel Name",'Bundle Tag Info'!C6,"")</f>
        <v>JB70 L RAIL</v>
      </c>
      <c r="D1" s="11" t="str">
        <f>IF('Bundle Tag Info'!D6&lt;&gt;"Panel Name",'Bundle Tag Info'!D6,"")</f>
        <v>PLC</v>
      </c>
      <c r="E1" s="11" t="str">
        <f>IF('Bundle Tag Info'!E6&lt;&gt;"Panel Name",'Bundle Tag Info'!E6,"")</f>
        <v>A</v>
      </c>
      <c r="F1" s="11" t="str">
        <f>IF('Bundle Tag Info'!F6&lt;&gt;"Panel Name",'Bundle Tag Info'!F6,"")</f>
        <v>B</v>
      </c>
      <c r="G1" s="11" t="str">
        <f>IF('Bundle Tag Info'!H6&lt;&gt;"Panel Name",'Bundle Tag Info'!H6,"")</f>
        <v>JB73</v>
      </c>
      <c r="H1" s="11" t="str">
        <f>IF('Bundle Tag Info'!I6&lt;&gt;"Panel Name",'Bundle Tag Info'!I6,"")</f>
        <v>BOP</v>
      </c>
      <c r="I1" s="11" t="str">
        <f>IF('Bundle Tag Info'!J6&lt;&gt;"Panel Name",'Bundle Tag Info'!J6,"")</f>
        <v>JB74 L RAIL</v>
      </c>
      <c r="J1" s="11" t="str">
        <f>IF('Bundle Tag Info'!K6&lt;&gt;"Panel Name",'Bundle Tag Info'!K6,"")</f>
        <v>JB74 R RAIL</v>
      </c>
      <c r="K1" s="11" t="str">
        <f>IF('Bundle Tag Info'!L6&lt;&gt;"Panel Name",'Bundle Tag Info'!L6,"")</f>
        <v/>
      </c>
      <c r="L1" s="11" t="str">
        <f>IF('Bundle Tag Info'!M6&lt;&gt;"Panel Name",'Bundle Tag Info'!M6,"")</f>
        <v/>
      </c>
      <c r="M1" s="11" t="str">
        <f>IF('Bundle Tag Info'!N6&lt;&gt;"Panel Name",'Bundle Tag Info'!N6,"")</f>
        <v/>
      </c>
      <c r="N1" s="11" t="str">
        <f>IF('Bundle Tag Info'!O6&lt;&gt;"Panel Name",'Bundle Tag Info'!O6,"")</f>
        <v/>
      </c>
      <c r="O1" s="11" t="str">
        <f>IF('Bundle Tag Info'!P6&lt;&gt;"Panel Name",'Bundle Tag Info'!P6,"")</f>
        <v/>
      </c>
      <c r="P1" s="11" t="str">
        <f>IF('Bundle Tag Info'!Q6&lt;&gt;"Panel Name",'Bundle Tag Info'!Q6,"")</f>
        <v/>
      </c>
      <c r="Q1" s="11" t="str">
        <f>IF('Bundle Tag Info'!R6&lt;&gt;"Panel Name",'Bundle Tag Info'!R6,"")</f>
        <v/>
      </c>
      <c r="R1" s="11" t="str">
        <f>IF('Bundle Tag Info'!S6&lt;&gt;"Panel Name",'Bundle Tag Info'!S6,"")</f>
        <v/>
      </c>
      <c r="S1" s="11" t="str">
        <f>IF('Bundle Tag Info'!T6&lt;&gt;"Panel Name",'Bundle Tag Info'!T6,"")</f>
        <v/>
      </c>
      <c r="T1" s="11" t="str">
        <f>IF('Bundle Tag Info'!U6&lt;&gt;"Panel Name",'Bundle Tag Info'!U6,"")</f>
        <v/>
      </c>
      <c r="U1" s="11" t="str">
        <f>IF('Bundle Tag Info'!V6&lt;&gt;"Panel Name",'Bundle Tag Info'!V6,"")</f>
        <v/>
      </c>
      <c r="V1" s="11" t="str">
        <f>IF('Bundle Tag Info'!W6&lt;&gt;"Panel Name",'Bundle Tag Info'!W6,"")</f>
        <v/>
      </c>
      <c r="W1" s="11" t="str">
        <f>IF('Bundle Tag Info'!X6&lt;&gt;"Panel Name",'Bundle Tag Info'!X6,"")</f>
        <v/>
      </c>
      <c r="X1" s="11" t="str">
        <f>IF('Bundle Tag Info'!Y6&lt;&gt;"Panel Name",'Bundle Tag Info'!Y6,"")</f>
        <v/>
      </c>
      <c r="Y1" s="11" t="str">
        <f>IF('Bundle Tag Info'!Z6&lt;&gt;"Panel Name",'Bundle Tag Info'!Z6,"")</f>
        <v/>
      </c>
      <c r="Z1" s="11" t="str">
        <f>IF('Bundle Tag Info'!AA6&lt;&gt;"Panel Name",'Bundle Tag Info'!AA6,"")</f>
        <v/>
      </c>
      <c r="AA1" s="11" t="str">
        <f>IF('Bundle Tag Info'!AB6&lt;&gt;"Panel Name",'Bundle Tag Info'!AB6,"")</f>
        <v/>
      </c>
      <c r="AB1" s="11" t="str">
        <f>IF('Bundle Tag Info'!AC6&lt;&gt;"Panel Name",'Bundle Tag Info'!AC6,"")</f>
        <v/>
      </c>
      <c r="AC1" s="11" t="str">
        <f>IF('Bundle Tag Info'!AD6&lt;&gt;"Panel Name",'Bundle Tag Info'!AD6,"")</f>
        <v/>
      </c>
      <c r="AD1" s="11" t="str">
        <f>IF('Bundle Tag Info'!AE6&lt;&gt;"Panel Name",'Bundle Tag Info'!AE6,"")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BP-KEMD  
4L541 B.1
JB70
AT1100</v>
      </c>
      <c r="B2" s="12" t="str">
        <f>IF('Bundle Tag Info'!B$7&lt;&gt;"",CONCATENATE('Bundle Tag Info'!$A$1," ",CHAR(10),'Bundle Tag Info'!$A$2," ",'Bundle Tag Info'!$A$3,CHAR(10),'Bundle Tag Info'!B$6,CHAR(10),'Bundle Tag Info'!B$7),"")</f>
        <v>BP-KEMD  
4L541 B.1
JB70 R RAIL
BA/FU</v>
      </c>
      <c r="C2" s="12" t="str">
        <f>IF('Bundle Tag Info'!C$7&lt;&gt;"",CONCATENATE('Bundle Tag Info'!$A$1," ",CHAR(10),'Bundle Tag Info'!$A$2," ",'Bundle Tag Info'!$A$3,CHAR(10),'Bundle Tag Info'!C$6,CHAR(10),'Bundle Tag Info'!C$7),"")</f>
        <v>BP-KEMD  
4L541 B.1
JB70 L RAIL
XT-A</v>
      </c>
      <c r="D2" s="12" t="str">
        <f>IF('Bundle Tag Info'!D$7&lt;&gt;"",CONCATENATE('Bundle Tag Info'!$A$1," ",CHAR(10),'Bundle Tag Info'!$A$2," ",'Bundle Tag Info'!$A$3,CHAR(10),'Bundle Tag Info'!D$6,CHAR(10),'Bundle Tag Info'!D$7),"")</f>
        <v>BP-KEMD  
4L541 B.1
PLC
BA</v>
      </c>
      <c r="E2" s="12" t="str">
        <f>IF('Bundle Tag Info'!E$7&lt;&gt;"",CONCATENATE('Bundle Tag Info'!$A$1," ",CHAR(10),'Bundle Tag Info'!$A$2," ",'Bundle Tag Info'!$A$3,CHAR(10),'Bundle Tag Info'!E$6,CHAR(10),'Bundle Tag Info'!E$7),"")</f>
        <v>BP-KEMD  
4L541 B.1
A
AF080s</v>
      </c>
      <c r="F2" s="12" t="str">
        <f>IF('Bundle Tag Info'!F$7&lt;&gt;"",CONCATENATE('Bundle Tag Info'!$A$1," ",CHAR(10),'Bundle Tag Info'!$A$2," ",'Bundle Tag Info'!$A$3,CHAR(10),'Bundle Tag Info'!F$6,CHAR(10),'Bundle Tag Info'!F$7),"")</f>
        <v>BP-KEMD  
4L541 B.1
B
AF/AU</v>
      </c>
      <c r="G2" s="12" t="str">
        <f>IF('Bundle Tag Info'!H$7&lt;&gt;"",CONCATENATE('Bundle Tag Info'!$A$1," ",CHAR(10),'Bundle Tag Info'!$A$2," ",'Bundle Tag Info'!$A$3,CHAR(10),'Bundle Tag Info'!H$6,CHAR(10),'Bundle Tag Info'!H$7),"")</f>
        <v>BP-KEMD  
4L541 B.1
JB73
AF</v>
      </c>
      <c r="H2" s="12" t="str">
        <f>IF('Bundle Tag Info'!I$7&lt;&gt;"",CONCATENATE('Bundle Tag Info'!$A$1," ",CHAR(10),'Bundle Tag Info'!$A$2," ",'Bundle Tag Info'!$A$3,CHAR(10),'Bundle Tag Info'!I$6,CHAR(10),'Bundle Tag Info'!I$7),"")</f>
        <v>BP-KEMD  
4L541 B.1
BOP
AF140s</v>
      </c>
      <c r="I2" s="12" t="str">
        <f>IF('Bundle Tag Info'!J$7&lt;&gt;"",CONCATENATE('Bundle Tag Info'!$A$1," ",CHAR(10),'Bundle Tag Info'!$A$2," ",'Bundle Tag Info'!$A$3,CHAR(10),'Bundle Tag Info'!J$6,CHAR(10),'Bundle Tag Info'!J$7),"")</f>
        <v>BP-KEMD  
4L541 B.1
JB74 L RAIL
KA A1</v>
      </c>
      <c r="J2" s="12" t="str">
        <f>IF('Bundle Tag Info'!K$7&lt;&gt;"",CONCATENATE('Bundle Tag Info'!$A$1," ",CHAR(10),'Bundle Tag Info'!$A$2," ",'Bundle Tag Info'!$A$3,CHAR(10),'Bundle Tag Info'!K$6,CHAR(10),'Bundle Tag Info'!K$7),"")</f>
        <v>BP-KEMD  
4L541 B.1
JB74 R RAIL
BA0007</v>
      </c>
      <c r="K2" s="12" t="str">
        <f>IF('Bundle Tag Info'!L$7&lt;&gt;"",CONCATENATE('Bundle Tag Info'!$A$1," ",CHAR(10),'Bundle Tag Info'!$A$2," ",'Bundle Tag Info'!$A$3,CHAR(10),'Bundle Tag Info'!L$6,CHAR(10),'Bundle Tag Info'!L$7),"")</f>
        <v/>
      </c>
      <c r="L2" s="12" t="str">
        <f>IF('Bundle Tag Info'!M$7&lt;&gt;"",CONCATENATE('Bundle Tag Info'!$A$1," ",CHAR(10),'Bundle Tag Info'!$A$2," ",'Bundle Tag Info'!$A$3,CHAR(10),'Bundle Tag Info'!M$6,CHAR(10),'Bundle Tag Info'!M$7),"")</f>
        <v/>
      </c>
      <c r="M2" s="12" t="str">
        <f>IF('Bundle Tag Info'!N$7&lt;&gt;"",CONCATENATE('Bundle Tag Info'!$A$1," ",CHAR(10),'Bundle Tag Info'!$A$2," ",'Bundle Tag Info'!$A$3,CHAR(10),'Bundle Tag Info'!N$6,CHAR(10),'Bundle Tag Info'!N$7),"")</f>
        <v/>
      </c>
      <c r="N2" s="12" t="str">
        <f>IF('Bundle Tag Info'!O$7&lt;&gt;"",CONCATENATE('Bundle Tag Info'!$A$1," ",CHAR(10),'Bundle Tag Info'!$A$2," ",'Bundle Tag Info'!$A$3,CHAR(10),'Bundle Tag Info'!O$6,CHAR(10),'Bundle Tag Info'!O$7),"")</f>
        <v/>
      </c>
      <c r="O2" s="12" t="str">
        <f>IF('Bundle Tag Info'!P$7&lt;&gt;"",CONCATENATE('Bundle Tag Info'!$A$1," ",CHAR(10),'Bundle Tag Info'!$A$2," ",'Bundle Tag Info'!$A$3,CHAR(10),'Bundle Tag Info'!P$6,CHAR(10),'Bundle Tag Info'!P$7),"")</f>
        <v/>
      </c>
      <c r="P2" s="12" t="str">
        <f>IF('Bundle Tag Info'!Q$7&lt;&gt;"",CONCATENATE('Bundle Tag Info'!$A$1," ",CHAR(10),'Bundle Tag Info'!$A$2," ",'Bundle Tag Info'!$A$3,CHAR(10),'Bundle Tag Info'!Q$6,CHAR(10),'Bundle Tag Info'!Q$7),"")</f>
        <v/>
      </c>
      <c r="Q2" s="12" t="str">
        <f>IF('Bundle Tag Info'!R$7&lt;&gt;"",CONCATENATE('Bundle Tag Info'!$A$1," ",CHAR(10),'Bundle Tag Info'!$A$2," ",'Bundle Tag Info'!$A$3,CHAR(10),'Bundle Tag Info'!R$6,CHAR(10),'Bundle Tag Info'!R$7),"")</f>
        <v/>
      </c>
      <c r="R2" s="12" t="str">
        <f>IF('Bundle Tag Info'!S$7&lt;&gt;"",CONCATENATE('Bundle Tag Info'!$A$1," ",CHAR(10),'Bundle Tag Info'!$A$2," ",'Bundle Tag Info'!$A$3,CHAR(10),'Bundle Tag Info'!S$6,CHAR(10),'Bundle Tag Info'!S$7),"")</f>
        <v/>
      </c>
      <c r="S2" s="12" t="str">
        <f>IF('Bundle Tag Info'!T$7&lt;&gt;"",CONCATENATE('Bundle Tag Info'!$A$1," ",CHAR(10),'Bundle Tag Info'!$A$2," ",'Bundle Tag Info'!$A$3,CHAR(10),'Bundle Tag Info'!T$6,CHAR(10),'Bundle Tag Info'!T$7),"")</f>
        <v/>
      </c>
      <c r="T2" s="12" t="str">
        <f>IF('Bundle Tag Info'!U$7&lt;&gt;"",CONCATENATE('Bundle Tag Info'!$A$1," ",CHAR(10),'Bundle Tag Info'!$A$2," ",'Bundle Tag Info'!$A$3,CHAR(10),'Bundle Tag Info'!U$6,CHAR(10),'Bundle Tag Info'!U$7),"")</f>
        <v/>
      </c>
      <c r="U2" s="12" t="str">
        <f>IF('Bundle Tag Info'!V$7&lt;&gt;"",CONCATENATE('Bundle Tag Info'!$A$1," ",CHAR(10),'Bundle Tag Info'!$A$2," ",'Bundle Tag Info'!$A$3,CHAR(10),'Bundle Tag Info'!V$6,CHAR(10),'Bundle Tag Info'!V$7),"")</f>
        <v/>
      </c>
      <c r="V2" s="12" t="str">
        <f>IF('Bundle Tag Info'!W$7&lt;&gt;"",CONCATENATE('Bundle Tag Info'!$A$1," ",CHAR(10),'Bundle Tag Info'!$A$2," ",'Bundle Tag Info'!$A$3,CHAR(10),'Bundle Tag Info'!W$6,CHAR(10),'Bundle Tag Info'!W$7),"")</f>
        <v/>
      </c>
      <c r="W2" s="12" t="str">
        <f>IF('Bundle Tag Info'!X$7&lt;&gt;"",CONCATENATE('Bundle Tag Info'!$A$1," ",CHAR(10),'Bundle Tag Info'!$A$2," ",'Bundle Tag Info'!$A$3,CHAR(10),'Bundle Tag Info'!X$6,CHAR(10),'Bundle Tag Info'!X$7),"")</f>
        <v/>
      </c>
      <c r="X2" s="12" t="str">
        <f>IF('Bundle Tag Info'!Y$7&lt;&gt;"",CONCATENATE('Bundle Tag Info'!$A$1," ",CHAR(10),'Bundle Tag Info'!$A$2," ",'Bundle Tag Info'!$A$3,CHAR(10),'Bundle Tag Info'!Y$6,CHAR(10),'Bundle Tag Info'!Y$7),"")</f>
        <v/>
      </c>
      <c r="Y2" s="12" t="str">
        <f>IF('Bundle Tag Info'!Z$7&lt;&gt;"",CONCATENATE('Bundle Tag Info'!$A$1," ",CHAR(10),'Bundle Tag Info'!$A$2," ",'Bundle Tag Info'!$A$3,CHAR(10),'Bundle Tag Info'!Z$6,CHAR(10),'Bundle Tag Info'!Z$7),"")</f>
        <v/>
      </c>
      <c r="Z2" s="12" t="str">
        <f>IF('Bundle Tag Info'!AA$7&lt;&gt;"",CONCATENATE('Bundle Tag Info'!$A$1," ",CHAR(10),'Bundle Tag Info'!$A$2," ",'Bundle Tag Info'!$A$3,CHAR(10),'Bundle Tag Info'!AA$6,CHAR(10),'Bundle Tag Info'!AA$7),"")</f>
        <v/>
      </c>
      <c r="AA2" s="12" t="str">
        <f>IF('Bundle Tag Info'!AB$7&lt;&gt;"",CONCATENATE('Bundle Tag Info'!$A$1," ",CHAR(10),'Bundle Tag Info'!$A$2," ",'Bundle Tag Info'!$A$3,CHAR(10),'Bundle Tag Info'!AB$6,CHAR(10),'Bundle Tag Info'!AB$7),"")</f>
        <v/>
      </c>
      <c r="AB2" s="12" t="str">
        <f>IF('Bundle Tag Info'!AC$7&lt;&gt;"",CONCATENATE('Bundle Tag Info'!$A$1," ",CHAR(10),'Bundle Tag Info'!$A$2," ",'Bundle Tag Info'!$A$3,CHAR(10),'Bundle Tag Info'!AC$6,CHAR(10),'Bundle Tag Info'!AC$7),"")</f>
        <v/>
      </c>
      <c r="AC2" s="12" t="str">
        <f>IF('Bundle Tag Info'!AD$7&lt;&gt;"",CONCATENATE('Bundle Tag Info'!$A$1," ",CHAR(10),'Bundle Tag Info'!$A$2," ",'Bundle Tag Info'!$A$3,CHAR(10),'Bundle Tag Info'!AD$6,CHAR(10),'Bundle Tag Info'!AD$7),"")</f>
        <v/>
      </c>
      <c r="AD2" s="12" t="str">
        <f>IF('Bundle Tag Info'!AE$7&lt;&gt;"",CONCATENATE('Bundle Tag Info'!$A$1," ",CHAR(10),'Bundle Tag Info'!$A$2," ",'Bundle Tag Info'!$A$3,CHAR(10),'Bundle Tag Info'!AE$6,CHAR(10),'Bundle Tag Info'!AE$7),"")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BP-KEMD  
4L541 B.1
JB70
SA0471</v>
      </c>
      <c r="B3" s="12" t="str">
        <f>IF('Bundle Tag Info'!B$8&lt;&gt;"",CONCATENATE('Bundle Tag Info'!$A$1," ",CHAR(10),'Bundle Tag Info'!$A$2," ",'Bundle Tag Info'!$A$3,CHAR(10),'Bundle Tag Info'!B$6,CHAR(10),'Bundle Tag Info'!B$8),"")</f>
        <v>BP-KEMD  
4L541 B.1
JB70 R RAIL
FU/UJ-A</v>
      </c>
      <c r="C3" s="12" t="str">
        <f>IF('Bundle Tag Info'!C$8&lt;&gt;"",CONCATENATE('Bundle Tag Info'!$A$1," ",CHAR(10),'Bundle Tag Info'!$A$2," ",'Bundle Tag Info'!$A$3,CHAR(10),'Bundle Tag Info'!C$6,CHAR(10),'Bundle Tag Info'!C$8),"")</f>
        <v>BP-KEMD  
4L541 B.1
JB70 L RAIL
XT01s-B</v>
      </c>
      <c r="D3" s="12" t="str">
        <f>IF('Bundle Tag Info'!D$8&lt;&gt;"",CONCATENATE('Bundle Tag Info'!$A$1," ",CHAR(10),'Bundle Tag Info'!$A$2," ",'Bundle Tag Info'!$A$3,CHAR(10),'Bundle Tag Info'!D$6,CHAR(10),'Bundle Tag Info'!D$8),"")</f>
        <v>BP-KEMD  
4L541 B.1
PLC
AT/FU</v>
      </c>
      <c r="E3" s="12" t="str">
        <f>IF('Bundle Tag Info'!E$8&lt;&gt;"",CONCATENATE('Bundle Tag Info'!$A$1," ",CHAR(10),'Bundle Tag Info'!$A$2," ",'Bundle Tag Info'!$A$3,CHAR(10),'Bundle Tag Info'!E$6,CHAR(10),'Bundle Tag Info'!E$8),"")</f>
        <v>BP-KEMD  
4L541 B.1
A
AF/AU090s</v>
      </c>
      <c r="F3" s="12" t="str">
        <f>IF('Bundle Tag Info'!F$8&lt;&gt;"",CONCATENATE('Bundle Tag Info'!$A$1," ",CHAR(10),'Bundle Tag Info'!$A$2," ",'Bundle Tag Info'!$A$3,CHAR(10),'Bundle Tag Info'!F$6,CHAR(10),'Bundle Tag Info'!F$8),"")</f>
        <v>BP-KEMD  
4L541 B.1
B
AP</v>
      </c>
      <c r="G3" s="12" t="str">
        <f>IF('Bundle Tag Info'!H$8&lt;&gt;"",CONCATENATE('Bundle Tag Info'!$A$1," ",CHAR(10),'Bundle Tag Info'!$A$2," ",'Bundle Tag Info'!$A$3,CHAR(10),'Bundle Tag Info'!H$6,CHAR(10),'Bundle Tag Info'!H$8),"")</f>
        <v>BP-KEMD  
4L541 B.1
JB73
AP</v>
      </c>
      <c r="H3" s="12" t="str">
        <f>IF('Bundle Tag Info'!I$8&lt;&gt;"",CONCATENATE('Bundle Tag Info'!$A$1," ",CHAR(10),'Bundle Tag Info'!$A$2," ",'Bundle Tag Info'!$A$3,CHAR(10),'Bundle Tag Info'!I$6,CHAR(10),'Bundle Tag Info'!I$8),"")</f>
        <v>BP-KEMD  
4L541 B.1
BOP
AF180s</v>
      </c>
      <c r="I3" s="12" t="str">
        <f>IF('Bundle Tag Info'!J$8&lt;&gt;"",CONCATENATE('Bundle Tag Info'!$A$1," ",CHAR(10),'Bundle Tag Info'!$A$2," ",'Bundle Tag Info'!$A$3,CHAR(10),'Bundle Tag Info'!J$6,CHAR(10),'Bundle Tag Info'!J$8),"")</f>
        <v>BP-KEMD  
4L541 B.1
JB74 L RAIL
KA A2</v>
      </c>
      <c r="J3" s="12" t="str">
        <f>IF('Bundle Tag Info'!K$8&lt;&gt;"",CONCATENATE('Bundle Tag Info'!$A$1," ",CHAR(10),'Bundle Tag Info'!$A$2," ",'Bundle Tag Info'!$A$3,CHAR(10),'Bundle Tag Info'!K$6,CHAR(10),'Bundle Tag Info'!K$8),"")</f>
        <v>BP-KEMD  
4L541 B.1
JB74 R RAIL
BA-BOP</v>
      </c>
      <c r="K3" s="12" t="str">
        <f>IF('Bundle Tag Info'!L$8&lt;&gt;"",CONCATENATE('Bundle Tag Info'!$A$1," ",CHAR(10),'Bundle Tag Info'!$A$2," ",'Bundle Tag Info'!$A$3,CHAR(10),'Bundle Tag Info'!L$6,CHAR(10),'Bundle Tag Info'!L$8),"")</f>
        <v/>
      </c>
      <c r="L3" s="12" t="str">
        <f>IF('Bundle Tag Info'!M$8&lt;&gt;"",CONCATENATE('Bundle Tag Info'!$A$1," ",CHAR(10),'Bundle Tag Info'!$A$2," ",'Bundle Tag Info'!$A$3,CHAR(10),'Bundle Tag Info'!M$6,CHAR(10),'Bundle Tag Info'!M$8),"")</f>
        <v/>
      </c>
      <c r="M3" s="12" t="str">
        <f>IF('Bundle Tag Info'!N$8&lt;&gt;"",CONCATENATE('Bundle Tag Info'!$A$1," ",CHAR(10),'Bundle Tag Info'!$A$2," ",'Bundle Tag Info'!$A$3,CHAR(10),'Bundle Tag Info'!N$6,CHAR(10),'Bundle Tag Info'!N$8),"")</f>
        <v/>
      </c>
      <c r="N3" s="12" t="str">
        <f>IF('Bundle Tag Info'!O$8&lt;&gt;"",CONCATENATE('Bundle Tag Info'!$A$1," ",CHAR(10),'Bundle Tag Info'!$A$2," ",'Bundle Tag Info'!$A$3,CHAR(10),'Bundle Tag Info'!O$6,CHAR(10),'Bundle Tag Info'!O$8),"")</f>
        <v/>
      </c>
      <c r="O3" s="12" t="str">
        <f>IF('Bundle Tag Info'!P$8&lt;&gt;"",CONCATENATE('Bundle Tag Info'!$A$1," ",CHAR(10),'Bundle Tag Info'!$A$2," ",'Bundle Tag Info'!$A$3,CHAR(10),'Bundle Tag Info'!P$6,CHAR(10),'Bundle Tag Info'!P$8),"")</f>
        <v/>
      </c>
      <c r="P3" s="12" t="str">
        <f>IF('Bundle Tag Info'!Q$8&lt;&gt;"",CONCATENATE('Bundle Tag Info'!$A$1," ",CHAR(10),'Bundle Tag Info'!$A$2," ",'Bundle Tag Info'!$A$3,CHAR(10),'Bundle Tag Info'!Q$6,CHAR(10),'Bundle Tag Info'!Q$8),"")</f>
        <v/>
      </c>
      <c r="Q3" s="12" t="str">
        <f>IF('Bundle Tag Info'!R$8&lt;&gt;"",CONCATENATE('Bundle Tag Info'!$A$1," ",CHAR(10),'Bundle Tag Info'!$A$2," ",'Bundle Tag Info'!$A$3,CHAR(10),'Bundle Tag Info'!R$6,CHAR(10),'Bundle Tag Info'!R$8),"")</f>
        <v/>
      </c>
      <c r="R3" s="12" t="str">
        <f>IF('Bundle Tag Info'!S$8&lt;&gt;"",CONCATENATE('Bundle Tag Info'!$A$1," ",CHAR(10),'Bundle Tag Info'!$A$2," ",'Bundle Tag Info'!$A$3,CHAR(10),'Bundle Tag Info'!S$6,CHAR(10),'Bundle Tag Info'!S$8),"")</f>
        <v/>
      </c>
      <c r="S3" s="12" t="str">
        <f>IF('Bundle Tag Info'!T$8&lt;&gt;"",CONCATENATE('Bundle Tag Info'!$A$1," ",CHAR(10),'Bundle Tag Info'!$A$2," ",'Bundle Tag Info'!$A$3,CHAR(10),'Bundle Tag Info'!T$6,CHAR(10),'Bundle Tag Info'!T$8),"")</f>
        <v/>
      </c>
      <c r="T3" s="12" t="str">
        <f>IF('Bundle Tag Info'!U$8&lt;&gt;"",CONCATENATE('Bundle Tag Info'!$A$1," ",CHAR(10),'Bundle Tag Info'!$A$2," ",'Bundle Tag Info'!$A$3,CHAR(10),'Bundle Tag Info'!U$6,CHAR(10),'Bundle Tag Info'!U$8),"")</f>
        <v/>
      </c>
      <c r="U3" s="12" t="str">
        <f>IF('Bundle Tag Info'!V$8&lt;&gt;"",CONCATENATE('Bundle Tag Info'!$A$1," ",CHAR(10),'Bundle Tag Info'!$A$2," ",'Bundle Tag Info'!$A$3,CHAR(10),'Bundle Tag Info'!V$6,CHAR(10),'Bundle Tag Info'!V$8),"")</f>
        <v/>
      </c>
      <c r="V3" s="12" t="str">
        <f>IF('Bundle Tag Info'!W$8&lt;&gt;"",CONCATENATE('Bundle Tag Info'!$A$1," ",CHAR(10),'Bundle Tag Info'!$A$2," ",'Bundle Tag Info'!$A$3,CHAR(10),'Bundle Tag Info'!W$6,CHAR(10),'Bundle Tag Info'!W$8),"")</f>
        <v/>
      </c>
      <c r="W3" s="12" t="str">
        <f>IF('Bundle Tag Info'!X$8&lt;&gt;"",CONCATENATE('Bundle Tag Info'!$A$1," ",CHAR(10),'Bundle Tag Info'!$A$2," ",'Bundle Tag Info'!$A$3,CHAR(10),'Bundle Tag Info'!X$6,CHAR(10),'Bundle Tag Info'!X$8),"")</f>
        <v/>
      </c>
      <c r="X3" s="12" t="str">
        <f>IF('Bundle Tag Info'!Y$8&lt;&gt;"",CONCATENATE('Bundle Tag Info'!$A$1," ",CHAR(10),'Bundle Tag Info'!$A$2," ",'Bundle Tag Info'!$A$3,CHAR(10),'Bundle Tag Info'!Y$6,CHAR(10),'Bundle Tag Info'!Y$8),"")</f>
        <v/>
      </c>
      <c r="Y3" s="12" t="str">
        <f>IF('Bundle Tag Info'!Z$8&lt;&gt;"",CONCATENATE('Bundle Tag Info'!$A$1," ",CHAR(10),'Bundle Tag Info'!$A$2," ",'Bundle Tag Info'!$A$3,CHAR(10),'Bundle Tag Info'!Z$6,CHAR(10),'Bundle Tag Info'!Z$8),"")</f>
        <v/>
      </c>
      <c r="Z3" s="12" t="str">
        <f>IF('Bundle Tag Info'!AA$8&lt;&gt;"",CONCATENATE('Bundle Tag Info'!$A$1," ",CHAR(10),'Bundle Tag Info'!$A$2," ",'Bundle Tag Info'!$A$3,CHAR(10),'Bundle Tag Info'!AA$6,CHAR(10),'Bundle Tag Info'!AA$8),"")</f>
        <v/>
      </c>
      <c r="AA3" s="12" t="str">
        <f>IF('Bundle Tag Info'!AB$8&lt;&gt;"",CONCATENATE('Bundle Tag Info'!$A$1," ",CHAR(10),'Bundle Tag Info'!$A$2," ",'Bundle Tag Info'!$A$3,CHAR(10),'Bundle Tag Info'!AB$6,CHAR(10),'Bundle Tag Info'!AB$8),"")</f>
        <v/>
      </c>
      <c r="AB3" s="12" t="str">
        <f>IF('Bundle Tag Info'!AC$8&lt;&gt;"",CONCATENATE('Bundle Tag Info'!$A$1," ",CHAR(10),'Bundle Tag Info'!$A$2," ",'Bundle Tag Info'!$A$3,CHAR(10),'Bundle Tag Info'!AC$6,CHAR(10),'Bundle Tag Info'!AC$8),"")</f>
        <v/>
      </c>
      <c r="AC3" s="12" t="str">
        <f>IF('Bundle Tag Info'!AD$8&lt;&gt;"",CONCATENATE('Bundle Tag Info'!$A$1," ",CHAR(10),'Bundle Tag Info'!$A$2," ",'Bundle Tag Info'!$A$3,CHAR(10),'Bundle Tag Info'!AD$6,CHAR(10),'Bundle Tag Info'!AD$8),"")</f>
        <v/>
      </c>
      <c r="AD3" s="12" t="str">
        <f>IF('Bundle Tag Info'!AE$8&lt;&gt;"",CONCATENATE('Bundle Tag Info'!$A$1," ",CHAR(10),'Bundle Tag Info'!$A$2," ",'Bundle Tag Info'!$A$3,CHAR(10),'Bundle Tag Info'!AE$6,CHAR(10),'Bundle Tag Info'!AE$8),"")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BP-KEMD  
4L541 B.1
JB70
SA0473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>BP-KEMD  
4L541 B.1
JB70 L RAIL
XT9070s-B</v>
      </c>
      <c r="D4" s="12" t="str">
        <f>IF('Bundle Tag Info'!D$9&lt;&gt;"",CONCATENATE('Bundle Tag Info'!$A$1," ",CHAR(10),'Bundle Tag Info'!$A$2," ",'Bundle Tag Info'!$A$3,CHAR(10),'Bundle Tag Info'!D$6,CHAR(10),'Bundle Tag Info'!D$9),"")</f>
        <v>BP-KEMD  
4L541 B.1
PLC
UV-A</v>
      </c>
      <c r="E4" s="12" t="str">
        <f>IF('Bundle Tag Info'!E$9&lt;&gt;"",CONCATENATE('Bundle Tag Info'!$A$1," ",CHAR(10),'Bundle Tag Info'!$A$2," ",'Bundle Tag Info'!$A$3,CHAR(10),'Bundle Tag Info'!E$6,CHAR(10),'Bundle Tag Info'!E$9),"")</f>
        <v>BP-KEMD  
4L541 B.1
A
FU</v>
      </c>
      <c r="F4" s="12" t="str">
        <f>IF('Bundle Tag Info'!F$9&lt;&gt;"",CONCATENATE('Bundle Tag Info'!$A$1," ",CHAR(10),'Bundle Tag Info'!$A$2," ",'Bundle Tag Info'!$A$3,CHAR(10),'Bundle Tag Info'!F$6,CHAR(10),'Bundle Tag Info'!F$9),"")</f>
        <v>BP-KEMD  
4L541 B.1
B
FU</v>
      </c>
      <c r="G4" s="12" t="str">
        <f>IF('Bundle Tag Info'!H$9&lt;&gt;"",CONCATENATE('Bundle Tag Info'!$A$1," ",CHAR(10),'Bundle Tag Info'!$A$2," ",'Bundle Tag Info'!$A$3,CHAR(10),'Bundle Tag Info'!H$6,CHAR(10),'Bundle Tag Info'!H$9),"")</f>
        <v>BP-KEMD  
4L541 B.1
JB73
FU</v>
      </c>
      <c r="H4" s="12" t="str">
        <f>IF('Bundle Tag Info'!I$9&lt;&gt;"",CONCATENATE('Bundle Tag Info'!$A$1," ",CHAR(10),'Bundle Tag Info'!$A$2," ",'Bundle Tag Info'!$A$3,CHAR(10),'Bundle Tag Info'!I$6,CHAR(10),'Bundle Tag Info'!I$9),"")</f>
        <v>BP-KEMD  
4L541 B.1
BOP
AP</v>
      </c>
      <c r="I4" s="12" t="str">
        <f>IF('Bundle Tag Info'!J$9&lt;&gt;"",CONCATENATE('Bundle Tag Info'!$A$1," ",CHAR(10),'Bundle Tag Info'!$A$2," ",'Bundle Tag Info'!$A$3,CHAR(10),'Bundle Tag Info'!J$6,CHAR(10),'Bundle Tag Info'!J$9),"")</f>
        <v>BP-KEMD  
4L541 B.1
JB74 L RAIL
KA</v>
      </c>
      <c r="J4" s="12" t="str">
        <f>IF('Bundle Tag Info'!K$9&lt;&gt;"",CONCATENATE('Bundle Tag Info'!$A$1," ",CHAR(10),'Bundle Tag Info'!$A$2," ",'Bundle Tag Info'!$A$3,CHAR(10),'Bundle Tag Info'!K$6,CHAR(10),'Bundle Tag Info'!K$9),"")</f>
        <v>BP-KEMD  
4L541 B.1
JB74 R RAIL
XT-BOP</v>
      </c>
      <c r="K4" s="12" t="str">
        <f>IF('Bundle Tag Info'!L$9&lt;&gt;"",CONCATENATE('Bundle Tag Info'!$A$1," ",CHAR(10),'Bundle Tag Info'!$A$2," ",'Bundle Tag Info'!$A$3,CHAR(10),'Bundle Tag Info'!L$6,CHAR(10),'Bundle Tag Info'!L$9),"")</f>
        <v/>
      </c>
      <c r="L4" s="12" t="str">
        <f>IF('Bundle Tag Info'!M$9&lt;&gt;"",CONCATENATE('Bundle Tag Info'!$A$1," ",CHAR(10),'Bundle Tag Info'!$A$2," ",'Bundle Tag Info'!$A$3,CHAR(10),'Bundle Tag Info'!M$6,CHAR(10),'Bundle Tag Info'!M$9),"")</f>
        <v/>
      </c>
      <c r="M4" s="12" t="str">
        <f>IF('Bundle Tag Info'!N$9&lt;&gt;"",CONCATENATE('Bundle Tag Info'!$A$1," ",CHAR(10),'Bundle Tag Info'!$A$2," ",'Bundle Tag Info'!$A$3,CHAR(10),'Bundle Tag Info'!N$6,CHAR(10),'Bundle Tag Info'!N$9),"")</f>
        <v/>
      </c>
      <c r="N4" s="12" t="str">
        <f>IF('Bundle Tag Info'!O$9&lt;&gt;"",CONCATENATE('Bundle Tag Info'!$A$1," ",CHAR(10),'Bundle Tag Info'!$A$2," ",'Bundle Tag Info'!$A$3,CHAR(10),'Bundle Tag Info'!O$6,CHAR(10),'Bundle Tag Info'!O$9),"")</f>
        <v/>
      </c>
      <c r="O4" s="12" t="str">
        <f>IF('Bundle Tag Info'!P$9&lt;&gt;"",CONCATENATE('Bundle Tag Info'!$A$1," ",CHAR(10),'Bundle Tag Info'!$A$2," ",'Bundle Tag Info'!$A$3,CHAR(10),'Bundle Tag Info'!P$6,CHAR(10),'Bundle Tag Info'!P$9),"")</f>
        <v/>
      </c>
      <c r="P4" s="12" t="str">
        <f>IF('Bundle Tag Info'!Q$9&lt;&gt;"",CONCATENATE('Bundle Tag Info'!$A$1," ",CHAR(10),'Bundle Tag Info'!$A$2," ",'Bundle Tag Info'!$A$3,CHAR(10),'Bundle Tag Info'!Q$6,CHAR(10),'Bundle Tag Info'!Q$9),"")</f>
        <v/>
      </c>
      <c r="Q4" s="12" t="str">
        <f>IF('Bundle Tag Info'!R$9&lt;&gt;"",CONCATENATE('Bundle Tag Info'!$A$1," ",CHAR(10),'Bundle Tag Info'!$A$2," ",'Bundle Tag Info'!$A$3,CHAR(10),'Bundle Tag Info'!R$6,CHAR(10),'Bundle Tag Info'!R$9),"")</f>
        <v/>
      </c>
      <c r="R4" s="12" t="str">
        <f>IF('Bundle Tag Info'!S$9&lt;&gt;"",CONCATENATE('Bundle Tag Info'!$A$1," ",CHAR(10),'Bundle Tag Info'!$A$2," ",'Bundle Tag Info'!$A$3,CHAR(10),'Bundle Tag Info'!S$6,CHAR(10),'Bundle Tag Info'!S$9),"")</f>
        <v/>
      </c>
      <c r="S4" s="12" t="str">
        <f>IF('Bundle Tag Info'!T$9&lt;&gt;"",CONCATENATE('Bundle Tag Info'!$A$1," ",CHAR(10),'Bundle Tag Info'!$A$2," ",'Bundle Tag Info'!$A$3,CHAR(10),'Bundle Tag Info'!T$6,CHAR(10),'Bundle Tag Info'!T$9),"")</f>
        <v/>
      </c>
      <c r="T4" s="12" t="str">
        <f>IF('Bundle Tag Info'!U$9&lt;&gt;"",CONCATENATE('Bundle Tag Info'!$A$1," ",CHAR(10),'Bundle Tag Info'!$A$2," ",'Bundle Tag Info'!$A$3,CHAR(10),'Bundle Tag Info'!U$6,CHAR(10),'Bundle Tag Info'!U$9),"")</f>
        <v/>
      </c>
      <c r="U4" s="12" t="str">
        <f>IF('Bundle Tag Info'!V$9&lt;&gt;"",CONCATENATE('Bundle Tag Info'!$A$1," ",CHAR(10),'Bundle Tag Info'!$A$2," ",'Bundle Tag Info'!$A$3,CHAR(10),'Bundle Tag Info'!V$6,CHAR(10),'Bundle Tag Info'!V$9),"")</f>
        <v/>
      </c>
      <c r="V4" s="12" t="str">
        <f>IF('Bundle Tag Info'!W$9&lt;&gt;"",CONCATENATE('Bundle Tag Info'!$A$1," ",CHAR(10),'Bundle Tag Info'!$A$2," ",'Bundle Tag Info'!$A$3,CHAR(10),'Bundle Tag Info'!W$6,CHAR(10),'Bundle Tag Info'!W$9),"")</f>
        <v/>
      </c>
      <c r="W4" s="12" t="str">
        <f>IF('Bundle Tag Info'!X$9&lt;&gt;"",CONCATENATE('Bundle Tag Info'!$A$1," ",CHAR(10),'Bundle Tag Info'!$A$2," ",'Bundle Tag Info'!$A$3,CHAR(10),'Bundle Tag Info'!X$6,CHAR(10),'Bundle Tag Info'!X$9),"")</f>
        <v/>
      </c>
      <c r="X4" s="12" t="str">
        <f>IF('Bundle Tag Info'!Y$9&lt;&gt;"",CONCATENATE('Bundle Tag Info'!$A$1," ",CHAR(10),'Bundle Tag Info'!$A$2," ",'Bundle Tag Info'!$A$3,CHAR(10),'Bundle Tag Info'!Y$6,CHAR(10),'Bundle Tag Info'!Y$9),"")</f>
        <v/>
      </c>
      <c r="Y4" s="12" t="str">
        <f>IF('Bundle Tag Info'!Z$9&lt;&gt;"",CONCATENATE('Bundle Tag Info'!$A$1," ",CHAR(10),'Bundle Tag Info'!$A$2," ",'Bundle Tag Info'!$A$3,CHAR(10),'Bundle Tag Info'!Z$6,CHAR(10),'Bundle Tag Info'!Z$9),"")</f>
        <v/>
      </c>
      <c r="Z4" s="12" t="str">
        <f>IF('Bundle Tag Info'!AA$9&lt;&gt;"",CONCATENATE('Bundle Tag Info'!$A$1," ",CHAR(10),'Bundle Tag Info'!$A$2," ",'Bundle Tag Info'!$A$3,CHAR(10),'Bundle Tag Info'!AA$6,CHAR(10),'Bundle Tag Info'!AA$9),"")</f>
        <v/>
      </c>
      <c r="AA4" s="12" t="str">
        <f>IF('Bundle Tag Info'!AB$9&lt;&gt;"",CONCATENATE('Bundle Tag Info'!$A$1," ",CHAR(10),'Bundle Tag Info'!$A$2," ",'Bundle Tag Info'!$A$3,CHAR(10),'Bundle Tag Info'!AB$6,CHAR(10),'Bundle Tag Info'!AB$9),"")</f>
        <v/>
      </c>
      <c r="AB4" s="12" t="str">
        <f>IF('Bundle Tag Info'!AC$9&lt;&gt;"",CONCATENATE('Bundle Tag Info'!$A$1," ",CHAR(10),'Bundle Tag Info'!$A$2," ",'Bundle Tag Info'!$A$3,CHAR(10),'Bundle Tag Info'!AC$6,CHAR(10),'Bundle Tag Info'!AC$9),"")</f>
        <v/>
      </c>
      <c r="AC4" s="12" t="str">
        <f>IF('Bundle Tag Info'!AD$9&lt;&gt;"",CONCATENATE('Bundle Tag Info'!$A$1," ",CHAR(10),'Bundle Tag Info'!$A$2," ",'Bundle Tag Info'!$A$3,CHAR(10),'Bundle Tag Info'!AD$6,CHAR(10),'Bundle Tag Info'!AD$9),"")</f>
        <v/>
      </c>
      <c r="AD4" s="12" t="str">
        <f>IF('Bundle Tag Info'!AE$9&lt;&gt;"",CONCATENATE('Bundle Tag Info'!$A$1," ",CHAR(10),'Bundle Tag Info'!$A$2," ",'Bundle Tag Info'!$A$3,CHAR(10),'Bundle Tag Info'!AE$6,CHAR(10),'Bundle Tag Info'!AE$9),"")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BP-KEMD  
4L541 B.1
JB70
SA0474</v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>BP-KEMD  
4L541 B.1
JB70 L RAIL
XT-PLC</v>
      </c>
      <c r="D5" s="12" t="str">
        <f>IF('Bundle Tag Info'!D$10&lt;&gt;"",CONCATENATE('Bundle Tag Info'!$A$1," ",CHAR(10),'Bundle Tag Info'!$A$2," ",'Bundle Tag Info'!$A$3,CHAR(10),'Bundle Tag Info'!D$6,CHAR(10),'Bundle Tag Info'!D$10),"")</f>
        <v>BP-KEMD  
4L541 B.1
PLC
BA-B</v>
      </c>
      <c r="E5" s="12" t="str">
        <f>IF('Bundle Tag Info'!E$10&lt;&gt;"",CONCATENATE('Bundle Tag Info'!$A$1," ",CHAR(10),'Bundle Tag Info'!$A$2," ",'Bundle Tag Info'!$A$3,CHAR(10),'Bundle Tag Info'!E$6,CHAR(10),'Bundle Tag Info'!E$10),"")</f>
        <v>BP-KEMD  
4L541 B.1
A
KA</v>
      </c>
      <c r="F5" s="12" t="str">
        <f>IF('Bundle Tag Info'!F$10&lt;&gt;"",CONCATENATE('Bundle Tag Info'!$A$1," ",CHAR(10),'Bundle Tag Info'!$A$2," ",'Bundle Tag Info'!$A$3,CHAR(10),'Bundle Tag Info'!F$6,CHAR(10),'Bundle Tag Info'!F$10),"")</f>
        <v>BP-KEMD  
4L541 B.1
B
KA A1</v>
      </c>
      <c r="G5" s="12" t="str">
        <f>IF('Bundle Tag Info'!H$10&lt;&gt;"",CONCATENATE('Bundle Tag Info'!$A$1," ",CHAR(10),'Bundle Tag Info'!$A$2," ",'Bundle Tag Info'!$A$3,CHAR(10),'Bundle Tag Info'!H$6,CHAR(10),'Bundle Tag Info'!H$10),"")</f>
        <v>BP-KEMD  
4L541 B.1
JB73
XT</v>
      </c>
      <c r="H5" s="12" t="str">
        <f>IF('Bundle Tag Info'!I$10&lt;&gt;"",CONCATENATE('Bundle Tag Info'!$A$1," ",CHAR(10),'Bundle Tag Info'!$A$2," ",'Bundle Tag Info'!$A$3,CHAR(10),'Bundle Tag Info'!I$6,CHAR(10),'Bundle Tag Info'!I$10),"")</f>
        <v>BP-KEMD  
4L541 B.1
BOP
FU</v>
      </c>
      <c r="I5" s="12" t="str">
        <f>IF('Bundle Tag Info'!J$10&lt;&gt;"",CONCATENATE('Bundle Tag Info'!$A$1," ",CHAR(10),'Bundle Tag Info'!$A$2," ",'Bundle Tag Info'!$A$3,CHAR(10),'Bundle Tag Info'!J$6,CHAR(10),'Bundle Tag Info'!J$10),"")</f>
        <v>BP-KEMD  
4L541 B.1
JB74 L RAIL
KA A2-R RAIL</v>
      </c>
      <c r="J5" s="12" t="str">
        <f>IF('Bundle Tag Info'!K$10&lt;&gt;"",CONCATENATE('Bundle Tag Info'!$A$1," ",CHAR(10),'Bundle Tag Info'!$A$2," ",'Bundle Tag Info'!$A$3,CHAR(10),'Bundle Tag Info'!K$6,CHAR(10),'Bundle Tag Info'!K$10),"")</f>
        <v/>
      </c>
      <c r="K5" s="12" t="str">
        <f>IF('Bundle Tag Info'!L$10&lt;&gt;"",CONCATENATE('Bundle Tag Info'!$A$1," ",CHAR(10),'Bundle Tag Info'!$A$2," ",'Bundle Tag Info'!$A$3,CHAR(10),'Bundle Tag Info'!L$6,CHAR(10),'Bundle Tag Info'!L$10),"")</f>
        <v/>
      </c>
      <c r="L5" s="12" t="str">
        <f>IF('Bundle Tag Info'!M$10&lt;&gt;"",CONCATENATE('Bundle Tag Info'!$A$1," ",CHAR(10),'Bundle Tag Info'!$A$2," ",'Bundle Tag Info'!$A$3,CHAR(10),'Bundle Tag Info'!M$6,CHAR(10),'Bundle Tag Info'!M$10),"")</f>
        <v/>
      </c>
      <c r="M5" s="12" t="str">
        <f>IF('Bundle Tag Info'!N$10&lt;&gt;"",CONCATENATE('Bundle Tag Info'!$A$1," ",CHAR(10),'Bundle Tag Info'!$A$2," ",'Bundle Tag Info'!$A$3,CHAR(10),'Bundle Tag Info'!N$6,CHAR(10),'Bundle Tag Info'!N$10),"")</f>
        <v/>
      </c>
      <c r="N5" s="12" t="str">
        <f>IF('Bundle Tag Info'!O$10&lt;&gt;"",CONCATENATE('Bundle Tag Info'!$A$1," ",CHAR(10),'Bundle Tag Info'!$A$2," ",'Bundle Tag Info'!$A$3,CHAR(10),'Bundle Tag Info'!O$6,CHAR(10),'Bundle Tag Info'!O$10),"")</f>
        <v/>
      </c>
      <c r="O5" s="12" t="str">
        <f>IF('Bundle Tag Info'!P$10&lt;&gt;"",CONCATENATE('Bundle Tag Info'!$A$1," ",CHAR(10),'Bundle Tag Info'!$A$2," ",'Bundle Tag Info'!$A$3,CHAR(10),'Bundle Tag Info'!P$6,CHAR(10),'Bundle Tag Info'!P$10),"")</f>
        <v/>
      </c>
      <c r="P5" s="12" t="str">
        <f>IF('Bundle Tag Info'!Q$10&lt;&gt;"",CONCATENATE('Bundle Tag Info'!$A$1," ",CHAR(10),'Bundle Tag Info'!$A$2," ",'Bundle Tag Info'!$A$3,CHAR(10),'Bundle Tag Info'!Q$6,CHAR(10),'Bundle Tag Info'!Q$10),"")</f>
        <v/>
      </c>
      <c r="Q5" s="12" t="str">
        <f>IF('Bundle Tag Info'!R$10&lt;&gt;"",CONCATENATE('Bundle Tag Info'!$A$1," ",CHAR(10),'Bundle Tag Info'!$A$2," ",'Bundle Tag Info'!$A$3,CHAR(10),'Bundle Tag Info'!R$6,CHAR(10),'Bundle Tag Info'!R$10),"")</f>
        <v/>
      </c>
      <c r="R5" s="12" t="str">
        <f>IF('Bundle Tag Info'!S$10&lt;&gt;"",CONCATENATE('Bundle Tag Info'!$A$1," ",CHAR(10),'Bundle Tag Info'!$A$2," ",'Bundle Tag Info'!$A$3,CHAR(10),'Bundle Tag Info'!S$6,CHAR(10),'Bundle Tag Info'!S$10),"")</f>
        <v/>
      </c>
      <c r="S5" s="12" t="str">
        <f>IF('Bundle Tag Info'!T$10&lt;&gt;"",CONCATENATE('Bundle Tag Info'!$A$1," ",CHAR(10),'Bundle Tag Info'!$A$2," ",'Bundle Tag Info'!$A$3,CHAR(10),'Bundle Tag Info'!T$6,CHAR(10),'Bundle Tag Info'!T$10),"")</f>
        <v/>
      </c>
      <c r="T5" s="12" t="str">
        <f>IF('Bundle Tag Info'!U$10&lt;&gt;"",CONCATENATE('Bundle Tag Info'!$A$1," ",CHAR(10),'Bundle Tag Info'!$A$2," ",'Bundle Tag Info'!$A$3,CHAR(10),'Bundle Tag Info'!U$6,CHAR(10),'Bundle Tag Info'!U$10),"")</f>
        <v/>
      </c>
      <c r="U5" s="12" t="str">
        <f>IF('Bundle Tag Info'!V$10&lt;&gt;"",CONCATENATE('Bundle Tag Info'!$A$1," ",CHAR(10),'Bundle Tag Info'!$A$2," ",'Bundle Tag Info'!$A$3,CHAR(10),'Bundle Tag Info'!V$6,CHAR(10),'Bundle Tag Info'!V$10),"")</f>
        <v/>
      </c>
      <c r="V5" s="12" t="str">
        <f>IF('Bundle Tag Info'!W$10&lt;&gt;"",CONCATENATE('Bundle Tag Info'!$A$1," ",CHAR(10),'Bundle Tag Info'!$A$2," ",'Bundle Tag Info'!$A$3,CHAR(10),'Bundle Tag Info'!W$6,CHAR(10),'Bundle Tag Info'!W$10),"")</f>
        <v/>
      </c>
      <c r="W5" s="12" t="str">
        <f>IF('Bundle Tag Info'!X$10&lt;&gt;"",CONCATENATE('Bundle Tag Info'!$A$1," ",CHAR(10),'Bundle Tag Info'!$A$2," ",'Bundle Tag Info'!$A$3,CHAR(10),'Bundle Tag Info'!X$6,CHAR(10),'Bundle Tag Info'!X$10),"")</f>
        <v/>
      </c>
      <c r="X5" s="12" t="str">
        <f>IF('Bundle Tag Info'!Y$10&lt;&gt;"",CONCATENATE('Bundle Tag Info'!$A$1," ",CHAR(10),'Bundle Tag Info'!$A$2," ",'Bundle Tag Info'!$A$3,CHAR(10),'Bundle Tag Info'!Y$6,CHAR(10),'Bundle Tag Info'!Y$10),"")</f>
        <v/>
      </c>
      <c r="Y5" s="12" t="str">
        <f>IF('Bundle Tag Info'!Z$10&lt;&gt;"",CONCATENATE('Bundle Tag Info'!$A$1," ",CHAR(10),'Bundle Tag Info'!$A$2," ",'Bundle Tag Info'!$A$3,CHAR(10),'Bundle Tag Info'!Z$6,CHAR(10),'Bundle Tag Info'!Z$10),"")</f>
        <v/>
      </c>
      <c r="Z5" s="12" t="str">
        <f>IF('Bundle Tag Info'!AA$10&lt;&gt;"",CONCATENATE('Bundle Tag Info'!$A$1," ",CHAR(10),'Bundle Tag Info'!$A$2," ",'Bundle Tag Info'!$A$3,CHAR(10),'Bundle Tag Info'!AA$6,CHAR(10),'Bundle Tag Info'!AA$10),"")</f>
        <v/>
      </c>
      <c r="AA5" s="12" t="str">
        <f>IF('Bundle Tag Info'!AB$10&lt;&gt;"",CONCATENATE('Bundle Tag Info'!$A$1," ",CHAR(10),'Bundle Tag Info'!$A$2," ",'Bundle Tag Info'!$A$3,CHAR(10),'Bundle Tag Info'!AB$6,CHAR(10),'Bundle Tag Info'!AB$10),"")</f>
        <v/>
      </c>
      <c r="AB5" s="12" t="str">
        <f>IF('Bundle Tag Info'!AC$10&lt;&gt;"",CONCATENATE('Bundle Tag Info'!$A$1," ",CHAR(10),'Bundle Tag Info'!$A$2," ",'Bundle Tag Info'!$A$3,CHAR(10),'Bundle Tag Info'!AC$6,CHAR(10),'Bundle Tag Info'!AC$10),"")</f>
        <v/>
      </c>
      <c r="AC5" s="12" t="str">
        <f>IF('Bundle Tag Info'!AD$10&lt;&gt;"",CONCATENATE('Bundle Tag Info'!$A$1," ",CHAR(10),'Bundle Tag Info'!$A$2," ",'Bundle Tag Info'!$A$3,CHAR(10),'Bundle Tag Info'!AD$6,CHAR(10),'Bundle Tag Info'!AD$10),"")</f>
        <v/>
      </c>
      <c r="AD5" s="12" t="str">
        <f>IF('Bundle Tag Info'!AE$10&lt;&gt;"",CONCATENATE('Bundle Tag Info'!$A$1," ",CHAR(10),'Bundle Tag Info'!$A$2," ",'Bundle Tag Info'!$A$3,CHAR(10),'Bundle Tag Info'!AE$6,CHAR(10),'Bundle Tag Info'!AE$10),"")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BP-KEMD  
4L541 B.1
JB70
SB0471</v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>BP-KEMD  
4L541 B.1
PLC
FU/XT-B</v>
      </c>
      <c r="E6" s="12" t="str">
        <f>IF('Bundle Tag Info'!E$11&lt;&gt;"",CONCATENATE('Bundle Tag Info'!$A$1," ",CHAR(10),'Bundle Tag Info'!$A$2," ",'Bundle Tag Info'!$A$3,CHAR(10),'Bundle Tag Info'!E$6,CHAR(10),'Bundle Tag Info'!E$11),"")</f>
        <v>BP-KEMD  
4L541 B.1
A
PC</v>
      </c>
      <c r="F6" s="12" t="str">
        <f>IF('Bundle Tag Info'!F$11&lt;&gt;"",CONCATENATE('Bundle Tag Info'!$A$1," ",CHAR(10),'Bundle Tag Info'!$A$2," ",'Bundle Tag Info'!$A$3,CHAR(10),'Bundle Tag Info'!F$6,CHAR(10),'Bundle Tag Info'!F$11),"")</f>
        <v>BP-KEMD  
4L541 B.1
B
KA A2</v>
      </c>
      <c r="G6" s="12" t="str">
        <f>IF('Bundle Tag Info'!H$11&lt;&gt;"",CONCATENATE('Bundle Tag Info'!$A$1," ",CHAR(10),'Bundle Tag Info'!$A$2," ",'Bundle Tag Info'!$A$3,CHAR(10),'Bundle Tag Info'!H$6,CHAR(10),'Bundle Tag Info'!H$11),"")</f>
        <v/>
      </c>
      <c r="H6" s="12" t="str">
        <f>IF('Bundle Tag Info'!I$11&lt;&gt;"",CONCATENATE('Bundle Tag Info'!$A$1," ",CHAR(10),'Bundle Tag Info'!$A$2," ",'Bundle Tag Info'!$A$3,CHAR(10),'Bundle Tag Info'!I$6,CHAR(10),'Bundle Tag Info'!I$11),"")</f>
        <v>BP-KEMD  
4L541 B.1
BOP
KT L/S</v>
      </c>
      <c r="I6" s="12" t="str">
        <f>IF('Bundle Tag Info'!J$11&lt;&gt;"",CONCATENATE('Bundle Tag Info'!$A$1," ",CHAR(10),'Bundle Tag Info'!$A$2," ",'Bundle Tag Info'!$A$3,CHAR(10),'Bundle Tag Info'!J$6,CHAR(10),'Bundle Tag Info'!J$11),"")</f>
        <v>BP-KEMD  
4L541 B.1
JB74 L RAIL
KA-R RAIL</v>
      </c>
      <c r="J6" s="12" t="str">
        <f>IF('Bundle Tag Info'!K$11&lt;&gt;"",CONCATENATE('Bundle Tag Info'!$A$1," ",CHAR(10),'Bundle Tag Info'!$A$2," ",'Bundle Tag Info'!$A$3,CHAR(10),'Bundle Tag Info'!K$6,CHAR(10),'Bundle Tag Info'!K$11),"")</f>
        <v/>
      </c>
      <c r="K6" s="12" t="str">
        <f>IF('Bundle Tag Info'!L$11&lt;&gt;"",CONCATENATE('Bundle Tag Info'!$A$1," ",CHAR(10),'Bundle Tag Info'!$A$2," ",'Bundle Tag Info'!$A$3,CHAR(10),'Bundle Tag Info'!L$6,CHAR(10),'Bundle Tag Info'!L$11),"")</f>
        <v/>
      </c>
      <c r="L6" s="12" t="str">
        <f>IF('Bundle Tag Info'!M$11&lt;&gt;"",CONCATENATE('Bundle Tag Info'!$A$1," ",CHAR(10),'Bundle Tag Info'!$A$2," ",'Bundle Tag Info'!$A$3,CHAR(10),'Bundle Tag Info'!M$6,CHAR(10),'Bundle Tag Info'!M$11),"")</f>
        <v/>
      </c>
      <c r="M6" s="12" t="str">
        <f>IF('Bundle Tag Info'!N$11&lt;&gt;"",CONCATENATE('Bundle Tag Info'!$A$1," ",CHAR(10),'Bundle Tag Info'!$A$2," ",'Bundle Tag Info'!$A$3,CHAR(10),'Bundle Tag Info'!N$6,CHAR(10),'Bundle Tag Info'!N$11),"")</f>
        <v/>
      </c>
      <c r="N6" s="12" t="str">
        <f>IF('Bundle Tag Info'!O$11&lt;&gt;"",CONCATENATE('Bundle Tag Info'!$A$1," ",CHAR(10),'Bundle Tag Info'!$A$2," ",'Bundle Tag Info'!$A$3,CHAR(10),'Bundle Tag Info'!O$6,CHAR(10),'Bundle Tag Info'!O$11),"")</f>
        <v/>
      </c>
      <c r="O6" s="12" t="str">
        <f>IF('Bundle Tag Info'!P$11&lt;&gt;"",CONCATENATE('Bundle Tag Info'!$A$1," ",CHAR(10),'Bundle Tag Info'!$A$2," ",'Bundle Tag Info'!$A$3,CHAR(10),'Bundle Tag Info'!P$6,CHAR(10),'Bundle Tag Info'!P$11),"")</f>
        <v/>
      </c>
      <c r="P6" s="12" t="str">
        <f>IF('Bundle Tag Info'!Q$11&lt;&gt;"",CONCATENATE('Bundle Tag Info'!$A$1," ",CHAR(10),'Bundle Tag Info'!$A$2," ",'Bundle Tag Info'!$A$3,CHAR(10),'Bundle Tag Info'!Q$6,CHAR(10),'Bundle Tag Info'!Q$11),"")</f>
        <v/>
      </c>
      <c r="Q6" s="12" t="str">
        <f>IF('Bundle Tag Info'!R$11&lt;&gt;"",CONCATENATE('Bundle Tag Info'!$A$1," ",CHAR(10),'Bundle Tag Info'!$A$2," ",'Bundle Tag Info'!$A$3,CHAR(10),'Bundle Tag Info'!R$6,CHAR(10),'Bundle Tag Info'!R$11),"")</f>
        <v/>
      </c>
      <c r="R6" s="12" t="str">
        <f>IF('Bundle Tag Info'!S$11&lt;&gt;"",CONCATENATE('Bundle Tag Info'!$A$1," ",CHAR(10),'Bundle Tag Info'!$A$2," ",'Bundle Tag Info'!$A$3,CHAR(10),'Bundle Tag Info'!S$6,CHAR(10),'Bundle Tag Info'!S$11),"")</f>
        <v/>
      </c>
      <c r="S6" s="12" t="str">
        <f>IF('Bundle Tag Info'!T$11&lt;&gt;"",CONCATENATE('Bundle Tag Info'!$A$1," ",CHAR(10),'Bundle Tag Info'!$A$2," ",'Bundle Tag Info'!$A$3,CHAR(10),'Bundle Tag Info'!T$6,CHAR(10),'Bundle Tag Info'!T$11),"")</f>
        <v/>
      </c>
      <c r="T6" s="12" t="str">
        <f>IF('Bundle Tag Info'!U$11&lt;&gt;"",CONCATENATE('Bundle Tag Info'!$A$1," ",CHAR(10),'Bundle Tag Info'!$A$2," ",'Bundle Tag Info'!$A$3,CHAR(10),'Bundle Tag Info'!U$6,CHAR(10),'Bundle Tag Info'!U$11),"")</f>
        <v/>
      </c>
      <c r="U6" s="12" t="str">
        <f>IF('Bundle Tag Info'!V$11&lt;&gt;"",CONCATENATE('Bundle Tag Info'!$A$1," ",CHAR(10),'Bundle Tag Info'!$A$2," ",'Bundle Tag Info'!$A$3,CHAR(10),'Bundle Tag Info'!V$6,CHAR(10),'Bundle Tag Info'!V$11),"")</f>
        <v/>
      </c>
      <c r="V6" s="12" t="str">
        <f>IF('Bundle Tag Info'!W$11&lt;&gt;"",CONCATENATE('Bundle Tag Info'!$A$1," ",CHAR(10),'Bundle Tag Info'!$A$2," ",'Bundle Tag Info'!$A$3,CHAR(10),'Bundle Tag Info'!W$6,CHAR(10),'Bundle Tag Info'!W$11),"")</f>
        <v/>
      </c>
      <c r="W6" s="12" t="str">
        <f>IF('Bundle Tag Info'!X$11&lt;&gt;"",CONCATENATE('Bundle Tag Info'!$A$1," ",CHAR(10),'Bundle Tag Info'!$A$2," ",'Bundle Tag Info'!$A$3,CHAR(10),'Bundle Tag Info'!X$6,CHAR(10),'Bundle Tag Info'!X$11),"")</f>
        <v/>
      </c>
      <c r="X6" s="12" t="str">
        <f>IF('Bundle Tag Info'!Y$11&lt;&gt;"",CONCATENATE('Bundle Tag Info'!$A$1," ",CHAR(10),'Bundle Tag Info'!$A$2," ",'Bundle Tag Info'!$A$3,CHAR(10),'Bundle Tag Info'!Y$6,CHAR(10),'Bundle Tag Info'!Y$11),"")</f>
        <v/>
      </c>
      <c r="Y6" s="12" t="str">
        <f>IF('Bundle Tag Info'!Z$11&lt;&gt;"",CONCATENATE('Bundle Tag Info'!$A$1," ",CHAR(10),'Bundle Tag Info'!$A$2," ",'Bundle Tag Info'!$A$3,CHAR(10),'Bundle Tag Info'!Z$6,CHAR(10),'Bundle Tag Info'!Z$11),"")</f>
        <v/>
      </c>
      <c r="Z6" s="12" t="str">
        <f>IF('Bundle Tag Info'!AA$11&lt;&gt;"",CONCATENATE('Bundle Tag Info'!$A$1," ",CHAR(10),'Bundle Tag Info'!$A$2," ",'Bundle Tag Info'!$A$3,CHAR(10),'Bundle Tag Info'!AA$6,CHAR(10),'Bundle Tag Info'!AA$11),"")</f>
        <v/>
      </c>
      <c r="AA6" s="12" t="str">
        <f>IF('Bundle Tag Info'!AB$11&lt;&gt;"",CONCATENATE('Bundle Tag Info'!$A$1," ",CHAR(10),'Bundle Tag Info'!$A$2," ",'Bundle Tag Info'!$A$3,CHAR(10),'Bundle Tag Info'!AB$6,CHAR(10),'Bundle Tag Info'!AB$11),"")</f>
        <v/>
      </c>
      <c r="AB6" s="12" t="str">
        <f>IF('Bundle Tag Info'!AC$11&lt;&gt;"",CONCATENATE('Bundle Tag Info'!$A$1," ",CHAR(10),'Bundle Tag Info'!$A$2," ",'Bundle Tag Info'!$A$3,CHAR(10),'Bundle Tag Info'!AC$6,CHAR(10),'Bundle Tag Info'!AC$11),"")</f>
        <v/>
      </c>
      <c r="AC6" s="12" t="str">
        <f>IF('Bundle Tag Info'!AD$11&lt;&gt;"",CONCATENATE('Bundle Tag Info'!$A$1," ",CHAR(10),'Bundle Tag Info'!$A$2," ",'Bundle Tag Info'!$A$3,CHAR(10),'Bundle Tag Info'!AD$6,CHAR(10),'Bundle Tag Info'!AD$11),"")</f>
        <v/>
      </c>
      <c r="AD6" s="12" t="str">
        <f>IF('Bundle Tag Info'!AE$11&lt;&gt;"",CONCATENATE('Bundle Tag Info'!$A$1," ",CHAR(10),'Bundle Tag Info'!$A$2," ",'Bundle Tag Info'!$A$3,CHAR(10),'Bundle Tag Info'!AE$6,CHAR(10),'Bundle Tag Info'!AE$11),"")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>BP-KEMD  
4L541 B.1
JB70
SB0472</v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>BP-KEMD  
4L541 B.1
A
UJ</v>
      </c>
      <c r="F7" s="12" t="str">
        <f>IF('Bundle Tag Info'!F$12&lt;&gt;"",CONCATENATE('Bundle Tag Info'!$A$1," ",CHAR(10),'Bundle Tag Info'!$A$2," ",'Bundle Tag Info'!$A$3,CHAR(10),'Bundle Tag Info'!F$6,CHAR(10),'Bundle Tag Info'!F$12),"")</f>
        <v>BP-KEMD  
4L541 B.1
B
KA</v>
      </c>
      <c r="G7" s="12" t="str">
        <f>IF('Bundle Tag Info'!H$12&lt;&gt;"",CONCATENATE('Bundle Tag Info'!$A$1," ",CHAR(10),'Bundle Tag Info'!$A$2," ",'Bundle Tag Info'!$A$3,CHAR(10),'Bundle Tag Info'!H$6,CHAR(10),'Bundle Tag Info'!H$12),"")</f>
        <v/>
      </c>
      <c r="H7" s="12" t="str">
        <f>IF('Bundle Tag Info'!I$12&lt;&gt;"",CONCATENATE('Bundle Tag Info'!$A$1," ",CHAR(10),'Bundle Tag Info'!$A$2," ",'Bundle Tag Info'!$A$3,CHAR(10),'Bundle Tag Info'!I$6,CHAR(10),'Bundle Tag Info'!I$12),"")</f>
        <v>BP-KEMD  
4L541 B.1
BOP
KT R/S</v>
      </c>
      <c r="I7" s="12" t="str">
        <f>IF('Bundle Tag Info'!J$12&lt;&gt;"",CONCATENATE('Bundle Tag Info'!$A$1," ",CHAR(10),'Bundle Tag Info'!$A$2," ",'Bundle Tag Info'!$A$3,CHAR(10),'Bundle Tag Info'!J$6,CHAR(10),'Bundle Tag Info'!J$12),"")</f>
        <v>BP-KEMD  
4L541 B.1
JB74 L RAIL
KA A1-BOP</v>
      </c>
      <c r="J7" s="12" t="str">
        <f>IF('Bundle Tag Info'!K$12&lt;&gt;"",CONCATENATE('Bundle Tag Info'!$A$1," ",CHAR(10),'Bundle Tag Info'!$A$2," ",'Bundle Tag Info'!$A$3,CHAR(10),'Bundle Tag Info'!K$6,CHAR(10),'Bundle Tag Info'!K$12),"")</f>
        <v/>
      </c>
      <c r="K7" s="12" t="str">
        <f>IF('Bundle Tag Info'!L$12&lt;&gt;"",CONCATENATE('Bundle Tag Info'!$A$1," ",CHAR(10),'Bundle Tag Info'!$A$2," ",'Bundle Tag Info'!$A$3,CHAR(10),'Bundle Tag Info'!L$6,CHAR(10),'Bundle Tag Info'!L$12),"")</f>
        <v/>
      </c>
      <c r="L7" s="12" t="str">
        <f>IF('Bundle Tag Info'!M$12&lt;&gt;"",CONCATENATE('Bundle Tag Info'!$A$1," ",CHAR(10),'Bundle Tag Info'!$A$2," ",'Bundle Tag Info'!$A$3,CHAR(10),'Bundle Tag Info'!M$6,CHAR(10),'Bundle Tag Info'!M$12),"")</f>
        <v/>
      </c>
      <c r="M7" s="12" t="str">
        <f>IF('Bundle Tag Info'!N$12&lt;&gt;"",CONCATENATE('Bundle Tag Info'!$A$1," ",CHAR(10),'Bundle Tag Info'!$A$2," ",'Bundle Tag Info'!$A$3,CHAR(10),'Bundle Tag Info'!N$6,CHAR(10),'Bundle Tag Info'!N$12),"")</f>
        <v/>
      </c>
      <c r="N7" s="12" t="str">
        <f>IF('Bundle Tag Info'!O$12&lt;&gt;"",CONCATENATE('Bundle Tag Info'!$A$1," ",CHAR(10),'Bundle Tag Info'!$A$2," ",'Bundle Tag Info'!$A$3,CHAR(10),'Bundle Tag Info'!O$6,CHAR(10),'Bundle Tag Info'!O$12),"")</f>
        <v/>
      </c>
      <c r="O7" s="12" t="str">
        <f>IF('Bundle Tag Info'!P$12&lt;&gt;"",CONCATENATE('Bundle Tag Info'!$A$1," ",CHAR(10),'Bundle Tag Info'!$A$2," ",'Bundle Tag Info'!$A$3,CHAR(10),'Bundle Tag Info'!P$6,CHAR(10),'Bundle Tag Info'!P$12),"")</f>
        <v/>
      </c>
      <c r="P7" s="12" t="str">
        <f>IF('Bundle Tag Info'!Q$12&lt;&gt;"",CONCATENATE('Bundle Tag Info'!$A$1," ",CHAR(10),'Bundle Tag Info'!$A$2," ",'Bundle Tag Info'!$A$3,CHAR(10),'Bundle Tag Info'!Q$6,CHAR(10),'Bundle Tag Info'!Q$12),"")</f>
        <v/>
      </c>
      <c r="Q7" s="12" t="str">
        <f>IF('Bundle Tag Info'!R$12&lt;&gt;"",CONCATENATE('Bundle Tag Info'!$A$1," ",CHAR(10),'Bundle Tag Info'!$A$2," ",'Bundle Tag Info'!$A$3,CHAR(10),'Bundle Tag Info'!R$6,CHAR(10),'Bundle Tag Info'!R$12),"")</f>
        <v/>
      </c>
      <c r="R7" s="12" t="str">
        <f>IF('Bundle Tag Info'!S$12&lt;&gt;"",CONCATENATE('Bundle Tag Info'!$A$1," ",CHAR(10),'Bundle Tag Info'!$A$2," ",'Bundle Tag Info'!$A$3,CHAR(10),'Bundle Tag Info'!S$6,CHAR(10),'Bundle Tag Info'!S$12),"")</f>
        <v/>
      </c>
      <c r="S7" s="12" t="str">
        <f>IF('Bundle Tag Info'!T$12&lt;&gt;"",CONCATENATE('Bundle Tag Info'!$A$1," ",CHAR(10),'Bundle Tag Info'!$A$2," ",'Bundle Tag Info'!$A$3,CHAR(10),'Bundle Tag Info'!T$6,CHAR(10),'Bundle Tag Info'!T$12),"")</f>
        <v/>
      </c>
      <c r="T7" s="12" t="str">
        <f>IF('Bundle Tag Info'!U$12&lt;&gt;"",CONCATENATE('Bundle Tag Info'!$A$1," ",CHAR(10),'Bundle Tag Info'!$A$2," ",'Bundle Tag Info'!$A$3,CHAR(10),'Bundle Tag Info'!U$6,CHAR(10),'Bundle Tag Info'!U$12),"")</f>
        <v/>
      </c>
      <c r="U7" s="12" t="str">
        <f>IF('Bundle Tag Info'!V$12&lt;&gt;"",CONCATENATE('Bundle Tag Info'!$A$1," ",CHAR(10),'Bundle Tag Info'!$A$2," ",'Bundle Tag Info'!$A$3,CHAR(10),'Bundle Tag Info'!V$6,CHAR(10),'Bundle Tag Info'!V$12),"")</f>
        <v/>
      </c>
      <c r="V7" s="12" t="str">
        <f>IF('Bundle Tag Info'!W$12&lt;&gt;"",CONCATENATE('Bundle Tag Info'!$A$1," ",CHAR(10),'Bundle Tag Info'!$A$2," ",'Bundle Tag Info'!$A$3,CHAR(10),'Bundle Tag Info'!W$6,CHAR(10),'Bundle Tag Info'!W$12),"")</f>
        <v/>
      </c>
      <c r="W7" s="12" t="str">
        <f>IF('Bundle Tag Info'!X$12&lt;&gt;"",CONCATENATE('Bundle Tag Info'!$A$1," ",CHAR(10),'Bundle Tag Info'!$A$2," ",'Bundle Tag Info'!$A$3,CHAR(10),'Bundle Tag Info'!X$6,CHAR(10),'Bundle Tag Info'!X$12),"")</f>
        <v/>
      </c>
      <c r="X7" s="12" t="str">
        <f>IF('Bundle Tag Info'!Y$12&lt;&gt;"",CONCATENATE('Bundle Tag Info'!$A$1," ",CHAR(10),'Bundle Tag Info'!$A$2," ",'Bundle Tag Info'!$A$3,CHAR(10),'Bundle Tag Info'!Y$6,CHAR(10),'Bundle Tag Info'!Y$12),"")</f>
        <v/>
      </c>
      <c r="Y7" s="12" t="str">
        <f>IF('Bundle Tag Info'!Z$12&lt;&gt;"",CONCATENATE('Bundle Tag Info'!$A$1," ",CHAR(10),'Bundle Tag Info'!$A$2," ",'Bundle Tag Info'!$A$3,CHAR(10),'Bundle Tag Info'!Z$6,CHAR(10),'Bundle Tag Info'!Z$12),"")</f>
        <v/>
      </c>
      <c r="Z7" s="12" t="str">
        <f>IF('Bundle Tag Info'!AA$12&lt;&gt;"",CONCATENATE('Bundle Tag Info'!$A$1," ",CHAR(10),'Bundle Tag Info'!$A$2," ",'Bundle Tag Info'!$A$3,CHAR(10),'Bundle Tag Info'!AA$6,CHAR(10),'Bundle Tag Info'!AA$12),"")</f>
        <v/>
      </c>
      <c r="AA7" s="12" t="str">
        <f>IF('Bundle Tag Info'!AB$12&lt;&gt;"",CONCATENATE('Bundle Tag Info'!$A$1," ",CHAR(10),'Bundle Tag Info'!$A$2," ",'Bundle Tag Info'!$A$3,CHAR(10),'Bundle Tag Info'!AB$6,CHAR(10),'Bundle Tag Info'!AB$12),"")</f>
        <v/>
      </c>
      <c r="AB7" s="12" t="str">
        <f>IF('Bundle Tag Info'!AC$12&lt;&gt;"",CONCATENATE('Bundle Tag Info'!$A$1," ",CHAR(10),'Bundle Tag Info'!$A$2," ",'Bundle Tag Info'!$A$3,CHAR(10),'Bundle Tag Info'!AC$6,CHAR(10),'Bundle Tag Info'!AC$12),"")</f>
        <v/>
      </c>
      <c r="AC7" s="12" t="str">
        <f>IF('Bundle Tag Info'!AD$12&lt;&gt;"",CONCATENATE('Bundle Tag Info'!$A$1," ",CHAR(10),'Bundle Tag Info'!$A$2," ",'Bundle Tag Info'!$A$3,CHAR(10),'Bundle Tag Info'!AD$6,CHAR(10),'Bundle Tag Info'!AD$12),"")</f>
        <v/>
      </c>
      <c r="AD7" s="12" t="str">
        <f>IF('Bundle Tag Info'!AE$12&lt;&gt;"",CONCATENATE('Bundle Tag Info'!$A$1," ",CHAR(10),'Bundle Tag Info'!$A$2," ",'Bundle Tag Info'!$A$3,CHAR(10),'Bundle Tag Info'!AE$6,CHAR(10),'Bundle Tag Info'!AE$12),"")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>BP-KEMD  
4L541 B.1
JB70
SB0473</v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>BP-KEMD  
4L541 B.1
A
XT</v>
      </c>
      <c r="F8" s="12" t="str">
        <f>IF('Bundle Tag Info'!F$13&lt;&gt;"",CONCATENATE('Bundle Tag Info'!$A$1," ",CHAR(10),'Bundle Tag Info'!$A$2," ",'Bundle Tag Info'!$A$3,CHAR(10),'Bundle Tag Info'!F$6,CHAR(10),'Bundle Tag Info'!F$13),"")</f>
        <v>BP-KEMD  
4L541 B.1
B
KT L/S</v>
      </c>
      <c r="G8" s="12" t="str">
        <f>IF('Bundle Tag Info'!H$13&lt;&gt;"",CONCATENATE('Bundle Tag Info'!$A$1," ",CHAR(10),'Bundle Tag Info'!$A$2," ",'Bundle Tag Info'!$A$3,CHAR(10),'Bundle Tag Info'!H$6,CHAR(10),'Bundle Tag Info'!H$13),"")</f>
        <v/>
      </c>
      <c r="H8" s="12" t="str">
        <f>IF('Bundle Tag Info'!I$13&lt;&gt;"",CONCATENATE('Bundle Tag Info'!$A$1," ",CHAR(10),'Bundle Tag Info'!$A$2," ",'Bundle Tag Info'!$A$3,CHAR(10),'Bundle Tag Info'!I$6,CHAR(10),'Bundle Tag Info'!I$13),"")</f>
        <v>BP-KEMD  
4L541 B.1
BOP
XT</v>
      </c>
      <c r="I8" s="12" t="str">
        <f>IF('Bundle Tag Info'!J$13&lt;&gt;"",CONCATENATE('Bundle Tag Info'!$A$1," ",CHAR(10),'Bundle Tag Info'!$A$2," ",'Bundle Tag Info'!$A$3,CHAR(10),'Bundle Tag Info'!J$6,CHAR(10),'Bundle Tag Info'!J$13),"")</f>
        <v>BP-KEMD  
4L541 B.1
JB74 L RAIL
KA A2-BOP</v>
      </c>
      <c r="J8" s="12" t="str">
        <f>IF('Bundle Tag Info'!K$13&lt;&gt;"",CONCATENATE('Bundle Tag Info'!$A$1," ",CHAR(10),'Bundle Tag Info'!$A$2," ",'Bundle Tag Info'!$A$3,CHAR(10),'Bundle Tag Info'!K$6,CHAR(10),'Bundle Tag Info'!K$13),"")</f>
        <v/>
      </c>
      <c r="K8" s="12" t="str">
        <f>IF('Bundle Tag Info'!L$13&lt;&gt;"",CONCATENATE('Bundle Tag Info'!$A$1," ",CHAR(10),'Bundle Tag Info'!$A$2," ",'Bundle Tag Info'!$A$3,CHAR(10),'Bundle Tag Info'!L$6,CHAR(10),'Bundle Tag Info'!L$13),"")</f>
        <v/>
      </c>
      <c r="L8" s="12" t="str">
        <f>IF('Bundle Tag Info'!M$13&lt;&gt;"",CONCATENATE('Bundle Tag Info'!$A$1," ",CHAR(10),'Bundle Tag Info'!$A$2," ",'Bundle Tag Info'!$A$3,CHAR(10),'Bundle Tag Info'!M$6,CHAR(10),'Bundle Tag Info'!M$13),"")</f>
        <v/>
      </c>
      <c r="M8" s="12" t="str">
        <f>IF('Bundle Tag Info'!N$13&lt;&gt;"",CONCATENATE('Bundle Tag Info'!$A$1," ",CHAR(10),'Bundle Tag Info'!$A$2," ",'Bundle Tag Info'!$A$3,CHAR(10),'Bundle Tag Info'!N$6,CHAR(10),'Bundle Tag Info'!N$13),"")</f>
        <v/>
      </c>
      <c r="N8" s="12" t="str">
        <f>IF('Bundle Tag Info'!O$13&lt;&gt;"",CONCATENATE('Bundle Tag Info'!$A$1," ",CHAR(10),'Bundle Tag Info'!$A$2," ",'Bundle Tag Info'!$A$3,CHAR(10),'Bundle Tag Info'!O$6,CHAR(10),'Bundle Tag Info'!O$13),"")</f>
        <v/>
      </c>
      <c r="O8" s="12" t="str">
        <f>IF('Bundle Tag Info'!P$13&lt;&gt;"",CONCATENATE('Bundle Tag Info'!$A$1," ",CHAR(10),'Bundle Tag Info'!$A$2," ",'Bundle Tag Info'!$A$3,CHAR(10),'Bundle Tag Info'!P$6,CHAR(10),'Bundle Tag Info'!P$13),"")</f>
        <v/>
      </c>
      <c r="P8" s="12" t="str">
        <f>IF('Bundle Tag Info'!Q$13&lt;&gt;"",CONCATENATE('Bundle Tag Info'!$A$1," ",CHAR(10),'Bundle Tag Info'!$A$2," ",'Bundle Tag Info'!$A$3,CHAR(10),'Bundle Tag Info'!Q$6,CHAR(10),'Bundle Tag Info'!Q$13),"")</f>
        <v/>
      </c>
      <c r="Q8" s="12" t="str">
        <f>IF('Bundle Tag Info'!R$13&lt;&gt;"",CONCATENATE('Bundle Tag Info'!$A$1," ",CHAR(10),'Bundle Tag Info'!$A$2," ",'Bundle Tag Info'!$A$3,CHAR(10),'Bundle Tag Info'!R$6,CHAR(10),'Bundle Tag Info'!R$13),"")</f>
        <v/>
      </c>
      <c r="R8" s="12" t="str">
        <f>IF('Bundle Tag Info'!S$13&lt;&gt;"",CONCATENATE('Bundle Tag Info'!$A$1," ",CHAR(10),'Bundle Tag Info'!$A$2," ",'Bundle Tag Info'!$A$3,CHAR(10),'Bundle Tag Info'!S$6,CHAR(10),'Bundle Tag Info'!S$13),"")</f>
        <v/>
      </c>
      <c r="S8" s="12" t="str">
        <f>IF('Bundle Tag Info'!T$13&lt;&gt;"",CONCATENATE('Bundle Tag Info'!$A$1," ",CHAR(10),'Bundle Tag Info'!$A$2," ",'Bundle Tag Info'!$A$3,CHAR(10),'Bundle Tag Info'!T$6,CHAR(10),'Bundle Tag Info'!T$13),"")</f>
        <v/>
      </c>
      <c r="T8" s="12" t="str">
        <f>IF('Bundle Tag Info'!U$13&lt;&gt;"",CONCATENATE('Bundle Tag Info'!$A$1," ",CHAR(10),'Bundle Tag Info'!$A$2," ",'Bundle Tag Info'!$A$3,CHAR(10),'Bundle Tag Info'!U$6,CHAR(10),'Bundle Tag Info'!U$13),"")</f>
        <v/>
      </c>
      <c r="U8" s="12" t="str">
        <f>IF('Bundle Tag Info'!V$13&lt;&gt;"",CONCATENATE('Bundle Tag Info'!$A$1," ",CHAR(10),'Bundle Tag Info'!$A$2," ",'Bundle Tag Info'!$A$3,CHAR(10),'Bundle Tag Info'!V$6,CHAR(10),'Bundle Tag Info'!V$13),"")</f>
        <v/>
      </c>
      <c r="V8" s="12" t="str">
        <f>IF('Bundle Tag Info'!W$13&lt;&gt;"",CONCATENATE('Bundle Tag Info'!$A$1," ",CHAR(10),'Bundle Tag Info'!$A$2," ",'Bundle Tag Info'!$A$3,CHAR(10),'Bundle Tag Info'!W$6,CHAR(10),'Bundle Tag Info'!W$13),"")</f>
        <v/>
      </c>
      <c r="W8" s="12" t="str">
        <f>IF('Bundle Tag Info'!X$13&lt;&gt;"",CONCATENATE('Bundle Tag Info'!$A$1," ",CHAR(10),'Bundle Tag Info'!$A$2," ",'Bundle Tag Info'!$A$3,CHAR(10),'Bundle Tag Info'!X$6,CHAR(10),'Bundle Tag Info'!X$13),"")</f>
        <v/>
      </c>
      <c r="X8" s="12" t="str">
        <f>IF('Bundle Tag Info'!Y$13&lt;&gt;"",CONCATENATE('Bundle Tag Info'!$A$1," ",CHAR(10),'Bundle Tag Info'!$A$2," ",'Bundle Tag Info'!$A$3,CHAR(10),'Bundle Tag Info'!Y$6,CHAR(10),'Bundle Tag Info'!Y$13),"")</f>
        <v/>
      </c>
      <c r="Y8" s="12" t="str">
        <f>IF('Bundle Tag Info'!Z$13&lt;&gt;"",CONCATENATE('Bundle Tag Info'!$A$1," ",CHAR(10),'Bundle Tag Info'!$A$2," ",'Bundle Tag Info'!$A$3,CHAR(10),'Bundle Tag Info'!Z$6,CHAR(10),'Bundle Tag Info'!Z$13),"")</f>
        <v/>
      </c>
      <c r="Z8" s="12" t="str">
        <f>IF('Bundle Tag Info'!AA$13&lt;&gt;"",CONCATENATE('Bundle Tag Info'!$A$1," ",CHAR(10),'Bundle Tag Info'!$A$2," ",'Bundle Tag Info'!$A$3,CHAR(10),'Bundle Tag Info'!AA$6,CHAR(10),'Bundle Tag Info'!AA$13),"")</f>
        <v/>
      </c>
      <c r="AA8" s="12" t="str">
        <f>IF('Bundle Tag Info'!AB$13&lt;&gt;"",CONCATENATE('Bundle Tag Info'!$A$1," ",CHAR(10),'Bundle Tag Info'!$A$2," ",'Bundle Tag Info'!$A$3,CHAR(10),'Bundle Tag Info'!AB$6,CHAR(10),'Bundle Tag Info'!AB$13),"")</f>
        <v/>
      </c>
      <c r="AB8" s="12" t="str">
        <f>IF('Bundle Tag Info'!AC$13&lt;&gt;"",CONCATENATE('Bundle Tag Info'!$A$1," ",CHAR(10),'Bundle Tag Info'!$A$2," ",'Bundle Tag Info'!$A$3,CHAR(10),'Bundle Tag Info'!AC$6,CHAR(10),'Bundle Tag Info'!AC$13),"")</f>
        <v/>
      </c>
      <c r="AC8" s="12" t="str">
        <f>IF('Bundle Tag Info'!AD$13&lt;&gt;"",CONCATENATE('Bundle Tag Info'!$A$1," ",CHAR(10),'Bundle Tag Info'!$A$2," ",'Bundle Tag Info'!$A$3,CHAR(10),'Bundle Tag Info'!AD$6,CHAR(10),'Bundle Tag Info'!AD$13),"")</f>
        <v/>
      </c>
      <c r="AD8" s="12" t="str">
        <f>IF('Bundle Tag Info'!AE$13&lt;&gt;"",CONCATENATE('Bundle Tag Info'!$A$1," ",CHAR(10),'Bundle Tag Info'!$A$2," ",'Bundle Tag Info'!$A$3,CHAR(10),'Bundle Tag Info'!AE$6,CHAR(10),'Bundle Tag Info'!AE$13),"")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>BP-KEMD  
4L541 B.1
JB70
SB0474</v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>BP-KEMD  
4L541 B.1
A
AF080s-B</v>
      </c>
      <c r="F9" s="12" t="str">
        <f>IF('Bundle Tag Info'!F$14&lt;&gt;"",CONCATENATE('Bundle Tag Info'!$A$1," ",CHAR(10),'Bundle Tag Info'!$A$2," ",'Bundle Tag Info'!$A$3,CHAR(10),'Bundle Tag Info'!F$6,CHAR(10),'Bundle Tag Info'!F$14),"")</f>
        <v>BP-KEMD  
4L541 B.1
B
KT R/S</v>
      </c>
      <c r="G9" s="12" t="str">
        <f>IF('Bundle Tag Info'!H$14&lt;&gt;"",CONCATENATE('Bundle Tag Info'!$A$1," ",CHAR(10),'Bundle Tag Info'!$A$2," ",'Bundle Tag Info'!$A$3,CHAR(10),'Bundle Tag Info'!H$6,CHAR(10),'Bundle Tag Info'!H$14),"")</f>
        <v/>
      </c>
      <c r="H9" s="12" t="str">
        <f>IF('Bundle Tag Info'!I$14&lt;&gt;"",CONCATENATE('Bundle Tag Info'!$A$1," ",CHAR(10),'Bundle Tag Info'!$A$2," ",'Bundle Tag Info'!$A$3,CHAR(10),'Bundle Tag Info'!I$6,CHAR(10),'Bundle Tag Info'!I$14),"")</f>
        <v/>
      </c>
      <c r="I9" s="12" t="str">
        <f>IF('Bundle Tag Info'!J$14&lt;&gt;"",CONCATENATE('Bundle Tag Info'!$A$1," ",CHAR(10),'Bundle Tag Info'!$A$2," ",'Bundle Tag Info'!$A$3,CHAR(10),'Bundle Tag Info'!J$6,CHAR(10),'Bundle Tag Info'!J$14),"")</f>
        <v>BP-KEMD  
4L541 B.1
JB74 L RAIL
KA-BOP</v>
      </c>
      <c r="J9" s="12" t="str">
        <f>IF('Bundle Tag Info'!K$14&lt;&gt;"",CONCATENATE('Bundle Tag Info'!$A$1," ",CHAR(10),'Bundle Tag Info'!$A$2," ",'Bundle Tag Info'!$A$3,CHAR(10),'Bundle Tag Info'!K$6,CHAR(10),'Bundle Tag Info'!K$14),"")</f>
        <v/>
      </c>
      <c r="K9" s="12" t="str">
        <f>IF('Bundle Tag Info'!L$14&lt;&gt;"",CONCATENATE('Bundle Tag Info'!$A$1," ",CHAR(10),'Bundle Tag Info'!$A$2," ",'Bundle Tag Info'!$A$3,CHAR(10),'Bundle Tag Info'!L$6,CHAR(10),'Bundle Tag Info'!L$14),"")</f>
        <v/>
      </c>
      <c r="L9" s="12" t="str">
        <f>IF('Bundle Tag Info'!M$14&lt;&gt;"",CONCATENATE('Bundle Tag Info'!$A$1," ",CHAR(10),'Bundle Tag Info'!$A$2," ",'Bundle Tag Info'!$A$3,CHAR(10),'Bundle Tag Info'!M$6,CHAR(10),'Bundle Tag Info'!M$14),"")</f>
        <v/>
      </c>
      <c r="M9" s="12" t="str">
        <f>IF('Bundle Tag Info'!N$14&lt;&gt;"",CONCATENATE('Bundle Tag Info'!$A$1," ",CHAR(10),'Bundle Tag Info'!$A$2," ",'Bundle Tag Info'!$A$3,CHAR(10),'Bundle Tag Info'!N$6,CHAR(10),'Bundle Tag Info'!N$14),"")</f>
        <v/>
      </c>
      <c r="N9" s="12" t="str">
        <f>IF('Bundle Tag Info'!O$14&lt;&gt;"",CONCATENATE('Bundle Tag Info'!$A$1," ",CHAR(10),'Bundle Tag Info'!$A$2," ",'Bundle Tag Info'!$A$3,CHAR(10),'Bundle Tag Info'!O$6,CHAR(10),'Bundle Tag Info'!O$14),"")</f>
        <v/>
      </c>
      <c r="O9" s="12" t="str">
        <f>IF('Bundle Tag Info'!P$14&lt;&gt;"",CONCATENATE('Bundle Tag Info'!$A$1," ",CHAR(10),'Bundle Tag Info'!$A$2," ",'Bundle Tag Info'!$A$3,CHAR(10),'Bundle Tag Info'!P$6,CHAR(10),'Bundle Tag Info'!P$14),"")</f>
        <v/>
      </c>
      <c r="P9" s="12" t="str">
        <f>IF('Bundle Tag Info'!Q$14&lt;&gt;"",CONCATENATE('Bundle Tag Info'!$A$1," ",CHAR(10),'Bundle Tag Info'!$A$2," ",'Bundle Tag Info'!$A$3,CHAR(10),'Bundle Tag Info'!Q$6,CHAR(10),'Bundle Tag Info'!Q$14),"")</f>
        <v/>
      </c>
      <c r="Q9" s="12" t="str">
        <f>IF('Bundle Tag Info'!R$14&lt;&gt;"",CONCATENATE('Bundle Tag Info'!$A$1," ",CHAR(10),'Bundle Tag Info'!$A$2," ",'Bundle Tag Info'!$A$3,CHAR(10),'Bundle Tag Info'!R$6,CHAR(10),'Bundle Tag Info'!R$14),"")</f>
        <v/>
      </c>
      <c r="R9" s="12" t="str">
        <f>IF('Bundle Tag Info'!S$14&lt;&gt;"",CONCATENATE('Bundle Tag Info'!$A$1," ",CHAR(10),'Bundle Tag Info'!$A$2," ",'Bundle Tag Info'!$A$3,CHAR(10),'Bundle Tag Info'!S$6,CHAR(10),'Bundle Tag Info'!S$14),"")</f>
        <v/>
      </c>
      <c r="S9" s="12" t="str">
        <f>IF('Bundle Tag Info'!T$14&lt;&gt;"",CONCATENATE('Bundle Tag Info'!$A$1," ",CHAR(10),'Bundle Tag Info'!$A$2," ",'Bundle Tag Info'!$A$3,CHAR(10),'Bundle Tag Info'!T$6,CHAR(10),'Bundle Tag Info'!T$14),"")</f>
        <v/>
      </c>
      <c r="T9" s="12" t="str">
        <f>IF('Bundle Tag Info'!U$14&lt;&gt;"",CONCATENATE('Bundle Tag Info'!$A$1," ",CHAR(10),'Bundle Tag Info'!$A$2," ",'Bundle Tag Info'!$A$3,CHAR(10),'Bundle Tag Info'!U$6,CHAR(10),'Bundle Tag Info'!U$14),"")</f>
        <v/>
      </c>
      <c r="U9" s="12" t="str">
        <f>IF('Bundle Tag Info'!V$14&lt;&gt;"",CONCATENATE('Bundle Tag Info'!$A$1," ",CHAR(10),'Bundle Tag Info'!$A$2," ",'Bundle Tag Info'!$A$3,CHAR(10),'Bundle Tag Info'!V$6,CHAR(10),'Bundle Tag Info'!V$14),"")</f>
        <v/>
      </c>
      <c r="V9" s="12" t="str">
        <f>IF('Bundle Tag Info'!W$14&lt;&gt;"",CONCATENATE('Bundle Tag Info'!$A$1," ",CHAR(10),'Bundle Tag Info'!$A$2," ",'Bundle Tag Info'!$A$3,CHAR(10),'Bundle Tag Info'!W$6,CHAR(10),'Bundle Tag Info'!W$14),"")</f>
        <v/>
      </c>
      <c r="W9" s="12" t="str">
        <f>IF('Bundle Tag Info'!X$14&lt;&gt;"",CONCATENATE('Bundle Tag Info'!$A$1," ",CHAR(10),'Bundle Tag Info'!$A$2," ",'Bundle Tag Info'!$A$3,CHAR(10),'Bundle Tag Info'!X$6,CHAR(10),'Bundle Tag Info'!X$14),"")</f>
        <v/>
      </c>
      <c r="X9" s="12" t="str">
        <f>IF('Bundle Tag Info'!Y$14&lt;&gt;"",CONCATENATE('Bundle Tag Info'!$A$1," ",CHAR(10),'Bundle Tag Info'!$A$2," ",'Bundle Tag Info'!$A$3,CHAR(10),'Bundle Tag Info'!Y$6,CHAR(10),'Bundle Tag Info'!Y$14),"")</f>
        <v/>
      </c>
      <c r="Y9" s="12" t="str">
        <f>IF('Bundle Tag Info'!Z$14&lt;&gt;"",CONCATENATE('Bundle Tag Info'!$A$1," ",CHAR(10),'Bundle Tag Info'!$A$2," ",'Bundle Tag Info'!$A$3,CHAR(10),'Bundle Tag Info'!Z$6,CHAR(10),'Bundle Tag Info'!Z$14),"")</f>
        <v/>
      </c>
      <c r="Z9" s="12" t="str">
        <f>IF('Bundle Tag Info'!AA$14&lt;&gt;"",CONCATENATE('Bundle Tag Info'!$A$1," ",CHAR(10),'Bundle Tag Info'!$A$2," ",'Bundle Tag Info'!$A$3,CHAR(10),'Bundle Tag Info'!AA$6,CHAR(10),'Bundle Tag Info'!AA$14),"")</f>
        <v/>
      </c>
      <c r="AA9" s="12" t="str">
        <f>IF('Bundle Tag Info'!AB$14&lt;&gt;"",CONCATENATE('Bundle Tag Info'!$A$1," ",CHAR(10),'Bundle Tag Info'!$A$2," ",'Bundle Tag Info'!$A$3,CHAR(10),'Bundle Tag Info'!AB$6,CHAR(10),'Bundle Tag Info'!AB$14),"")</f>
        <v/>
      </c>
      <c r="AB9" s="12" t="str">
        <f>IF('Bundle Tag Info'!AC$14&lt;&gt;"",CONCATENATE('Bundle Tag Info'!$A$1," ",CHAR(10),'Bundle Tag Info'!$A$2," ",'Bundle Tag Info'!$A$3,CHAR(10),'Bundle Tag Info'!AC$6,CHAR(10),'Bundle Tag Info'!AC$14),"")</f>
        <v/>
      </c>
      <c r="AC9" s="12" t="str">
        <f>IF('Bundle Tag Info'!AD$14&lt;&gt;"",CONCATENATE('Bundle Tag Info'!$A$1," ",CHAR(10),'Bundle Tag Info'!$A$2," ",'Bundle Tag Info'!$A$3,CHAR(10),'Bundle Tag Info'!AD$6,CHAR(10),'Bundle Tag Info'!AD$14),"")</f>
        <v/>
      </c>
      <c r="AD9" s="12" t="str">
        <f>IF('Bundle Tag Info'!AE$14&lt;&gt;"",CONCATENATE('Bundle Tag Info'!$A$1," ",CHAR(10),'Bundle Tag Info'!$A$2," ",'Bundle Tag Info'!$A$3,CHAR(10),'Bundle Tag Info'!AE$6,CHAR(10),'Bundle Tag Info'!AE$14),"")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>BP-KEMD  
4L541 B.1
JB70
SH0470</v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>BP-KEMD  
4L541 B.1
A
AF090s-B</v>
      </c>
      <c r="F10" s="12" t="str">
        <f>IF('Bundle Tag Info'!F$15&lt;&gt;"",CONCATENATE('Bundle Tag Info'!$A$1," ",CHAR(10),'Bundle Tag Info'!$A$2," ",'Bundle Tag Info'!$A$3,CHAR(10),'Bundle Tag Info'!F$6,CHAR(10),'Bundle Tag Info'!F$15),"")</f>
        <v>BP-KEMD  
4L541 B.1
B
XT</v>
      </c>
      <c r="G10" s="12" t="str">
        <f>IF('Bundle Tag Info'!H$15&lt;&gt;"",CONCATENATE('Bundle Tag Info'!$A$1," ",CHAR(10),'Bundle Tag Info'!$A$2," ",'Bundle Tag Info'!$A$3,CHAR(10),'Bundle Tag Info'!H$6,CHAR(10),'Bundle Tag Info'!H$15),"")</f>
        <v/>
      </c>
      <c r="H10" s="12" t="str">
        <f>IF('Bundle Tag Info'!I$15&lt;&gt;"",CONCATENATE('Bundle Tag Info'!$A$1," ",CHAR(10),'Bundle Tag Info'!$A$2," ",'Bundle Tag Info'!$A$3,CHAR(10),'Bundle Tag Info'!I$6,CHAR(10),'Bundle Tag Info'!I$15),"")</f>
        <v/>
      </c>
      <c r="I10" s="12" t="str">
        <f>IF('Bundle Tag Info'!J$15&lt;&gt;"",CONCATENATE('Bundle Tag Info'!$A$1," ",CHAR(10),'Bundle Tag Info'!$A$2," ",'Bundle Tag Info'!$A$3,CHAR(10),'Bundle Tag Info'!J$6,CHAR(10),'Bundle Tag Info'!J$15),"")</f>
        <v>BP-KEMD  
4L541 B.1
JB74 L RAIL
XT-BOP</v>
      </c>
      <c r="J10" s="12" t="str">
        <f>IF('Bundle Tag Info'!K$15&lt;&gt;"",CONCATENATE('Bundle Tag Info'!$A$1," ",CHAR(10),'Bundle Tag Info'!$A$2," ",'Bundle Tag Info'!$A$3,CHAR(10),'Bundle Tag Info'!K$6,CHAR(10),'Bundle Tag Info'!K$15),"")</f>
        <v/>
      </c>
      <c r="K10" s="12" t="str">
        <f>IF('Bundle Tag Info'!L$15&lt;&gt;"",CONCATENATE('Bundle Tag Info'!$A$1," ",CHAR(10),'Bundle Tag Info'!$A$2," ",'Bundle Tag Info'!$A$3,CHAR(10),'Bundle Tag Info'!L$6,CHAR(10),'Bundle Tag Info'!L$15),"")</f>
        <v/>
      </c>
      <c r="L10" s="12" t="str">
        <f>IF('Bundle Tag Info'!M$15&lt;&gt;"",CONCATENATE('Bundle Tag Info'!$A$1," ",CHAR(10),'Bundle Tag Info'!$A$2," ",'Bundle Tag Info'!$A$3,CHAR(10),'Bundle Tag Info'!M$6,CHAR(10),'Bundle Tag Info'!M$15),"")</f>
        <v/>
      </c>
      <c r="M10" s="12" t="str">
        <f>IF('Bundle Tag Info'!N$15&lt;&gt;"",CONCATENATE('Bundle Tag Info'!$A$1," ",CHAR(10),'Bundle Tag Info'!$A$2," ",'Bundle Tag Info'!$A$3,CHAR(10),'Bundle Tag Info'!N$6,CHAR(10),'Bundle Tag Info'!N$15),"")</f>
        <v/>
      </c>
      <c r="N10" s="12" t="str">
        <f>IF('Bundle Tag Info'!O$15&lt;&gt;"",CONCATENATE('Bundle Tag Info'!$A$1," ",CHAR(10),'Bundle Tag Info'!$A$2," ",'Bundle Tag Info'!$A$3,CHAR(10),'Bundle Tag Info'!O$6,CHAR(10),'Bundle Tag Info'!O$15),"")</f>
        <v/>
      </c>
      <c r="O10" s="12" t="str">
        <f>IF('Bundle Tag Info'!P$15&lt;&gt;"",CONCATENATE('Bundle Tag Info'!$A$1," ",CHAR(10),'Bundle Tag Info'!$A$2," ",'Bundle Tag Info'!$A$3,CHAR(10),'Bundle Tag Info'!P$6,CHAR(10),'Bundle Tag Info'!P$15),"")</f>
        <v/>
      </c>
      <c r="P10" s="12" t="str">
        <f>IF('Bundle Tag Info'!Q$15&lt;&gt;"",CONCATENATE('Bundle Tag Info'!$A$1," ",CHAR(10),'Bundle Tag Info'!$A$2," ",'Bundle Tag Info'!$A$3,CHAR(10),'Bundle Tag Info'!Q$6,CHAR(10),'Bundle Tag Info'!Q$15),"")</f>
        <v/>
      </c>
      <c r="Q10" s="12" t="str">
        <f>IF('Bundle Tag Info'!R$15&lt;&gt;"",CONCATENATE('Bundle Tag Info'!$A$1," ",CHAR(10),'Bundle Tag Info'!$A$2," ",'Bundle Tag Info'!$A$3,CHAR(10),'Bundle Tag Info'!R$6,CHAR(10),'Bundle Tag Info'!R$15),"")</f>
        <v/>
      </c>
      <c r="R10" s="12" t="str">
        <f>IF('Bundle Tag Info'!S$15&lt;&gt;"",CONCATENATE('Bundle Tag Info'!$A$1," ",CHAR(10),'Bundle Tag Info'!$A$2," ",'Bundle Tag Info'!$A$3,CHAR(10),'Bundle Tag Info'!S$6,CHAR(10),'Bundle Tag Info'!S$15),"")</f>
        <v/>
      </c>
      <c r="S10" s="12" t="str">
        <f>IF('Bundle Tag Info'!T$15&lt;&gt;"",CONCATENATE('Bundle Tag Info'!$A$1," ",CHAR(10),'Bundle Tag Info'!$A$2," ",'Bundle Tag Info'!$A$3,CHAR(10),'Bundle Tag Info'!T$6,CHAR(10),'Bundle Tag Info'!T$15),"")</f>
        <v/>
      </c>
      <c r="T10" s="12" t="str">
        <f>IF('Bundle Tag Info'!U$15&lt;&gt;"",CONCATENATE('Bundle Tag Info'!$A$1," ",CHAR(10),'Bundle Tag Info'!$A$2," ",'Bundle Tag Info'!$A$3,CHAR(10),'Bundle Tag Info'!U$6,CHAR(10),'Bundle Tag Info'!U$15),"")</f>
        <v/>
      </c>
      <c r="U10" s="12" t="str">
        <f>IF('Bundle Tag Info'!V$15&lt;&gt;"",CONCATENATE('Bundle Tag Info'!$A$1," ",CHAR(10),'Bundle Tag Info'!$A$2," ",'Bundle Tag Info'!$A$3,CHAR(10),'Bundle Tag Info'!V$6,CHAR(10),'Bundle Tag Info'!V$15),"")</f>
        <v/>
      </c>
      <c r="V10" s="12" t="str">
        <f>IF('Bundle Tag Info'!W$15&lt;&gt;"",CONCATENATE('Bundle Tag Info'!$A$1," ",CHAR(10),'Bundle Tag Info'!$A$2," ",'Bundle Tag Info'!$A$3,CHAR(10),'Bundle Tag Info'!W$6,CHAR(10),'Bundle Tag Info'!W$15),"")</f>
        <v/>
      </c>
      <c r="W10" s="12" t="str">
        <f>IF('Bundle Tag Info'!X$15&lt;&gt;"",CONCATENATE('Bundle Tag Info'!$A$1," ",CHAR(10),'Bundle Tag Info'!$A$2," ",'Bundle Tag Info'!$A$3,CHAR(10),'Bundle Tag Info'!X$6,CHAR(10),'Bundle Tag Info'!X$15),"")</f>
        <v/>
      </c>
      <c r="X10" s="12" t="str">
        <f>IF('Bundle Tag Info'!Y$15&lt;&gt;"",CONCATENATE('Bundle Tag Info'!$A$1," ",CHAR(10),'Bundle Tag Info'!$A$2," ",'Bundle Tag Info'!$A$3,CHAR(10),'Bundle Tag Info'!Y$6,CHAR(10),'Bundle Tag Info'!Y$15),"")</f>
        <v/>
      </c>
      <c r="Y10" s="12" t="str">
        <f>IF('Bundle Tag Info'!Z$15&lt;&gt;"",CONCATENATE('Bundle Tag Info'!$A$1," ",CHAR(10),'Bundle Tag Info'!$A$2," ",'Bundle Tag Info'!$A$3,CHAR(10),'Bundle Tag Info'!Z$6,CHAR(10),'Bundle Tag Info'!Z$15),"")</f>
        <v/>
      </c>
      <c r="Z10" s="12" t="str">
        <f>IF('Bundle Tag Info'!AA$15&lt;&gt;"",CONCATENATE('Bundle Tag Info'!$A$1," ",CHAR(10),'Bundle Tag Info'!$A$2," ",'Bundle Tag Info'!$A$3,CHAR(10),'Bundle Tag Info'!AA$6,CHAR(10),'Bundle Tag Info'!AA$15),"")</f>
        <v/>
      </c>
      <c r="AA10" s="12" t="str">
        <f>IF('Bundle Tag Info'!AB$15&lt;&gt;"",CONCATENATE('Bundle Tag Info'!$A$1," ",CHAR(10),'Bundle Tag Info'!$A$2," ",'Bundle Tag Info'!$A$3,CHAR(10),'Bundle Tag Info'!AB$6,CHAR(10),'Bundle Tag Info'!AB$15),"")</f>
        <v/>
      </c>
      <c r="AB10" s="12" t="str">
        <f>IF('Bundle Tag Info'!AC$15&lt;&gt;"",CONCATENATE('Bundle Tag Info'!$A$1," ",CHAR(10),'Bundle Tag Info'!$A$2," ",'Bundle Tag Info'!$A$3,CHAR(10),'Bundle Tag Info'!AC$6,CHAR(10),'Bundle Tag Info'!AC$15),"")</f>
        <v/>
      </c>
      <c r="AC10" s="12" t="str">
        <f>IF('Bundle Tag Info'!AD$15&lt;&gt;"",CONCATENATE('Bundle Tag Info'!$A$1," ",CHAR(10),'Bundle Tag Info'!$A$2," ",'Bundle Tag Info'!$A$3,CHAR(10),'Bundle Tag Info'!AD$6,CHAR(10),'Bundle Tag Info'!AD$15),"")</f>
        <v/>
      </c>
      <c r="AD10" s="12" t="str">
        <f>IF('Bundle Tag Info'!AE$15&lt;&gt;"",CONCATENATE('Bundle Tag Info'!$A$1," ",CHAR(10),'Bundle Tag Info'!$A$2," ",'Bundle Tag Info'!$A$3,CHAR(10),'Bundle Tag Info'!AE$6,CHAR(10),'Bundle Tag Info'!AE$15),"")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>BP-KEMD  
4L541 B.1
JB70
SH0471</v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>BP-KEMD  
4L541 B.1
A
AP-B</v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Info'!H$16&lt;&gt;"",CONCATENATE('Bundle Tag Info'!$A$1," ",CHAR(10),'Bundle Tag Info'!$A$2," ",'Bundle Tag Info'!$A$3,CHAR(10),'Bundle Tag Info'!H$6,CHAR(10),'Bundle Tag Info'!H$16),"")</f>
        <v/>
      </c>
      <c r="H11" s="12" t="str">
        <f>IF('Bundle Tag Info'!I$16&lt;&gt;"",CONCATENATE('Bundle Tag Info'!$A$1," ",CHAR(10),'Bundle Tag Info'!$A$2," ",'Bundle Tag Info'!$A$3,CHAR(10),'Bundle Tag Info'!I$6,CHAR(10),'Bundle Tag Info'!I$16),"")</f>
        <v/>
      </c>
      <c r="I11" s="12" t="str">
        <f>IF('Bundle Tag Info'!J$16&lt;&gt;"",CONCATENATE('Bundle Tag Info'!$A$1," ",CHAR(10),'Bundle Tag Info'!$A$2," ",'Bundle Tag Info'!$A$3,CHAR(10),'Bundle Tag Info'!J$6,CHAR(10),'Bundle Tag Info'!J$16),"")</f>
        <v/>
      </c>
      <c r="J11" s="12" t="str">
        <f>IF('Bundle Tag Info'!K$16&lt;&gt;"",CONCATENATE('Bundle Tag Info'!$A$1," ",CHAR(10),'Bundle Tag Info'!$A$2," ",'Bundle Tag Info'!$A$3,CHAR(10),'Bundle Tag Info'!K$6,CHAR(10),'Bundle Tag Info'!K$16),"")</f>
        <v/>
      </c>
      <c r="K11" s="12" t="str">
        <f>IF('Bundle Tag Info'!L$16&lt;&gt;"",CONCATENATE('Bundle Tag Info'!$A$1," ",CHAR(10),'Bundle Tag Info'!$A$2," ",'Bundle Tag Info'!$A$3,CHAR(10),'Bundle Tag Info'!L$6,CHAR(10),'Bundle Tag Info'!L$16),"")</f>
        <v/>
      </c>
      <c r="L11" s="12" t="str">
        <f>IF('Bundle Tag Info'!M$16&lt;&gt;"",CONCATENATE('Bundle Tag Info'!$A$1," ",CHAR(10),'Bundle Tag Info'!$A$2," ",'Bundle Tag Info'!$A$3,CHAR(10),'Bundle Tag Info'!M$6,CHAR(10),'Bundle Tag Info'!M$16),"")</f>
        <v/>
      </c>
      <c r="M11" s="12" t="str">
        <f>IF('Bundle Tag Info'!N$16&lt;&gt;"",CONCATENATE('Bundle Tag Info'!$A$1," ",CHAR(10),'Bundle Tag Info'!$A$2," ",'Bundle Tag Info'!$A$3,CHAR(10),'Bundle Tag Info'!N$6,CHAR(10),'Bundle Tag Info'!N$16),"")</f>
        <v/>
      </c>
      <c r="N11" s="12" t="str">
        <f>IF('Bundle Tag Info'!O$16&lt;&gt;"",CONCATENATE('Bundle Tag Info'!$A$1," ",CHAR(10),'Bundle Tag Info'!$A$2," ",'Bundle Tag Info'!$A$3,CHAR(10),'Bundle Tag Info'!O$6,CHAR(10),'Bundle Tag Info'!O$16),"")</f>
        <v/>
      </c>
      <c r="O11" s="12" t="str">
        <f>IF('Bundle Tag Info'!P$16&lt;&gt;"",CONCATENATE('Bundle Tag Info'!$A$1," ",CHAR(10),'Bundle Tag Info'!$A$2," ",'Bundle Tag Info'!$A$3,CHAR(10),'Bundle Tag Info'!P$6,CHAR(10),'Bundle Tag Info'!P$16),"")</f>
        <v/>
      </c>
      <c r="P11" s="12" t="str">
        <f>IF('Bundle Tag Info'!Q$16&lt;&gt;"",CONCATENATE('Bundle Tag Info'!$A$1," ",CHAR(10),'Bundle Tag Info'!$A$2," ",'Bundle Tag Info'!$A$3,CHAR(10),'Bundle Tag Info'!Q$6,CHAR(10),'Bundle Tag Info'!Q$16),"")</f>
        <v/>
      </c>
      <c r="Q11" s="12" t="str">
        <f>IF('Bundle Tag Info'!R$16&lt;&gt;"",CONCATENATE('Bundle Tag Info'!$A$1," ",CHAR(10),'Bundle Tag Info'!$A$2," ",'Bundle Tag Info'!$A$3,CHAR(10),'Bundle Tag Info'!R$6,CHAR(10),'Bundle Tag Info'!R$16),"")</f>
        <v/>
      </c>
      <c r="R11" s="12" t="str">
        <f>IF('Bundle Tag Info'!S$16&lt;&gt;"",CONCATENATE('Bundle Tag Info'!$A$1," ",CHAR(10),'Bundle Tag Info'!$A$2," ",'Bundle Tag Info'!$A$3,CHAR(10),'Bundle Tag Info'!S$6,CHAR(10),'Bundle Tag Info'!S$16),"")</f>
        <v/>
      </c>
      <c r="S11" s="12" t="str">
        <f>IF('Bundle Tag Info'!T$16&lt;&gt;"",CONCATENATE('Bundle Tag Info'!$A$1," ",CHAR(10),'Bundle Tag Info'!$A$2," ",'Bundle Tag Info'!$A$3,CHAR(10),'Bundle Tag Info'!T$6,CHAR(10),'Bundle Tag Info'!T$16),"")</f>
        <v/>
      </c>
      <c r="T11" s="12" t="str">
        <f>IF('Bundle Tag Info'!U$16&lt;&gt;"",CONCATENATE('Bundle Tag Info'!$A$1," ",CHAR(10),'Bundle Tag Info'!$A$2," ",'Bundle Tag Info'!$A$3,CHAR(10),'Bundle Tag Info'!U$6,CHAR(10),'Bundle Tag Info'!U$16),"")</f>
        <v/>
      </c>
      <c r="U11" s="12" t="str">
        <f>IF('Bundle Tag Info'!V$16&lt;&gt;"",CONCATENATE('Bundle Tag Info'!$A$1," ",CHAR(10),'Bundle Tag Info'!$A$2," ",'Bundle Tag Info'!$A$3,CHAR(10),'Bundle Tag Info'!V$6,CHAR(10),'Bundle Tag Info'!V$16),"")</f>
        <v/>
      </c>
      <c r="V11" s="12" t="str">
        <f>IF('Bundle Tag Info'!W$16&lt;&gt;"",CONCATENATE('Bundle Tag Info'!$A$1," ",CHAR(10),'Bundle Tag Info'!$A$2," ",'Bundle Tag Info'!$A$3,CHAR(10),'Bundle Tag Info'!W$6,CHAR(10),'Bundle Tag Info'!W$16),"")</f>
        <v/>
      </c>
      <c r="W11" s="12" t="str">
        <f>IF('Bundle Tag Info'!X$16&lt;&gt;"",CONCATENATE('Bundle Tag Info'!$A$1," ",CHAR(10),'Bundle Tag Info'!$A$2," ",'Bundle Tag Info'!$A$3,CHAR(10),'Bundle Tag Info'!X$6,CHAR(10),'Bundle Tag Info'!X$16),"")</f>
        <v/>
      </c>
      <c r="X11" s="12" t="str">
        <f>IF('Bundle Tag Info'!Y$16&lt;&gt;"",CONCATENATE('Bundle Tag Info'!$A$1," ",CHAR(10),'Bundle Tag Info'!$A$2," ",'Bundle Tag Info'!$A$3,CHAR(10),'Bundle Tag Info'!Y$6,CHAR(10),'Bundle Tag Info'!Y$16),"")</f>
        <v/>
      </c>
      <c r="Y11" s="12" t="str">
        <f>IF('Bundle Tag Info'!Z$16&lt;&gt;"",CONCATENATE('Bundle Tag Info'!$A$1," ",CHAR(10),'Bundle Tag Info'!$A$2," ",'Bundle Tag Info'!$A$3,CHAR(10),'Bundle Tag Info'!Z$6,CHAR(10),'Bundle Tag Info'!Z$16),"")</f>
        <v/>
      </c>
      <c r="Z11" s="12" t="str">
        <f>IF('Bundle Tag Info'!AA$16&lt;&gt;"",CONCATENATE('Bundle Tag Info'!$A$1," ",CHAR(10),'Bundle Tag Info'!$A$2," ",'Bundle Tag Info'!$A$3,CHAR(10),'Bundle Tag Info'!AA$6,CHAR(10),'Bundle Tag Info'!AA$16),"")</f>
        <v/>
      </c>
      <c r="AA11" s="12" t="str">
        <f>IF('Bundle Tag Info'!AB$16&lt;&gt;"",CONCATENATE('Bundle Tag Info'!$A$1," ",CHAR(10),'Bundle Tag Info'!$A$2," ",'Bundle Tag Info'!$A$3,CHAR(10),'Bundle Tag Info'!AB$6,CHAR(10),'Bundle Tag Info'!AB$16),"")</f>
        <v/>
      </c>
      <c r="AB11" s="12" t="str">
        <f>IF('Bundle Tag Info'!AC$16&lt;&gt;"",CONCATENATE('Bundle Tag Info'!$A$1," ",CHAR(10),'Bundle Tag Info'!$A$2," ",'Bundle Tag Info'!$A$3,CHAR(10),'Bundle Tag Info'!AC$6,CHAR(10),'Bundle Tag Info'!AC$16),"")</f>
        <v/>
      </c>
      <c r="AC11" s="12" t="str">
        <f>IF('Bundle Tag Info'!AD$16&lt;&gt;"",CONCATENATE('Bundle Tag Info'!$A$1," ",CHAR(10),'Bundle Tag Info'!$A$2," ",'Bundle Tag Info'!$A$3,CHAR(10),'Bundle Tag Info'!AD$6,CHAR(10),'Bundle Tag Info'!AD$16),"")</f>
        <v/>
      </c>
      <c r="AD11" s="12" t="str">
        <f>IF('Bundle Tag Info'!AE$16&lt;&gt;"",CONCATENATE('Bundle Tag Info'!$A$1," ",CHAR(10),'Bundle Tag Info'!$A$2," ",'Bundle Tag Info'!$A$3,CHAR(10),'Bundle Tag Info'!AE$6,CHAR(10),'Bundle Tag Info'!AE$16),"")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>BP-KEMD  
4L541 B.1
JB70
SH0472</v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>BP-KEMD  
4L541 B.1
A
FU-B</v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Info'!H$17&lt;&gt;"",CONCATENATE('Bundle Tag Info'!$A$1," ",CHAR(10),'Bundle Tag Info'!$A$2," ",'Bundle Tag Info'!$A$3,CHAR(10),'Bundle Tag Info'!H$6,CHAR(10),'Bundle Tag Info'!H$17),"")</f>
        <v/>
      </c>
      <c r="H12" s="12" t="str">
        <f>IF('Bundle Tag Info'!I$17&lt;&gt;"",CONCATENATE('Bundle Tag Info'!$A$1," ",CHAR(10),'Bundle Tag Info'!$A$2," ",'Bundle Tag Info'!$A$3,CHAR(10),'Bundle Tag Info'!I$6,CHAR(10),'Bundle Tag Info'!I$17),"")</f>
        <v/>
      </c>
      <c r="I12" s="12" t="str">
        <f>IF('Bundle Tag Info'!J$17&lt;&gt;"",CONCATENATE('Bundle Tag Info'!$A$1," ",CHAR(10),'Bundle Tag Info'!$A$2," ",'Bundle Tag Info'!$A$3,CHAR(10),'Bundle Tag Info'!J$6,CHAR(10),'Bundle Tag Info'!J$17),"")</f>
        <v/>
      </c>
      <c r="J12" s="12" t="str">
        <f>IF('Bundle Tag Info'!K$17&lt;&gt;"",CONCATENATE('Bundle Tag Info'!$A$1," ",CHAR(10),'Bundle Tag Info'!$A$2," ",'Bundle Tag Info'!$A$3,CHAR(10),'Bundle Tag Info'!K$6,CHAR(10),'Bundle Tag Info'!K$17),"")</f>
        <v/>
      </c>
      <c r="K12" s="12" t="str">
        <f>IF('Bundle Tag Info'!L$17&lt;&gt;"",CONCATENATE('Bundle Tag Info'!$A$1," ",CHAR(10),'Bundle Tag Info'!$A$2," ",'Bundle Tag Info'!$A$3,CHAR(10),'Bundle Tag Info'!L$6,CHAR(10),'Bundle Tag Info'!L$17),"")</f>
        <v/>
      </c>
      <c r="L12" s="12" t="str">
        <f>IF('Bundle Tag Info'!M$17&lt;&gt;"",CONCATENATE('Bundle Tag Info'!$A$1," ",CHAR(10),'Bundle Tag Info'!$A$2," ",'Bundle Tag Info'!$A$3,CHAR(10),'Bundle Tag Info'!M$6,CHAR(10),'Bundle Tag Info'!M$17),"")</f>
        <v/>
      </c>
      <c r="M12" s="12" t="str">
        <f>IF('Bundle Tag Info'!N$17&lt;&gt;"",CONCATENATE('Bundle Tag Info'!$A$1," ",CHAR(10),'Bundle Tag Info'!$A$2," ",'Bundle Tag Info'!$A$3,CHAR(10),'Bundle Tag Info'!N$6,CHAR(10),'Bundle Tag Info'!N$17),"")</f>
        <v/>
      </c>
      <c r="N12" s="12" t="str">
        <f>IF('Bundle Tag Info'!O$17&lt;&gt;"",CONCATENATE('Bundle Tag Info'!$A$1," ",CHAR(10),'Bundle Tag Info'!$A$2," ",'Bundle Tag Info'!$A$3,CHAR(10),'Bundle Tag Info'!O$6,CHAR(10),'Bundle Tag Info'!O$17),"")</f>
        <v/>
      </c>
      <c r="O12" s="12" t="str">
        <f>IF('Bundle Tag Info'!P$17&lt;&gt;"",CONCATENATE('Bundle Tag Info'!$A$1," ",CHAR(10),'Bundle Tag Info'!$A$2," ",'Bundle Tag Info'!$A$3,CHAR(10),'Bundle Tag Info'!P$6,CHAR(10),'Bundle Tag Info'!P$17),"")</f>
        <v/>
      </c>
      <c r="P12" s="12" t="str">
        <f>IF('Bundle Tag Info'!Q$17&lt;&gt;"",CONCATENATE('Bundle Tag Info'!$A$1," ",CHAR(10),'Bundle Tag Info'!$A$2," ",'Bundle Tag Info'!$A$3,CHAR(10),'Bundle Tag Info'!Q$6,CHAR(10),'Bundle Tag Info'!Q$17),"")</f>
        <v/>
      </c>
      <c r="Q12" s="12" t="str">
        <f>IF('Bundle Tag Info'!R$17&lt;&gt;"",CONCATENATE('Bundle Tag Info'!$A$1," ",CHAR(10),'Bundle Tag Info'!$A$2," ",'Bundle Tag Info'!$A$3,CHAR(10),'Bundle Tag Info'!R$6,CHAR(10),'Bundle Tag Info'!R$17),"")</f>
        <v/>
      </c>
      <c r="R12" s="12" t="str">
        <f>IF('Bundle Tag Info'!S$17&lt;&gt;"",CONCATENATE('Bundle Tag Info'!$A$1," ",CHAR(10),'Bundle Tag Info'!$A$2," ",'Bundle Tag Info'!$A$3,CHAR(10),'Bundle Tag Info'!S$6,CHAR(10),'Bundle Tag Info'!S$17),"")</f>
        <v/>
      </c>
      <c r="S12" s="12" t="str">
        <f>IF('Bundle Tag Info'!T$17&lt;&gt;"",CONCATENATE('Bundle Tag Info'!$A$1," ",CHAR(10),'Bundle Tag Info'!$A$2," ",'Bundle Tag Info'!$A$3,CHAR(10),'Bundle Tag Info'!T$6,CHAR(10),'Bundle Tag Info'!T$17),"")</f>
        <v/>
      </c>
      <c r="T12" s="12" t="str">
        <f>IF('Bundle Tag Info'!U$17&lt;&gt;"",CONCATENATE('Bundle Tag Info'!$A$1," ",CHAR(10),'Bundle Tag Info'!$A$2," ",'Bundle Tag Info'!$A$3,CHAR(10),'Bundle Tag Info'!U$6,CHAR(10),'Bundle Tag Info'!U$17),"")</f>
        <v/>
      </c>
      <c r="U12" s="12" t="str">
        <f>IF('Bundle Tag Info'!V$17&lt;&gt;"",CONCATENATE('Bundle Tag Info'!$A$1," ",CHAR(10),'Bundle Tag Info'!$A$2," ",'Bundle Tag Info'!$A$3,CHAR(10),'Bundle Tag Info'!V$6,CHAR(10),'Bundle Tag Info'!V$17),"")</f>
        <v/>
      </c>
      <c r="V12" s="12" t="str">
        <f>IF('Bundle Tag Info'!W$17&lt;&gt;"",CONCATENATE('Bundle Tag Info'!$A$1," ",CHAR(10),'Bundle Tag Info'!$A$2," ",'Bundle Tag Info'!$A$3,CHAR(10),'Bundle Tag Info'!W$6,CHAR(10),'Bundle Tag Info'!W$17),"")</f>
        <v/>
      </c>
      <c r="W12" s="12" t="str">
        <f>IF('Bundle Tag Info'!X$17&lt;&gt;"",CONCATENATE('Bundle Tag Info'!$A$1," ",CHAR(10),'Bundle Tag Info'!$A$2," ",'Bundle Tag Info'!$A$3,CHAR(10),'Bundle Tag Info'!X$6,CHAR(10),'Bundle Tag Info'!X$17),"")</f>
        <v/>
      </c>
      <c r="X12" s="12" t="str">
        <f>IF('Bundle Tag Info'!Y$17&lt;&gt;"",CONCATENATE('Bundle Tag Info'!$A$1," ",CHAR(10),'Bundle Tag Info'!$A$2," ",'Bundle Tag Info'!$A$3,CHAR(10),'Bundle Tag Info'!Y$6,CHAR(10),'Bundle Tag Info'!Y$17),"")</f>
        <v/>
      </c>
      <c r="Y12" s="12" t="str">
        <f>IF('Bundle Tag Info'!Z$17&lt;&gt;"",CONCATENATE('Bundle Tag Info'!$A$1," ",CHAR(10),'Bundle Tag Info'!$A$2," ",'Bundle Tag Info'!$A$3,CHAR(10),'Bundle Tag Info'!Z$6,CHAR(10),'Bundle Tag Info'!Z$17),"")</f>
        <v/>
      </c>
      <c r="Z12" s="12" t="str">
        <f>IF('Bundle Tag Info'!AA$17&lt;&gt;"",CONCATENATE('Bundle Tag Info'!$A$1," ",CHAR(10),'Bundle Tag Info'!$A$2," ",'Bundle Tag Info'!$A$3,CHAR(10),'Bundle Tag Info'!AA$6,CHAR(10),'Bundle Tag Info'!AA$17),"")</f>
        <v/>
      </c>
      <c r="AA12" s="12" t="str">
        <f>IF('Bundle Tag Info'!AB$17&lt;&gt;"",CONCATENATE('Bundle Tag Info'!$A$1," ",CHAR(10),'Bundle Tag Info'!$A$2," ",'Bundle Tag Info'!$A$3,CHAR(10),'Bundle Tag Info'!AB$6,CHAR(10),'Bundle Tag Info'!AB$17),"")</f>
        <v/>
      </c>
      <c r="AB12" s="12" t="str">
        <f>IF('Bundle Tag Info'!AC$17&lt;&gt;"",CONCATENATE('Bundle Tag Info'!$A$1," ",CHAR(10),'Bundle Tag Info'!$A$2," ",'Bundle Tag Info'!$A$3,CHAR(10),'Bundle Tag Info'!AC$6,CHAR(10),'Bundle Tag Info'!AC$17),"")</f>
        <v/>
      </c>
      <c r="AC12" s="12" t="str">
        <f>IF('Bundle Tag Info'!AD$17&lt;&gt;"",CONCATENATE('Bundle Tag Info'!$A$1," ",CHAR(10),'Bundle Tag Info'!$A$2," ",'Bundle Tag Info'!$A$3,CHAR(10),'Bundle Tag Info'!AD$6,CHAR(10),'Bundle Tag Info'!AD$17),"")</f>
        <v/>
      </c>
      <c r="AD12" s="12" t="str">
        <f>IF('Bundle Tag Info'!AE$17&lt;&gt;"",CONCATENATE('Bundle Tag Info'!$A$1," ",CHAR(10),'Bundle Tag Info'!$A$2," ",'Bundle Tag Info'!$A$3,CHAR(10),'Bundle Tag Info'!AE$6,CHAR(10),'Bundle Tag Info'!AE$17),"")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>BP-KEMD  
4L541 B.1
A
KA-B</v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Info'!H$18&lt;&gt;"",CONCATENATE('Bundle Tag Info'!$A$1," ",CHAR(10),'Bundle Tag Info'!$A$2," ",'Bundle Tag Info'!$A$3,CHAR(10),'Bundle Tag Info'!H$6,CHAR(10),'Bundle Tag Info'!H$18),"")</f>
        <v/>
      </c>
      <c r="H13" s="12" t="str">
        <f>IF('Bundle Tag Info'!I$18&lt;&gt;"",CONCATENATE('Bundle Tag Info'!$A$1," ",CHAR(10),'Bundle Tag Info'!$A$2," ",'Bundle Tag Info'!$A$3,CHAR(10),'Bundle Tag Info'!I$6,CHAR(10),'Bundle Tag Info'!I$18),"")</f>
        <v/>
      </c>
      <c r="I13" s="12" t="str">
        <f>IF('Bundle Tag Info'!J$18&lt;&gt;"",CONCATENATE('Bundle Tag Info'!$A$1," ",CHAR(10),'Bundle Tag Info'!$A$2," ",'Bundle Tag Info'!$A$3,CHAR(10),'Bundle Tag Info'!J$6,CHAR(10),'Bundle Tag Info'!J$18),"")</f>
        <v/>
      </c>
      <c r="J13" s="12" t="str">
        <f>IF('Bundle Tag Info'!K$18&lt;&gt;"",CONCATENATE('Bundle Tag Info'!$A$1," ",CHAR(10),'Bundle Tag Info'!$A$2," ",'Bundle Tag Info'!$A$3,CHAR(10),'Bundle Tag Info'!K$6,CHAR(10),'Bundle Tag Info'!K$18),"")</f>
        <v/>
      </c>
      <c r="K13" s="12" t="str">
        <f>IF('Bundle Tag Info'!L$18&lt;&gt;"",CONCATENATE('Bundle Tag Info'!$A$1," ",CHAR(10),'Bundle Tag Info'!$A$2," ",'Bundle Tag Info'!$A$3,CHAR(10),'Bundle Tag Info'!L$6,CHAR(10),'Bundle Tag Info'!L$18),"")</f>
        <v/>
      </c>
      <c r="L13" s="12" t="str">
        <f>IF('Bundle Tag Info'!M$18&lt;&gt;"",CONCATENATE('Bundle Tag Info'!$A$1," ",CHAR(10),'Bundle Tag Info'!$A$2," ",'Bundle Tag Info'!$A$3,CHAR(10),'Bundle Tag Info'!M$6,CHAR(10),'Bundle Tag Info'!M$18),"")</f>
        <v/>
      </c>
      <c r="M13" s="12" t="str">
        <f>IF('Bundle Tag Info'!N$18&lt;&gt;"",CONCATENATE('Bundle Tag Info'!$A$1," ",CHAR(10),'Bundle Tag Info'!$A$2," ",'Bundle Tag Info'!$A$3,CHAR(10),'Bundle Tag Info'!N$6,CHAR(10),'Bundle Tag Info'!N$18),"")</f>
        <v/>
      </c>
      <c r="N13" s="12" t="str">
        <f>IF('Bundle Tag Info'!O$18&lt;&gt;"",CONCATENATE('Bundle Tag Info'!$A$1," ",CHAR(10),'Bundle Tag Info'!$A$2," ",'Bundle Tag Info'!$A$3,CHAR(10),'Bundle Tag Info'!O$6,CHAR(10),'Bundle Tag Info'!O$18),"")</f>
        <v/>
      </c>
      <c r="O13" s="12" t="str">
        <f>IF('Bundle Tag Info'!P$18&lt;&gt;"",CONCATENATE('Bundle Tag Info'!$A$1," ",CHAR(10),'Bundle Tag Info'!$A$2," ",'Bundle Tag Info'!$A$3,CHAR(10),'Bundle Tag Info'!P$6,CHAR(10),'Bundle Tag Info'!P$18),"")</f>
        <v/>
      </c>
      <c r="P13" s="12" t="str">
        <f>IF('Bundle Tag Info'!Q$18&lt;&gt;"",CONCATENATE('Bundle Tag Info'!$A$1," ",CHAR(10),'Bundle Tag Info'!$A$2," ",'Bundle Tag Info'!$A$3,CHAR(10),'Bundle Tag Info'!Q$6,CHAR(10),'Bundle Tag Info'!Q$18),"")</f>
        <v/>
      </c>
      <c r="Q13" s="12" t="str">
        <f>IF('Bundle Tag Info'!R$18&lt;&gt;"",CONCATENATE('Bundle Tag Info'!$A$1," ",CHAR(10),'Bundle Tag Info'!$A$2," ",'Bundle Tag Info'!$A$3,CHAR(10),'Bundle Tag Info'!R$6,CHAR(10),'Bundle Tag Info'!R$18),"")</f>
        <v/>
      </c>
      <c r="R13" s="12" t="str">
        <f>IF('Bundle Tag Info'!S$18&lt;&gt;"",CONCATENATE('Bundle Tag Info'!$A$1," ",CHAR(10),'Bundle Tag Info'!$A$2," ",'Bundle Tag Info'!$A$3,CHAR(10),'Bundle Tag Info'!S$6,CHAR(10),'Bundle Tag Info'!S$18),"")</f>
        <v/>
      </c>
      <c r="S13" s="12" t="str">
        <f>IF('Bundle Tag Info'!T$18&lt;&gt;"",CONCATENATE('Bundle Tag Info'!$A$1," ",CHAR(10),'Bundle Tag Info'!$A$2," ",'Bundle Tag Info'!$A$3,CHAR(10),'Bundle Tag Info'!T$6,CHAR(10),'Bundle Tag Info'!T$18),"")</f>
        <v/>
      </c>
      <c r="T13" s="12" t="str">
        <f>IF('Bundle Tag Info'!U$18&lt;&gt;"",CONCATENATE('Bundle Tag Info'!$A$1," ",CHAR(10),'Bundle Tag Info'!$A$2," ",'Bundle Tag Info'!$A$3,CHAR(10),'Bundle Tag Info'!U$6,CHAR(10),'Bundle Tag Info'!U$18),"")</f>
        <v/>
      </c>
      <c r="U13" s="12" t="str">
        <f>IF('Bundle Tag Info'!V$18&lt;&gt;"",CONCATENATE('Bundle Tag Info'!$A$1," ",CHAR(10),'Bundle Tag Info'!$A$2," ",'Bundle Tag Info'!$A$3,CHAR(10),'Bundle Tag Info'!V$6,CHAR(10),'Bundle Tag Info'!V$18),"")</f>
        <v/>
      </c>
      <c r="V13" s="12" t="str">
        <f>IF('Bundle Tag Info'!W$18&lt;&gt;"",CONCATENATE('Bundle Tag Info'!$A$1," ",CHAR(10),'Bundle Tag Info'!$A$2," ",'Bundle Tag Info'!$A$3,CHAR(10),'Bundle Tag Info'!W$6,CHAR(10),'Bundle Tag Info'!W$18),"")</f>
        <v/>
      </c>
      <c r="W13" s="12" t="str">
        <f>IF('Bundle Tag Info'!X$18&lt;&gt;"",CONCATENATE('Bundle Tag Info'!$A$1," ",CHAR(10),'Bundle Tag Info'!$A$2," ",'Bundle Tag Info'!$A$3,CHAR(10),'Bundle Tag Info'!X$6,CHAR(10),'Bundle Tag Info'!X$18),"")</f>
        <v/>
      </c>
      <c r="X13" s="12" t="str">
        <f>IF('Bundle Tag Info'!Y$18&lt;&gt;"",CONCATENATE('Bundle Tag Info'!$A$1," ",CHAR(10),'Bundle Tag Info'!$A$2," ",'Bundle Tag Info'!$A$3,CHAR(10),'Bundle Tag Info'!Y$6,CHAR(10),'Bundle Tag Info'!Y$18),"")</f>
        <v/>
      </c>
      <c r="Y13" s="12" t="str">
        <f>IF('Bundle Tag Info'!Z$18&lt;&gt;"",CONCATENATE('Bundle Tag Info'!$A$1," ",CHAR(10),'Bundle Tag Info'!$A$2," ",'Bundle Tag Info'!$A$3,CHAR(10),'Bundle Tag Info'!Z$6,CHAR(10),'Bundle Tag Info'!Z$18),"")</f>
        <v/>
      </c>
      <c r="Z13" s="12" t="str">
        <f>IF('Bundle Tag Info'!AA$18&lt;&gt;"",CONCATENATE('Bundle Tag Info'!$A$1," ",CHAR(10),'Bundle Tag Info'!$A$2," ",'Bundle Tag Info'!$A$3,CHAR(10),'Bundle Tag Info'!AA$6,CHAR(10),'Bundle Tag Info'!AA$18),"")</f>
        <v/>
      </c>
      <c r="AA13" s="12" t="str">
        <f>IF('Bundle Tag Info'!AB$18&lt;&gt;"",CONCATENATE('Bundle Tag Info'!$A$1," ",CHAR(10),'Bundle Tag Info'!$A$2," ",'Bundle Tag Info'!$A$3,CHAR(10),'Bundle Tag Info'!AB$6,CHAR(10),'Bundle Tag Info'!AB$18),"")</f>
        <v/>
      </c>
      <c r="AB13" s="12" t="str">
        <f>IF('Bundle Tag Info'!AC$18&lt;&gt;"",CONCATENATE('Bundle Tag Info'!$A$1," ",CHAR(10),'Bundle Tag Info'!$A$2," ",'Bundle Tag Info'!$A$3,CHAR(10),'Bundle Tag Info'!AC$6,CHAR(10),'Bundle Tag Info'!AC$18),"")</f>
        <v/>
      </c>
      <c r="AC13" s="12" t="str">
        <f>IF('Bundle Tag Info'!AD$18&lt;&gt;"",CONCATENATE('Bundle Tag Info'!$A$1," ",CHAR(10),'Bundle Tag Info'!$A$2," ",'Bundle Tag Info'!$A$3,CHAR(10),'Bundle Tag Info'!AD$6,CHAR(10),'Bundle Tag Info'!AD$18),"")</f>
        <v/>
      </c>
      <c r="AD13" s="12" t="str">
        <f>IF('Bundle Tag Info'!AE$18&lt;&gt;"",CONCATENATE('Bundle Tag Info'!$A$1," ",CHAR(10),'Bundle Tag Info'!$A$2," ",'Bundle Tag Info'!$A$3,CHAR(10),'Bundle Tag Info'!AE$6,CHAR(10),'Bundle Tag Info'!AE$18),"")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>BP-KEMD  
4L541 B.1
A
XT-B</v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Info'!H$19&lt;&gt;"",CONCATENATE('Bundle Tag Info'!$A$1," ",CHAR(10),'Bundle Tag Info'!$A$2," ",'Bundle Tag Info'!$A$3,CHAR(10),'Bundle Tag Info'!H$6,CHAR(10),'Bundle Tag Info'!H$19),"")</f>
        <v/>
      </c>
      <c r="H14" s="12" t="str">
        <f>IF('Bundle Tag Info'!I$19&lt;&gt;"",CONCATENATE('Bundle Tag Info'!$A$1," ",CHAR(10),'Bundle Tag Info'!$A$2," ",'Bundle Tag Info'!$A$3,CHAR(10),'Bundle Tag Info'!I$6,CHAR(10),'Bundle Tag Info'!I$19),"")</f>
        <v/>
      </c>
      <c r="I14" s="12" t="str">
        <f>IF('Bundle Tag Info'!J$19&lt;&gt;"",CONCATENATE('Bundle Tag Info'!$A$1," ",CHAR(10),'Bundle Tag Info'!$A$2," ",'Bundle Tag Info'!$A$3,CHAR(10),'Bundle Tag Info'!J$6,CHAR(10),'Bundle Tag Info'!J$19),"")</f>
        <v/>
      </c>
      <c r="J14" s="12" t="str">
        <f>IF('Bundle Tag Info'!K$19&lt;&gt;"",CONCATENATE('Bundle Tag Info'!$A$1," ",CHAR(10),'Bundle Tag Info'!$A$2," ",'Bundle Tag Info'!$A$3,CHAR(10),'Bundle Tag Info'!K$6,CHAR(10),'Bundle Tag Info'!K$19),"")</f>
        <v/>
      </c>
      <c r="K14" s="12" t="str">
        <f>IF('Bundle Tag Info'!L$19&lt;&gt;"",CONCATENATE('Bundle Tag Info'!$A$1," ",CHAR(10),'Bundle Tag Info'!$A$2," ",'Bundle Tag Info'!$A$3,CHAR(10),'Bundle Tag Info'!L$6,CHAR(10),'Bundle Tag Info'!L$19),"")</f>
        <v/>
      </c>
      <c r="L14" s="12" t="str">
        <f>IF('Bundle Tag Info'!M$19&lt;&gt;"",CONCATENATE('Bundle Tag Info'!$A$1," ",CHAR(10),'Bundle Tag Info'!$A$2," ",'Bundle Tag Info'!$A$3,CHAR(10),'Bundle Tag Info'!M$6,CHAR(10),'Bundle Tag Info'!M$19),"")</f>
        <v/>
      </c>
      <c r="M14" s="12" t="str">
        <f>IF('Bundle Tag Info'!N$19&lt;&gt;"",CONCATENATE('Bundle Tag Info'!$A$1," ",CHAR(10),'Bundle Tag Info'!$A$2," ",'Bundle Tag Info'!$A$3,CHAR(10),'Bundle Tag Info'!N$6,CHAR(10),'Bundle Tag Info'!N$19),"")</f>
        <v/>
      </c>
      <c r="N14" s="12" t="str">
        <f>IF('Bundle Tag Info'!O$19&lt;&gt;"",CONCATENATE('Bundle Tag Info'!$A$1," ",CHAR(10),'Bundle Tag Info'!$A$2," ",'Bundle Tag Info'!$A$3,CHAR(10),'Bundle Tag Info'!O$6,CHAR(10),'Bundle Tag Info'!O$19),"")</f>
        <v/>
      </c>
      <c r="O14" s="12" t="str">
        <f>IF('Bundle Tag Info'!P$19&lt;&gt;"",CONCATENATE('Bundle Tag Info'!$A$1," ",CHAR(10),'Bundle Tag Info'!$A$2," ",'Bundle Tag Info'!$A$3,CHAR(10),'Bundle Tag Info'!P$6,CHAR(10),'Bundle Tag Info'!P$19),"")</f>
        <v/>
      </c>
      <c r="P14" s="12" t="str">
        <f>IF('Bundle Tag Info'!Q$19&lt;&gt;"",CONCATENATE('Bundle Tag Info'!$A$1," ",CHAR(10),'Bundle Tag Info'!$A$2," ",'Bundle Tag Info'!$A$3,CHAR(10),'Bundle Tag Info'!Q$6,CHAR(10),'Bundle Tag Info'!Q$19),"")</f>
        <v/>
      </c>
      <c r="Q14" s="12" t="str">
        <f>IF('Bundle Tag Info'!R$19&lt;&gt;"",CONCATENATE('Bundle Tag Info'!$A$1," ",CHAR(10),'Bundle Tag Info'!$A$2," ",'Bundle Tag Info'!$A$3,CHAR(10),'Bundle Tag Info'!R$6,CHAR(10),'Bundle Tag Info'!R$19),"")</f>
        <v/>
      </c>
      <c r="R14" s="12" t="str">
        <f>IF('Bundle Tag Info'!S$19&lt;&gt;"",CONCATENATE('Bundle Tag Info'!$A$1," ",CHAR(10),'Bundle Tag Info'!$A$2," ",'Bundle Tag Info'!$A$3,CHAR(10),'Bundle Tag Info'!S$6,CHAR(10),'Bundle Tag Info'!S$19),"")</f>
        <v/>
      </c>
      <c r="S14" s="12" t="str">
        <f>IF('Bundle Tag Info'!T$19&lt;&gt;"",CONCATENATE('Bundle Tag Info'!$A$1," ",CHAR(10),'Bundle Tag Info'!$A$2," ",'Bundle Tag Info'!$A$3,CHAR(10),'Bundle Tag Info'!T$6,CHAR(10),'Bundle Tag Info'!T$19),"")</f>
        <v/>
      </c>
      <c r="T14" s="12" t="str">
        <f>IF('Bundle Tag Info'!U$19&lt;&gt;"",CONCATENATE('Bundle Tag Info'!$A$1," ",CHAR(10),'Bundle Tag Info'!$A$2," ",'Bundle Tag Info'!$A$3,CHAR(10),'Bundle Tag Info'!U$6,CHAR(10),'Bundle Tag Info'!U$19),"")</f>
        <v/>
      </c>
      <c r="U14" s="12" t="str">
        <f>IF('Bundle Tag Info'!V$19&lt;&gt;"",CONCATENATE('Bundle Tag Info'!$A$1," ",CHAR(10),'Bundle Tag Info'!$A$2," ",'Bundle Tag Info'!$A$3,CHAR(10),'Bundle Tag Info'!V$6,CHAR(10),'Bundle Tag Info'!V$19),"")</f>
        <v/>
      </c>
      <c r="V14" s="12" t="str">
        <f>IF('Bundle Tag Info'!W$19&lt;&gt;"",CONCATENATE('Bundle Tag Info'!$A$1," ",CHAR(10),'Bundle Tag Info'!$A$2," ",'Bundle Tag Info'!$A$3,CHAR(10),'Bundle Tag Info'!W$6,CHAR(10),'Bundle Tag Info'!W$19),"")</f>
        <v/>
      </c>
      <c r="W14" s="12" t="str">
        <f>IF('Bundle Tag Info'!X$19&lt;&gt;"",CONCATENATE('Bundle Tag Info'!$A$1," ",CHAR(10),'Bundle Tag Info'!$A$2," ",'Bundle Tag Info'!$A$3,CHAR(10),'Bundle Tag Info'!X$6,CHAR(10),'Bundle Tag Info'!X$19),"")</f>
        <v/>
      </c>
      <c r="X14" s="12" t="str">
        <f>IF('Bundle Tag Info'!Y$19&lt;&gt;"",CONCATENATE('Bundle Tag Info'!$A$1," ",CHAR(10),'Bundle Tag Info'!$A$2," ",'Bundle Tag Info'!$A$3,CHAR(10),'Bundle Tag Info'!Y$6,CHAR(10),'Bundle Tag Info'!Y$19),"")</f>
        <v/>
      </c>
      <c r="Y14" s="12" t="str">
        <f>IF('Bundle Tag Info'!Z$19&lt;&gt;"",CONCATENATE('Bundle Tag Info'!$A$1," ",CHAR(10),'Bundle Tag Info'!$A$2," ",'Bundle Tag Info'!$A$3,CHAR(10),'Bundle Tag Info'!Z$6,CHAR(10),'Bundle Tag Info'!Z$19),"")</f>
        <v/>
      </c>
      <c r="Z14" s="12" t="str">
        <f>IF('Bundle Tag Info'!AA$19&lt;&gt;"",CONCATENATE('Bundle Tag Info'!$A$1," ",CHAR(10),'Bundle Tag Info'!$A$2," ",'Bundle Tag Info'!$A$3,CHAR(10),'Bundle Tag Info'!AA$6,CHAR(10),'Bundle Tag Info'!AA$19),"")</f>
        <v/>
      </c>
      <c r="AA14" s="12" t="str">
        <f>IF('Bundle Tag Info'!AB$19&lt;&gt;"",CONCATENATE('Bundle Tag Info'!$A$1," ",CHAR(10),'Bundle Tag Info'!$A$2," ",'Bundle Tag Info'!$A$3,CHAR(10),'Bundle Tag Info'!AB$6,CHAR(10),'Bundle Tag Info'!AB$19),"")</f>
        <v/>
      </c>
      <c r="AB14" s="12" t="str">
        <f>IF('Bundle Tag Info'!AC$19&lt;&gt;"",CONCATENATE('Bundle Tag Info'!$A$1," ",CHAR(10),'Bundle Tag Info'!$A$2," ",'Bundle Tag Info'!$A$3,CHAR(10),'Bundle Tag Info'!AC$6,CHAR(10),'Bundle Tag Info'!AC$19),"")</f>
        <v/>
      </c>
      <c r="AC14" s="12" t="str">
        <f>IF('Bundle Tag Info'!AD$19&lt;&gt;"",CONCATENATE('Bundle Tag Info'!$A$1," ",CHAR(10),'Bundle Tag Info'!$A$2," ",'Bundle Tag Info'!$A$3,CHAR(10),'Bundle Tag Info'!AD$6,CHAR(10),'Bundle Tag Info'!AD$19),"")</f>
        <v/>
      </c>
      <c r="AD14" s="12" t="str">
        <f>IF('Bundle Tag Info'!AE$19&lt;&gt;"",CONCATENATE('Bundle Tag Info'!$A$1," ",CHAR(10),'Bundle Tag Info'!$A$2," ",'Bundle Tag Info'!$A$3,CHAR(10),'Bundle Tag Info'!AE$6,CHAR(10),'Bundle Tag Info'!AE$19),"")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Info'!H$20&lt;&gt;"",CONCATENATE('Bundle Tag Info'!$A$1," ",CHAR(10),'Bundle Tag Info'!$A$2," ",'Bundle Tag Info'!$A$3,CHAR(10),'Bundle Tag Info'!H$6,CHAR(10),'Bundle Tag Info'!H$20),"")</f>
        <v/>
      </c>
      <c r="H15" s="12" t="str">
        <f>IF('Bundle Tag Info'!I$20&lt;&gt;"",CONCATENATE('Bundle Tag Info'!$A$1," ",CHAR(10),'Bundle Tag Info'!$A$2," ",'Bundle Tag Info'!$A$3,CHAR(10),'Bundle Tag Info'!I$6,CHAR(10),'Bundle Tag Info'!I$20),"")</f>
        <v/>
      </c>
      <c r="I15" s="12" t="str">
        <f>IF('Bundle Tag Info'!J$20&lt;&gt;"",CONCATENATE('Bundle Tag Info'!$A$1," ",CHAR(10),'Bundle Tag Info'!$A$2," ",'Bundle Tag Info'!$A$3,CHAR(10),'Bundle Tag Info'!J$6,CHAR(10),'Bundle Tag Info'!J$20),"")</f>
        <v/>
      </c>
      <c r="J15" s="12" t="str">
        <f>IF('Bundle Tag Info'!K$20&lt;&gt;"",CONCATENATE('Bundle Tag Info'!$A$1," ",CHAR(10),'Bundle Tag Info'!$A$2," ",'Bundle Tag Info'!$A$3,CHAR(10),'Bundle Tag Info'!K$6,CHAR(10),'Bundle Tag Info'!K$20),"")</f>
        <v/>
      </c>
      <c r="K15" s="12" t="str">
        <f>IF('Bundle Tag Info'!L$20&lt;&gt;"",CONCATENATE('Bundle Tag Info'!$A$1," ",CHAR(10),'Bundle Tag Info'!$A$2," ",'Bundle Tag Info'!$A$3,CHAR(10),'Bundle Tag Info'!L$6,CHAR(10),'Bundle Tag Info'!L$20),"")</f>
        <v/>
      </c>
      <c r="L15" s="12" t="str">
        <f>IF('Bundle Tag Info'!M$20&lt;&gt;"",CONCATENATE('Bundle Tag Info'!$A$1," ",CHAR(10),'Bundle Tag Info'!$A$2," ",'Bundle Tag Info'!$A$3,CHAR(10),'Bundle Tag Info'!M$6,CHAR(10),'Bundle Tag Info'!M$20),"")</f>
        <v/>
      </c>
      <c r="M15" s="12" t="str">
        <f>IF('Bundle Tag Info'!N$20&lt;&gt;"",CONCATENATE('Bundle Tag Info'!$A$1," ",CHAR(10),'Bundle Tag Info'!$A$2," ",'Bundle Tag Info'!$A$3,CHAR(10),'Bundle Tag Info'!N$6,CHAR(10),'Bundle Tag Info'!N$20),"")</f>
        <v/>
      </c>
      <c r="N15" s="12" t="str">
        <f>IF('Bundle Tag Info'!O$20&lt;&gt;"",CONCATENATE('Bundle Tag Info'!$A$1," ",CHAR(10),'Bundle Tag Info'!$A$2," ",'Bundle Tag Info'!$A$3,CHAR(10),'Bundle Tag Info'!O$6,CHAR(10),'Bundle Tag Info'!O$20),"")</f>
        <v/>
      </c>
      <c r="O15" s="12" t="str">
        <f>IF('Bundle Tag Info'!P$20&lt;&gt;"",CONCATENATE('Bundle Tag Info'!$A$1," ",CHAR(10),'Bundle Tag Info'!$A$2," ",'Bundle Tag Info'!$A$3,CHAR(10),'Bundle Tag Info'!P$6,CHAR(10),'Bundle Tag Info'!P$20),"")</f>
        <v/>
      </c>
      <c r="P15" s="12" t="str">
        <f>IF('Bundle Tag Info'!Q$20&lt;&gt;"",CONCATENATE('Bundle Tag Info'!$A$1," ",CHAR(10),'Bundle Tag Info'!$A$2," ",'Bundle Tag Info'!$A$3,CHAR(10),'Bundle Tag Info'!Q$6,CHAR(10),'Bundle Tag Info'!Q$20),"")</f>
        <v/>
      </c>
      <c r="Q15" s="12" t="str">
        <f>IF('Bundle Tag Info'!R$20&lt;&gt;"",CONCATENATE('Bundle Tag Info'!$A$1," ",CHAR(10),'Bundle Tag Info'!$A$2," ",'Bundle Tag Info'!$A$3,CHAR(10),'Bundle Tag Info'!R$6,CHAR(10),'Bundle Tag Info'!R$20),"")</f>
        <v/>
      </c>
      <c r="R15" s="12" t="str">
        <f>IF('Bundle Tag Info'!S$20&lt;&gt;"",CONCATENATE('Bundle Tag Info'!$A$1," ",CHAR(10),'Bundle Tag Info'!$A$2," ",'Bundle Tag Info'!$A$3,CHAR(10),'Bundle Tag Info'!S$6,CHAR(10),'Bundle Tag Info'!S$20),"")</f>
        <v/>
      </c>
      <c r="S15" s="12" t="str">
        <f>IF('Bundle Tag Info'!T$20&lt;&gt;"",CONCATENATE('Bundle Tag Info'!$A$1," ",CHAR(10),'Bundle Tag Info'!$A$2," ",'Bundle Tag Info'!$A$3,CHAR(10),'Bundle Tag Info'!T$6,CHAR(10),'Bundle Tag Info'!T$20),"")</f>
        <v/>
      </c>
      <c r="T15" s="12" t="str">
        <f>IF('Bundle Tag Info'!U$20&lt;&gt;"",CONCATENATE('Bundle Tag Info'!$A$1," ",CHAR(10),'Bundle Tag Info'!$A$2," ",'Bundle Tag Info'!$A$3,CHAR(10),'Bundle Tag Info'!U$6,CHAR(10),'Bundle Tag Info'!U$20),"")</f>
        <v/>
      </c>
      <c r="U15" s="12" t="str">
        <f>IF('Bundle Tag Info'!V$20&lt;&gt;"",CONCATENATE('Bundle Tag Info'!$A$1," ",CHAR(10),'Bundle Tag Info'!$A$2," ",'Bundle Tag Info'!$A$3,CHAR(10),'Bundle Tag Info'!V$6,CHAR(10),'Bundle Tag Info'!V$20),"")</f>
        <v/>
      </c>
      <c r="V15" s="12" t="str">
        <f>IF('Bundle Tag Info'!W$20&lt;&gt;"",CONCATENATE('Bundle Tag Info'!$A$1," ",CHAR(10),'Bundle Tag Info'!$A$2," ",'Bundle Tag Info'!$A$3,CHAR(10),'Bundle Tag Info'!W$6,CHAR(10),'Bundle Tag Info'!W$20),"")</f>
        <v/>
      </c>
      <c r="W15" s="12" t="str">
        <f>IF('Bundle Tag Info'!X$20&lt;&gt;"",CONCATENATE('Bundle Tag Info'!$A$1," ",CHAR(10),'Bundle Tag Info'!$A$2," ",'Bundle Tag Info'!$A$3,CHAR(10),'Bundle Tag Info'!X$6,CHAR(10),'Bundle Tag Info'!X$20),"")</f>
        <v/>
      </c>
      <c r="X15" s="12" t="str">
        <f>IF('Bundle Tag Info'!Y$20&lt;&gt;"",CONCATENATE('Bundle Tag Info'!$A$1," ",CHAR(10),'Bundle Tag Info'!$A$2," ",'Bundle Tag Info'!$A$3,CHAR(10),'Bundle Tag Info'!Y$6,CHAR(10),'Bundle Tag Info'!Y$20),"")</f>
        <v/>
      </c>
      <c r="Y15" s="12" t="str">
        <f>IF('Bundle Tag Info'!Z$20&lt;&gt;"",CONCATENATE('Bundle Tag Info'!$A$1," ",CHAR(10),'Bundle Tag Info'!$A$2," ",'Bundle Tag Info'!$A$3,CHAR(10),'Bundle Tag Info'!Z$6,CHAR(10),'Bundle Tag Info'!Z$20),"")</f>
        <v/>
      </c>
      <c r="Z15" s="12" t="str">
        <f>IF('Bundle Tag Info'!AA$20&lt;&gt;"",CONCATENATE('Bundle Tag Info'!$A$1," ",CHAR(10),'Bundle Tag Info'!$A$2," ",'Bundle Tag Info'!$A$3,CHAR(10),'Bundle Tag Info'!AA$6,CHAR(10),'Bundle Tag Info'!AA$20),"")</f>
        <v/>
      </c>
      <c r="AA15" s="12" t="str">
        <f>IF('Bundle Tag Info'!AB$20&lt;&gt;"",CONCATENATE('Bundle Tag Info'!$A$1," ",CHAR(10),'Bundle Tag Info'!$A$2," ",'Bundle Tag Info'!$A$3,CHAR(10),'Bundle Tag Info'!AB$6,CHAR(10),'Bundle Tag Info'!AB$20),"")</f>
        <v/>
      </c>
      <c r="AB15" s="12" t="str">
        <f>IF('Bundle Tag Info'!AC$20&lt;&gt;"",CONCATENATE('Bundle Tag Info'!$A$1," ",CHAR(10),'Bundle Tag Info'!$A$2," ",'Bundle Tag Info'!$A$3,CHAR(10),'Bundle Tag Info'!AC$6,CHAR(10),'Bundle Tag Info'!AC$20),"")</f>
        <v/>
      </c>
      <c r="AC15" s="12" t="str">
        <f>IF('Bundle Tag Info'!AD$20&lt;&gt;"",CONCATENATE('Bundle Tag Info'!$A$1," ",CHAR(10),'Bundle Tag Info'!$A$2," ",'Bundle Tag Info'!$A$3,CHAR(10),'Bundle Tag Info'!AD$6,CHAR(10),'Bundle Tag Info'!AD$20),"")</f>
        <v/>
      </c>
      <c r="AD15" s="12" t="str">
        <f>IF('Bundle Tag Info'!AE$20&lt;&gt;"",CONCATENATE('Bundle Tag Info'!$A$1," ",CHAR(10),'Bundle Tag Info'!$A$2," ",'Bundle Tag Info'!$A$3,CHAR(10),'Bundle Tag Info'!AE$6,CHAR(10),'Bundle Tag Info'!AE$20),"")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Info'!H$21&lt;&gt;"",CONCATENATE('Bundle Tag Info'!$A$1," ",CHAR(10),'Bundle Tag Info'!$A$2," ",'Bundle Tag Info'!$A$3,CHAR(10),'Bundle Tag Info'!H$6,CHAR(10),'Bundle Tag Info'!H$21),"")</f>
        <v/>
      </c>
      <c r="H16" s="12" t="str">
        <f>IF('Bundle Tag Info'!I$21&lt;&gt;"",CONCATENATE('Bundle Tag Info'!$A$1," ",CHAR(10),'Bundle Tag Info'!$A$2," ",'Bundle Tag Info'!$A$3,CHAR(10),'Bundle Tag Info'!I$6,CHAR(10),'Bundle Tag Info'!I$21),"")</f>
        <v/>
      </c>
      <c r="I16" s="12" t="str">
        <f>IF('Bundle Tag Info'!J$21&lt;&gt;"",CONCATENATE('Bundle Tag Info'!$A$1," ",CHAR(10),'Bundle Tag Info'!$A$2," ",'Bundle Tag Info'!$A$3,CHAR(10),'Bundle Tag Info'!J$6,CHAR(10),'Bundle Tag Info'!J$21),"")</f>
        <v/>
      </c>
      <c r="J16" s="12" t="str">
        <f>IF('Bundle Tag Info'!K$21&lt;&gt;"",CONCATENATE('Bundle Tag Info'!$A$1," ",CHAR(10),'Bundle Tag Info'!$A$2," ",'Bundle Tag Info'!$A$3,CHAR(10),'Bundle Tag Info'!K$6,CHAR(10),'Bundle Tag Info'!K$21),"")</f>
        <v/>
      </c>
      <c r="K16" s="12" t="str">
        <f>IF('Bundle Tag Info'!L$21&lt;&gt;"",CONCATENATE('Bundle Tag Info'!$A$1," ",CHAR(10),'Bundle Tag Info'!$A$2," ",'Bundle Tag Info'!$A$3,CHAR(10),'Bundle Tag Info'!L$6,CHAR(10),'Bundle Tag Info'!L$21),"")</f>
        <v/>
      </c>
      <c r="L16" s="12" t="str">
        <f>IF('Bundle Tag Info'!M$21&lt;&gt;"",CONCATENATE('Bundle Tag Info'!$A$1," ",CHAR(10),'Bundle Tag Info'!$A$2," ",'Bundle Tag Info'!$A$3,CHAR(10),'Bundle Tag Info'!M$6,CHAR(10),'Bundle Tag Info'!M$21),"")</f>
        <v/>
      </c>
      <c r="M16" s="12" t="str">
        <f>IF('Bundle Tag Info'!N$21&lt;&gt;"",CONCATENATE('Bundle Tag Info'!$A$1," ",CHAR(10),'Bundle Tag Info'!$A$2," ",'Bundle Tag Info'!$A$3,CHAR(10),'Bundle Tag Info'!N$6,CHAR(10),'Bundle Tag Info'!N$21),"")</f>
        <v/>
      </c>
      <c r="N16" s="12" t="str">
        <f>IF('Bundle Tag Info'!O$21&lt;&gt;"",CONCATENATE('Bundle Tag Info'!$A$1," ",CHAR(10),'Bundle Tag Info'!$A$2," ",'Bundle Tag Info'!$A$3,CHAR(10),'Bundle Tag Info'!O$6,CHAR(10),'Bundle Tag Info'!O$21),"")</f>
        <v/>
      </c>
      <c r="O16" s="12" t="str">
        <f>IF('Bundle Tag Info'!P$21&lt;&gt;"",CONCATENATE('Bundle Tag Info'!$A$1," ",CHAR(10),'Bundle Tag Info'!$A$2," ",'Bundle Tag Info'!$A$3,CHAR(10),'Bundle Tag Info'!P$6,CHAR(10),'Bundle Tag Info'!P$21),"")</f>
        <v/>
      </c>
      <c r="P16" s="12" t="str">
        <f>IF('Bundle Tag Info'!Q$21&lt;&gt;"",CONCATENATE('Bundle Tag Info'!$A$1," ",CHAR(10),'Bundle Tag Info'!$A$2," ",'Bundle Tag Info'!$A$3,CHAR(10),'Bundle Tag Info'!Q$6,CHAR(10),'Bundle Tag Info'!Q$21),"")</f>
        <v/>
      </c>
      <c r="Q16" s="12" t="str">
        <f>IF('Bundle Tag Info'!R$21&lt;&gt;"",CONCATENATE('Bundle Tag Info'!$A$1," ",CHAR(10),'Bundle Tag Info'!$A$2," ",'Bundle Tag Info'!$A$3,CHAR(10),'Bundle Tag Info'!R$6,CHAR(10),'Bundle Tag Info'!R$21),"")</f>
        <v/>
      </c>
      <c r="R16" s="12" t="str">
        <f>IF('Bundle Tag Info'!S$21&lt;&gt;"",CONCATENATE('Bundle Tag Info'!$A$1," ",CHAR(10),'Bundle Tag Info'!$A$2," ",'Bundle Tag Info'!$A$3,CHAR(10),'Bundle Tag Info'!S$6,CHAR(10),'Bundle Tag Info'!S$21),"")</f>
        <v/>
      </c>
      <c r="S16" s="12" t="str">
        <f>IF('Bundle Tag Info'!T$21&lt;&gt;"",CONCATENATE('Bundle Tag Info'!$A$1," ",CHAR(10),'Bundle Tag Info'!$A$2," ",'Bundle Tag Info'!$A$3,CHAR(10),'Bundle Tag Info'!T$6,CHAR(10),'Bundle Tag Info'!T$21),"")</f>
        <v/>
      </c>
      <c r="T16" s="12" t="str">
        <f>IF('Bundle Tag Info'!U$21&lt;&gt;"",CONCATENATE('Bundle Tag Info'!$A$1," ",CHAR(10),'Bundle Tag Info'!$A$2," ",'Bundle Tag Info'!$A$3,CHAR(10),'Bundle Tag Info'!U$6,CHAR(10),'Bundle Tag Info'!U$21),"")</f>
        <v/>
      </c>
      <c r="U16" s="12" t="str">
        <f>IF('Bundle Tag Info'!V$21&lt;&gt;"",CONCATENATE('Bundle Tag Info'!$A$1," ",CHAR(10),'Bundle Tag Info'!$A$2," ",'Bundle Tag Info'!$A$3,CHAR(10),'Bundle Tag Info'!V$6,CHAR(10),'Bundle Tag Info'!V$21),"")</f>
        <v/>
      </c>
      <c r="V16" s="12" t="str">
        <f>IF('Bundle Tag Info'!W$21&lt;&gt;"",CONCATENATE('Bundle Tag Info'!$A$1," ",CHAR(10),'Bundle Tag Info'!$A$2," ",'Bundle Tag Info'!$A$3,CHAR(10),'Bundle Tag Info'!W$6,CHAR(10),'Bundle Tag Info'!W$21),"")</f>
        <v/>
      </c>
      <c r="W16" s="12" t="str">
        <f>IF('Bundle Tag Info'!X$21&lt;&gt;"",CONCATENATE('Bundle Tag Info'!$A$1," ",CHAR(10),'Bundle Tag Info'!$A$2," ",'Bundle Tag Info'!$A$3,CHAR(10),'Bundle Tag Info'!X$6,CHAR(10),'Bundle Tag Info'!X$21),"")</f>
        <v/>
      </c>
      <c r="X16" s="12" t="str">
        <f>IF('Bundle Tag Info'!Y$21&lt;&gt;"",CONCATENATE('Bundle Tag Info'!$A$1," ",CHAR(10),'Bundle Tag Info'!$A$2," ",'Bundle Tag Info'!$A$3,CHAR(10),'Bundle Tag Info'!Y$6,CHAR(10),'Bundle Tag Info'!Y$21),"")</f>
        <v/>
      </c>
      <c r="Y16" s="12" t="str">
        <f>IF('Bundle Tag Info'!Z$21&lt;&gt;"",CONCATENATE('Bundle Tag Info'!$A$1," ",CHAR(10),'Bundle Tag Info'!$A$2," ",'Bundle Tag Info'!$A$3,CHAR(10),'Bundle Tag Info'!Z$6,CHAR(10),'Bundle Tag Info'!Z$21),"")</f>
        <v/>
      </c>
      <c r="Z16" s="12" t="str">
        <f>IF('Bundle Tag Info'!AA$21&lt;&gt;"",CONCATENATE('Bundle Tag Info'!$A$1," ",CHAR(10),'Bundle Tag Info'!$A$2," ",'Bundle Tag Info'!$A$3,CHAR(10),'Bundle Tag Info'!AA$6,CHAR(10),'Bundle Tag Info'!AA$21),"")</f>
        <v/>
      </c>
      <c r="AA16" s="12" t="str">
        <f>IF('Bundle Tag Info'!AB$21&lt;&gt;"",CONCATENATE('Bundle Tag Info'!$A$1," ",CHAR(10),'Bundle Tag Info'!$A$2," ",'Bundle Tag Info'!$A$3,CHAR(10),'Bundle Tag Info'!AB$6,CHAR(10),'Bundle Tag Info'!AB$21),"")</f>
        <v/>
      </c>
      <c r="AB16" s="12" t="str">
        <f>IF('Bundle Tag Info'!AC$21&lt;&gt;"",CONCATENATE('Bundle Tag Info'!$A$1," ",CHAR(10),'Bundle Tag Info'!$A$2," ",'Bundle Tag Info'!$A$3,CHAR(10),'Bundle Tag Info'!AC$6,CHAR(10),'Bundle Tag Info'!AC$21),"")</f>
        <v/>
      </c>
      <c r="AC16" s="12" t="str">
        <f>IF('Bundle Tag Info'!AD$21&lt;&gt;"",CONCATENATE('Bundle Tag Info'!$A$1," ",CHAR(10),'Bundle Tag Info'!$A$2," ",'Bundle Tag Info'!$A$3,CHAR(10),'Bundle Tag Info'!AD$6,CHAR(10),'Bundle Tag Info'!AD$21),"")</f>
        <v/>
      </c>
      <c r="AD16" s="12" t="str">
        <f>IF('Bundle Tag Info'!AE$21&lt;&gt;"",CONCATENATE('Bundle Tag Info'!$A$1," ",CHAR(10),'Bundle Tag Info'!$A$2," ",'Bundle Tag Info'!$A$3,CHAR(10),'Bundle Tag Info'!AE$6,CHAR(10),'Bundle Tag Info'!AE$21),"")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Info'!H$22&lt;&gt;"",CONCATENATE('Bundle Tag Info'!$A$1," ",CHAR(10),'Bundle Tag Info'!$A$2," ",'Bundle Tag Info'!$A$3,CHAR(10),'Bundle Tag Info'!H$6,CHAR(10),'Bundle Tag Info'!H$22),"")</f>
        <v/>
      </c>
      <c r="H17" s="12" t="str">
        <f>IF('Bundle Tag Info'!I$22&lt;&gt;"",CONCATENATE('Bundle Tag Info'!$A$1," ",CHAR(10),'Bundle Tag Info'!$A$2," ",'Bundle Tag Info'!$A$3,CHAR(10),'Bundle Tag Info'!I$6,CHAR(10),'Bundle Tag Info'!I$22),"")</f>
        <v/>
      </c>
      <c r="I17" s="12" t="str">
        <f>IF('Bundle Tag Info'!J$22&lt;&gt;"",CONCATENATE('Bundle Tag Info'!$A$1," ",CHAR(10),'Bundle Tag Info'!$A$2," ",'Bundle Tag Info'!$A$3,CHAR(10),'Bundle Tag Info'!J$6,CHAR(10),'Bundle Tag Info'!J$22),"")</f>
        <v/>
      </c>
      <c r="J17" s="12" t="str">
        <f>IF('Bundle Tag Info'!K$22&lt;&gt;"",CONCATENATE('Bundle Tag Info'!$A$1," ",CHAR(10),'Bundle Tag Info'!$A$2," ",'Bundle Tag Info'!$A$3,CHAR(10),'Bundle Tag Info'!K$6,CHAR(10),'Bundle Tag Info'!K$22),"")</f>
        <v/>
      </c>
      <c r="K17" s="12" t="str">
        <f>IF('Bundle Tag Info'!L$22&lt;&gt;"",CONCATENATE('Bundle Tag Info'!$A$1," ",CHAR(10),'Bundle Tag Info'!$A$2," ",'Bundle Tag Info'!$A$3,CHAR(10),'Bundle Tag Info'!L$6,CHAR(10),'Bundle Tag Info'!L$22),"")</f>
        <v/>
      </c>
      <c r="L17" s="12" t="str">
        <f>IF('Bundle Tag Info'!M$22&lt;&gt;"",CONCATENATE('Bundle Tag Info'!$A$1," ",CHAR(10),'Bundle Tag Info'!$A$2," ",'Bundle Tag Info'!$A$3,CHAR(10),'Bundle Tag Info'!M$6,CHAR(10),'Bundle Tag Info'!M$22),"")</f>
        <v/>
      </c>
      <c r="M17" s="12" t="str">
        <f>IF('Bundle Tag Info'!N$22&lt;&gt;"",CONCATENATE('Bundle Tag Info'!$A$1," ",CHAR(10),'Bundle Tag Info'!$A$2," ",'Bundle Tag Info'!$A$3,CHAR(10),'Bundle Tag Info'!N$6,CHAR(10),'Bundle Tag Info'!N$22),"")</f>
        <v/>
      </c>
      <c r="N17" s="12" t="str">
        <f>IF('Bundle Tag Info'!O$22&lt;&gt;"",CONCATENATE('Bundle Tag Info'!$A$1," ",CHAR(10),'Bundle Tag Info'!$A$2," ",'Bundle Tag Info'!$A$3,CHAR(10),'Bundle Tag Info'!O$6,CHAR(10),'Bundle Tag Info'!O$22),"")</f>
        <v/>
      </c>
      <c r="O17" s="12" t="str">
        <f>IF('Bundle Tag Info'!P$22&lt;&gt;"",CONCATENATE('Bundle Tag Info'!$A$1," ",CHAR(10),'Bundle Tag Info'!$A$2," ",'Bundle Tag Info'!$A$3,CHAR(10),'Bundle Tag Info'!P$6,CHAR(10),'Bundle Tag Info'!P$22),"")</f>
        <v/>
      </c>
      <c r="P17" s="12" t="str">
        <f>IF('Bundle Tag Info'!Q$22&lt;&gt;"",CONCATENATE('Bundle Tag Info'!$A$1," ",CHAR(10),'Bundle Tag Info'!$A$2," ",'Bundle Tag Info'!$A$3,CHAR(10),'Bundle Tag Info'!Q$6,CHAR(10),'Bundle Tag Info'!Q$22),"")</f>
        <v/>
      </c>
      <c r="Q17" s="12" t="str">
        <f>IF('Bundle Tag Info'!R$22&lt;&gt;"",CONCATENATE('Bundle Tag Info'!$A$1," ",CHAR(10),'Bundle Tag Info'!$A$2," ",'Bundle Tag Info'!$A$3,CHAR(10),'Bundle Tag Info'!R$6,CHAR(10),'Bundle Tag Info'!R$22),"")</f>
        <v/>
      </c>
      <c r="R17" s="12" t="str">
        <f>IF('Bundle Tag Info'!S$22&lt;&gt;"",CONCATENATE('Bundle Tag Info'!$A$1," ",CHAR(10),'Bundle Tag Info'!$A$2," ",'Bundle Tag Info'!$A$3,CHAR(10),'Bundle Tag Info'!S$6,CHAR(10),'Bundle Tag Info'!S$22),"")</f>
        <v/>
      </c>
      <c r="S17" s="12" t="str">
        <f>IF('Bundle Tag Info'!T$22&lt;&gt;"",CONCATENATE('Bundle Tag Info'!$A$1," ",CHAR(10),'Bundle Tag Info'!$A$2," ",'Bundle Tag Info'!$A$3,CHAR(10),'Bundle Tag Info'!T$6,CHAR(10),'Bundle Tag Info'!T$22),"")</f>
        <v/>
      </c>
      <c r="T17" s="12" t="str">
        <f>IF('Bundle Tag Info'!U$22&lt;&gt;"",CONCATENATE('Bundle Tag Info'!$A$1," ",CHAR(10),'Bundle Tag Info'!$A$2," ",'Bundle Tag Info'!$A$3,CHAR(10),'Bundle Tag Info'!U$6,CHAR(10),'Bundle Tag Info'!U$22),"")</f>
        <v/>
      </c>
      <c r="U17" s="12" t="str">
        <f>IF('Bundle Tag Info'!V$22&lt;&gt;"",CONCATENATE('Bundle Tag Info'!$A$1," ",CHAR(10),'Bundle Tag Info'!$A$2," ",'Bundle Tag Info'!$A$3,CHAR(10),'Bundle Tag Info'!V$6,CHAR(10),'Bundle Tag Info'!V$22),"")</f>
        <v/>
      </c>
      <c r="V17" s="12" t="str">
        <f>IF('Bundle Tag Info'!W$22&lt;&gt;"",CONCATENATE('Bundle Tag Info'!$A$1," ",CHAR(10),'Bundle Tag Info'!$A$2," ",'Bundle Tag Info'!$A$3,CHAR(10),'Bundle Tag Info'!W$6,CHAR(10),'Bundle Tag Info'!W$22),"")</f>
        <v/>
      </c>
      <c r="W17" s="12" t="str">
        <f>IF('Bundle Tag Info'!X$22&lt;&gt;"",CONCATENATE('Bundle Tag Info'!$A$1," ",CHAR(10),'Bundle Tag Info'!$A$2," ",'Bundle Tag Info'!$A$3,CHAR(10),'Bundle Tag Info'!X$6,CHAR(10),'Bundle Tag Info'!X$22),"")</f>
        <v/>
      </c>
      <c r="X17" s="12" t="str">
        <f>IF('Bundle Tag Info'!Y$22&lt;&gt;"",CONCATENATE('Bundle Tag Info'!$A$1," ",CHAR(10),'Bundle Tag Info'!$A$2," ",'Bundle Tag Info'!$A$3,CHAR(10),'Bundle Tag Info'!Y$6,CHAR(10),'Bundle Tag Info'!Y$22),"")</f>
        <v/>
      </c>
      <c r="Y17" s="12" t="str">
        <f>IF('Bundle Tag Info'!Z$22&lt;&gt;"",CONCATENATE('Bundle Tag Info'!$A$1," ",CHAR(10),'Bundle Tag Info'!$A$2," ",'Bundle Tag Info'!$A$3,CHAR(10),'Bundle Tag Info'!Z$6,CHAR(10),'Bundle Tag Info'!Z$22),"")</f>
        <v/>
      </c>
      <c r="Z17" s="12" t="str">
        <f>IF('Bundle Tag Info'!AA$22&lt;&gt;"",CONCATENATE('Bundle Tag Info'!$A$1," ",CHAR(10),'Bundle Tag Info'!$A$2," ",'Bundle Tag Info'!$A$3,CHAR(10),'Bundle Tag Info'!AA$6,CHAR(10),'Bundle Tag Info'!AA$22),"")</f>
        <v/>
      </c>
      <c r="AA17" s="12" t="str">
        <f>IF('Bundle Tag Info'!AB$22&lt;&gt;"",CONCATENATE('Bundle Tag Info'!$A$1," ",CHAR(10),'Bundle Tag Info'!$A$2," ",'Bundle Tag Info'!$A$3,CHAR(10),'Bundle Tag Info'!AB$6,CHAR(10),'Bundle Tag Info'!AB$22),"")</f>
        <v/>
      </c>
      <c r="AB17" s="12" t="str">
        <f>IF('Bundle Tag Info'!AC$22&lt;&gt;"",CONCATENATE('Bundle Tag Info'!$A$1," ",CHAR(10),'Bundle Tag Info'!$A$2," ",'Bundle Tag Info'!$A$3,CHAR(10),'Bundle Tag Info'!AC$6,CHAR(10),'Bundle Tag Info'!AC$22),"")</f>
        <v/>
      </c>
      <c r="AC17" s="12" t="str">
        <f>IF('Bundle Tag Info'!AD$22&lt;&gt;"",CONCATENATE('Bundle Tag Info'!$A$1," ",CHAR(10),'Bundle Tag Info'!$A$2," ",'Bundle Tag Info'!$A$3,CHAR(10),'Bundle Tag Info'!AD$6,CHAR(10),'Bundle Tag Info'!AD$22),"")</f>
        <v/>
      </c>
      <c r="AD17" s="12" t="str">
        <f>IF('Bundle Tag Info'!AE$22&lt;&gt;"",CONCATENATE('Bundle Tag Info'!$A$1," ",CHAR(10),'Bundle Tag Info'!$A$2," ",'Bundle Tag Info'!$A$3,CHAR(10),'Bundle Tag Info'!AE$6,CHAR(10),'Bundle Tag Info'!AE$22),"")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Info'!H$23&lt;&gt;"",CONCATENATE('Bundle Tag Info'!$A$1," ",CHAR(10),'Bundle Tag Info'!$A$2," ",'Bundle Tag Info'!$A$3,CHAR(10),'Bundle Tag Info'!H$6,CHAR(10),'Bundle Tag Info'!H$23),"")</f>
        <v/>
      </c>
      <c r="H18" s="12" t="str">
        <f>IF('Bundle Tag Info'!I$23&lt;&gt;"",CONCATENATE('Bundle Tag Info'!$A$1," ",CHAR(10),'Bundle Tag Info'!$A$2," ",'Bundle Tag Info'!$A$3,CHAR(10),'Bundle Tag Info'!I$6,CHAR(10),'Bundle Tag Info'!I$23),"")</f>
        <v/>
      </c>
      <c r="I18" s="12" t="str">
        <f>IF('Bundle Tag Info'!J$23&lt;&gt;"",CONCATENATE('Bundle Tag Info'!$A$1," ",CHAR(10),'Bundle Tag Info'!$A$2," ",'Bundle Tag Info'!$A$3,CHAR(10),'Bundle Tag Info'!J$6,CHAR(10),'Bundle Tag Info'!J$23),"")</f>
        <v/>
      </c>
      <c r="J18" s="12" t="str">
        <f>IF('Bundle Tag Info'!K$23&lt;&gt;"",CONCATENATE('Bundle Tag Info'!$A$1," ",CHAR(10),'Bundle Tag Info'!$A$2," ",'Bundle Tag Info'!$A$3,CHAR(10),'Bundle Tag Info'!K$6,CHAR(10),'Bundle Tag Info'!K$23),"")</f>
        <v/>
      </c>
      <c r="K18" s="12" t="str">
        <f>IF('Bundle Tag Info'!L$23&lt;&gt;"",CONCATENATE('Bundle Tag Info'!$A$1," ",CHAR(10),'Bundle Tag Info'!$A$2," ",'Bundle Tag Info'!$A$3,CHAR(10),'Bundle Tag Info'!L$6,CHAR(10),'Bundle Tag Info'!L$23),"")</f>
        <v/>
      </c>
      <c r="L18" s="12" t="str">
        <f>IF('Bundle Tag Info'!M$23&lt;&gt;"",CONCATENATE('Bundle Tag Info'!$A$1," ",CHAR(10),'Bundle Tag Info'!$A$2," ",'Bundle Tag Info'!$A$3,CHAR(10),'Bundle Tag Info'!M$6,CHAR(10),'Bundle Tag Info'!M$23),"")</f>
        <v/>
      </c>
      <c r="M18" s="12" t="str">
        <f>IF('Bundle Tag Info'!N$23&lt;&gt;"",CONCATENATE('Bundle Tag Info'!$A$1," ",CHAR(10),'Bundle Tag Info'!$A$2," ",'Bundle Tag Info'!$A$3,CHAR(10),'Bundle Tag Info'!N$6,CHAR(10),'Bundle Tag Info'!N$23),"")</f>
        <v/>
      </c>
      <c r="N18" s="12" t="str">
        <f>IF('Bundle Tag Info'!O$23&lt;&gt;"",CONCATENATE('Bundle Tag Info'!$A$1," ",CHAR(10),'Bundle Tag Info'!$A$2," ",'Bundle Tag Info'!$A$3,CHAR(10),'Bundle Tag Info'!O$6,CHAR(10),'Bundle Tag Info'!O$23),"")</f>
        <v/>
      </c>
      <c r="O18" s="12" t="str">
        <f>IF('Bundle Tag Info'!P$23&lt;&gt;"",CONCATENATE('Bundle Tag Info'!$A$1," ",CHAR(10),'Bundle Tag Info'!$A$2," ",'Bundle Tag Info'!$A$3,CHAR(10),'Bundle Tag Info'!P$6,CHAR(10),'Bundle Tag Info'!P$23),"")</f>
        <v/>
      </c>
      <c r="P18" s="12" t="str">
        <f>IF('Bundle Tag Info'!Q$23&lt;&gt;"",CONCATENATE('Bundle Tag Info'!$A$1," ",CHAR(10),'Bundle Tag Info'!$A$2," ",'Bundle Tag Info'!$A$3,CHAR(10),'Bundle Tag Info'!Q$6,CHAR(10),'Bundle Tag Info'!Q$23),"")</f>
        <v/>
      </c>
      <c r="Q18" s="12" t="str">
        <f>IF('Bundle Tag Info'!R$23&lt;&gt;"",CONCATENATE('Bundle Tag Info'!$A$1," ",CHAR(10),'Bundle Tag Info'!$A$2," ",'Bundle Tag Info'!$A$3,CHAR(10),'Bundle Tag Info'!R$6,CHAR(10),'Bundle Tag Info'!R$23),"")</f>
        <v/>
      </c>
      <c r="R18" s="12" t="str">
        <f>IF('Bundle Tag Info'!S$23&lt;&gt;"",CONCATENATE('Bundle Tag Info'!$A$1," ",CHAR(10),'Bundle Tag Info'!$A$2," ",'Bundle Tag Info'!$A$3,CHAR(10),'Bundle Tag Info'!S$6,CHAR(10),'Bundle Tag Info'!S$23),"")</f>
        <v/>
      </c>
      <c r="S18" s="12" t="str">
        <f>IF('Bundle Tag Info'!T$23&lt;&gt;"",CONCATENATE('Bundle Tag Info'!$A$1," ",CHAR(10),'Bundle Tag Info'!$A$2," ",'Bundle Tag Info'!$A$3,CHAR(10),'Bundle Tag Info'!T$6,CHAR(10),'Bundle Tag Info'!T$23),"")</f>
        <v/>
      </c>
      <c r="T18" s="12" t="str">
        <f>IF('Bundle Tag Info'!U$23&lt;&gt;"",CONCATENATE('Bundle Tag Info'!$A$1," ",CHAR(10),'Bundle Tag Info'!$A$2," ",'Bundle Tag Info'!$A$3,CHAR(10),'Bundle Tag Info'!U$6,CHAR(10),'Bundle Tag Info'!U$23),"")</f>
        <v/>
      </c>
      <c r="U18" s="12" t="str">
        <f>IF('Bundle Tag Info'!V$23&lt;&gt;"",CONCATENATE('Bundle Tag Info'!$A$1," ",CHAR(10),'Bundle Tag Info'!$A$2," ",'Bundle Tag Info'!$A$3,CHAR(10),'Bundle Tag Info'!V$6,CHAR(10),'Bundle Tag Info'!V$23),"")</f>
        <v/>
      </c>
      <c r="V18" s="12" t="str">
        <f>IF('Bundle Tag Info'!W$23&lt;&gt;"",CONCATENATE('Bundle Tag Info'!$A$1," ",CHAR(10),'Bundle Tag Info'!$A$2," ",'Bundle Tag Info'!$A$3,CHAR(10),'Bundle Tag Info'!W$6,CHAR(10),'Bundle Tag Info'!W$23),"")</f>
        <v/>
      </c>
      <c r="W18" s="12" t="str">
        <f>IF('Bundle Tag Info'!X$23&lt;&gt;"",CONCATENATE('Bundle Tag Info'!$A$1," ",CHAR(10),'Bundle Tag Info'!$A$2," ",'Bundle Tag Info'!$A$3,CHAR(10),'Bundle Tag Info'!X$6,CHAR(10),'Bundle Tag Info'!X$23),"")</f>
        <v/>
      </c>
      <c r="X18" s="12" t="str">
        <f>IF('Bundle Tag Info'!Y$23&lt;&gt;"",CONCATENATE('Bundle Tag Info'!$A$1," ",CHAR(10),'Bundle Tag Info'!$A$2," ",'Bundle Tag Info'!$A$3,CHAR(10),'Bundle Tag Info'!Y$6,CHAR(10),'Bundle Tag Info'!Y$23),"")</f>
        <v/>
      </c>
      <c r="Y18" s="12" t="str">
        <f>IF('Bundle Tag Info'!Z$23&lt;&gt;"",CONCATENATE('Bundle Tag Info'!$A$1," ",CHAR(10),'Bundle Tag Info'!$A$2," ",'Bundle Tag Info'!$A$3,CHAR(10),'Bundle Tag Info'!Z$6,CHAR(10),'Bundle Tag Info'!Z$23),"")</f>
        <v/>
      </c>
      <c r="Z18" s="12" t="str">
        <f>IF('Bundle Tag Info'!AA$23&lt;&gt;"",CONCATENATE('Bundle Tag Info'!$A$1," ",CHAR(10),'Bundle Tag Info'!$A$2," ",'Bundle Tag Info'!$A$3,CHAR(10),'Bundle Tag Info'!AA$6,CHAR(10),'Bundle Tag Info'!AA$23),"")</f>
        <v/>
      </c>
      <c r="AA18" s="12" t="str">
        <f>IF('Bundle Tag Info'!AB$23&lt;&gt;"",CONCATENATE('Bundle Tag Info'!$A$1," ",CHAR(10),'Bundle Tag Info'!$A$2," ",'Bundle Tag Info'!$A$3,CHAR(10),'Bundle Tag Info'!AB$6,CHAR(10),'Bundle Tag Info'!AB$23),"")</f>
        <v/>
      </c>
      <c r="AB18" s="12" t="str">
        <f>IF('Bundle Tag Info'!AC$23&lt;&gt;"",CONCATENATE('Bundle Tag Info'!$A$1," ",CHAR(10),'Bundle Tag Info'!$A$2," ",'Bundle Tag Info'!$A$3,CHAR(10),'Bundle Tag Info'!AC$6,CHAR(10),'Bundle Tag Info'!AC$23),"")</f>
        <v/>
      </c>
      <c r="AC18" s="12" t="str">
        <f>IF('Bundle Tag Info'!AD$23&lt;&gt;"",CONCATENATE('Bundle Tag Info'!$A$1," ",CHAR(10),'Bundle Tag Info'!$A$2," ",'Bundle Tag Info'!$A$3,CHAR(10),'Bundle Tag Info'!AD$6,CHAR(10),'Bundle Tag Info'!AD$23),"")</f>
        <v/>
      </c>
      <c r="AD18" s="12" t="str">
        <f>IF('Bundle Tag Info'!AE$23&lt;&gt;"",CONCATENATE('Bundle Tag Info'!$A$1," ",CHAR(10),'Bundle Tag Info'!$A$2," ",'Bundle Tag Info'!$A$3,CHAR(10),'Bundle Tag Info'!AE$6,CHAR(10),'Bundle Tag Info'!AE$23),"")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Info'!H$24&lt;&gt;"",CONCATENATE('Bundle Tag Info'!$A$1," ",CHAR(10),'Bundle Tag Info'!$A$2," ",'Bundle Tag Info'!$A$3,CHAR(10),'Bundle Tag Info'!H$6,CHAR(10),'Bundle Tag Info'!H$24),"")</f>
        <v/>
      </c>
      <c r="H19" s="12" t="str">
        <f>IF('Bundle Tag Info'!I$24&lt;&gt;"",CONCATENATE('Bundle Tag Info'!$A$1," ",CHAR(10),'Bundle Tag Info'!$A$2," ",'Bundle Tag Info'!$A$3,CHAR(10),'Bundle Tag Info'!I$6,CHAR(10),'Bundle Tag Info'!I$24),"")</f>
        <v/>
      </c>
      <c r="I19" s="12" t="str">
        <f>IF('Bundle Tag Info'!J$24&lt;&gt;"",CONCATENATE('Bundle Tag Info'!$A$1," ",CHAR(10),'Bundle Tag Info'!$A$2," ",'Bundle Tag Info'!$A$3,CHAR(10),'Bundle Tag Info'!J$6,CHAR(10),'Bundle Tag Info'!J$24),"")</f>
        <v/>
      </c>
      <c r="J19" s="12" t="str">
        <f>IF('Bundle Tag Info'!K$24&lt;&gt;"",CONCATENATE('Bundle Tag Info'!$A$1," ",CHAR(10),'Bundle Tag Info'!$A$2," ",'Bundle Tag Info'!$A$3,CHAR(10),'Bundle Tag Info'!K$6,CHAR(10),'Bundle Tag Info'!K$24),"")</f>
        <v/>
      </c>
      <c r="K19" s="12" t="str">
        <f>IF('Bundle Tag Info'!L$24&lt;&gt;"",CONCATENATE('Bundle Tag Info'!$A$1," ",CHAR(10),'Bundle Tag Info'!$A$2," ",'Bundle Tag Info'!$A$3,CHAR(10),'Bundle Tag Info'!L$6,CHAR(10),'Bundle Tag Info'!L$24),"")</f>
        <v/>
      </c>
      <c r="L19" s="12" t="str">
        <f>IF('Bundle Tag Info'!M$24&lt;&gt;"",CONCATENATE('Bundle Tag Info'!$A$1," ",CHAR(10),'Bundle Tag Info'!$A$2," ",'Bundle Tag Info'!$A$3,CHAR(10),'Bundle Tag Info'!M$6,CHAR(10),'Bundle Tag Info'!M$24),"")</f>
        <v/>
      </c>
      <c r="M19" s="12" t="str">
        <f>IF('Bundle Tag Info'!N$24&lt;&gt;"",CONCATENATE('Bundle Tag Info'!$A$1," ",CHAR(10),'Bundle Tag Info'!$A$2," ",'Bundle Tag Info'!$A$3,CHAR(10),'Bundle Tag Info'!N$6,CHAR(10),'Bundle Tag Info'!N$24),"")</f>
        <v/>
      </c>
      <c r="N19" s="12" t="str">
        <f>IF('Bundle Tag Info'!O$24&lt;&gt;"",CONCATENATE('Bundle Tag Info'!$A$1," ",CHAR(10),'Bundle Tag Info'!$A$2," ",'Bundle Tag Info'!$A$3,CHAR(10),'Bundle Tag Info'!O$6,CHAR(10),'Bundle Tag Info'!O$24),"")</f>
        <v/>
      </c>
      <c r="O19" s="12" t="str">
        <f>IF('Bundle Tag Info'!P$24&lt;&gt;"",CONCATENATE('Bundle Tag Info'!$A$1," ",CHAR(10),'Bundle Tag Info'!$A$2," ",'Bundle Tag Info'!$A$3,CHAR(10),'Bundle Tag Info'!P$6,CHAR(10),'Bundle Tag Info'!P$24),"")</f>
        <v/>
      </c>
      <c r="P19" s="12" t="str">
        <f>IF('Bundle Tag Info'!Q$24&lt;&gt;"",CONCATENATE('Bundle Tag Info'!$A$1," ",CHAR(10),'Bundle Tag Info'!$A$2," ",'Bundle Tag Info'!$A$3,CHAR(10),'Bundle Tag Info'!Q$6,CHAR(10),'Bundle Tag Info'!Q$24),"")</f>
        <v/>
      </c>
      <c r="Q19" s="12" t="str">
        <f>IF('Bundle Tag Info'!R$24&lt;&gt;"",CONCATENATE('Bundle Tag Info'!$A$1," ",CHAR(10),'Bundle Tag Info'!$A$2," ",'Bundle Tag Info'!$A$3,CHAR(10),'Bundle Tag Info'!R$6,CHAR(10),'Bundle Tag Info'!R$24),"")</f>
        <v/>
      </c>
      <c r="R19" s="12" t="str">
        <f>IF('Bundle Tag Info'!S$24&lt;&gt;"",CONCATENATE('Bundle Tag Info'!$A$1," ",CHAR(10),'Bundle Tag Info'!$A$2," ",'Bundle Tag Info'!$A$3,CHAR(10),'Bundle Tag Info'!S$6,CHAR(10),'Bundle Tag Info'!S$24),"")</f>
        <v/>
      </c>
      <c r="S19" s="12" t="str">
        <f>IF('Bundle Tag Info'!T$24&lt;&gt;"",CONCATENATE('Bundle Tag Info'!$A$1," ",CHAR(10),'Bundle Tag Info'!$A$2," ",'Bundle Tag Info'!$A$3,CHAR(10),'Bundle Tag Info'!T$6,CHAR(10),'Bundle Tag Info'!T$24),"")</f>
        <v/>
      </c>
      <c r="T19" s="12" t="str">
        <f>IF('Bundle Tag Info'!U$24&lt;&gt;"",CONCATENATE('Bundle Tag Info'!$A$1," ",CHAR(10),'Bundle Tag Info'!$A$2," ",'Bundle Tag Info'!$A$3,CHAR(10),'Bundle Tag Info'!U$6,CHAR(10),'Bundle Tag Info'!U$24),"")</f>
        <v/>
      </c>
      <c r="U19" s="12" t="str">
        <f>IF('Bundle Tag Info'!V$24&lt;&gt;"",CONCATENATE('Bundle Tag Info'!$A$1," ",CHAR(10),'Bundle Tag Info'!$A$2," ",'Bundle Tag Info'!$A$3,CHAR(10),'Bundle Tag Info'!V$6,CHAR(10),'Bundle Tag Info'!V$24),"")</f>
        <v/>
      </c>
      <c r="V19" s="12" t="str">
        <f>IF('Bundle Tag Info'!W$24&lt;&gt;"",CONCATENATE('Bundle Tag Info'!$A$1," ",CHAR(10),'Bundle Tag Info'!$A$2," ",'Bundle Tag Info'!$A$3,CHAR(10),'Bundle Tag Info'!W$6,CHAR(10),'Bundle Tag Info'!W$24),"")</f>
        <v/>
      </c>
      <c r="W19" s="12" t="str">
        <f>IF('Bundle Tag Info'!X$24&lt;&gt;"",CONCATENATE('Bundle Tag Info'!$A$1," ",CHAR(10),'Bundle Tag Info'!$A$2," ",'Bundle Tag Info'!$A$3,CHAR(10),'Bundle Tag Info'!X$6,CHAR(10),'Bundle Tag Info'!X$24),"")</f>
        <v/>
      </c>
      <c r="X19" s="12" t="str">
        <f>IF('Bundle Tag Info'!Y$24&lt;&gt;"",CONCATENATE('Bundle Tag Info'!$A$1," ",CHAR(10),'Bundle Tag Info'!$A$2," ",'Bundle Tag Info'!$A$3,CHAR(10),'Bundle Tag Info'!Y$6,CHAR(10),'Bundle Tag Info'!Y$24),"")</f>
        <v/>
      </c>
      <c r="Y19" s="12" t="str">
        <f>IF('Bundle Tag Info'!Z$24&lt;&gt;"",CONCATENATE('Bundle Tag Info'!$A$1," ",CHAR(10),'Bundle Tag Info'!$A$2," ",'Bundle Tag Info'!$A$3,CHAR(10),'Bundle Tag Info'!Z$6,CHAR(10),'Bundle Tag Info'!Z$24),"")</f>
        <v/>
      </c>
      <c r="Z19" s="12" t="str">
        <f>IF('Bundle Tag Info'!AA$24&lt;&gt;"",CONCATENATE('Bundle Tag Info'!$A$1," ",CHAR(10),'Bundle Tag Info'!$A$2," ",'Bundle Tag Info'!$A$3,CHAR(10),'Bundle Tag Info'!AA$6,CHAR(10),'Bundle Tag Info'!AA$24),"")</f>
        <v/>
      </c>
      <c r="AA19" s="12" t="str">
        <f>IF('Bundle Tag Info'!AB$24&lt;&gt;"",CONCATENATE('Bundle Tag Info'!$A$1," ",CHAR(10),'Bundle Tag Info'!$A$2," ",'Bundle Tag Info'!$A$3,CHAR(10),'Bundle Tag Info'!AB$6,CHAR(10),'Bundle Tag Info'!AB$24),"")</f>
        <v/>
      </c>
      <c r="AB19" s="12" t="str">
        <f>IF('Bundle Tag Info'!AC$24&lt;&gt;"",CONCATENATE('Bundle Tag Info'!$A$1," ",CHAR(10),'Bundle Tag Info'!$A$2," ",'Bundle Tag Info'!$A$3,CHAR(10),'Bundle Tag Info'!AC$6,CHAR(10),'Bundle Tag Info'!AC$24),"")</f>
        <v/>
      </c>
      <c r="AC19" s="12" t="str">
        <f>IF('Bundle Tag Info'!AD$24&lt;&gt;"",CONCATENATE('Bundle Tag Info'!$A$1," ",CHAR(10),'Bundle Tag Info'!$A$2," ",'Bundle Tag Info'!$A$3,CHAR(10),'Bundle Tag Info'!AD$6,CHAR(10),'Bundle Tag Info'!AD$24),"")</f>
        <v/>
      </c>
      <c r="AD19" s="12" t="str">
        <f>IF('Bundle Tag Info'!AE$24&lt;&gt;"",CONCATENATE('Bundle Tag Info'!$A$1," ",CHAR(10),'Bundle Tag Info'!$A$2," ",'Bundle Tag Info'!$A$3,CHAR(10),'Bundle Tag Info'!AE$6,CHAR(10),'Bundle Tag Info'!AE$24),"")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Info'!H$25&lt;&gt;"",CONCATENATE('Bundle Tag Info'!$A$1," ",CHAR(10),'Bundle Tag Info'!$A$2," ",'Bundle Tag Info'!$A$3,CHAR(10),'Bundle Tag Info'!H$6,CHAR(10),'Bundle Tag Info'!H$25),"")</f>
        <v/>
      </c>
      <c r="H20" s="12" t="str">
        <f>IF('Bundle Tag Info'!I$25&lt;&gt;"",CONCATENATE('Bundle Tag Info'!$A$1," ",CHAR(10),'Bundle Tag Info'!$A$2," ",'Bundle Tag Info'!$A$3,CHAR(10),'Bundle Tag Info'!I$6,CHAR(10),'Bundle Tag Info'!I$25),"")</f>
        <v/>
      </c>
      <c r="I20" s="12" t="str">
        <f>IF('Bundle Tag Info'!J$25&lt;&gt;"",CONCATENATE('Bundle Tag Info'!$A$1," ",CHAR(10),'Bundle Tag Info'!$A$2," ",'Bundle Tag Info'!$A$3,CHAR(10),'Bundle Tag Info'!J$6,CHAR(10),'Bundle Tag Info'!J$25),"")</f>
        <v/>
      </c>
      <c r="J20" s="12" t="str">
        <f>IF('Bundle Tag Info'!K$25&lt;&gt;"",CONCATENATE('Bundle Tag Info'!$A$1," ",CHAR(10),'Bundle Tag Info'!$A$2," ",'Bundle Tag Info'!$A$3,CHAR(10),'Bundle Tag Info'!K$6,CHAR(10),'Bundle Tag Info'!K$25),"")</f>
        <v/>
      </c>
      <c r="K20" s="12" t="str">
        <f>IF('Bundle Tag Info'!L$25&lt;&gt;"",CONCATENATE('Bundle Tag Info'!$A$1," ",CHAR(10),'Bundle Tag Info'!$A$2," ",'Bundle Tag Info'!$A$3,CHAR(10),'Bundle Tag Info'!L$6,CHAR(10),'Bundle Tag Info'!L$25),"")</f>
        <v/>
      </c>
      <c r="L20" s="12" t="str">
        <f>IF('Bundle Tag Info'!M$25&lt;&gt;"",CONCATENATE('Bundle Tag Info'!$A$1," ",CHAR(10),'Bundle Tag Info'!$A$2," ",'Bundle Tag Info'!$A$3,CHAR(10),'Bundle Tag Info'!M$6,CHAR(10),'Bundle Tag Info'!M$25),"")</f>
        <v/>
      </c>
      <c r="M20" s="12" t="str">
        <f>IF('Bundle Tag Info'!N$25&lt;&gt;"",CONCATENATE('Bundle Tag Info'!$A$1," ",CHAR(10),'Bundle Tag Info'!$A$2," ",'Bundle Tag Info'!$A$3,CHAR(10),'Bundle Tag Info'!N$6,CHAR(10),'Bundle Tag Info'!N$25),"")</f>
        <v/>
      </c>
      <c r="N20" s="12" t="str">
        <f>IF('Bundle Tag Info'!O$25&lt;&gt;"",CONCATENATE('Bundle Tag Info'!$A$1," ",CHAR(10),'Bundle Tag Info'!$A$2," ",'Bundle Tag Info'!$A$3,CHAR(10),'Bundle Tag Info'!O$6,CHAR(10),'Bundle Tag Info'!O$25),"")</f>
        <v/>
      </c>
      <c r="O20" s="12" t="str">
        <f>IF('Bundle Tag Info'!P$25&lt;&gt;"",CONCATENATE('Bundle Tag Info'!$A$1," ",CHAR(10),'Bundle Tag Info'!$A$2," ",'Bundle Tag Info'!$A$3,CHAR(10),'Bundle Tag Info'!P$6,CHAR(10),'Bundle Tag Info'!P$25),"")</f>
        <v/>
      </c>
      <c r="P20" s="12" t="str">
        <f>IF('Bundle Tag Info'!Q$25&lt;&gt;"",CONCATENATE('Bundle Tag Info'!$A$1," ",CHAR(10),'Bundle Tag Info'!$A$2," ",'Bundle Tag Info'!$A$3,CHAR(10),'Bundle Tag Info'!Q$6,CHAR(10),'Bundle Tag Info'!Q$25),"")</f>
        <v/>
      </c>
      <c r="Q20" s="12" t="str">
        <f>IF('Bundle Tag Info'!R$25&lt;&gt;"",CONCATENATE('Bundle Tag Info'!$A$1," ",CHAR(10),'Bundle Tag Info'!$A$2," ",'Bundle Tag Info'!$A$3,CHAR(10),'Bundle Tag Info'!R$6,CHAR(10),'Bundle Tag Info'!R$25),"")</f>
        <v/>
      </c>
      <c r="R20" s="12" t="str">
        <f>IF('Bundle Tag Info'!S$25&lt;&gt;"",CONCATENATE('Bundle Tag Info'!$A$1," ",CHAR(10),'Bundle Tag Info'!$A$2," ",'Bundle Tag Info'!$A$3,CHAR(10),'Bundle Tag Info'!S$6,CHAR(10),'Bundle Tag Info'!S$25),"")</f>
        <v/>
      </c>
      <c r="S20" s="12" t="str">
        <f>IF('Bundle Tag Info'!T$25&lt;&gt;"",CONCATENATE('Bundle Tag Info'!$A$1," ",CHAR(10),'Bundle Tag Info'!$A$2," ",'Bundle Tag Info'!$A$3,CHAR(10),'Bundle Tag Info'!T$6,CHAR(10),'Bundle Tag Info'!T$25),"")</f>
        <v/>
      </c>
      <c r="T20" s="12" t="str">
        <f>IF('Bundle Tag Info'!U$25&lt;&gt;"",CONCATENATE('Bundle Tag Info'!$A$1," ",CHAR(10),'Bundle Tag Info'!$A$2," ",'Bundle Tag Info'!$A$3,CHAR(10),'Bundle Tag Info'!U$6,CHAR(10),'Bundle Tag Info'!U$25),"")</f>
        <v/>
      </c>
      <c r="U20" s="12" t="str">
        <f>IF('Bundle Tag Info'!V$25&lt;&gt;"",CONCATENATE('Bundle Tag Info'!$A$1," ",CHAR(10),'Bundle Tag Info'!$A$2," ",'Bundle Tag Info'!$A$3,CHAR(10),'Bundle Tag Info'!V$6,CHAR(10),'Bundle Tag Info'!V$25),"")</f>
        <v/>
      </c>
      <c r="V20" s="12" t="str">
        <f>IF('Bundle Tag Info'!W$25&lt;&gt;"",CONCATENATE('Bundle Tag Info'!$A$1," ",CHAR(10),'Bundle Tag Info'!$A$2," ",'Bundle Tag Info'!$A$3,CHAR(10),'Bundle Tag Info'!W$6,CHAR(10),'Bundle Tag Info'!W$25),"")</f>
        <v/>
      </c>
      <c r="W20" s="12" t="str">
        <f>IF('Bundle Tag Info'!X$25&lt;&gt;"",CONCATENATE('Bundle Tag Info'!$A$1," ",CHAR(10),'Bundle Tag Info'!$A$2," ",'Bundle Tag Info'!$A$3,CHAR(10),'Bundle Tag Info'!X$6,CHAR(10),'Bundle Tag Info'!X$25),"")</f>
        <v/>
      </c>
      <c r="X20" s="12" t="str">
        <f>IF('Bundle Tag Info'!Y$25&lt;&gt;"",CONCATENATE('Bundle Tag Info'!$A$1," ",CHAR(10),'Bundle Tag Info'!$A$2," ",'Bundle Tag Info'!$A$3,CHAR(10),'Bundle Tag Info'!Y$6,CHAR(10),'Bundle Tag Info'!Y$25),"")</f>
        <v/>
      </c>
      <c r="Y20" s="12" t="str">
        <f>IF('Bundle Tag Info'!Z$25&lt;&gt;"",CONCATENATE('Bundle Tag Info'!$A$1," ",CHAR(10),'Bundle Tag Info'!$A$2," ",'Bundle Tag Info'!$A$3,CHAR(10),'Bundle Tag Info'!Z$6,CHAR(10),'Bundle Tag Info'!Z$25),"")</f>
        <v/>
      </c>
      <c r="Z20" s="12" t="str">
        <f>IF('Bundle Tag Info'!AA$25&lt;&gt;"",CONCATENATE('Bundle Tag Info'!$A$1," ",CHAR(10),'Bundle Tag Info'!$A$2," ",'Bundle Tag Info'!$A$3,CHAR(10),'Bundle Tag Info'!AA$6,CHAR(10),'Bundle Tag Info'!AA$25),"")</f>
        <v/>
      </c>
      <c r="AA20" s="12" t="str">
        <f>IF('Bundle Tag Info'!AB$25&lt;&gt;"",CONCATENATE('Bundle Tag Info'!$A$1," ",CHAR(10),'Bundle Tag Info'!$A$2," ",'Bundle Tag Info'!$A$3,CHAR(10),'Bundle Tag Info'!AB$6,CHAR(10),'Bundle Tag Info'!AB$25),"")</f>
        <v/>
      </c>
      <c r="AB20" s="12" t="str">
        <f>IF('Bundle Tag Info'!AC$25&lt;&gt;"",CONCATENATE('Bundle Tag Info'!$A$1," ",CHAR(10),'Bundle Tag Info'!$A$2," ",'Bundle Tag Info'!$A$3,CHAR(10),'Bundle Tag Info'!AC$6,CHAR(10),'Bundle Tag Info'!AC$25),"")</f>
        <v/>
      </c>
      <c r="AC20" s="12" t="str">
        <f>IF('Bundle Tag Info'!AD$25&lt;&gt;"",CONCATENATE('Bundle Tag Info'!$A$1," ",CHAR(10),'Bundle Tag Info'!$A$2," ",'Bundle Tag Info'!$A$3,CHAR(10),'Bundle Tag Info'!AD$6,CHAR(10),'Bundle Tag Info'!AD$25),"")</f>
        <v/>
      </c>
      <c r="AD20" s="12" t="str">
        <f>IF('Bundle Tag Info'!AE$25&lt;&gt;"",CONCATENATE('Bundle Tag Info'!$A$1," ",CHAR(10),'Bundle Tag Info'!$A$2," ",'Bundle Tag Info'!$A$3,CHAR(10),'Bundle Tag Info'!AE$6,CHAR(10),'Bundle Tag Info'!AE$25),"")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Info'!H$26&lt;&gt;"",CONCATENATE('Bundle Tag Info'!$A$1," ",CHAR(10),'Bundle Tag Info'!$A$2," ",'Bundle Tag Info'!$A$3,CHAR(10),'Bundle Tag Info'!H$6,CHAR(10),'Bundle Tag Info'!H$26),"")</f>
        <v/>
      </c>
      <c r="H21" s="12" t="str">
        <f>IF('Bundle Tag Info'!I$26&lt;&gt;"",CONCATENATE('Bundle Tag Info'!$A$1," ",CHAR(10),'Bundle Tag Info'!$A$2," ",'Bundle Tag Info'!$A$3,CHAR(10),'Bundle Tag Info'!I$6,CHAR(10),'Bundle Tag Info'!I$26),"")</f>
        <v/>
      </c>
      <c r="I21" s="12" t="str">
        <f>IF('Bundle Tag Info'!J$26&lt;&gt;"",CONCATENATE('Bundle Tag Info'!$A$1," ",CHAR(10),'Bundle Tag Info'!$A$2," ",'Bundle Tag Info'!$A$3,CHAR(10),'Bundle Tag Info'!J$6,CHAR(10),'Bundle Tag Info'!J$26),"")</f>
        <v/>
      </c>
      <c r="J21" s="12" t="str">
        <f>IF('Bundle Tag Info'!K$26&lt;&gt;"",CONCATENATE('Bundle Tag Info'!$A$1," ",CHAR(10),'Bundle Tag Info'!$A$2," ",'Bundle Tag Info'!$A$3,CHAR(10),'Bundle Tag Info'!K$6,CHAR(10),'Bundle Tag Info'!K$26),"")</f>
        <v/>
      </c>
      <c r="K21" s="12" t="str">
        <f>IF('Bundle Tag Info'!L$26&lt;&gt;"",CONCATENATE('Bundle Tag Info'!$A$1," ",CHAR(10),'Bundle Tag Info'!$A$2," ",'Bundle Tag Info'!$A$3,CHAR(10),'Bundle Tag Info'!L$6,CHAR(10),'Bundle Tag Info'!L$26),"")</f>
        <v/>
      </c>
      <c r="L21" s="12" t="str">
        <f>IF('Bundle Tag Info'!M$26&lt;&gt;"",CONCATENATE('Bundle Tag Info'!$A$1," ",CHAR(10),'Bundle Tag Info'!$A$2," ",'Bundle Tag Info'!$A$3,CHAR(10),'Bundle Tag Info'!M$6,CHAR(10),'Bundle Tag Info'!M$26),"")</f>
        <v/>
      </c>
      <c r="M21" s="12" t="str">
        <f>IF('Bundle Tag Info'!N$26&lt;&gt;"",CONCATENATE('Bundle Tag Info'!$A$1," ",CHAR(10),'Bundle Tag Info'!$A$2," ",'Bundle Tag Info'!$A$3,CHAR(10),'Bundle Tag Info'!N$6,CHAR(10),'Bundle Tag Info'!N$26),"")</f>
        <v/>
      </c>
      <c r="N21" s="12" t="str">
        <f>IF('Bundle Tag Info'!O$26&lt;&gt;"",CONCATENATE('Bundle Tag Info'!$A$1," ",CHAR(10),'Bundle Tag Info'!$A$2," ",'Bundle Tag Info'!$A$3,CHAR(10),'Bundle Tag Info'!O$6,CHAR(10),'Bundle Tag Info'!O$26),"")</f>
        <v/>
      </c>
      <c r="O21" s="12" t="str">
        <f>IF('Bundle Tag Info'!P$26&lt;&gt;"",CONCATENATE('Bundle Tag Info'!$A$1," ",CHAR(10),'Bundle Tag Info'!$A$2," ",'Bundle Tag Info'!$A$3,CHAR(10),'Bundle Tag Info'!P$6,CHAR(10),'Bundle Tag Info'!P$26),"")</f>
        <v/>
      </c>
      <c r="P21" s="12" t="str">
        <f>IF('Bundle Tag Info'!Q$26&lt;&gt;"",CONCATENATE('Bundle Tag Info'!$A$1," ",CHAR(10),'Bundle Tag Info'!$A$2," ",'Bundle Tag Info'!$A$3,CHAR(10),'Bundle Tag Info'!Q$6,CHAR(10),'Bundle Tag Info'!Q$26),"")</f>
        <v/>
      </c>
      <c r="Q21" s="12" t="str">
        <f>IF('Bundle Tag Info'!R$26&lt;&gt;"",CONCATENATE('Bundle Tag Info'!$A$1," ",CHAR(10),'Bundle Tag Info'!$A$2," ",'Bundle Tag Info'!$A$3,CHAR(10),'Bundle Tag Info'!R$6,CHAR(10),'Bundle Tag Info'!R$26),"")</f>
        <v/>
      </c>
      <c r="R21" s="12" t="str">
        <f>IF('Bundle Tag Info'!S$26&lt;&gt;"",CONCATENATE('Bundle Tag Info'!$A$1," ",CHAR(10),'Bundle Tag Info'!$A$2," ",'Bundle Tag Info'!$A$3,CHAR(10),'Bundle Tag Info'!S$6,CHAR(10),'Bundle Tag Info'!S$26),"")</f>
        <v/>
      </c>
      <c r="S21" s="12" t="str">
        <f>IF('Bundle Tag Info'!T$26&lt;&gt;"",CONCATENATE('Bundle Tag Info'!$A$1," ",CHAR(10),'Bundle Tag Info'!$A$2," ",'Bundle Tag Info'!$A$3,CHAR(10),'Bundle Tag Info'!T$6,CHAR(10),'Bundle Tag Info'!T$26),"")</f>
        <v/>
      </c>
      <c r="T21" s="12" t="str">
        <f>IF('Bundle Tag Info'!U$26&lt;&gt;"",CONCATENATE('Bundle Tag Info'!$A$1," ",CHAR(10),'Bundle Tag Info'!$A$2," ",'Bundle Tag Info'!$A$3,CHAR(10),'Bundle Tag Info'!U$6,CHAR(10),'Bundle Tag Info'!U$26),"")</f>
        <v/>
      </c>
      <c r="U21" s="12" t="str">
        <f>IF('Bundle Tag Info'!V$26&lt;&gt;"",CONCATENATE('Bundle Tag Info'!$A$1," ",CHAR(10),'Bundle Tag Info'!$A$2," ",'Bundle Tag Info'!$A$3,CHAR(10),'Bundle Tag Info'!V$6,CHAR(10),'Bundle Tag Info'!V$26),"")</f>
        <v/>
      </c>
      <c r="V21" s="12" t="str">
        <f>IF('Bundle Tag Info'!W$26&lt;&gt;"",CONCATENATE('Bundle Tag Info'!$A$1," ",CHAR(10),'Bundle Tag Info'!$A$2," ",'Bundle Tag Info'!$A$3,CHAR(10),'Bundle Tag Info'!W$6,CHAR(10),'Bundle Tag Info'!W$26),"")</f>
        <v/>
      </c>
      <c r="W21" s="12" t="str">
        <f>IF('Bundle Tag Info'!X$26&lt;&gt;"",CONCATENATE('Bundle Tag Info'!$A$1," ",CHAR(10),'Bundle Tag Info'!$A$2," ",'Bundle Tag Info'!$A$3,CHAR(10),'Bundle Tag Info'!X$6,CHAR(10),'Bundle Tag Info'!X$26),"")</f>
        <v/>
      </c>
      <c r="X21" s="12" t="str">
        <f>IF('Bundle Tag Info'!Y$26&lt;&gt;"",CONCATENATE('Bundle Tag Info'!$A$1," ",CHAR(10),'Bundle Tag Info'!$A$2," ",'Bundle Tag Info'!$A$3,CHAR(10),'Bundle Tag Info'!Y$6,CHAR(10),'Bundle Tag Info'!Y$26),"")</f>
        <v/>
      </c>
      <c r="Y21" s="12" t="str">
        <f>IF('Bundle Tag Info'!Z$26&lt;&gt;"",CONCATENATE('Bundle Tag Info'!$A$1," ",CHAR(10),'Bundle Tag Info'!$A$2," ",'Bundle Tag Info'!$A$3,CHAR(10),'Bundle Tag Info'!Z$6,CHAR(10),'Bundle Tag Info'!Z$26),"")</f>
        <v/>
      </c>
      <c r="Z21" s="12" t="str">
        <f>IF('Bundle Tag Info'!AA$26&lt;&gt;"",CONCATENATE('Bundle Tag Info'!$A$1," ",CHAR(10),'Bundle Tag Info'!$A$2," ",'Bundle Tag Info'!$A$3,CHAR(10),'Bundle Tag Info'!AA$6,CHAR(10),'Bundle Tag Info'!AA$26),"")</f>
        <v/>
      </c>
      <c r="AA21" s="12" t="str">
        <f>IF('Bundle Tag Info'!AB$26&lt;&gt;"",CONCATENATE('Bundle Tag Info'!$A$1," ",CHAR(10),'Bundle Tag Info'!$A$2," ",'Bundle Tag Info'!$A$3,CHAR(10),'Bundle Tag Info'!AB$6,CHAR(10),'Bundle Tag Info'!AB$26),"")</f>
        <v/>
      </c>
      <c r="AB21" s="12" t="str">
        <f>IF('Bundle Tag Info'!AC$26&lt;&gt;"",CONCATENATE('Bundle Tag Info'!$A$1," ",CHAR(10),'Bundle Tag Info'!$A$2," ",'Bundle Tag Info'!$A$3,CHAR(10),'Bundle Tag Info'!AC$6,CHAR(10),'Bundle Tag Info'!AC$26),"")</f>
        <v/>
      </c>
      <c r="AC21" s="12" t="str">
        <f>IF('Bundle Tag Info'!AD$26&lt;&gt;"",CONCATENATE('Bundle Tag Info'!$A$1," ",CHAR(10),'Bundle Tag Info'!$A$2," ",'Bundle Tag Info'!$A$3,CHAR(10),'Bundle Tag Info'!AD$6,CHAR(10),'Bundle Tag Info'!AD$26),"")</f>
        <v/>
      </c>
      <c r="AD21" s="12" t="str">
        <f>IF('Bundle Tag Info'!AE$26&lt;&gt;"",CONCATENATE('Bundle Tag Info'!$A$1," ",CHAR(10),'Bundle Tag Info'!$A$2," ",'Bundle Tag Info'!$A$3,CHAR(10),'Bundle Tag Info'!AE$6,CHAR(10),'Bundle Tag Info'!AE$26),"")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Info'!H$27&lt;&gt;"",CONCATENATE('Bundle Tag Info'!$A$1," ",CHAR(10),'Bundle Tag Info'!$A$2," ",'Bundle Tag Info'!$A$3,CHAR(10),'Bundle Tag Info'!H$6,CHAR(10),'Bundle Tag Info'!H$27),"")</f>
        <v/>
      </c>
      <c r="H22" s="12" t="str">
        <f>IF('Bundle Tag Info'!I$27&lt;&gt;"",CONCATENATE('Bundle Tag Info'!$A$1," ",CHAR(10),'Bundle Tag Info'!$A$2," ",'Bundle Tag Info'!$A$3,CHAR(10),'Bundle Tag Info'!I$6,CHAR(10),'Bundle Tag Info'!I$27),"")</f>
        <v/>
      </c>
      <c r="I22" s="12" t="str">
        <f>IF('Bundle Tag Info'!J$27&lt;&gt;"",CONCATENATE('Bundle Tag Info'!$A$1," ",CHAR(10),'Bundle Tag Info'!$A$2," ",'Bundle Tag Info'!$A$3,CHAR(10),'Bundle Tag Info'!J$6,CHAR(10),'Bundle Tag Info'!J$27),"")</f>
        <v/>
      </c>
      <c r="J22" s="12" t="str">
        <f>IF('Bundle Tag Info'!K$27&lt;&gt;"",CONCATENATE('Bundle Tag Info'!$A$1," ",CHAR(10),'Bundle Tag Info'!$A$2," ",'Bundle Tag Info'!$A$3,CHAR(10),'Bundle Tag Info'!K$6,CHAR(10),'Bundle Tag Info'!K$27),"")</f>
        <v/>
      </c>
      <c r="K22" s="12" t="str">
        <f>IF('Bundle Tag Info'!L$27&lt;&gt;"",CONCATENATE('Bundle Tag Info'!$A$1," ",CHAR(10),'Bundle Tag Info'!$A$2," ",'Bundle Tag Info'!$A$3,CHAR(10),'Bundle Tag Info'!L$6,CHAR(10),'Bundle Tag Info'!L$27),"")</f>
        <v/>
      </c>
      <c r="L22" s="12" t="str">
        <f>IF('Bundle Tag Info'!M$27&lt;&gt;"",CONCATENATE('Bundle Tag Info'!$A$1," ",CHAR(10),'Bundle Tag Info'!$A$2," ",'Bundle Tag Info'!$A$3,CHAR(10),'Bundle Tag Info'!M$6,CHAR(10),'Bundle Tag Info'!M$27),"")</f>
        <v/>
      </c>
      <c r="M22" s="12" t="str">
        <f>IF('Bundle Tag Info'!N$27&lt;&gt;"",CONCATENATE('Bundle Tag Info'!$A$1," ",CHAR(10),'Bundle Tag Info'!$A$2," ",'Bundle Tag Info'!$A$3,CHAR(10),'Bundle Tag Info'!N$6,CHAR(10),'Bundle Tag Info'!N$27),"")</f>
        <v/>
      </c>
      <c r="N22" s="12" t="str">
        <f>IF('Bundle Tag Info'!O$27&lt;&gt;"",CONCATENATE('Bundle Tag Info'!$A$1," ",CHAR(10),'Bundle Tag Info'!$A$2," ",'Bundle Tag Info'!$A$3,CHAR(10),'Bundle Tag Info'!O$6,CHAR(10),'Bundle Tag Info'!O$27),"")</f>
        <v/>
      </c>
      <c r="O22" s="12" t="str">
        <f>IF('Bundle Tag Info'!P$27&lt;&gt;"",CONCATENATE('Bundle Tag Info'!$A$1," ",CHAR(10),'Bundle Tag Info'!$A$2," ",'Bundle Tag Info'!$A$3,CHAR(10),'Bundle Tag Info'!P$6,CHAR(10),'Bundle Tag Info'!P$27),"")</f>
        <v/>
      </c>
      <c r="P22" s="12" t="str">
        <f>IF('Bundle Tag Info'!Q$27&lt;&gt;"",CONCATENATE('Bundle Tag Info'!$A$1," ",CHAR(10),'Bundle Tag Info'!$A$2," ",'Bundle Tag Info'!$A$3,CHAR(10),'Bundle Tag Info'!Q$6,CHAR(10),'Bundle Tag Info'!Q$27),"")</f>
        <v/>
      </c>
      <c r="Q22" s="12" t="str">
        <f>IF('Bundle Tag Info'!R$27&lt;&gt;"",CONCATENATE('Bundle Tag Info'!$A$1," ",CHAR(10),'Bundle Tag Info'!$A$2," ",'Bundle Tag Info'!$A$3,CHAR(10),'Bundle Tag Info'!R$6,CHAR(10),'Bundle Tag Info'!R$27),"")</f>
        <v/>
      </c>
      <c r="R22" s="12" t="str">
        <f>IF('Bundle Tag Info'!S$27&lt;&gt;"",CONCATENATE('Bundle Tag Info'!$A$1," ",CHAR(10),'Bundle Tag Info'!$A$2," ",'Bundle Tag Info'!$A$3,CHAR(10),'Bundle Tag Info'!S$6,CHAR(10),'Bundle Tag Info'!S$27),"")</f>
        <v/>
      </c>
      <c r="S22" s="12" t="str">
        <f>IF('Bundle Tag Info'!T$27&lt;&gt;"",CONCATENATE('Bundle Tag Info'!$A$1," ",CHAR(10),'Bundle Tag Info'!$A$2," ",'Bundle Tag Info'!$A$3,CHAR(10),'Bundle Tag Info'!T$6,CHAR(10),'Bundle Tag Info'!T$27),"")</f>
        <v/>
      </c>
      <c r="T22" s="12" t="str">
        <f>IF('Bundle Tag Info'!U$27&lt;&gt;"",CONCATENATE('Bundle Tag Info'!$A$1," ",CHAR(10),'Bundle Tag Info'!$A$2," ",'Bundle Tag Info'!$A$3,CHAR(10),'Bundle Tag Info'!U$6,CHAR(10),'Bundle Tag Info'!U$27),"")</f>
        <v/>
      </c>
      <c r="U22" s="12" t="str">
        <f>IF('Bundle Tag Info'!V$27&lt;&gt;"",CONCATENATE('Bundle Tag Info'!$A$1," ",CHAR(10),'Bundle Tag Info'!$A$2," ",'Bundle Tag Info'!$A$3,CHAR(10),'Bundle Tag Info'!V$6,CHAR(10),'Bundle Tag Info'!V$27),"")</f>
        <v/>
      </c>
      <c r="V22" s="12" t="str">
        <f>IF('Bundle Tag Info'!W$27&lt;&gt;"",CONCATENATE('Bundle Tag Info'!$A$1," ",CHAR(10),'Bundle Tag Info'!$A$2," ",'Bundle Tag Info'!$A$3,CHAR(10),'Bundle Tag Info'!W$6,CHAR(10),'Bundle Tag Info'!W$27),"")</f>
        <v/>
      </c>
      <c r="W22" s="12" t="str">
        <f>IF('Bundle Tag Info'!X$27&lt;&gt;"",CONCATENATE('Bundle Tag Info'!$A$1," ",CHAR(10),'Bundle Tag Info'!$A$2," ",'Bundle Tag Info'!$A$3,CHAR(10),'Bundle Tag Info'!X$6,CHAR(10),'Bundle Tag Info'!X$27),"")</f>
        <v/>
      </c>
      <c r="X22" s="12" t="str">
        <f>IF('Bundle Tag Info'!Y$27&lt;&gt;"",CONCATENATE('Bundle Tag Info'!$A$1," ",CHAR(10),'Bundle Tag Info'!$A$2," ",'Bundle Tag Info'!$A$3,CHAR(10),'Bundle Tag Info'!Y$6,CHAR(10),'Bundle Tag Info'!Y$27),"")</f>
        <v/>
      </c>
      <c r="Y22" s="12" t="str">
        <f>IF('Bundle Tag Info'!Z$27&lt;&gt;"",CONCATENATE('Bundle Tag Info'!$A$1," ",CHAR(10),'Bundle Tag Info'!$A$2," ",'Bundle Tag Info'!$A$3,CHAR(10),'Bundle Tag Info'!Z$6,CHAR(10),'Bundle Tag Info'!Z$27),"")</f>
        <v/>
      </c>
      <c r="Z22" s="12" t="str">
        <f>IF('Bundle Tag Info'!AA$27&lt;&gt;"",CONCATENATE('Bundle Tag Info'!$A$1," ",CHAR(10),'Bundle Tag Info'!$A$2," ",'Bundle Tag Info'!$A$3,CHAR(10),'Bundle Tag Info'!AA$6,CHAR(10),'Bundle Tag Info'!AA$27),"")</f>
        <v/>
      </c>
      <c r="AA22" s="12" t="str">
        <f>IF('Bundle Tag Info'!AB$27&lt;&gt;"",CONCATENATE('Bundle Tag Info'!$A$1," ",CHAR(10),'Bundle Tag Info'!$A$2," ",'Bundle Tag Info'!$A$3,CHAR(10),'Bundle Tag Info'!AB$6,CHAR(10),'Bundle Tag Info'!AB$27),"")</f>
        <v/>
      </c>
      <c r="AB22" s="12" t="str">
        <f>IF('Bundle Tag Info'!AC$27&lt;&gt;"",CONCATENATE('Bundle Tag Info'!$A$1," ",CHAR(10),'Bundle Tag Info'!$A$2," ",'Bundle Tag Info'!$A$3,CHAR(10),'Bundle Tag Info'!AC$6,CHAR(10),'Bundle Tag Info'!AC$27),"")</f>
        <v/>
      </c>
      <c r="AC22" s="12" t="str">
        <f>IF('Bundle Tag Info'!AD$27&lt;&gt;"",CONCATENATE('Bundle Tag Info'!$A$1," ",CHAR(10),'Bundle Tag Info'!$A$2," ",'Bundle Tag Info'!$A$3,CHAR(10),'Bundle Tag Info'!AD$6,CHAR(10),'Bundle Tag Info'!AD$27),"")</f>
        <v/>
      </c>
      <c r="AD22" s="12" t="str">
        <f>IF('Bundle Tag Info'!AE$27&lt;&gt;"",CONCATENATE('Bundle Tag Info'!$A$1," ",CHAR(10),'Bundle Tag Info'!$A$2," ",'Bundle Tag Info'!$A$3,CHAR(10),'Bundle Tag Info'!AE$6,CHAR(10),'Bundle Tag Info'!AE$27),"")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Info'!H$28&lt;&gt;"",CONCATENATE('Bundle Tag Info'!$A$1," ",CHAR(10),'Bundle Tag Info'!$A$2," ",'Bundle Tag Info'!$A$3,CHAR(10),'Bundle Tag Info'!H$6,CHAR(10),'Bundle Tag Info'!H$28),"")</f>
        <v/>
      </c>
      <c r="H23" s="12" t="str">
        <f>IF('Bundle Tag Info'!I$28&lt;&gt;"",CONCATENATE('Bundle Tag Info'!$A$1," ",CHAR(10),'Bundle Tag Info'!$A$2," ",'Bundle Tag Info'!$A$3,CHAR(10),'Bundle Tag Info'!I$6,CHAR(10),'Bundle Tag Info'!I$28),"")</f>
        <v/>
      </c>
      <c r="I23" s="12" t="str">
        <f>IF('Bundle Tag Info'!J$28&lt;&gt;"",CONCATENATE('Bundle Tag Info'!$A$1," ",CHAR(10),'Bundle Tag Info'!$A$2," ",'Bundle Tag Info'!$A$3,CHAR(10),'Bundle Tag Info'!J$6,CHAR(10),'Bundle Tag Info'!J$28),"")</f>
        <v/>
      </c>
      <c r="J23" s="12" t="str">
        <f>IF('Bundle Tag Info'!K$28&lt;&gt;"",CONCATENATE('Bundle Tag Info'!$A$1," ",CHAR(10),'Bundle Tag Info'!$A$2," ",'Bundle Tag Info'!$A$3,CHAR(10),'Bundle Tag Info'!K$6,CHAR(10),'Bundle Tag Info'!K$28),"")</f>
        <v/>
      </c>
      <c r="K23" s="12" t="str">
        <f>IF('Bundle Tag Info'!L$28&lt;&gt;"",CONCATENATE('Bundle Tag Info'!$A$1," ",CHAR(10),'Bundle Tag Info'!$A$2," ",'Bundle Tag Info'!$A$3,CHAR(10),'Bundle Tag Info'!L$6,CHAR(10),'Bundle Tag Info'!L$28),"")</f>
        <v/>
      </c>
      <c r="L23" s="12" t="str">
        <f>IF('Bundle Tag Info'!M$28&lt;&gt;"",CONCATENATE('Bundle Tag Info'!$A$1," ",CHAR(10),'Bundle Tag Info'!$A$2," ",'Bundle Tag Info'!$A$3,CHAR(10),'Bundle Tag Info'!M$6,CHAR(10),'Bundle Tag Info'!M$28),"")</f>
        <v/>
      </c>
      <c r="M23" s="12" t="str">
        <f>IF('Bundle Tag Info'!N$28&lt;&gt;"",CONCATENATE('Bundle Tag Info'!$A$1," ",CHAR(10),'Bundle Tag Info'!$A$2," ",'Bundle Tag Info'!$A$3,CHAR(10),'Bundle Tag Info'!N$6,CHAR(10),'Bundle Tag Info'!N$28),"")</f>
        <v/>
      </c>
      <c r="N23" s="12" t="str">
        <f>IF('Bundle Tag Info'!O$28&lt;&gt;"",CONCATENATE('Bundle Tag Info'!$A$1," ",CHAR(10),'Bundle Tag Info'!$A$2," ",'Bundle Tag Info'!$A$3,CHAR(10),'Bundle Tag Info'!O$6,CHAR(10),'Bundle Tag Info'!O$28),"")</f>
        <v/>
      </c>
      <c r="O23" s="12" t="str">
        <f>IF('Bundle Tag Info'!P$28&lt;&gt;"",CONCATENATE('Bundle Tag Info'!$A$1," ",CHAR(10),'Bundle Tag Info'!$A$2," ",'Bundle Tag Info'!$A$3,CHAR(10),'Bundle Tag Info'!P$6,CHAR(10),'Bundle Tag Info'!P$28),"")</f>
        <v/>
      </c>
      <c r="P23" s="12" t="str">
        <f>IF('Bundle Tag Info'!Q$28&lt;&gt;"",CONCATENATE('Bundle Tag Info'!$A$1," ",CHAR(10),'Bundle Tag Info'!$A$2," ",'Bundle Tag Info'!$A$3,CHAR(10),'Bundle Tag Info'!Q$6,CHAR(10),'Bundle Tag Info'!Q$28),"")</f>
        <v/>
      </c>
      <c r="Q23" s="12" t="str">
        <f>IF('Bundle Tag Info'!R$28&lt;&gt;"",CONCATENATE('Bundle Tag Info'!$A$1," ",CHAR(10),'Bundle Tag Info'!$A$2," ",'Bundle Tag Info'!$A$3,CHAR(10),'Bundle Tag Info'!R$6,CHAR(10),'Bundle Tag Info'!R$28),"")</f>
        <v/>
      </c>
      <c r="R23" s="12" t="str">
        <f>IF('Bundle Tag Info'!S$28&lt;&gt;"",CONCATENATE('Bundle Tag Info'!$A$1," ",CHAR(10),'Bundle Tag Info'!$A$2," ",'Bundle Tag Info'!$A$3,CHAR(10),'Bundle Tag Info'!S$6,CHAR(10),'Bundle Tag Info'!S$28),"")</f>
        <v/>
      </c>
      <c r="S23" s="12" t="str">
        <f>IF('Bundle Tag Info'!T$28&lt;&gt;"",CONCATENATE('Bundle Tag Info'!$A$1," ",CHAR(10),'Bundle Tag Info'!$A$2," ",'Bundle Tag Info'!$A$3,CHAR(10),'Bundle Tag Info'!T$6,CHAR(10),'Bundle Tag Info'!T$28),"")</f>
        <v/>
      </c>
      <c r="T23" s="12" t="str">
        <f>IF('Bundle Tag Info'!U$28&lt;&gt;"",CONCATENATE('Bundle Tag Info'!$A$1," ",CHAR(10),'Bundle Tag Info'!$A$2," ",'Bundle Tag Info'!$A$3,CHAR(10),'Bundle Tag Info'!U$6,CHAR(10),'Bundle Tag Info'!U$28),"")</f>
        <v/>
      </c>
      <c r="U23" s="12" t="str">
        <f>IF('Bundle Tag Info'!V$28&lt;&gt;"",CONCATENATE('Bundle Tag Info'!$A$1," ",CHAR(10),'Bundle Tag Info'!$A$2," ",'Bundle Tag Info'!$A$3,CHAR(10),'Bundle Tag Info'!V$6,CHAR(10),'Bundle Tag Info'!V$28),"")</f>
        <v/>
      </c>
      <c r="V23" s="12" t="str">
        <f>IF('Bundle Tag Info'!W$28&lt;&gt;"",CONCATENATE('Bundle Tag Info'!$A$1," ",CHAR(10),'Bundle Tag Info'!$A$2," ",'Bundle Tag Info'!$A$3,CHAR(10),'Bundle Tag Info'!W$6,CHAR(10),'Bundle Tag Info'!W$28),"")</f>
        <v/>
      </c>
      <c r="W23" s="12" t="str">
        <f>IF('Bundle Tag Info'!X$28&lt;&gt;"",CONCATENATE('Bundle Tag Info'!$A$1," ",CHAR(10),'Bundle Tag Info'!$A$2," ",'Bundle Tag Info'!$A$3,CHAR(10),'Bundle Tag Info'!X$6,CHAR(10),'Bundle Tag Info'!X$28),"")</f>
        <v/>
      </c>
      <c r="X23" s="12" t="str">
        <f>IF('Bundle Tag Info'!Y$28&lt;&gt;"",CONCATENATE('Bundle Tag Info'!$A$1," ",CHAR(10),'Bundle Tag Info'!$A$2," ",'Bundle Tag Info'!$A$3,CHAR(10),'Bundle Tag Info'!Y$6,CHAR(10),'Bundle Tag Info'!Y$28),"")</f>
        <v/>
      </c>
      <c r="Y23" s="12" t="str">
        <f>IF('Bundle Tag Info'!Z$28&lt;&gt;"",CONCATENATE('Bundle Tag Info'!$A$1," ",CHAR(10),'Bundle Tag Info'!$A$2," ",'Bundle Tag Info'!$A$3,CHAR(10),'Bundle Tag Info'!Z$6,CHAR(10),'Bundle Tag Info'!Z$28),"")</f>
        <v/>
      </c>
      <c r="Z23" s="12" t="str">
        <f>IF('Bundle Tag Info'!AA$28&lt;&gt;"",CONCATENATE('Bundle Tag Info'!$A$1," ",CHAR(10),'Bundle Tag Info'!$A$2," ",'Bundle Tag Info'!$A$3,CHAR(10),'Bundle Tag Info'!AA$6,CHAR(10),'Bundle Tag Info'!AA$28),"")</f>
        <v/>
      </c>
      <c r="AA23" s="12" t="str">
        <f>IF('Bundle Tag Info'!AB$28&lt;&gt;"",CONCATENATE('Bundle Tag Info'!$A$1," ",CHAR(10),'Bundle Tag Info'!$A$2," ",'Bundle Tag Info'!$A$3,CHAR(10),'Bundle Tag Info'!AB$6,CHAR(10),'Bundle Tag Info'!AB$28),"")</f>
        <v/>
      </c>
      <c r="AB23" s="12" t="str">
        <f>IF('Bundle Tag Info'!AC$28&lt;&gt;"",CONCATENATE('Bundle Tag Info'!$A$1," ",CHAR(10),'Bundle Tag Info'!$A$2," ",'Bundle Tag Info'!$A$3,CHAR(10),'Bundle Tag Info'!AC$6,CHAR(10),'Bundle Tag Info'!AC$28),"")</f>
        <v/>
      </c>
      <c r="AC23" s="12" t="str">
        <f>IF('Bundle Tag Info'!AD$28&lt;&gt;"",CONCATENATE('Bundle Tag Info'!$A$1," ",CHAR(10),'Bundle Tag Info'!$A$2," ",'Bundle Tag Info'!$A$3,CHAR(10),'Bundle Tag Info'!AD$6,CHAR(10),'Bundle Tag Info'!AD$28),"")</f>
        <v/>
      </c>
      <c r="AD23" s="12" t="str">
        <f>IF('Bundle Tag Info'!AE$28&lt;&gt;"",CONCATENATE('Bundle Tag Info'!$A$1," ",CHAR(10),'Bundle Tag Info'!$A$2," ",'Bundle Tag Info'!$A$3,CHAR(10),'Bundle Tag Info'!AE$6,CHAR(10),'Bundle Tag Info'!AE$28),"")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Info'!H$29&lt;&gt;"",CONCATENATE('Bundle Tag Info'!$A$1," ",CHAR(10),'Bundle Tag Info'!$A$2," ",'Bundle Tag Info'!$A$3,CHAR(10),'Bundle Tag Info'!H$6,CHAR(10),'Bundle Tag Info'!H$29),"")</f>
        <v/>
      </c>
      <c r="H24" s="12" t="str">
        <f>IF('Bundle Tag Info'!I$29&lt;&gt;"",CONCATENATE('Bundle Tag Info'!$A$1," ",CHAR(10),'Bundle Tag Info'!$A$2," ",'Bundle Tag Info'!$A$3,CHAR(10),'Bundle Tag Info'!I$6,CHAR(10),'Bundle Tag Info'!I$29),"")</f>
        <v/>
      </c>
      <c r="I24" s="12" t="str">
        <f>IF('Bundle Tag Info'!J$29&lt;&gt;"",CONCATENATE('Bundle Tag Info'!$A$1," ",CHAR(10),'Bundle Tag Info'!$A$2," ",'Bundle Tag Info'!$A$3,CHAR(10),'Bundle Tag Info'!J$6,CHAR(10),'Bundle Tag Info'!J$29),"")</f>
        <v/>
      </c>
      <c r="J24" s="12" t="str">
        <f>IF('Bundle Tag Info'!K$29&lt;&gt;"",CONCATENATE('Bundle Tag Info'!$A$1," ",CHAR(10),'Bundle Tag Info'!$A$2," ",'Bundle Tag Info'!$A$3,CHAR(10),'Bundle Tag Info'!K$6,CHAR(10),'Bundle Tag Info'!K$29),"")</f>
        <v/>
      </c>
      <c r="K24" s="12" t="str">
        <f>IF('Bundle Tag Info'!L$29&lt;&gt;"",CONCATENATE('Bundle Tag Info'!$A$1," ",CHAR(10),'Bundle Tag Info'!$A$2," ",'Bundle Tag Info'!$A$3,CHAR(10),'Bundle Tag Info'!L$6,CHAR(10),'Bundle Tag Info'!L$29),"")</f>
        <v/>
      </c>
      <c r="L24" s="12" t="str">
        <f>IF('Bundle Tag Info'!M$29&lt;&gt;"",CONCATENATE('Bundle Tag Info'!$A$1," ",CHAR(10),'Bundle Tag Info'!$A$2," ",'Bundle Tag Info'!$A$3,CHAR(10),'Bundle Tag Info'!M$6,CHAR(10),'Bundle Tag Info'!M$29),"")</f>
        <v/>
      </c>
      <c r="M24" s="12" t="str">
        <f>IF('Bundle Tag Info'!N$29&lt;&gt;"",CONCATENATE('Bundle Tag Info'!$A$1," ",CHAR(10),'Bundle Tag Info'!$A$2," ",'Bundle Tag Info'!$A$3,CHAR(10),'Bundle Tag Info'!N$6,CHAR(10),'Bundle Tag Info'!N$29),"")</f>
        <v/>
      </c>
      <c r="N24" s="12" t="str">
        <f>IF('Bundle Tag Info'!O$29&lt;&gt;"",CONCATENATE('Bundle Tag Info'!$A$1," ",CHAR(10),'Bundle Tag Info'!$A$2," ",'Bundle Tag Info'!$A$3,CHAR(10),'Bundle Tag Info'!O$6,CHAR(10),'Bundle Tag Info'!O$29),"")</f>
        <v/>
      </c>
      <c r="O24" s="12" t="str">
        <f>IF('Bundle Tag Info'!P$29&lt;&gt;"",CONCATENATE('Bundle Tag Info'!$A$1," ",CHAR(10),'Bundle Tag Info'!$A$2," ",'Bundle Tag Info'!$A$3,CHAR(10),'Bundle Tag Info'!P$6,CHAR(10),'Bundle Tag Info'!P$29),"")</f>
        <v/>
      </c>
      <c r="P24" s="12" t="str">
        <f>IF('Bundle Tag Info'!Q$29&lt;&gt;"",CONCATENATE('Bundle Tag Info'!$A$1," ",CHAR(10),'Bundle Tag Info'!$A$2," ",'Bundle Tag Info'!$A$3,CHAR(10),'Bundle Tag Info'!Q$6,CHAR(10),'Bundle Tag Info'!Q$29),"")</f>
        <v/>
      </c>
      <c r="Q24" s="12" t="str">
        <f>IF('Bundle Tag Info'!R$29&lt;&gt;"",CONCATENATE('Bundle Tag Info'!$A$1," ",CHAR(10),'Bundle Tag Info'!$A$2," ",'Bundle Tag Info'!$A$3,CHAR(10),'Bundle Tag Info'!R$6,CHAR(10),'Bundle Tag Info'!R$29),"")</f>
        <v/>
      </c>
      <c r="R24" s="12" t="str">
        <f>IF('Bundle Tag Info'!S$29&lt;&gt;"",CONCATENATE('Bundle Tag Info'!$A$1," ",CHAR(10),'Bundle Tag Info'!$A$2," ",'Bundle Tag Info'!$A$3,CHAR(10),'Bundle Tag Info'!S$6,CHAR(10),'Bundle Tag Info'!S$29),"")</f>
        <v/>
      </c>
      <c r="S24" s="12" t="str">
        <f>IF('Bundle Tag Info'!T$29&lt;&gt;"",CONCATENATE('Bundle Tag Info'!$A$1," ",CHAR(10),'Bundle Tag Info'!$A$2," ",'Bundle Tag Info'!$A$3,CHAR(10),'Bundle Tag Info'!T$6,CHAR(10),'Bundle Tag Info'!T$29),"")</f>
        <v/>
      </c>
      <c r="T24" s="12" t="str">
        <f>IF('Bundle Tag Info'!U$29&lt;&gt;"",CONCATENATE('Bundle Tag Info'!$A$1," ",CHAR(10),'Bundle Tag Info'!$A$2," ",'Bundle Tag Info'!$A$3,CHAR(10),'Bundle Tag Info'!U$6,CHAR(10),'Bundle Tag Info'!U$29),"")</f>
        <v/>
      </c>
      <c r="U24" s="12" t="str">
        <f>IF('Bundle Tag Info'!V$29&lt;&gt;"",CONCATENATE('Bundle Tag Info'!$A$1," ",CHAR(10),'Bundle Tag Info'!$A$2," ",'Bundle Tag Info'!$A$3,CHAR(10),'Bundle Tag Info'!V$6,CHAR(10),'Bundle Tag Info'!V$29),"")</f>
        <v/>
      </c>
      <c r="V24" s="12" t="str">
        <f>IF('Bundle Tag Info'!W$29&lt;&gt;"",CONCATENATE('Bundle Tag Info'!$A$1," ",CHAR(10),'Bundle Tag Info'!$A$2," ",'Bundle Tag Info'!$A$3,CHAR(10),'Bundle Tag Info'!W$6,CHAR(10),'Bundle Tag Info'!W$29),"")</f>
        <v/>
      </c>
      <c r="W24" s="12" t="str">
        <f>IF('Bundle Tag Info'!X$29&lt;&gt;"",CONCATENATE('Bundle Tag Info'!$A$1," ",CHAR(10),'Bundle Tag Info'!$A$2," ",'Bundle Tag Info'!$A$3,CHAR(10),'Bundle Tag Info'!X$6,CHAR(10),'Bundle Tag Info'!X$29),"")</f>
        <v/>
      </c>
      <c r="X24" s="12" t="str">
        <f>IF('Bundle Tag Info'!Y$29&lt;&gt;"",CONCATENATE('Bundle Tag Info'!$A$1," ",CHAR(10),'Bundle Tag Info'!$A$2," ",'Bundle Tag Info'!$A$3,CHAR(10),'Bundle Tag Info'!Y$6,CHAR(10),'Bundle Tag Info'!Y$29),"")</f>
        <v/>
      </c>
      <c r="Y24" s="12" t="str">
        <f>IF('Bundle Tag Info'!Z$29&lt;&gt;"",CONCATENATE('Bundle Tag Info'!$A$1," ",CHAR(10),'Bundle Tag Info'!$A$2," ",'Bundle Tag Info'!$A$3,CHAR(10),'Bundle Tag Info'!Z$6,CHAR(10),'Bundle Tag Info'!Z$29),"")</f>
        <v/>
      </c>
      <c r="Z24" s="12" t="str">
        <f>IF('Bundle Tag Info'!AA$29&lt;&gt;"",CONCATENATE('Bundle Tag Info'!$A$1," ",CHAR(10),'Bundle Tag Info'!$A$2," ",'Bundle Tag Info'!$A$3,CHAR(10),'Bundle Tag Info'!AA$6,CHAR(10),'Bundle Tag Info'!AA$29),"")</f>
        <v/>
      </c>
      <c r="AA24" s="12" t="str">
        <f>IF('Bundle Tag Info'!AB$29&lt;&gt;"",CONCATENATE('Bundle Tag Info'!$A$1," ",CHAR(10),'Bundle Tag Info'!$A$2," ",'Bundle Tag Info'!$A$3,CHAR(10),'Bundle Tag Info'!AB$6,CHAR(10),'Bundle Tag Info'!AB$29),"")</f>
        <v/>
      </c>
      <c r="AB24" s="12" t="str">
        <f>IF('Bundle Tag Info'!AC$29&lt;&gt;"",CONCATENATE('Bundle Tag Info'!$A$1," ",CHAR(10),'Bundle Tag Info'!$A$2," ",'Bundle Tag Info'!$A$3,CHAR(10),'Bundle Tag Info'!AC$6,CHAR(10),'Bundle Tag Info'!AC$29),"")</f>
        <v/>
      </c>
      <c r="AC24" s="12" t="str">
        <f>IF('Bundle Tag Info'!AD$29&lt;&gt;"",CONCATENATE('Bundle Tag Info'!$A$1," ",CHAR(10),'Bundle Tag Info'!$A$2," ",'Bundle Tag Info'!$A$3,CHAR(10),'Bundle Tag Info'!AD$6,CHAR(10),'Bundle Tag Info'!AD$29),"")</f>
        <v/>
      </c>
      <c r="AD24" s="12" t="str">
        <f>IF('Bundle Tag Info'!AE$29&lt;&gt;"",CONCATENATE('Bundle Tag Info'!$A$1," ",CHAR(10),'Bundle Tag Info'!$A$2," ",'Bundle Tag Info'!$A$3,CHAR(10),'Bundle Tag Info'!AE$6,CHAR(10),'Bundle Tag Info'!AE$29),"")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Info'!H$30&lt;&gt;"",CONCATENATE('Bundle Tag Info'!$A$1," ",CHAR(10),'Bundle Tag Info'!$A$2," ",'Bundle Tag Info'!$A$3,CHAR(10),'Bundle Tag Info'!H$6,CHAR(10),'Bundle Tag Info'!H$30),"")</f>
        <v/>
      </c>
      <c r="H25" s="12" t="str">
        <f>IF('Bundle Tag Info'!I$30&lt;&gt;"",CONCATENATE('Bundle Tag Info'!$A$1," ",CHAR(10),'Bundle Tag Info'!$A$2," ",'Bundle Tag Info'!$A$3,CHAR(10),'Bundle Tag Info'!I$6,CHAR(10),'Bundle Tag Info'!I$30),"")</f>
        <v/>
      </c>
      <c r="I25" s="12" t="str">
        <f>IF('Bundle Tag Info'!J$30&lt;&gt;"",CONCATENATE('Bundle Tag Info'!$A$1," ",CHAR(10),'Bundle Tag Info'!$A$2," ",'Bundle Tag Info'!$A$3,CHAR(10),'Bundle Tag Info'!J$6,CHAR(10),'Bundle Tag Info'!J$30),"")</f>
        <v/>
      </c>
      <c r="J25" s="12" t="str">
        <f>IF('Bundle Tag Info'!K$30&lt;&gt;"",CONCATENATE('Bundle Tag Info'!$A$1," ",CHAR(10),'Bundle Tag Info'!$A$2," ",'Bundle Tag Info'!$A$3,CHAR(10),'Bundle Tag Info'!K$6,CHAR(10),'Bundle Tag Info'!K$30),"")</f>
        <v/>
      </c>
      <c r="K25" s="12" t="str">
        <f>IF('Bundle Tag Info'!L$30&lt;&gt;"",CONCATENATE('Bundle Tag Info'!$A$1," ",CHAR(10),'Bundle Tag Info'!$A$2," ",'Bundle Tag Info'!$A$3,CHAR(10),'Bundle Tag Info'!L$6,CHAR(10),'Bundle Tag Info'!L$30),"")</f>
        <v/>
      </c>
      <c r="L25" s="12" t="str">
        <f>IF('Bundle Tag Info'!M$30&lt;&gt;"",CONCATENATE('Bundle Tag Info'!$A$1," ",CHAR(10),'Bundle Tag Info'!$A$2," ",'Bundle Tag Info'!$A$3,CHAR(10),'Bundle Tag Info'!M$6,CHAR(10),'Bundle Tag Info'!M$30),"")</f>
        <v/>
      </c>
      <c r="M25" s="12" t="str">
        <f>IF('Bundle Tag Info'!N$30&lt;&gt;"",CONCATENATE('Bundle Tag Info'!$A$1," ",CHAR(10),'Bundle Tag Info'!$A$2," ",'Bundle Tag Info'!$A$3,CHAR(10),'Bundle Tag Info'!N$6,CHAR(10),'Bundle Tag Info'!N$30),"")</f>
        <v/>
      </c>
      <c r="N25" s="12" t="str">
        <f>IF('Bundle Tag Info'!O$30&lt;&gt;"",CONCATENATE('Bundle Tag Info'!$A$1," ",CHAR(10),'Bundle Tag Info'!$A$2," ",'Bundle Tag Info'!$A$3,CHAR(10),'Bundle Tag Info'!O$6,CHAR(10),'Bundle Tag Info'!O$30),"")</f>
        <v/>
      </c>
      <c r="O25" s="12" t="str">
        <f>IF('Bundle Tag Info'!P$30&lt;&gt;"",CONCATENATE('Bundle Tag Info'!$A$1," ",CHAR(10),'Bundle Tag Info'!$A$2," ",'Bundle Tag Info'!$A$3,CHAR(10),'Bundle Tag Info'!P$6,CHAR(10),'Bundle Tag Info'!P$30),"")</f>
        <v/>
      </c>
      <c r="P25" s="12" t="str">
        <f>IF('Bundle Tag Info'!Q$30&lt;&gt;"",CONCATENATE('Bundle Tag Info'!$A$1," ",CHAR(10),'Bundle Tag Info'!$A$2," ",'Bundle Tag Info'!$A$3,CHAR(10),'Bundle Tag Info'!Q$6,CHAR(10),'Bundle Tag Info'!Q$30),"")</f>
        <v/>
      </c>
      <c r="Q25" s="12" t="str">
        <f>IF('Bundle Tag Info'!R$30&lt;&gt;"",CONCATENATE('Bundle Tag Info'!$A$1," ",CHAR(10),'Bundle Tag Info'!$A$2," ",'Bundle Tag Info'!$A$3,CHAR(10),'Bundle Tag Info'!R$6,CHAR(10),'Bundle Tag Info'!R$30),"")</f>
        <v/>
      </c>
      <c r="R25" s="12" t="str">
        <f>IF('Bundle Tag Info'!S$30&lt;&gt;"",CONCATENATE('Bundle Tag Info'!$A$1," ",CHAR(10),'Bundle Tag Info'!$A$2," ",'Bundle Tag Info'!$A$3,CHAR(10),'Bundle Tag Info'!S$6,CHAR(10),'Bundle Tag Info'!S$30),"")</f>
        <v/>
      </c>
      <c r="S25" s="12" t="str">
        <f>IF('Bundle Tag Info'!T$30&lt;&gt;"",CONCATENATE('Bundle Tag Info'!$A$1," ",CHAR(10),'Bundle Tag Info'!$A$2," ",'Bundle Tag Info'!$A$3,CHAR(10),'Bundle Tag Info'!T$6,CHAR(10),'Bundle Tag Info'!T$30),"")</f>
        <v/>
      </c>
      <c r="T25" s="12" t="str">
        <f>IF('Bundle Tag Info'!U$30&lt;&gt;"",CONCATENATE('Bundle Tag Info'!$A$1," ",CHAR(10),'Bundle Tag Info'!$A$2," ",'Bundle Tag Info'!$A$3,CHAR(10),'Bundle Tag Info'!U$6,CHAR(10),'Bundle Tag Info'!U$30),"")</f>
        <v/>
      </c>
      <c r="U25" s="12" t="str">
        <f>IF('Bundle Tag Info'!V$30&lt;&gt;"",CONCATENATE('Bundle Tag Info'!$A$1," ",CHAR(10),'Bundle Tag Info'!$A$2," ",'Bundle Tag Info'!$A$3,CHAR(10),'Bundle Tag Info'!V$6,CHAR(10),'Bundle Tag Info'!V$30),"")</f>
        <v/>
      </c>
      <c r="V25" s="12" t="str">
        <f>IF('Bundle Tag Info'!W$30&lt;&gt;"",CONCATENATE('Bundle Tag Info'!$A$1," ",CHAR(10),'Bundle Tag Info'!$A$2," ",'Bundle Tag Info'!$A$3,CHAR(10),'Bundle Tag Info'!W$6,CHAR(10),'Bundle Tag Info'!W$30),"")</f>
        <v/>
      </c>
      <c r="W25" s="12" t="str">
        <f>IF('Bundle Tag Info'!X$30&lt;&gt;"",CONCATENATE('Bundle Tag Info'!$A$1," ",CHAR(10),'Bundle Tag Info'!$A$2," ",'Bundle Tag Info'!$A$3,CHAR(10),'Bundle Tag Info'!X$6,CHAR(10),'Bundle Tag Info'!X$30),"")</f>
        <v/>
      </c>
      <c r="X25" s="12" t="str">
        <f>IF('Bundle Tag Info'!Y$30&lt;&gt;"",CONCATENATE('Bundle Tag Info'!$A$1," ",CHAR(10),'Bundle Tag Info'!$A$2," ",'Bundle Tag Info'!$A$3,CHAR(10),'Bundle Tag Info'!Y$6,CHAR(10),'Bundle Tag Info'!Y$30),"")</f>
        <v/>
      </c>
      <c r="Y25" s="12" t="str">
        <f>IF('Bundle Tag Info'!Z$30&lt;&gt;"",CONCATENATE('Bundle Tag Info'!$A$1," ",CHAR(10),'Bundle Tag Info'!$A$2," ",'Bundle Tag Info'!$A$3,CHAR(10),'Bundle Tag Info'!Z$6,CHAR(10),'Bundle Tag Info'!Z$30),"")</f>
        <v/>
      </c>
      <c r="Z25" s="12" t="str">
        <f>IF('Bundle Tag Info'!AA$30&lt;&gt;"",CONCATENATE('Bundle Tag Info'!$A$1," ",CHAR(10),'Bundle Tag Info'!$A$2," ",'Bundle Tag Info'!$A$3,CHAR(10),'Bundle Tag Info'!AA$6,CHAR(10),'Bundle Tag Info'!AA$30),"")</f>
        <v/>
      </c>
      <c r="AA25" s="12" t="str">
        <f>IF('Bundle Tag Info'!AB$30&lt;&gt;"",CONCATENATE('Bundle Tag Info'!$A$1," ",CHAR(10),'Bundle Tag Info'!$A$2," ",'Bundle Tag Info'!$A$3,CHAR(10),'Bundle Tag Info'!AB$6,CHAR(10),'Bundle Tag Info'!AB$30),"")</f>
        <v/>
      </c>
      <c r="AB25" s="12" t="str">
        <f>IF('Bundle Tag Info'!AC$30&lt;&gt;"",CONCATENATE('Bundle Tag Info'!$A$1," ",CHAR(10),'Bundle Tag Info'!$A$2," ",'Bundle Tag Info'!$A$3,CHAR(10),'Bundle Tag Info'!AC$6,CHAR(10),'Bundle Tag Info'!AC$30),"")</f>
        <v/>
      </c>
      <c r="AC25" s="12" t="str">
        <f>IF('Bundle Tag Info'!AD$30&lt;&gt;"",CONCATENATE('Bundle Tag Info'!$A$1," ",CHAR(10),'Bundle Tag Info'!$A$2," ",'Bundle Tag Info'!$A$3,CHAR(10),'Bundle Tag Info'!AD$6,CHAR(10),'Bundle Tag Info'!AD$30),"")</f>
        <v/>
      </c>
      <c r="AD25" s="12" t="str">
        <f>IF('Bundle Tag Info'!AE$30&lt;&gt;"",CONCATENATE('Bundle Tag Info'!$A$1," ",CHAR(10),'Bundle Tag Info'!$A$2," ",'Bundle Tag Info'!$A$3,CHAR(10),'Bundle Tag Info'!AE$6,CHAR(10),'Bundle Tag Info'!AE$30),"")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Info'!H$31&lt;&gt;"",CONCATENATE('Bundle Tag Info'!$A$1," ",CHAR(10),'Bundle Tag Info'!$A$2," ",'Bundle Tag Info'!$A$3,CHAR(10),'Bundle Tag Info'!H$6,CHAR(10),'Bundle Tag Info'!H$31),"")</f>
        <v/>
      </c>
      <c r="H26" s="12" t="str">
        <f>IF('Bundle Tag Info'!I$31&lt;&gt;"",CONCATENATE('Bundle Tag Info'!$A$1," ",CHAR(10),'Bundle Tag Info'!$A$2," ",'Bundle Tag Info'!$A$3,CHAR(10),'Bundle Tag Info'!I$6,CHAR(10),'Bundle Tag Info'!I$31),"")</f>
        <v/>
      </c>
      <c r="I26" s="12" t="str">
        <f>IF('Bundle Tag Info'!J$31&lt;&gt;"",CONCATENATE('Bundle Tag Info'!$A$1," ",CHAR(10),'Bundle Tag Info'!$A$2," ",'Bundle Tag Info'!$A$3,CHAR(10),'Bundle Tag Info'!J$6,CHAR(10),'Bundle Tag Info'!J$31),"")</f>
        <v/>
      </c>
      <c r="J26" s="12" t="str">
        <f>IF('Bundle Tag Info'!K$31&lt;&gt;"",CONCATENATE('Bundle Tag Info'!$A$1," ",CHAR(10),'Bundle Tag Info'!$A$2," ",'Bundle Tag Info'!$A$3,CHAR(10),'Bundle Tag Info'!K$6,CHAR(10),'Bundle Tag Info'!K$31),"")</f>
        <v/>
      </c>
      <c r="K26" s="12" t="str">
        <f>IF('Bundle Tag Info'!L$31&lt;&gt;"",CONCATENATE('Bundle Tag Info'!$A$1," ",CHAR(10),'Bundle Tag Info'!$A$2," ",'Bundle Tag Info'!$A$3,CHAR(10),'Bundle Tag Info'!L$6,CHAR(10),'Bundle Tag Info'!L$31),"")</f>
        <v/>
      </c>
      <c r="L26" s="12" t="str">
        <f>IF('Bundle Tag Info'!M$31&lt;&gt;"",CONCATENATE('Bundle Tag Info'!$A$1," ",CHAR(10),'Bundle Tag Info'!$A$2," ",'Bundle Tag Info'!$A$3,CHAR(10),'Bundle Tag Info'!M$6,CHAR(10),'Bundle Tag Info'!M$31),"")</f>
        <v/>
      </c>
      <c r="M26" s="12" t="str">
        <f>IF('Bundle Tag Info'!N$31&lt;&gt;"",CONCATENATE('Bundle Tag Info'!$A$1," ",CHAR(10),'Bundle Tag Info'!$A$2," ",'Bundle Tag Info'!$A$3,CHAR(10),'Bundle Tag Info'!N$6,CHAR(10),'Bundle Tag Info'!N$31),"")</f>
        <v/>
      </c>
      <c r="N26" s="12" t="str">
        <f>IF('Bundle Tag Info'!O$31&lt;&gt;"",CONCATENATE('Bundle Tag Info'!$A$1," ",CHAR(10),'Bundle Tag Info'!$A$2," ",'Bundle Tag Info'!$A$3,CHAR(10),'Bundle Tag Info'!O$6,CHAR(10),'Bundle Tag Info'!O$31),"")</f>
        <v/>
      </c>
      <c r="O26" s="12" t="str">
        <f>IF('Bundle Tag Info'!P$31&lt;&gt;"",CONCATENATE('Bundle Tag Info'!$A$1," ",CHAR(10),'Bundle Tag Info'!$A$2," ",'Bundle Tag Info'!$A$3,CHAR(10),'Bundle Tag Info'!P$6,CHAR(10),'Bundle Tag Info'!P$31),"")</f>
        <v/>
      </c>
      <c r="P26" s="12" t="str">
        <f>IF('Bundle Tag Info'!Q$31&lt;&gt;"",CONCATENATE('Bundle Tag Info'!$A$1," ",CHAR(10),'Bundle Tag Info'!$A$2," ",'Bundle Tag Info'!$A$3,CHAR(10),'Bundle Tag Info'!Q$6,CHAR(10),'Bundle Tag Info'!Q$31),"")</f>
        <v/>
      </c>
      <c r="Q26" s="12" t="str">
        <f>IF('Bundle Tag Info'!R$31&lt;&gt;"",CONCATENATE('Bundle Tag Info'!$A$1," ",CHAR(10),'Bundle Tag Info'!$A$2," ",'Bundle Tag Info'!$A$3,CHAR(10),'Bundle Tag Info'!R$6,CHAR(10),'Bundle Tag Info'!R$31),"")</f>
        <v/>
      </c>
      <c r="R26" s="12" t="str">
        <f>IF('Bundle Tag Info'!S$31&lt;&gt;"",CONCATENATE('Bundle Tag Info'!$A$1," ",CHAR(10),'Bundle Tag Info'!$A$2," ",'Bundle Tag Info'!$A$3,CHAR(10),'Bundle Tag Info'!S$6,CHAR(10),'Bundle Tag Info'!S$31),"")</f>
        <v/>
      </c>
      <c r="S26" s="12" t="str">
        <f>IF('Bundle Tag Info'!T$31&lt;&gt;"",CONCATENATE('Bundle Tag Info'!$A$1," ",CHAR(10),'Bundle Tag Info'!$A$2," ",'Bundle Tag Info'!$A$3,CHAR(10),'Bundle Tag Info'!T$6,CHAR(10),'Bundle Tag Info'!T$31),"")</f>
        <v/>
      </c>
      <c r="T26" s="12" t="str">
        <f>IF('Bundle Tag Info'!U$31&lt;&gt;"",CONCATENATE('Bundle Tag Info'!$A$1," ",CHAR(10),'Bundle Tag Info'!$A$2," ",'Bundle Tag Info'!$A$3,CHAR(10),'Bundle Tag Info'!U$6,CHAR(10),'Bundle Tag Info'!U$31),"")</f>
        <v/>
      </c>
      <c r="U26" s="12" t="str">
        <f>IF('Bundle Tag Info'!V$31&lt;&gt;"",CONCATENATE('Bundle Tag Info'!$A$1," ",CHAR(10),'Bundle Tag Info'!$A$2," ",'Bundle Tag Info'!$A$3,CHAR(10),'Bundle Tag Info'!V$6,CHAR(10),'Bundle Tag Info'!V$31),"")</f>
        <v/>
      </c>
      <c r="V26" s="12" t="str">
        <f>IF('Bundle Tag Info'!W$31&lt;&gt;"",CONCATENATE('Bundle Tag Info'!$A$1," ",CHAR(10),'Bundle Tag Info'!$A$2," ",'Bundle Tag Info'!$A$3,CHAR(10),'Bundle Tag Info'!W$6,CHAR(10),'Bundle Tag Info'!W$31),"")</f>
        <v/>
      </c>
      <c r="W26" s="12" t="str">
        <f>IF('Bundle Tag Info'!X$31&lt;&gt;"",CONCATENATE('Bundle Tag Info'!$A$1," ",CHAR(10),'Bundle Tag Info'!$A$2," ",'Bundle Tag Info'!$A$3,CHAR(10),'Bundle Tag Info'!X$6,CHAR(10),'Bundle Tag Info'!X$31),"")</f>
        <v/>
      </c>
      <c r="X26" s="12" t="str">
        <f>IF('Bundle Tag Info'!Y$31&lt;&gt;"",CONCATENATE('Bundle Tag Info'!$A$1," ",CHAR(10),'Bundle Tag Info'!$A$2," ",'Bundle Tag Info'!$A$3,CHAR(10),'Bundle Tag Info'!Y$6,CHAR(10),'Bundle Tag Info'!Y$31),"")</f>
        <v/>
      </c>
      <c r="Y26" s="12" t="str">
        <f>IF('Bundle Tag Info'!Z$31&lt;&gt;"",CONCATENATE('Bundle Tag Info'!$A$1," ",CHAR(10),'Bundle Tag Info'!$A$2," ",'Bundle Tag Info'!$A$3,CHAR(10),'Bundle Tag Info'!Z$6,CHAR(10),'Bundle Tag Info'!Z$31),"")</f>
        <v/>
      </c>
      <c r="Z26" s="12" t="str">
        <f>IF('Bundle Tag Info'!AA$31&lt;&gt;"",CONCATENATE('Bundle Tag Info'!$A$1," ",CHAR(10),'Bundle Tag Info'!$A$2," ",'Bundle Tag Info'!$A$3,CHAR(10),'Bundle Tag Info'!AA$6,CHAR(10),'Bundle Tag Info'!AA$31),"")</f>
        <v/>
      </c>
      <c r="AA26" s="12" t="str">
        <f>IF('Bundle Tag Info'!AB$31&lt;&gt;"",CONCATENATE('Bundle Tag Info'!$A$1," ",CHAR(10),'Bundle Tag Info'!$A$2," ",'Bundle Tag Info'!$A$3,CHAR(10),'Bundle Tag Info'!AB$6,CHAR(10),'Bundle Tag Info'!AB$31),"")</f>
        <v/>
      </c>
      <c r="AB26" s="12" t="str">
        <f>IF('Bundle Tag Info'!AC$31&lt;&gt;"",CONCATENATE('Bundle Tag Info'!$A$1," ",CHAR(10),'Bundle Tag Info'!$A$2," ",'Bundle Tag Info'!$A$3,CHAR(10),'Bundle Tag Info'!AC$6,CHAR(10),'Bundle Tag Info'!AC$31),"")</f>
        <v/>
      </c>
      <c r="AC26" s="12" t="str">
        <f>IF('Bundle Tag Info'!AD$31&lt;&gt;"",CONCATENATE('Bundle Tag Info'!$A$1," ",CHAR(10),'Bundle Tag Info'!$A$2," ",'Bundle Tag Info'!$A$3,CHAR(10),'Bundle Tag Info'!AD$6,CHAR(10),'Bundle Tag Info'!AD$31),"")</f>
        <v/>
      </c>
      <c r="AD26" s="12" t="str">
        <f>IF('Bundle Tag Info'!AE$31&lt;&gt;"",CONCATENATE('Bundle Tag Info'!$A$1," ",CHAR(10),'Bundle Tag Info'!$A$2," ",'Bundle Tag Info'!$A$3,CHAR(10),'Bundle Tag Info'!AE$6,CHAR(10),'Bundle Tag Info'!AE$31),"")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Info'!H$32&lt;&gt;"",CONCATENATE('Bundle Tag Info'!$A$1," ",CHAR(10),'Bundle Tag Info'!$A$2," ",'Bundle Tag Info'!$A$3,CHAR(10),'Bundle Tag Info'!H$6,CHAR(10),'Bundle Tag Info'!H$32),"")</f>
        <v/>
      </c>
      <c r="H27" s="12" t="str">
        <f>IF('Bundle Tag Info'!I$32&lt;&gt;"",CONCATENATE('Bundle Tag Info'!$A$1," ",CHAR(10),'Bundle Tag Info'!$A$2," ",'Bundle Tag Info'!$A$3,CHAR(10),'Bundle Tag Info'!I$6,CHAR(10),'Bundle Tag Info'!I$32),"")</f>
        <v/>
      </c>
      <c r="I27" s="12" t="str">
        <f>IF('Bundle Tag Info'!J$32&lt;&gt;"",CONCATENATE('Bundle Tag Info'!$A$1," ",CHAR(10),'Bundle Tag Info'!$A$2," ",'Bundle Tag Info'!$A$3,CHAR(10),'Bundle Tag Info'!J$6,CHAR(10),'Bundle Tag Info'!J$32),"")</f>
        <v/>
      </c>
      <c r="J27" s="12" t="str">
        <f>IF('Bundle Tag Info'!K$32&lt;&gt;"",CONCATENATE('Bundle Tag Info'!$A$1," ",CHAR(10),'Bundle Tag Info'!$A$2," ",'Bundle Tag Info'!$A$3,CHAR(10),'Bundle Tag Info'!K$6,CHAR(10),'Bundle Tag Info'!K$32),"")</f>
        <v/>
      </c>
      <c r="K27" s="12" t="str">
        <f>IF('Bundle Tag Info'!L$32&lt;&gt;"",CONCATENATE('Bundle Tag Info'!$A$1," ",CHAR(10),'Bundle Tag Info'!$A$2," ",'Bundle Tag Info'!$A$3,CHAR(10),'Bundle Tag Info'!L$6,CHAR(10),'Bundle Tag Info'!L$32),"")</f>
        <v/>
      </c>
      <c r="L27" s="12" t="str">
        <f>IF('Bundle Tag Info'!M$32&lt;&gt;"",CONCATENATE('Bundle Tag Info'!$A$1," ",CHAR(10),'Bundle Tag Info'!$A$2," ",'Bundle Tag Info'!$A$3,CHAR(10),'Bundle Tag Info'!M$6,CHAR(10),'Bundle Tag Info'!M$32),"")</f>
        <v/>
      </c>
      <c r="M27" s="12" t="str">
        <f>IF('Bundle Tag Info'!N$32&lt;&gt;"",CONCATENATE('Bundle Tag Info'!$A$1," ",CHAR(10),'Bundle Tag Info'!$A$2," ",'Bundle Tag Info'!$A$3,CHAR(10),'Bundle Tag Info'!N$6,CHAR(10),'Bundle Tag Info'!N$32),"")</f>
        <v/>
      </c>
      <c r="N27" s="12" t="str">
        <f>IF('Bundle Tag Info'!O$32&lt;&gt;"",CONCATENATE('Bundle Tag Info'!$A$1," ",CHAR(10),'Bundle Tag Info'!$A$2," ",'Bundle Tag Info'!$A$3,CHAR(10),'Bundle Tag Info'!O$6,CHAR(10),'Bundle Tag Info'!O$32),"")</f>
        <v/>
      </c>
      <c r="O27" s="12" t="str">
        <f>IF('Bundle Tag Info'!P$32&lt;&gt;"",CONCATENATE('Bundle Tag Info'!$A$1," ",CHAR(10),'Bundle Tag Info'!$A$2," ",'Bundle Tag Info'!$A$3,CHAR(10),'Bundle Tag Info'!P$6,CHAR(10),'Bundle Tag Info'!P$32),"")</f>
        <v/>
      </c>
      <c r="P27" s="12" t="str">
        <f>IF('Bundle Tag Info'!Q$32&lt;&gt;"",CONCATENATE('Bundle Tag Info'!$A$1," ",CHAR(10),'Bundle Tag Info'!$A$2," ",'Bundle Tag Info'!$A$3,CHAR(10),'Bundle Tag Info'!Q$6,CHAR(10),'Bundle Tag Info'!Q$32),"")</f>
        <v/>
      </c>
      <c r="Q27" s="12" t="str">
        <f>IF('Bundle Tag Info'!R$32&lt;&gt;"",CONCATENATE('Bundle Tag Info'!$A$1," ",CHAR(10),'Bundle Tag Info'!$A$2," ",'Bundle Tag Info'!$A$3,CHAR(10),'Bundle Tag Info'!R$6,CHAR(10),'Bundle Tag Info'!R$32),"")</f>
        <v/>
      </c>
      <c r="R27" s="12" t="str">
        <f>IF('Bundle Tag Info'!S$32&lt;&gt;"",CONCATENATE('Bundle Tag Info'!$A$1," ",CHAR(10),'Bundle Tag Info'!$A$2," ",'Bundle Tag Info'!$A$3,CHAR(10),'Bundle Tag Info'!S$6,CHAR(10),'Bundle Tag Info'!S$32),"")</f>
        <v/>
      </c>
      <c r="S27" s="12" t="str">
        <f>IF('Bundle Tag Info'!T$32&lt;&gt;"",CONCATENATE('Bundle Tag Info'!$A$1," ",CHAR(10),'Bundle Tag Info'!$A$2," ",'Bundle Tag Info'!$A$3,CHAR(10),'Bundle Tag Info'!T$6,CHAR(10),'Bundle Tag Info'!T$32),"")</f>
        <v/>
      </c>
      <c r="T27" s="12" t="str">
        <f>IF('Bundle Tag Info'!U$32&lt;&gt;"",CONCATENATE('Bundle Tag Info'!$A$1," ",CHAR(10),'Bundle Tag Info'!$A$2," ",'Bundle Tag Info'!$A$3,CHAR(10),'Bundle Tag Info'!U$6,CHAR(10),'Bundle Tag Info'!U$32),"")</f>
        <v/>
      </c>
      <c r="U27" s="12" t="str">
        <f>IF('Bundle Tag Info'!V$32&lt;&gt;"",CONCATENATE('Bundle Tag Info'!$A$1," ",CHAR(10),'Bundle Tag Info'!$A$2," ",'Bundle Tag Info'!$A$3,CHAR(10),'Bundle Tag Info'!V$6,CHAR(10),'Bundle Tag Info'!V$32),"")</f>
        <v/>
      </c>
      <c r="V27" s="12" t="str">
        <f>IF('Bundle Tag Info'!W$32&lt;&gt;"",CONCATENATE('Bundle Tag Info'!$A$1," ",CHAR(10),'Bundle Tag Info'!$A$2," ",'Bundle Tag Info'!$A$3,CHAR(10),'Bundle Tag Info'!W$6,CHAR(10),'Bundle Tag Info'!W$32),"")</f>
        <v/>
      </c>
      <c r="W27" s="12" t="str">
        <f>IF('Bundle Tag Info'!X$32&lt;&gt;"",CONCATENATE('Bundle Tag Info'!$A$1," ",CHAR(10),'Bundle Tag Info'!$A$2," ",'Bundle Tag Info'!$A$3,CHAR(10),'Bundle Tag Info'!X$6,CHAR(10),'Bundle Tag Info'!X$32),"")</f>
        <v/>
      </c>
      <c r="X27" s="12" t="str">
        <f>IF('Bundle Tag Info'!Y$32&lt;&gt;"",CONCATENATE('Bundle Tag Info'!$A$1," ",CHAR(10),'Bundle Tag Info'!$A$2," ",'Bundle Tag Info'!$A$3,CHAR(10),'Bundle Tag Info'!Y$6,CHAR(10),'Bundle Tag Info'!Y$32),"")</f>
        <v/>
      </c>
      <c r="Y27" s="12" t="str">
        <f>IF('Bundle Tag Info'!Z$32&lt;&gt;"",CONCATENATE('Bundle Tag Info'!$A$1," ",CHAR(10),'Bundle Tag Info'!$A$2," ",'Bundle Tag Info'!$A$3,CHAR(10),'Bundle Tag Info'!Z$6,CHAR(10),'Bundle Tag Info'!Z$32),"")</f>
        <v/>
      </c>
      <c r="Z27" s="12" t="str">
        <f>IF('Bundle Tag Info'!AA$32&lt;&gt;"",CONCATENATE('Bundle Tag Info'!$A$1," ",CHAR(10),'Bundle Tag Info'!$A$2," ",'Bundle Tag Info'!$A$3,CHAR(10),'Bundle Tag Info'!AA$6,CHAR(10),'Bundle Tag Info'!AA$32),"")</f>
        <v/>
      </c>
      <c r="AA27" s="12" t="str">
        <f>IF('Bundle Tag Info'!AB$32&lt;&gt;"",CONCATENATE('Bundle Tag Info'!$A$1," ",CHAR(10),'Bundle Tag Info'!$A$2," ",'Bundle Tag Info'!$A$3,CHAR(10),'Bundle Tag Info'!AB$6,CHAR(10),'Bundle Tag Info'!AB$32),"")</f>
        <v/>
      </c>
      <c r="AB27" s="12" t="str">
        <f>IF('Bundle Tag Info'!AC$32&lt;&gt;"",CONCATENATE('Bundle Tag Info'!$A$1," ",CHAR(10),'Bundle Tag Info'!$A$2," ",'Bundle Tag Info'!$A$3,CHAR(10),'Bundle Tag Info'!AC$6,CHAR(10),'Bundle Tag Info'!AC$32),"")</f>
        <v/>
      </c>
      <c r="AC27" s="12" t="str">
        <f>IF('Bundle Tag Info'!AD$32&lt;&gt;"",CONCATENATE('Bundle Tag Info'!$A$1," ",CHAR(10),'Bundle Tag Info'!$A$2," ",'Bundle Tag Info'!$A$3,CHAR(10),'Bundle Tag Info'!AD$6,CHAR(10),'Bundle Tag Info'!AD$32),"")</f>
        <v/>
      </c>
      <c r="AD27" s="12" t="str">
        <f>IF('Bundle Tag Info'!AE$32&lt;&gt;"",CONCATENATE('Bundle Tag Info'!$A$1," ",CHAR(10),'Bundle Tag Info'!$A$2," ",'Bundle Tag Info'!$A$3,CHAR(10),'Bundle Tag Info'!AE$6,CHAR(10),'Bundle Tag Info'!AE$32),"")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Info'!H$33&lt;&gt;"",CONCATENATE('Bundle Tag Info'!$A$1," ",CHAR(10),'Bundle Tag Info'!$A$2," ",'Bundle Tag Info'!$A$3,CHAR(10),'Bundle Tag Info'!H$6,CHAR(10),'Bundle Tag Info'!H$33),"")</f>
        <v/>
      </c>
      <c r="H28" s="12" t="str">
        <f>IF('Bundle Tag Info'!I$33&lt;&gt;"",CONCATENATE('Bundle Tag Info'!$A$1," ",CHAR(10),'Bundle Tag Info'!$A$2," ",'Bundle Tag Info'!$A$3,CHAR(10),'Bundle Tag Info'!I$6,CHAR(10),'Bundle Tag Info'!I$33),"")</f>
        <v/>
      </c>
      <c r="I28" s="12" t="str">
        <f>IF('Bundle Tag Info'!J$33&lt;&gt;"",CONCATENATE('Bundle Tag Info'!$A$1," ",CHAR(10),'Bundle Tag Info'!$A$2," ",'Bundle Tag Info'!$A$3,CHAR(10),'Bundle Tag Info'!J$6,CHAR(10),'Bundle Tag Info'!J$33),"")</f>
        <v/>
      </c>
      <c r="J28" s="12" t="str">
        <f>IF('Bundle Tag Info'!K$33&lt;&gt;"",CONCATENATE('Bundle Tag Info'!$A$1," ",CHAR(10),'Bundle Tag Info'!$A$2," ",'Bundle Tag Info'!$A$3,CHAR(10),'Bundle Tag Info'!K$6,CHAR(10),'Bundle Tag Info'!K$33),"")</f>
        <v/>
      </c>
      <c r="K28" s="12" t="str">
        <f>IF('Bundle Tag Info'!L$33&lt;&gt;"",CONCATENATE('Bundle Tag Info'!$A$1," ",CHAR(10),'Bundle Tag Info'!$A$2," ",'Bundle Tag Info'!$A$3,CHAR(10),'Bundle Tag Info'!L$6,CHAR(10),'Bundle Tag Info'!L$33),"")</f>
        <v/>
      </c>
      <c r="L28" s="12" t="str">
        <f>IF('Bundle Tag Info'!M$33&lt;&gt;"",CONCATENATE('Bundle Tag Info'!$A$1," ",CHAR(10),'Bundle Tag Info'!$A$2," ",'Bundle Tag Info'!$A$3,CHAR(10),'Bundle Tag Info'!M$6,CHAR(10),'Bundle Tag Info'!M$33),"")</f>
        <v/>
      </c>
      <c r="M28" s="12" t="str">
        <f>IF('Bundle Tag Info'!N$33&lt;&gt;"",CONCATENATE('Bundle Tag Info'!$A$1," ",CHAR(10),'Bundle Tag Info'!$A$2," ",'Bundle Tag Info'!$A$3,CHAR(10),'Bundle Tag Info'!N$6,CHAR(10),'Bundle Tag Info'!N$33),"")</f>
        <v/>
      </c>
      <c r="N28" s="12" t="str">
        <f>IF('Bundle Tag Info'!O$33&lt;&gt;"",CONCATENATE('Bundle Tag Info'!$A$1," ",CHAR(10),'Bundle Tag Info'!$A$2," ",'Bundle Tag Info'!$A$3,CHAR(10),'Bundle Tag Info'!O$6,CHAR(10),'Bundle Tag Info'!O$33),"")</f>
        <v/>
      </c>
      <c r="O28" s="12" t="str">
        <f>IF('Bundle Tag Info'!P$33&lt;&gt;"",CONCATENATE('Bundle Tag Info'!$A$1," ",CHAR(10),'Bundle Tag Info'!$A$2," ",'Bundle Tag Info'!$A$3,CHAR(10),'Bundle Tag Info'!P$6,CHAR(10),'Bundle Tag Info'!P$33),"")</f>
        <v/>
      </c>
      <c r="P28" s="12" t="str">
        <f>IF('Bundle Tag Info'!Q$33&lt;&gt;"",CONCATENATE('Bundle Tag Info'!$A$1," ",CHAR(10),'Bundle Tag Info'!$A$2," ",'Bundle Tag Info'!$A$3,CHAR(10),'Bundle Tag Info'!Q$6,CHAR(10),'Bundle Tag Info'!Q$33),"")</f>
        <v/>
      </c>
      <c r="Q28" s="12" t="str">
        <f>IF('Bundle Tag Info'!R$33&lt;&gt;"",CONCATENATE('Bundle Tag Info'!$A$1," ",CHAR(10),'Bundle Tag Info'!$A$2," ",'Bundle Tag Info'!$A$3,CHAR(10),'Bundle Tag Info'!R$6,CHAR(10),'Bundle Tag Info'!R$33),"")</f>
        <v/>
      </c>
      <c r="R28" s="12" t="str">
        <f>IF('Bundle Tag Info'!S$33&lt;&gt;"",CONCATENATE('Bundle Tag Info'!$A$1," ",CHAR(10),'Bundle Tag Info'!$A$2," ",'Bundle Tag Info'!$A$3,CHAR(10),'Bundle Tag Info'!S$6,CHAR(10),'Bundle Tag Info'!S$33),"")</f>
        <v/>
      </c>
      <c r="S28" s="12" t="str">
        <f>IF('Bundle Tag Info'!T$33&lt;&gt;"",CONCATENATE('Bundle Tag Info'!$A$1," ",CHAR(10),'Bundle Tag Info'!$A$2," ",'Bundle Tag Info'!$A$3,CHAR(10),'Bundle Tag Info'!T$6,CHAR(10),'Bundle Tag Info'!T$33),"")</f>
        <v/>
      </c>
      <c r="T28" s="12" t="str">
        <f>IF('Bundle Tag Info'!U$33&lt;&gt;"",CONCATENATE('Bundle Tag Info'!$A$1," ",CHAR(10),'Bundle Tag Info'!$A$2," ",'Bundle Tag Info'!$A$3,CHAR(10),'Bundle Tag Info'!U$6,CHAR(10),'Bundle Tag Info'!U$33),"")</f>
        <v/>
      </c>
      <c r="U28" s="12" t="str">
        <f>IF('Bundle Tag Info'!V$33&lt;&gt;"",CONCATENATE('Bundle Tag Info'!$A$1," ",CHAR(10),'Bundle Tag Info'!$A$2," ",'Bundle Tag Info'!$A$3,CHAR(10),'Bundle Tag Info'!V$6,CHAR(10),'Bundle Tag Info'!V$33),"")</f>
        <v/>
      </c>
      <c r="V28" s="12" t="str">
        <f>IF('Bundle Tag Info'!W$33&lt;&gt;"",CONCATENATE('Bundle Tag Info'!$A$1," ",CHAR(10),'Bundle Tag Info'!$A$2," ",'Bundle Tag Info'!$A$3,CHAR(10),'Bundle Tag Info'!W$6,CHAR(10),'Bundle Tag Info'!W$33),"")</f>
        <v/>
      </c>
      <c r="W28" s="12" t="str">
        <f>IF('Bundle Tag Info'!X$33&lt;&gt;"",CONCATENATE('Bundle Tag Info'!$A$1," ",CHAR(10),'Bundle Tag Info'!$A$2," ",'Bundle Tag Info'!$A$3,CHAR(10),'Bundle Tag Info'!X$6,CHAR(10),'Bundle Tag Info'!X$33),"")</f>
        <v/>
      </c>
      <c r="X28" s="12" t="str">
        <f>IF('Bundle Tag Info'!Y$33&lt;&gt;"",CONCATENATE('Bundle Tag Info'!$A$1," ",CHAR(10),'Bundle Tag Info'!$A$2," ",'Bundle Tag Info'!$A$3,CHAR(10),'Bundle Tag Info'!Y$6,CHAR(10),'Bundle Tag Info'!Y$33),"")</f>
        <v/>
      </c>
      <c r="Y28" s="12" t="str">
        <f>IF('Bundle Tag Info'!Z$33&lt;&gt;"",CONCATENATE('Bundle Tag Info'!$A$1," ",CHAR(10),'Bundle Tag Info'!$A$2," ",'Bundle Tag Info'!$A$3,CHAR(10),'Bundle Tag Info'!Z$6,CHAR(10),'Bundle Tag Info'!Z$33),"")</f>
        <v/>
      </c>
      <c r="Z28" s="12" t="str">
        <f>IF('Bundle Tag Info'!AA$33&lt;&gt;"",CONCATENATE('Bundle Tag Info'!$A$1," ",CHAR(10),'Bundle Tag Info'!$A$2," ",'Bundle Tag Info'!$A$3,CHAR(10),'Bundle Tag Info'!AA$6,CHAR(10),'Bundle Tag Info'!AA$33),"")</f>
        <v/>
      </c>
      <c r="AA28" s="12" t="str">
        <f>IF('Bundle Tag Info'!AB$33&lt;&gt;"",CONCATENATE('Bundle Tag Info'!$A$1," ",CHAR(10),'Bundle Tag Info'!$A$2," ",'Bundle Tag Info'!$A$3,CHAR(10),'Bundle Tag Info'!AB$6,CHAR(10),'Bundle Tag Info'!AB$33),"")</f>
        <v/>
      </c>
      <c r="AB28" s="12" t="str">
        <f>IF('Bundle Tag Info'!AC$33&lt;&gt;"",CONCATENATE('Bundle Tag Info'!$A$1," ",CHAR(10),'Bundle Tag Info'!$A$2," ",'Bundle Tag Info'!$A$3,CHAR(10),'Bundle Tag Info'!AC$6,CHAR(10),'Bundle Tag Info'!AC$33),"")</f>
        <v/>
      </c>
      <c r="AC28" s="12" t="str">
        <f>IF('Bundle Tag Info'!AD$33&lt;&gt;"",CONCATENATE('Bundle Tag Info'!$A$1," ",CHAR(10),'Bundle Tag Info'!$A$2," ",'Bundle Tag Info'!$A$3,CHAR(10),'Bundle Tag Info'!AD$6,CHAR(10),'Bundle Tag Info'!AD$33),"")</f>
        <v/>
      </c>
      <c r="AD28" s="12" t="str">
        <f>IF('Bundle Tag Info'!AE$33&lt;&gt;"",CONCATENATE('Bundle Tag Info'!$A$1," ",CHAR(10),'Bundle Tag Info'!$A$2," ",'Bundle Tag Info'!$A$3,CHAR(10),'Bundle Tag Info'!AE$6,CHAR(10),'Bundle Tag Info'!AE$33),"")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Info'!H$34&lt;&gt;"",CONCATENATE('Bundle Tag Info'!$A$1," ",CHAR(10),'Bundle Tag Info'!$A$2," ",'Bundle Tag Info'!$A$3,CHAR(10),'Bundle Tag Info'!H$6,CHAR(10),'Bundle Tag Info'!H$34),"")</f>
        <v/>
      </c>
      <c r="H29" s="12" t="str">
        <f>IF('Bundle Tag Info'!I$34&lt;&gt;"",CONCATENATE('Bundle Tag Info'!$A$1," ",CHAR(10),'Bundle Tag Info'!$A$2," ",'Bundle Tag Info'!$A$3,CHAR(10),'Bundle Tag Info'!I$6,CHAR(10),'Bundle Tag Info'!I$34),"")</f>
        <v/>
      </c>
      <c r="I29" s="12" t="str">
        <f>IF('Bundle Tag Info'!J$34&lt;&gt;"",CONCATENATE('Bundle Tag Info'!$A$1," ",CHAR(10),'Bundle Tag Info'!$A$2," ",'Bundle Tag Info'!$A$3,CHAR(10),'Bundle Tag Info'!J$6,CHAR(10),'Bundle Tag Info'!J$34),"")</f>
        <v/>
      </c>
      <c r="J29" s="12" t="str">
        <f>IF('Bundle Tag Info'!K$34&lt;&gt;"",CONCATENATE('Bundle Tag Info'!$A$1," ",CHAR(10),'Bundle Tag Info'!$A$2," ",'Bundle Tag Info'!$A$3,CHAR(10),'Bundle Tag Info'!K$6,CHAR(10),'Bundle Tag Info'!K$34),"")</f>
        <v/>
      </c>
      <c r="K29" s="12" t="str">
        <f>IF('Bundle Tag Info'!L$34&lt;&gt;"",CONCATENATE('Bundle Tag Info'!$A$1," ",CHAR(10),'Bundle Tag Info'!$A$2," ",'Bundle Tag Info'!$A$3,CHAR(10),'Bundle Tag Info'!L$6,CHAR(10),'Bundle Tag Info'!L$34),"")</f>
        <v/>
      </c>
      <c r="L29" s="12" t="str">
        <f>IF('Bundle Tag Info'!M$34&lt;&gt;"",CONCATENATE('Bundle Tag Info'!$A$1," ",CHAR(10),'Bundle Tag Info'!$A$2," ",'Bundle Tag Info'!$A$3,CHAR(10),'Bundle Tag Info'!M$6,CHAR(10),'Bundle Tag Info'!M$34),"")</f>
        <v/>
      </c>
      <c r="M29" s="12" t="str">
        <f>IF('Bundle Tag Info'!N$34&lt;&gt;"",CONCATENATE('Bundle Tag Info'!$A$1," ",CHAR(10),'Bundle Tag Info'!$A$2," ",'Bundle Tag Info'!$A$3,CHAR(10),'Bundle Tag Info'!N$6,CHAR(10),'Bundle Tag Info'!N$34),"")</f>
        <v/>
      </c>
      <c r="N29" s="12" t="str">
        <f>IF('Bundle Tag Info'!O$34&lt;&gt;"",CONCATENATE('Bundle Tag Info'!$A$1," ",CHAR(10),'Bundle Tag Info'!$A$2," ",'Bundle Tag Info'!$A$3,CHAR(10),'Bundle Tag Info'!O$6,CHAR(10),'Bundle Tag Info'!O$34),"")</f>
        <v/>
      </c>
      <c r="O29" s="12" t="str">
        <f>IF('Bundle Tag Info'!P$34&lt;&gt;"",CONCATENATE('Bundle Tag Info'!$A$1," ",CHAR(10),'Bundle Tag Info'!$A$2," ",'Bundle Tag Info'!$A$3,CHAR(10),'Bundle Tag Info'!P$6,CHAR(10),'Bundle Tag Info'!P$34),"")</f>
        <v/>
      </c>
      <c r="P29" s="12" t="str">
        <f>IF('Bundle Tag Info'!Q$34&lt;&gt;"",CONCATENATE('Bundle Tag Info'!$A$1," ",CHAR(10),'Bundle Tag Info'!$A$2," ",'Bundle Tag Info'!$A$3,CHAR(10),'Bundle Tag Info'!Q$6,CHAR(10),'Bundle Tag Info'!Q$34),"")</f>
        <v/>
      </c>
      <c r="Q29" s="12" t="str">
        <f>IF('Bundle Tag Info'!R$34&lt;&gt;"",CONCATENATE('Bundle Tag Info'!$A$1," ",CHAR(10),'Bundle Tag Info'!$A$2," ",'Bundle Tag Info'!$A$3,CHAR(10),'Bundle Tag Info'!R$6,CHAR(10),'Bundle Tag Info'!R$34),"")</f>
        <v/>
      </c>
      <c r="R29" s="12" t="str">
        <f>IF('Bundle Tag Info'!S$34&lt;&gt;"",CONCATENATE('Bundle Tag Info'!$A$1," ",CHAR(10),'Bundle Tag Info'!$A$2," ",'Bundle Tag Info'!$A$3,CHAR(10),'Bundle Tag Info'!S$6,CHAR(10),'Bundle Tag Info'!S$34),"")</f>
        <v/>
      </c>
      <c r="S29" s="12" t="str">
        <f>IF('Bundle Tag Info'!T$34&lt;&gt;"",CONCATENATE('Bundle Tag Info'!$A$1," ",CHAR(10),'Bundle Tag Info'!$A$2," ",'Bundle Tag Info'!$A$3,CHAR(10),'Bundle Tag Info'!T$6,CHAR(10),'Bundle Tag Info'!T$34),"")</f>
        <v/>
      </c>
      <c r="T29" s="12" t="str">
        <f>IF('Bundle Tag Info'!U$34&lt;&gt;"",CONCATENATE('Bundle Tag Info'!$A$1," ",CHAR(10),'Bundle Tag Info'!$A$2," ",'Bundle Tag Info'!$A$3,CHAR(10),'Bundle Tag Info'!U$6,CHAR(10),'Bundle Tag Info'!U$34),"")</f>
        <v/>
      </c>
      <c r="U29" s="12" t="str">
        <f>IF('Bundle Tag Info'!V$34&lt;&gt;"",CONCATENATE('Bundle Tag Info'!$A$1," ",CHAR(10),'Bundle Tag Info'!$A$2," ",'Bundle Tag Info'!$A$3,CHAR(10),'Bundle Tag Info'!V$6,CHAR(10),'Bundle Tag Info'!V$34),"")</f>
        <v/>
      </c>
      <c r="V29" s="12" t="str">
        <f>IF('Bundle Tag Info'!W$34&lt;&gt;"",CONCATENATE('Bundle Tag Info'!$A$1," ",CHAR(10),'Bundle Tag Info'!$A$2," ",'Bundle Tag Info'!$A$3,CHAR(10),'Bundle Tag Info'!W$6,CHAR(10),'Bundle Tag Info'!W$34),"")</f>
        <v/>
      </c>
      <c r="W29" s="12" t="str">
        <f>IF('Bundle Tag Info'!X$34&lt;&gt;"",CONCATENATE('Bundle Tag Info'!$A$1," ",CHAR(10),'Bundle Tag Info'!$A$2," ",'Bundle Tag Info'!$A$3,CHAR(10),'Bundle Tag Info'!X$6,CHAR(10),'Bundle Tag Info'!X$34),"")</f>
        <v/>
      </c>
      <c r="X29" s="12" t="str">
        <f>IF('Bundle Tag Info'!Y$34&lt;&gt;"",CONCATENATE('Bundle Tag Info'!$A$1," ",CHAR(10),'Bundle Tag Info'!$A$2," ",'Bundle Tag Info'!$A$3,CHAR(10),'Bundle Tag Info'!Y$6,CHAR(10),'Bundle Tag Info'!Y$34),"")</f>
        <v/>
      </c>
      <c r="Y29" s="12" t="str">
        <f>IF('Bundle Tag Info'!Z$34&lt;&gt;"",CONCATENATE('Bundle Tag Info'!$A$1," ",CHAR(10),'Bundle Tag Info'!$A$2," ",'Bundle Tag Info'!$A$3,CHAR(10),'Bundle Tag Info'!Z$6,CHAR(10),'Bundle Tag Info'!Z$34),"")</f>
        <v/>
      </c>
      <c r="Z29" s="12" t="str">
        <f>IF('Bundle Tag Info'!AA$34&lt;&gt;"",CONCATENATE('Bundle Tag Info'!$A$1," ",CHAR(10),'Bundle Tag Info'!$A$2," ",'Bundle Tag Info'!$A$3,CHAR(10),'Bundle Tag Info'!AA$6,CHAR(10),'Bundle Tag Info'!AA$34),"")</f>
        <v/>
      </c>
      <c r="AA29" s="12" t="str">
        <f>IF('Bundle Tag Info'!AB$34&lt;&gt;"",CONCATENATE('Bundle Tag Info'!$A$1," ",CHAR(10),'Bundle Tag Info'!$A$2," ",'Bundle Tag Info'!$A$3,CHAR(10),'Bundle Tag Info'!AB$6,CHAR(10),'Bundle Tag Info'!AB$34),"")</f>
        <v/>
      </c>
      <c r="AB29" s="12" t="str">
        <f>IF('Bundle Tag Info'!AC$34&lt;&gt;"",CONCATENATE('Bundle Tag Info'!$A$1," ",CHAR(10),'Bundle Tag Info'!$A$2," ",'Bundle Tag Info'!$A$3,CHAR(10),'Bundle Tag Info'!AC$6,CHAR(10),'Bundle Tag Info'!AC$34),"")</f>
        <v/>
      </c>
      <c r="AC29" s="12" t="str">
        <f>IF('Bundle Tag Info'!AD$34&lt;&gt;"",CONCATENATE('Bundle Tag Info'!$A$1," ",CHAR(10),'Bundle Tag Info'!$A$2," ",'Bundle Tag Info'!$A$3,CHAR(10),'Bundle Tag Info'!AD$6,CHAR(10),'Bundle Tag Info'!AD$34),"")</f>
        <v/>
      </c>
      <c r="AD29" s="12" t="str">
        <f>IF('Bundle Tag Info'!AE$34&lt;&gt;"",CONCATENATE('Bundle Tag Info'!$A$1," ",CHAR(10),'Bundle Tag Info'!$A$2," ",'Bundle Tag Info'!$A$3,CHAR(10),'Bundle Tag Info'!AE$6,CHAR(10),'Bundle Tag Info'!AE$34),"")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Info'!H$35&lt;&gt;"",CONCATENATE('Bundle Tag Info'!$A$1," ",CHAR(10),'Bundle Tag Info'!$A$2," ",'Bundle Tag Info'!$A$3,CHAR(10),'Bundle Tag Info'!H$6,CHAR(10),'Bundle Tag Info'!H$35),"")</f>
        <v/>
      </c>
      <c r="H30" s="12" t="str">
        <f>IF('Bundle Tag Info'!I$35&lt;&gt;"",CONCATENATE('Bundle Tag Info'!$A$1," ",CHAR(10),'Bundle Tag Info'!$A$2," ",'Bundle Tag Info'!$A$3,CHAR(10),'Bundle Tag Info'!I$6,CHAR(10),'Bundle Tag Info'!I$35),"")</f>
        <v/>
      </c>
      <c r="I30" s="12" t="str">
        <f>IF('Bundle Tag Info'!J$35&lt;&gt;"",CONCATENATE('Bundle Tag Info'!$A$1," ",CHAR(10),'Bundle Tag Info'!$A$2," ",'Bundle Tag Info'!$A$3,CHAR(10),'Bundle Tag Info'!J$6,CHAR(10),'Bundle Tag Info'!J$35),"")</f>
        <v/>
      </c>
      <c r="J30" s="12" t="str">
        <f>IF('Bundle Tag Info'!K$35&lt;&gt;"",CONCATENATE('Bundle Tag Info'!$A$1," ",CHAR(10),'Bundle Tag Info'!$A$2," ",'Bundle Tag Info'!$A$3,CHAR(10),'Bundle Tag Info'!K$6,CHAR(10),'Bundle Tag Info'!K$35),"")</f>
        <v/>
      </c>
      <c r="K30" s="12" t="str">
        <f>IF('Bundle Tag Info'!L$35&lt;&gt;"",CONCATENATE('Bundle Tag Info'!$A$1," ",CHAR(10),'Bundle Tag Info'!$A$2," ",'Bundle Tag Info'!$A$3,CHAR(10),'Bundle Tag Info'!L$6,CHAR(10),'Bundle Tag Info'!L$35),"")</f>
        <v/>
      </c>
      <c r="L30" s="12" t="str">
        <f>IF('Bundle Tag Info'!M$35&lt;&gt;"",CONCATENATE('Bundle Tag Info'!$A$1," ",CHAR(10),'Bundle Tag Info'!$A$2," ",'Bundle Tag Info'!$A$3,CHAR(10),'Bundle Tag Info'!M$6,CHAR(10),'Bundle Tag Info'!M$35),"")</f>
        <v/>
      </c>
      <c r="M30" s="12" t="str">
        <f>IF('Bundle Tag Info'!N$35&lt;&gt;"",CONCATENATE('Bundle Tag Info'!$A$1," ",CHAR(10),'Bundle Tag Info'!$A$2," ",'Bundle Tag Info'!$A$3,CHAR(10),'Bundle Tag Info'!N$6,CHAR(10),'Bundle Tag Info'!N$35),"")</f>
        <v/>
      </c>
      <c r="N30" s="12" t="str">
        <f>IF('Bundle Tag Info'!O$35&lt;&gt;"",CONCATENATE('Bundle Tag Info'!$A$1," ",CHAR(10),'Bundle Tag Info'!$A$2," ",'Bundle Tag Info'!$A$3,CHAR(10),'Bundle Tag Info'!O$6,CHAR(10),'Bundle Tag Info'!O$35),"")</f>
        <v/>
      </c>
      <c r="O30" s="12" t="str">
        <f>IF('Bundle Tag Info'!P$35&lt;&gt;"",CONCATENATE('Bundle Tag Info'!$A$1," ",CHAR(10),'Bundle Tag Info'!$A$2," ",'Bundle Tag Info'!$A$3,CHAR(10),'Bundle Tag Info'!P$6,CHAR(10),'Bundle Tag Info'!P$35),"")</f>
        <v/>
      </c>
      <c r="P30" s="12" t="str">
        <f>IF('Bundle Tag Info'!Q$35&lt;&gt;"",CONCATENATE('Bundle Tag Info'!$A$1," ",CHAR(10),'Bundle Tag Info'!$A$2," ",'Bundle Tag Info'!$A$3,CHAR(10),'Bundle Tag Info'!Q$6,CHAR(10),'Bundle Tag Info'!Q$35),"")</f>
        <v/>
      </c>
      <c r="Q30" s="12" t="str">
        <f>IF('Bundle Tag Info'!R$35&lt;&gt;"",CONCATENATE('Bundle Tag Info'!$A$1," ",CHAR(10),'Bundle Tag Info'!$A$2," ",'Bundle Tag Info'!$A$3,CHAR(10),'Bundle Tag Info'!R$6,CHAR(10),'Bundle Tag Info'!R$35),"")</f>
        <v/>
      </c>
      <c r="R30" s="12" t="str">
        <f>IF('Bundle Tag Info'!S$35&lt;&gt;"",CONCATENATE('Bundle Tag Info'!$A$1," ",CHAR(10),'Bundle Tag Info'!$A$2," ",'Bundle Tag Info'!$A$3,CHAR(10),'Bundle Tag Info'!S$6,CHAR(10),'Bundle Tag Info'!S$35),"")</f>
        <v/>
      </c>
      <c r="S30" s="12" t="str">
        <f>IF('Bundle Tag Info'!T$35&lt;&gt;"",CONCATENATE('Bundle Tag Info'!$A$1," ",CHAR(10),'Bundle Tag Info'!$A$2," ",'Bundle Tag Info'!$A$3,CHAR(10),'Bundle Tag Info'!T$6,CHAR(10),'Bundle Tag Info'!T$35),"")</f>
        <v/>
      </c>
      <c r="T30" s="12" t="str">
        <f>IF('Bundle Tag Info'!U$35&lt;&gt;"",CONCATENATE('Bundle Tag Info'!$A$1," ",CHAR(10),'Bundle Tag Info'!$A$2," ",'Bundle Tag Info'!$A$3,CHAR(10),'Bundle Tag Info'!U$6,CHAR(10),'Bundle Tag Info'!U$35),"")</f>
        <v/>
      </c>
      <c r="U30" s="12" t="str">
        <f>IF('Bundle Tag Info'!V$35&lt;&gt;"",CONCATENATE('Bundle Tag Info'!$A$1," ",CHAR(10),'Bundle Tag Info'!$A$2," ",'Bundle Tag Info'!$A$3,CHAR(10),'Bundle Tag Info'!V$6,CHAR(10),'Bundle Tag Info'!V$35),"")</f>
        <v/>
      </c>
      <c r="V30" s="12" t="str">
        <f>IF('Bundle Tag Info'!W$35&lt;&gt;"",CONCATENATE('Bundle Tag Info'!$A$1," ",CHAR(10),'Bundle Tag Info'!$A$2," ",'Bundle Tag Info'!$A$3,CHAR(10),'Bundle Tag Info'!W$6,CHAR(10),'Bundle Tag Info'!W$35),"")</f>
        <v/>
      </c>
      <c r="W30" s="12" t="str">
        <f>IF('Bundle Tag Info'!X$35&lt;&gt;"",CONCATENATE('Bundle Tag Info'!$A$1," ",CHAR(10),'Bundle Tag Info'!$A$2," ",'Bundle Tag Info'!$A$3,CHAR(10),'Bundle Tag Info'!X$6,CHAR(10),'Bundle Tag Info'!X$35),"")</f>
        <v/>
      </c>
      <c r="X30" s="12" t="str">
        <f>IF('Bundle Tag Info'!Y$35&lt;&gt;"",CONCATENATE('Bundle Tag Info'!$A$1," ",CHAR(10),'Bundle Tag Info'!$A$2," ",'Bundle Tag Info'!$A$3,CHAR(10),'Bundle Tag Info'!Y$6,CHAR(10),'Bundle Tag Info'!Y$35),"")</f>
        <v/>
      </c>
      <c r="Y30" s="12" t="str">
        <f>IF('Bundle Tag Info'!Z$35&lt;&gt;"",CONCATENATE('Bundle Tag Info'!$A$1," ",CHAR(10),'Bundle Tag Info'!$A$2," ",'Bundle Tag Info'!$A$3,CHAR(10),'Bundle Tag Info'!Z$6,CHAR(10),'Bundle Tag Info'!Z$35),"")</f>
        <v/>
      </c>
      <c r="Z30" s="12" t="str">
        <f>IF('Bundle Tag Info'!AA$35&lt;&gt;"",CONCATENATE('Bundle Tag Info'!$A$1," ",CHAR(10),'Bundle Tag Info'!$A$2," ",'Bundle Tag Info'!$A$3,CHAR(10),'Bundle Tag Info'!AA$6,CHAR(10),'Bundle Tag Info'!AA$35),"")</f>
        <v/>
      </c>
      <c r="AA30" s="12" t="str">
        <f>IF('Bundle Tag Info'!AB$35&lt;&gt;"",CONCATENATE('Bundle Tag Info'!$A$1," ",CHAR(10),'Bundle Tag Info'!$A$2," ",'Bundle Tag Info'!$A$3,CHAR(10),'Bundle Tag Info'!AB$6,CHAR(10),'Bundle Tag Info'!AB$35),"")</f>
        <v/>
      </c>
      <c r="AB30" s="12" t="str">
        <f>IF('Bundle Tag Info'!AC$35&lt;&gt;"",CONCATENATE('Bundle Tag Info'!$A$1," ",CHAR(10),'Bundle Tag Info'!$A$2," ",'Bundle Tag Info'!$A$3,CHAR(10),'Bundle Tag Info'!AC$6,CHAR(10),'Bundle Tag Info'!AC$35),"")</f>
        <v/>
      </c>
      <c r="AC30" s="12" t="str">
        <f>IF('Bundle Tag Info'!AD$35&lt;&gt;"",CONCATENATE('Bundle Tag Info'!$A$1," ",CHAR(10),'Bundle Tag Info'!$A$2," ",'Bundle Tag Info'!$A$3,CHAR(10),'Bundle Tag Info'!AD$6,CHAR(10),'Bundle Tag Info'!AD$35),"")</f>
        <v/>
      </c>
      <c r="AD30" s="12" t="str">
        <f>IF('Bundle Tag Info'!AE$35&lt;&gt;"",CONCATENATE('Bundle Tag Info'!$A$1," ",CHAR(10),'Bundle Tag Info'!$A$2," ",'Bundle Tag Info'!$A$3,CHAR(10),'Bundle Tag Info'!AE$6,CHAR(10),'Bundle Tag Info'!AE$35),"")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Info'!H$36&lt;&gt;"",CONCATENATE('Bundle Tag Info'!$A$1," ",CHAR(10),'Bundle Tag Info'!$A$2," ",'Bundle Tag Info'!$A$3,CHAR(10),'Bundle Tag Info'!H$6,CHAR(10),'Bundle Tag Info'!H$36),"")</f>
        <v/>
      </c>
      <c r="H31" s="12" t="str">
        <f>IF('Bundle Tag Info'!I$36&lt;&gt;"",CONCATENATE('Bundle Tag Info'!$A$1," ",CHAR(10),'Bundle Tag Info'!$A$2," ",'Bundle Tag Info'!$A$3,CHAR(10),'Bundle Tag Info'!I$6,CHAR(10),'Bundle Tag Info'!I$36),"")</f>
        <v/>
      </c>
      <c r="I31" s="12" t="str">
        <f>IF('Bundle Tag Info'!J$36&lt;&gt;"",CONCATENATE('Bundle Tag Info'!$A$1," ",CHAR(10),'Bundle Tag Info'!$A$2," ",'Bundle Tag Info'!$A$3,CHAR(10),'Bundle Tag Info'!J$6,CHAR(10),'Bundle Tag Info'!J$36),"")</f>
        <v/>
      </c>
      <c r="J31" s="12" t="str">
        <f>IF('Bundle Tag Info'!K$36&lt;&gt;"",CONCATENATE('Bundle Tag Info'!$A$1," ",CHAR(10),'Bundle Tag Info'!$A$2," ",'Bundle Tag Info'!$A$3,CHAR(10),'Bundle Tag Info'!K$6,CHAR(10),'Bundle Tag Info'!K$36),"")</f>
        <v/>
      </c>
      <c r="K31" s="12" t="str">
        <f>IF('Bundle Tag Info'!L$36&lt;&gt;"",CONCATENATE('Bundle Tag Info'!$A$1," ",CHAR(10),'Bundle Tag Info'!$A$2," ",'Bundle Tag Info'!$A$3,CHAR(10),'Bundle Tag Info'!L$6,CHAR(10),'Bundle Tag Info'!L$36),"")</f>
        <v/>
      </c>
      <c r="L31" s="12" t="str">
        <f>IF('Bundle Tag Info'!M$36&lt;&gt;"",CONCATENATE('Bundle Tag Info'!$A$1," ",CHAR(10),'Bundle Tag Info'!$A$2," ",'Bundle Tag Info'!$A$3,CHAR(10),'Bundle Tag Info'!M$6,CHAR(10),'Bundle Tag Info'!M$36),"")</f>
        <v/>
      </c>
      <c r="M31" s="12" t="str">
        <f>IF('Bundle Tag Info'!N$36&lt;&gt;"",CONCATENATE('Bundle Tag Info'!$A$1," ",CHAR(10),'Bundle Tag Info'!$A$2," ",'Bundle Tag Info'!$A$3,CHAR(10),'Bundle Tag Info'!N$6,CHAR(10),'Bundle Tag Info'!N$36),"")</f>
        <v/>
      </c>
      <c r="N31" s="12" t="str">
        <f>IF('Bundle Tag Info'!O$36&lt;&gt;"",CONCATENATE('Bundle Tag Info'!$A$1," ",CHAR(10),'Bundle Tag Info'!$A$2," ",'Bundle Tag Info'!$A$3,CHAR(10),'Bundle Tag Info'!O$6,CHAR(10),'Bundle Tag Info'!O$36),"")</f>
        <v/>
      </c>
      <c r="O31" s="12" t="str">
        <f>IF('Bundle Tag Info'!P$36&lt;&gt;"",CONCATENATE('Bundle Tag Info'!$A$1," ",CHAR(10),'Bundle Tag Info'!$A$2," ",'Bundle Tag Info'!$A$3,CHAR(10),'Bundle Tag Info'!P$6,CHAR(10),'Bundle Tag Info'!P$36),"")</f>
        <v/>
      </c>
      <c r="P31" s="12" t="str">
        <f>IF('Bundle Tag Info'!Q$36&lt;&gt;"",CONCATENATE('Bundle Tag Info'!$A$1," ",CHAR(10),'Bundle Tag Info'!$A$2," ",'Bundle Tag Info'!$A$3,CHAR(10),'Bundle Tag Info'!Q$6,CHAR(10),'Bundle Tag Info'!Q$36),"")</f>
        <v/>
      </c>
      <c r="Q31" s="12" t="str">
        <f>IF('Bundle Tag Info'!R$36&lt;&gt;"",CONCATENATE('Bundle Tag Info'!$A$1," ",CHAR(10),'Bundle Tag Info'!$A$2," ",'Bundle Tag Info'!$A$3,CHAR(10),'Bundle Tag Info'!R$6,CHAR(10),'Bundle Tag Info'!R$36),"")</f>
        <v/>
      </c>
      <c r="R31" s="12" t="str">
        <f>IF('Bundle Tag Info'!S$36&lt;&gt;"",CONCATENATE('Bundle Tag Info'!$A$1," ",CHAR(10),'Bundle Tag Info'!$A$2," ",'Bundle Tag Info'!$A$3,CHAR(10),'Bundle Tag Info'!S$6,CHAR(10),'Bundle Tag Info'!S$36),"")</f>
        <v/>
      </c>
      <c r="S31" s="12" t="str">
        <f>IF('Bundle Tag Info'!T$36&lt;&gt;"",CONCATENATE('Bundle Tag Info'!$A$1," ",CHAR(10),'Bundle Tag Info'!$A$2," ",'Bundle Tag Info'!$A$3,CHAR(10),'Bundle Tag Info'!T$6,CHAR(10),'Bundle Tag Info'!T$36),"")</f>
        <v/>
      </c>
      <c r="T31" s="12" t="str">
        <f>IF('Bundle Tag Info'!U$36&lt;&gt;"",CONCATENATE('Bundle Tag Info'!$A$1," ",CHAR(10),'Bundle Tag Info'!$A$2," ",'Bundle Tag Info'!$A$3,CHAR(10),'Bundle Tag Info'!U$6,CHAR(10),'Bundle Tag Info'!U$36),"")</f>
        <v/>
      </c>
      <c r="U31" s="12" t="str">
        <f>IF('Bundle Tag Info'!V$36&lt;&gt;"",CONCATENATE('Bundle Tag Info'!$A$1," ",CHAR(10),'Bundle Tag Info'!$A$2," ",'Bundle Tag Info'!$A$3,CHAR(10),'Bundle Tag Info'!V$6,CHAR(10),'Bundle Tag Info'!V$36),"")</f>
        <v/>
      </c>
      <c r="V31" s="12" t="str">
        <f>IF('Bundle Tag Info'!W$36&lt;&gt;"",CONCATENATE('Bundle Tag Info'!$A$1," ",CHAR(10),'Bundle Tag Info'!$A$2," ",'Bundle Tag Info'!$A$3,CHAR(10),'Bundle Tag Info'!W$6,CHAR(10),'Bundle Tag Info'!W$36),"")</f>
        <v/>
      </c>
      <c r="W31" s="12" t="str">
        <f>IF('Bundle Tag Info'!X$36&lt;&gt;"",CONCATENATE('Bundle Tag Info'!$A$1," ",CHAR(10),'Bundle Tag Info'!$A$2," ",'Bundle Tag Info'!$A$3,CHAR(10),'Bundle Tag Info'!X$6,CHAR(10),'Bundle Tag Info'!X$36),"")</f>
        <v/>
      </c>
      <c r="X31" s="12" t="str">
        <f>IF('Bundle Tag Info'!Y$36&lt;&gt;"",CONCATENATE('Bundle Tag Info'!$A$1," ",CHAR(10),'Bundle Tag Info'!$A$2," ",'Bundle Tag Info'!$A$3,CHAR(10),'Bundle Tag Info'!Y$6,CHAR(10),'Bundle Tag Info'!Y$36),"")</f>
        <v/>
      </c>
      <c r="Y31" s="12" t="str">
        <f>IF('Bundle Tag Info'!Z$36&lt;&gt;"",CONCATENATE('Bundle Tag Info'!$A$1," ",CHAR(10),'Bundle Tag Info'!$A$2," ",'Bundle Tag Info'!$A$3,CHAR(10),'Bundle Tag Info'!Z$6,CHAR(10),'Bundle Tag Info'!Z$36),"")</f>
        <v/>
      </c>
      <c r="Z31" s="12" t="str">
        <f>IF('Bundle Tag Info'!AA$36&lt;&gt;"",CONCATENATE('Bundle Tag Info'!$A$1," ",CHAR(10),'Bundle Tag Info'!$A$2," ",'Bundle Tag Info'!$A$3,CHAR(10),'Bundle Tag Info'!AA$6,CHAR(10),'Bundle Tag Info'!AA$36),"")</f>
        <v/>
      </c>
      <c r="AA31" s="12" t="str">
        <f>IF('Bundle Tag Info'!AB$36&lt;&gt;"",CONCATENATE('Bundle Tag Info'!$A$1," ",CHAR(10),'Bundle Tag Info'!$A$2," ",'Bundle Tag Info'!$A$3,CHAR(10),'Bundle Tag Info'!AB$6,CHAR(10),'Bundle Tag Info'!AB$36),"")</f>
        <v/>
      </c>
      <c r="AB31" s="12" t="str">
        <f>IF('Bundle Tag Info'!AC$36&lt;&gt;"",CONCATENATE('Bundle Tag Info'!$A$1," ",CHAR(10),'Bundle Tag Info'!$A$2," ",'Bundle Tag Info'!$A$3,CHAR(10),'Bundle Tag Info'!AC$6,CHAR(10),'Bundle Tag Info'!AC$36),"")</f>
        <v/>
      </c>
      <c r="AC31" s="12" t="str">
        <f>IF('Bundle Tag Info'!AD$36&lt;&gt;"",CONCATENATE('Bundle Tag Info'!$A$1," ",CHAR(10),'Bundle Tag Info'!$A$2," ",'Bundle Tag Info'!$A$3,CHAR(10),'Bundle Tag Info'!AD$6,CHAR(10),'Bundle Tag Info'!AD$36),"")</f>
        <v/>
      </c>
      <c r="AD31" s="12" t="str">
        <f>IF('Bundle Tag Info'!AE$36&lt;&gt;"",CONCATENATE('Bundle Tag Info'!$A$1," ",CHAR(10),'Bundle Tag Info'!$A$2," ",'Bundle Tag Info'!$A$3,CHAR(10),'Bundle Tag Info'!AE$6,CHAR(10),'Bundle Tag Info'!AE$36),"")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4CB8-DED1-4BA7-8972-CC3FE0E71D81}">
  <dimension ref="A1:AD68"/>
  <sheetViews>
    <sheetView zoomScale="70" zoomScaleNormal="70" workbookViewId="0">
      <selection activeCell="K50" sqref="K50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1" t="s">
        <v>1740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2.6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BP-KEMD  
4L541 B.1
JB70
AT1100</v>
      </c>
      <c r="K2" s="12" t="str">
        <f>IF('Bundle Tag Info'!L$7&lt;&gt;"",CONCATENATE('Bundle Tag Info'!$A$1," ",CHAR(10),'Bundle Tag Info'!$A$2," ",'Bundle Tag Info'!$A$3,CHAR(10),'Bundle Tag Info'!L$6,CHAR(10),'Bundle Tag Info'!L$7),"")</f>
        <v/>
      </c>
      <c r="L2" s="12" t="str">
        <f>IF('Bundle Tag Info'!M$7&lt;&gt;"",CONCATENATE('Bundle Tag Info'!$A$1," ",CHAR(10),'Bundle Tag Info'!$A$2," ",'Bundle Tag Info'!$A$3,CHAR(10),'Bundle Tag Info'!M$6,CHAR(10),'Bundle Tag Info'!M$7),"")</f>
        <v/>
      </c>
      <c r="M2" s="12" t="str">
        <f>IF('Bundle Tag Info'!N$7&lt;&gt;"",CONCATENATE('Bundle Tag Info'!$A$1," ",CHAR(10),'Bundle Tag Info'!$A$2," ",'Bundle Tag Info'!$A$3,CHAR(10),'Bundle Tag Info'!N$6,CHAR(10),'Bundle Tag Info'!N$7),"")</f>
        <v/>
      </c>
      <c r="N2" s="12" t="str">
        <f>IF('Bundle Tag Info'!O$7&lt;&gt;"",CONCATENATE('Bundle Tag Info'!$A$1," ",CHAR(10),'Bundle Tag Info'!$A$2," ",'Bundle Tag Info'!$A$3,CHAR(10),'Bundle Tag Info'!O$6,CHAR(10),'Bundle Tag Info'!O$7),"")</f>
        <v/>
      </c>
      <c r="O2" s="12" t="str">
        <f>IF('Bundle Tag Info'!P$7&lt;&gt;"",CONCATENATE('Bundle Tag Info'!$A$1," ",CHAR(10),'Bundle Tag Info'!$A$2," ",'Bundle Tag Info'!$A$3,CHAR(10),'Bundle Tag Info'!P$6,CHAR(10),'Bundle Tag Info'!P$7),"")</f>
        <v/>
      </c>
      <c r="P2" s="12" t="str">
        <f>IF('Bundle Tag Info'!Q$7&lt;&gt;"",CONCATENATE('Bundle Tag Info'!$A$1," ",CHAR(10),'Bundle Tag Info'!$A$2," ",'Bundle Tag Info'!$A$3,CHAR(10),'Bundle Tag Info'!Q$6,CHAR(10),'Bundle Tag Info'!Q$7),"")</f>
        <v/>
      </c>
      <c r="Q2" s="12" t="str">
        <f>IF('Bundle Tag Info'!R$7&lt;&gt;"",CONCATENATE('Bundle Tag Info'!$A$1," ",CHAR(10),'Bundle Tag Info'!$A$2," ",'Bundle Tag Info'!$A$3,CHAR(10),'Bundle Tag Info'!R$6,CHAR(10),'Bundle Tag Info'!R$7),"")</f>
        <v/>
      </c>
      <c r="R2" s="12" t="str">
        <f>IF('Bundle Tag Info'!S$7&lt;&gt;"",CONCATENATE('Bundle Tag Info'!$A$1," ",CHAR(10),'Bundle Tag Info'!$A$2," ",'Bundle Tag Info'!$A$3,CHAR(10),'Bundle Tag Info'!S$6,CHAR(10),'Bundle Tag Info'!S$7),"")</f>
        <v/>
      </c>
      <c r="S2" s="12" t="str">
        <f>IF('Bundle Tag Info'!T$7&lt;&gt;"",CONCATENATE('Bundle Tag Info'!$A$1," ",CHAR(10),'Bundle Tag Info'!$A$2," ",'Bundle Tag Info'!$A$3,CHAR(10),'Bundle Tag Info'!T$6,CHAR(10),'Bundle Tag Info'!T$7),"")</f>
        <v/>
      </c>
      <c r="T2" s="12" t="str">
        <f>IF('Bundle Tag Info'!U$7&lt;&gt;"",CONCATENATE('Bundle Tag Info'!$A$1," ",CHAR(10),'Bundle Tag Info'!$A$2," ",'Bundle Tag Info'!$A$3,CHAR(10),'Bundle Tag Info'!U$6,CHAR(10),'Bundle Tag Info'!U$7),"")</f>
        <v/>
      </c>
      <c r="U2" s="12" t="str">
        <f>IF('Bundle Tag Info'!V$7&lt;&gt;"",CONCATENATE('Bundle Tag Info'!$A$1," ",CHAR(10),'Bundle Tag Info'!$A$2," ",'Bundle Tag Info'!$A$3,CHAR(10),'Bundle Tag Info'!V$6,CHAR(10),'Bundle Tag Info'!V$7),"")</f>
        <v/>
      </c>
      <c r="V2" s="12" t="str">
        <f>IF('Bundle Tag Info'!W$7&lt;&gt;"",CONCATENATE('Bundle Tag Info'!$A$1," ",CHAR(10),'Bundle Tag Info'!$A$2," ",'Bundle Tag Info'!$A$3,CHAR(10),'Bundle Tag Info'!W$6,CHAR(10),'Bundle Tag Info'!W$7),"")</f>
        <v/>
      </c>
      <c r="W2" s="12" t="str">
        <f>IF('Bundle Tag Info'!X$7&lt;&gt;"",CONCATENATE('Bundle Tag Info'!$A$1," ",CHAR(10),'Bundle Tag Info'!$A$2," ",'Bundle Tag Info'!$A$3,CHAR(10),'Bundle Tag Info'!X$6,CHAR(10),'Bundle Tag Info'!X$7),"")</f>
        <v/>
      </c>
      <c r="X2" s="12" t="str">
        <f>IF('Bundle Tag Info'!Y$7&lt;&gt;"",CONCATENATE('Bundle Tag Info'!$A$1," ",CHAR(10),'Bundle Tag Info'!$A$2," ",'Bundle Tag Info'!$A$3,CHAR(10),'Bundle Tag Info'!Y$6,CHAR(10),'Bundle Tag Info'!Y$7),"")</f>
        <v/>
      </c>
      <c r="Y2" s="12" t="str">
        <f>IF('Bundle Tag Info'!Z$7&lt;&gt;"",CONCATENATE('Bundle Tag Info'!$A$1," ",CHAR(10),'Bundle Tag Info'!$A$2," ",'Bundle Tag Info'!$A$3,CHAR(10),'Bundle Tag Info'!Z$6,CHAR(10),'Bundle Tag Info'!Z$7),"")</f>
        <v/>
      </c>
      <c r="Z2" s="12" t="str">
        <f>IF('Bundle Tag Info'!AA$7&lt;&gt;"",CONCATENATE('Bundle Tag Info'!$A$1," ",CHAR(10),'Bundle Tag Info'!$A$2," ",'Bundle Tag Info'!$A$3,CHAR(10),'Bundle Tag Info'!AA$6,CHAR(10),'Bundle Tag Info'!AA$7),"")</f>
        <v/>
      </c>
      <c r="AA2" s="12" t="str">
        <f>IF('Bundle Tag Info'!AB$7&lt;&gt;"",CONCATENATE('Bundle Tag Info'!$A$1," ",CHAR(10),'Bundle Tag Info'!$A$2," ",'Bundle Tag Info'!$A$3,CHAR(10),'Bundle Tag Info'!AB$6,CHAR(10),'Bundle Tag Info'!AB$7),"")</f>
        <v/>
      </c>
      <c r="AB2" s="12" t="str">
        <f>IF('Bundle Tag Info'!AC$7&lt;&gt;"",CONCATENATE('Bundle Tag Info'!$A$1," ",CHAR(10),'Bundle Tag Info'!$A$2," ",'Bundle Tag Info'!$A$3,CHAR(10),'Bundle Tag Info'!AC$6,CHAR(10),'Bundle Tag Info'!AC$7),"")</f>
        <v/>
      </c>
      <c r="AC2" s="12" t="str">
        <f>IF('Bundle Tag Info'!AD$7&lt;&gt;"",CONCATENATE('Bundle Tag Info'!$A$1," ",CHAR(10),'Bundle Tag Info'!$A$2," ",'Bundle Tag Info'!$A$3,CHAR(10),'Bundle Tag Info'!AD$6,CHAR(10),'Bundle Tag Info'!AD$7),"")</f>
        <v/>
      </c>
      <c r="AD2" s="12" t="str">
        <f>IF('Bundle Tag Info'!AE$7&lt;&gt;"",CONCATENATE('Bundle Tag Info'!$A$1," ",CHAR(10),'Bundle Tag Info'!$A$2," ",'Bundle Tag Info'!$A$3,CHAR(10),'Bundle Tag Info'!AE$6,CHAR(10),'Bundle Tag Info'!AE$7),"")</f>
        <v/>
      </c>
    </row>
    <row r="3" spans="1:30" ht="12.6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BP-KEMD  
4L541 B.1
JB70
SA0471</v>
      </c>
      <c r="K3" s="12" t="str">
        <f>IF('Bundle Tag Info'!L$8&lt;&gt;"",CONCATENATE('Bundle Tag Info'!$A$1," ",CHAR(10),'Bundle Tag Info'!$A$2," ",'Bundle Tag Info'!$A$3,CHAR(10),'Bundle Tag Info'!L$6,CHAR(10),'Bundle Tag Info'!L$8),"")</f>
        <v/>
      </c>
      <c r="L3" s="12" t="str">
        <f>IF('Bundle Tag Info'!M$8&lt;&gt;"",CONCATENATE('Bundle Tag Info'!$A$1," ",CHAR(10),'Bundle Tag Info'!$A$2," ",'Bundle Tag Info'!$A$3,CHAR(10),'Bundle Tag Info'!M$6,CHAR(10),'Bundle Tag Info'!M$8),"")</f>
        <v/>
      </c>
      <c r="M3" s="12" t="str">
        <f>IF('Bundle Tag Info'!N$8&lt;&gt;"",CONCATENATE('Bundle Tag Info'!$A$1," ",CHAR(10),'Bundle Tag Info'!$A$2," ",'Bundle Tag Info'!$A$3,CHAR(10),'Bundle Tag Info'!N$6,CHAR(10),'Bundle Tag Info'!N$8),"")</f>
        <v/>
      </c>
      <c r="N3" s="12" t="str">
        <f>IF('Bundle Tag Info'!O$8&lt;&gt;"",CONCATENATE('Bundle Tag Info'!$A$1," ",CHAR(10),'Bundle Tag Info'!$A$2," ",'Bundle Tag Info'!$A$3,CHAR(10),'Bundle Tag Info'!O$6,CHAR(10),'Bundle Tag Info'!O$8),"")</f>
        <v/>
      </c>
      <c r="O3" s="12" t="str">
        <f>IF('Bundle Tag Info'!P$8&lt;&gt;"",CONCATENATE('Bundle Tag Info'!$A$1," ",CHAR(10),'Bundle Tag Info'!$A$2," ",'Bundle Tag Info'!$A$3,CHAR(10),'Bundle Tag Info'!P$6,CHAR(10),'Bundle Tag Info'!P$8),"")</f>
        <v/>
      </c>
      <c r="P3" s="12" t="str">
        <f>IF('Bundle Tag Info'!Q$8&lt;&gt;"",CONCATENATE('Bundle Tag Info'!$A$1," ",CHAR(10),'Bundle Tag Info'!$A$2," ",'Bundle Tag Info'!$A$3,CHAR(10),'Bundle Tag Info'!Q$6,CHAR(10),'Bundle Tag Info'!Q$8),"")</f>
        <v/>
      </c>
      <c r="Q3" s="12" t="str">
        <f>IF('Bundle Tag Info'!R$8&lt;&gt;"",CONCATENATE('Bundle Tag Info'!$A$1," ",CHAR(10),'Bundle Tag Info'!$A$2," ",'Bundle Tag Info'!$A$3,CHAR(10),'Bundle Tag Info'!R$6,CHAR(10),'Bundle Tag Info'!R$8),"")</f>
        <v/>
      </c>
      <c r="R3" s="12" t="str">
        <f>IF('Bundle Tag Info'!S$8&lt;&gt;"",CONCATENATE('Bundle Tag Info'!$A$1," ",CHAR(10),'Bundle Tag Info'!$A$2," ",'Bundle Tag Info'!$A$3,CHAR(10),'Bundle Tag Info'!S$6,CHAR(10),'Bundle Tag Info'!S$8),"")</f>
        <v/>
      </c>
      <c r="S3" s="12" t="str">
        <f>IF('Bundle Tag Info'!T$8&lt;&gt;"",CONCATENATE('Bundle Tag Info'!$A$1," ",CHAR(10),'Bundle Tag Info'!$A$2," ",'Bundle Tag Info'!$A$3,CHAR(10),'Bundle Tag Info'!T$6,CHAR(10),'Bundle Tag Info'!T$8),"")</f>
        <v/>
      </c>
      <c r="T3" s="12" t="str">
        <f>IF('Bundle Tag Info'!U$8&lt;&gt;"",CONCATENATE('Bundle Tag Info'!$A$1," ",CHAR(10),'Bundle Tag Info'!$A$2," ",'Bundle Tag Info'!$A$3,CHAR(10),'Bundle Tag Info'!U$6,CHAR(10),'Bundle Tag Info'!U$8),"")</f>
        <v/>
      </c>
      <c r="U3" s="12" t="str">
        <f>IF('Bundle Tag Info'!V$8&lt;&gt;"",CONCATENATE('Bundle Tag Info'!$A$1," ",CHAR(10),'Bundle Tag Info'!$A$2," ",'Bundle Tag Info'!$A$3,CHAR(10),'Bundle Tag Info'!V$6,CHAR(10),'Bundle Tag Info'!V$8),"")</f>
        <v/>
      </c>
      <c r="V3" s="12" t="str">
        <f>IF('Bundle Tag Info'!W$8&lt;&gt;"",CONCATENATE('Bundle Tag Info'!$A$1," ",CHAR(10),'Bundle Tag Info'!$A$2," ",'Bundle Tag Info'!$A$3,CHAR(10),'Bundle Tag Info'!W$6,CHAR(10),'Bundle Tag Info'!W$8),"")</f>
        <v/>
      </c>
      <c r="W3" s="12" t="str">
        <f>IF('Bundle Tag Info'!X$8&lt;&gt;"",CONCATENATE('Bundle Tag Info'!$A$1," ",CHAR(10),'Bundle Tag Info'!$A$2," ",'Bundle Tag Info'!$A$3,CHAR(10),'Bundle Tag Info'!X$6,CHAR(10),'Bundle Tag Info'!X$8),"")</f>
        <v/>
      </c>
      <c r="X3" s="12" t="str">
        <f>IF('Bundle Tag Info'!Y$8&lt;&gt;"",CONCATENATE('Bundle Tag Info'!$A$1," ",CHAR(10),'Bundle Tag Info'!$A$2," ",'Bundle Tag Info'!$A$3,CHAR(10),'Bundle Tag Info'!Y$6,CHAR(10),'Bundle Tag Info'!Y$8),"")</f>
        <v/>
      </c>
      <c r="Y3" s="12" t="str">
        <f>IF('Bundle Tag Info'!Z$8&lt;&gt;"",CONCATENATE('Bundle Tag Info'!$A$1," ",CHAR(10),'Bundle Tag Info'!$A$2," ",'Bundle Tag Info'!$A$3,CHAR(10),'Bundle Tag Info'!Z$6,CHAR(10),'Bundle Tag Info'!Z$8),"")</f>
        <v/>
      </c>
      <c r="Z3" s="12" t="str">
        <f>IF('Bundle Tag Info'!AA$8&lt;&gt;"",CONCATENATE('Bundle Tag Info'!$A$1," ",CHAR(10),'Bundle Tag Info'!$A$2," ",'Bundle Tag Info'!$A$3,CHAR(10),'Bundle Tag Info'!AA$6,CHAR(10),'Bundle Tag Info'!AA$8),"")</f>
        <v/>
      </c>
      <c r="AA3" s="12" t="str">
        <f>IF('Bundle Tag Info'!AB$8&lt;&gt;"",CONCATENATE('Bundle Tag Info'!$A$1," ",CHAR(10),'Bundle Tag Info'!$A$2," ",'Bundle Tag Info'!$A$3,CHAR(10),'Bundle Tag Info'!AB$6,CHAR(10),'Bundle Tag Info'!AB$8),"")</f>
        <v/>
      </c>
      <c r="AB3" s="12" t="str">
        <f>IF('Bundle Tag Info'!AC$8&lt;&gt;"",CONCATENATE('Bundle Tag Info'!$A$1," ",CHAR(10),'Bundle Tag Info'!$A$2," ",'Bundle Tag Info'!$A$3,CHAR(10),'Bundle Tag Info'!AC$6,CHAR(10),'Bundle Tag Info'!AC$8),"")</f>
        <v/>
      </c>
      <c r="AC3" s="12" t="str">
        <f>IF('Bundle Tag Info'!AD$8&lt;&gt;"",CONCATENATE('Bundle Tag Info'!$A$1," ",CHAR(10),'Bundle Tag Info'!$A$2," ",'Bundle Tag Info'!$A$3,CHAR(10),'Bundle Tag Info'!AD$6,CHAR(10),'Bundle Tag Info'!AD$8),"")</f>
        <v/>
      </c>
      <c r="AD3" s="12" t="str">
        <f>IF('Bundle Tag Info'!AE$8&lt;&gt;"",CONCATENATE('Bundle Tag Info'!$A$1," ",CHAR(10),'Bundle Tag Info'!$A$2," ",'Bundle Tag Info'!$A$3,CHAR(10),'Bundle Tag Info'!AE$6,CHAR(10),'Bundle Tag Info'!AE$8),"")</f>
        <v/>
      </c>
    </row>
    <row r="4" spans="1:30" ht="12.6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BP-KEMD  
4L541 B.1
JB70
SA0473</v>
      </c>
      <c r="K4" s="12" t="str">
        <f>IF('Bundle Tag Info'!L$9&lt;&gt;"",CONCATENATE('Bundle Tag Info'!$A$1," ",CHAR(10),'Bundle Tag Info'!$A$2," ",'Bundle Tag Info'!$A$3,CHAR(10),'Bundle Tag Info'!L$6,CHAR(10),'Bundle Tag Info'!L$9),"")</f>
        <v/>
      </c>
      <c r="L4" s="12" t="str">
        <f>IF('Bundle Tag Info'!M$9&lt;&gt;"",CONCATENATE('Bundle Tag Info'!$A$1," ",CHAR(10),'Bundle Tag Info'!$A$2," ",'Bundle Tag Info'!$A$3,CHAR(10),'Bundle Tag Info'!M$6,CHAR(10),'Bundle Tag Info'!M$9),"")</f>
        <v/>
      </c>
      <c r="M4" s="12" t="str">
        <f>IF('Bundle Tag Info'!N$9&lt;&gt;"",CONCATENATE('Bundle Tag Info'!$A$1," ",CHAR(10),'Bundle Tag Info'!$A$2," ",'Bundle Tag Info'!$A$3,CHAR(10),'Bundle Tag Info'!N$6,CHAR(10),'Bundle Tag Info'!N$9),"")</f>
        <v/>
      </c>
      <c r="N4" s="12" t="str">
        <f>IF('Bundle Tag Info'!O$9&lt;&gt;"",CONCATENATE('Bundle Tag Info'!$A$1," ",CHAR(10),'Bundle Tag Info'!$A$2," ",'Bundle Tag Info'!$A$3,CHAR(10),'Bundle Tag Info'!O$6,CHAR(10),'Bundle Tag Info'!O$9),"")</f>
        <v/>
      </c>
      <c r="O4" s="12" t="str">
        <f>IF('Bundle Tag Info'!P$9&lt;&gt;"",CONCATENATE('Bundle Tag Info'!$A$1," ",CHAR(10),'Bundle Tag Info'!$A$2," ",'Bundle Tag Info'!$A$3,CHAR(10),'Bundle Tag Info'!P$6,CHAR(10),'Bundle Tag Info'!P$9),"")</f>
        <v/>
      </c>
      <c r="P4" s="12" t="str">
        <f>IF('Bundle Tag Info'!Q$9&lt;&gt;"",CONCATENATE('Bundle Tag Info'!$A$1," ",CHAR(10),'Bundle Tag Info'!$A$2," ",'Bundle Tag Info'!$A$3,CHAR(10),'Bundle Tag Info'!Q$6,CHAR(10),'Bundle Tag Info'!Q$9),"")</f>
        <v/>
      </c>
      <c r="Q4" s="12" t="str">
        <f>IF('Bundle Tag Info'!R$9&lt;&gt;"",CONCATENATE('Bundle Tag Info'!$A$1," ",CHAR(10),'Bundle Tag Info'!$A$2," ",'Bundle Tag Info'!$A$3,CHAR(10),'Bundle Tag Info'!R$6,CHAR(10),'Bundle Tag Info'!R$9),"")</f>
        <v/>
      </c>
      <c r="R4" s="12" t="str">
        <f>IF('Bundle Tag Info'!S$9&lt;&gt;"",CONCATENATE('Bundle Tag Info'!$A$1," ",CHAR(10),'Bundle Tag Info'!$A$2," ",'Bundle Tag Info'!$A$3,CHAR(10),'Bundle Tag Info'!S$6,CHAR(10),'Bundle Tag Info'!S$9),"")</f>
        <v/>
      </c>
      <c r="S4" s="12" t="str">
        <f>IF('Bundle Tag Info'!T$9&lt;&gt;"",CONCATENATE('Bundle Tag Info'!$A$1," ",CHAR(10),'Bundle Tag Info'!$A$2," ",'Bundle Tag Info'!$A$3,CHAR(10),'Bundle Tag Info'!T$6,CHAR(10),'Bundle Tag Info'!T$9),"")</f>
        <v/>
      </c>
      <c r="T4" s="12" t="str">
        <f>IF('Bundle Tag Info'!U$9&lt;&gt;"",CONCATENATE('Bundle Tag Info'!$A$1," ",CHAR(10),'Bundle Tag Info'!$A$2," ",'Bundle Tag Info'!$A$3,CHAR(10),'Bundle Tag Info'!U$6,CHAR(10),'Bundle Tag Info'!U$9),"")</f>
        <v/>
      </c>
      <c r="U4" s="12" t="str">
        <f>IF('Bundle Tag Info'!V$9&lt;&gt;"",CONCATENATE('Bundle Tag Info'!$A$1," ",CHAR(10),'Bundle Tag Info'!$A$2," ",'Bundle Tag Info'!$A$3,CHAR(10),'Bundle Tag Info'!V$6,CHAR(10),'Bundle Tag Info'!V$9),"")</f>
        <v/>
      </c>
      <c r="V4" s="12" t="str">
        <f>IF('Bundle Tag Info'!W$9&lt;&gt;"",CONCATENATE('Bundle Tag Info'!$A$1," ",CHAR(10),'Bundle Tag Info'!$A$2," ",'Bundle Tag Info'!$A$3,CHAR(10),'Bundle Tag Info'!W$6,CHAR(10),'Bundle Tag Info'!W$9),"")</f>
        <v/>
      </c>
      <c r="W4" s="12" t="str">
        <f>IF('Bundle Tag Info'!X$9&lt;&gt;"",CONCATENATE('Bundle Tag Info'!$A$1," ",CHAR(10),'Bundle Tag Info'!$A$2," ",'Bundle Tag Info'!$A$3,CHAR(10),'Bundle Tag Info'!X$6,CHAR(10),'Bundle Tag Info'!X$9),"")</f>
        <v/>
      </c>
      <c r="X4" s="12" t="str">
        <f>IF('Bundle Tag Info'!Y$9&lt;&gt;"",CONCATENATE('Bundle Tag Info'!$A$1," ",CHAR(10),'Bundle Tag Info'!$A$2," ",'Bundle Tag Info'!$A$3,CHAR(10),'Bundle Tag Info'!Y$6,CHAR(10),'Bundle Tag Info'!Y$9),"")</f>
        <v/>
      </c>
      <c r="Y4" s="12" t="str">
        <f>IF('Bundle Tag Info'!Z$9&lt;&gt;"",CONCATENATE('Bundle Tag Info'!$A$1," ",CHAR(10),'Bundle Tag Info'!$A$2," ",'Bundle Tag Info'!$A$3,CHAR(10),'Bundle Tag Info'!Z$6,CHAR(10),'Bundle Tag Info'!Z$9),"")</f>
        <v/>
      </c>
      <c r="Z4" s="12" t="str">
        <f>IF('Bundle Tag Info'!AA$9&lt;&gt;"",CONCATENATE('Bundle Tag Info'!$A$1," ",CHAR(10),'Bundle Tag Info'!$A$2," ",'Bundle Tag Info'!$A$3,CHAR(10),'Bundle Tag Info'!AA$6,CHAR(10),'Bundle Tag Info'!AA$9),"")</f>
        <v/>
      </c>
      <c r="AA4" s="12" t="str">
        <f>IF('Bundle Tag Info'!AB$9&lt;&gt;"",CONCATENATE('Bundle Tag Info'!$A$1," ",CHAR(10),'Bundle Tag Info'!$A$2," ",'Bundle Tag Info'!$A$3,CHAR(10),'Bundle Tag Info'!AB$6,CHAR(10),'Bundle Tag Info'!AB$9),"")</f>
        <v/>
      </c>
      <c r="AB4" s="12" t="str">
        <f>IF('Bundle Tag Info'!AC$9&lt;&gt;"",CONCATENATE('Bundle Tag Info'!$A$1," ",CHAR(10),'Bundle Tag Info'!$A$2," ",'Bundle Tag Info'!$A$3,CHAR(10),'Bundle Tag Info'!AC$6,CHAR(10),'Bundle Tag Info'!AC$9),"")</f>
        <v/>
      </c>
      <c r="AC4" s="12" t="str">
        <f>IF('Bundle Tag Info'!AD$9&lt;&gt;"",CONCATENATE('Bundle Tag Info'!$A$1," ",CHAR(10),'Bundle Tag Info'!$A$2," ",'Bundle Tag Info'!$A$3,CHAR(10),'Bundle Tag Info'!AD$6,CHAR(10),'Bundle Tag Info'!AD$9),"")</f>
        <v/>
      </c>
      <c r="AD4" s="12" t="str">
        <f>IF('Bundle Tag Info'!AE$9&lt;&gt;"",CONCATENATE('Bundle Tag Info'!$A$1," ",CHAR(10),'Bundle Tag Info'!$A$2," ",'Bundle Tag Info'!$A$3,CHAR(10),'Bundle Tag Info'!AE$6,CHAR(10),'Bundle Tag Info'!AE$9),"")</f>
        <v/>
      </c>
    </row>
    <row r="5" spans="1:30" ht="12.6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BP-KEMD  
4L541 B.1
JB70
SA0474</v>
      </c>
      <c r="J5" s="12" t="str">
        <f>IF('Bundle Tag Info'!K$10&lt;&gt;"",CONCATENATE('Bundle Tag Info'!$A$1," ",CHAR(10),'Bundle Tag Info'!$A$2," ",'Bundle Tag Info'!$A$3,CHAR(10),'Bundle Tag Info'!K$6,CHAR(10),'Bundle Tag Info'!K$10),"")</f>
        <v/>
      </c>
      <c r="K5" s="12" t="str">
        <f>IF('Bundle Tag Info'!L$10&lt;&gt;"",CONCATENATE('Bundle Tag Info'!$A$1," ",CHAR(10),'Bundle Tag Info'!$A$2," ",'Bundle Tag Info'!$A$3,CHAR(10),'Bundle Tag Info'!L$6,CHAR(10),'Bundle Tag Info'!L$10),"")</f>
        <v/>
      </c>
      <c r="L5" s="12" t="str">
        <f>IF('Bundle Tag Info'!M$10&lt;&gt;"",CONCATENATE('Bundle Tag Info'!$A$1," ",CHAR(10),'Bundle Tag Info'!$A$2," ",'Bundle Tag Info'!$A$3,CHAR(10),'Bundle Tag Info'!M$6,CHAR(10),'Bundle Tag Info'!M$10),"")</f>
        <v/>
      </c>
      <c r="M5" s="12" t="str">
        <f>IF('Bundle Tag Info'!N$10&lt;&gt;"",CONCATENATE('Bundle Tag Info'!$A$1," ",CHAR(10),'Bundle Tag Info'!$A$2," ",'Bundle Tag Info'!$A$3,CHAR(10),'Bundle Tag Info'!N$6,CHAR(10),'Bundle Tag Info'!N$10),"")</f>
        <v/>
      </c>
      <c r="N5" s="12" t="str">
        <f>IF('Bundle Tag Info'!O$10&lt;&gt;"",CONCATENATE('Bundle Tag Info'!$A$1," ",CHAR(10),'Bundle Tag Info'!$A$2," ",'Bundle Tag Info'!$A$3,CHAR(10),'Bundle Tag Info'!O$6,CHAR(10),'Bundle Tag Info'!O$10),"")</f>
        <v/>
      </c>
      <c r="O5" s="12" t="str">
        <f>IF('Bundle Tag Info'!P$10&lt;&gt;"",CONCATENATE('Bundle Tag Info'!$A$1," ",CHAR(10),'Bundle Tag Info'!$A$2," ",'Bundle Tag Info'!$A$3,CHAR(10),'Bundle Tag Info'!P$6,CHAR(10),'Bundle Tag Info'!P$10),"")</f>
        <v/>
      </c>
      <c r="P5" s="12" t="str">
        <f>IF('Bundle Tag Info'!Q$10&lt;&gt;"",CONCATENATE('Bundle Tag Info'!$A$1," ",CHAR(10),'Bundle Tag Info'!$A$2," ",'Bundle Tag Info'!$A$3,CHAR(10),'Bundle Tag Info'!Q$6,CHAR(10),'Bundle Tag Info'!Q$10),"")</f>
        <v/>
      </c>
      <c r="Q5" s="12" t="str">
        <f>IF('Bundle Tag Info'!R$10&lt;&gt;"",CONCATENATE('Bundle Tag Info'!$A$1," ",CHAR(10),'Bundle Tag Info'!$A$2," ",'Bundle Tag Info'!$A$3,CHAR(10),'Bundle Tag Info'!R$6,CHAR(10),'Bundle Tag Info'!R$10),"")</f>
        <v/>
      </c>
      <c r="R5" s="12" t="str">
        <f>IF('Bundle Tag Info'!S$10&lt;&gt;"",CONCATENATE('Bundle Tag Info'!$A$1," ",CHAR(10),'Bundle Tag Info'!$A$2," ",'Bundle Tag Info'!$A$3,CHAR(10),'Bundle Tag Info'!S$6,CHAR(10),'Bundle Tag Info'!S$10),"")</f>
        <v/>
      </c>
      <c r="S5" s="12" t="str">
        <f>IF('Bundle Tag Info'!T$10&lt;&gt;"",CONCATENATE('Bundle Tag Info'!$A$1," ",CHAR(10),'Bundle Tag Info'!$A$2," ",'Bundle Tag Info'!$A$3,CHAR(10),'Bundle Tag Info'!T$6,CHAR(10),'Bundle Tag Info'!T$10),"")</f>
        <v/>
      </c>
      <c r="T5" s="12" t="str">
        <f>IF('Bundle Tag Info'!U$10&lt;&gt;"",CONCATENATE('Bundle Tag Info'!$A$1," ",CHAR(10),'Bundle Tag Info'!$A$2," ",'Bundle Tag Info'!$A$3,CHAR(10),'Bundle Tag Info'!U$6,CHAR(10),'Bundle Tag Info'!U$10),"")</f>
        <v/>
      </c>
      <c r="U5" s="12" t="str">
        <f>IF('Bundle Tag Info'!V$10&lt;&gt;"",CONCATENATE('Bundle Tag Info'!$A$1," ",CHAR(10),'Bundle Tag Info'!$A$2," ",'Bundle Tag Info'!$A$3,CHAR(10),'Bundle Tag Info'!V$6,CHAR(10),'Bundle Tag Info'!V$10),"")</f>
        <v/>
      </c>
      <c r="V5" s="12" t="str">
        <f>IF('Bundle Tag Info'!W$10&lt;&gt;"",CONCATENATE('Bundle Tag Info'!$A$1," ",CHAR(10),'Bundle Tag Info'!$A$2," ",'Bundle Tag Info'!$A$3,CHAR(10),'Bundle Tag Info'!W$6,CHAR(10),'Bundle Tag Info'!W$10),"")</f>
        <v/>
      </c>
      <c r="W5" s="12" t="str">
        <f>IF('Bundle Tag Info'!X$10&lt;&gt;"",CONCATENATE('Bundle Tag Info'!$A$1," ",CHAR(10),'Bundle Tag Info'!$A$2," ",'Bundle Tag Info'!$A$3,CHAR(10),'Bundle Tag Info'!X$6,CHAR(10),'Bundle Tag Info'!X$10),"")</f>
        <v/>
      </c>
      <c r="X5" s="12" t="str">
        <f>IF('Bundle Tag Info'!Y$10&lt;&gt;"",CONCATENATE('Bundle Tag Info'!$A$1," ",CHAR(10),'Bundle Tag Info'!$A$2," ",'Bundle Tag Info'!$A$3,CHAR(10),'Bundle Tag Info'!Y$6,CHAR(10),'Bundle Tag Info'!Y$10),"")</f>
        <v/>
      </c>
      <c r="Y5" s="12" t="str">
        <f>IF('Bundle Tag Info'!Z$10&lt;&gt;"",CONCATENATE('Bundle Tag Info'!$A$1," ",CHAR(10),'Bundle Tag Info'!$A$2," ",'Bundle Tag Info'!$A$3,CHAR(10),'Bundle Tag Info'!Z$6,CHAR(10),'Bundle Tag Info'!Z$10),"")</f>
        <v/>
      </c>
      <c r="Z5" s="12" t="str">
        <f>IF('Bundle Tag Info'!AA$10&lt;&gt;"",CONCATENATE('Bundle Tag Info'!$A$1," ",CHAR(10),'Bundle Tag Info'!$A$2," ",'Bundle Tag Info'!$A$3,CHAR(10),'Bundle Tag Info'!AA$6,CHAR(10),'Bundle Tag Info'!AA$10),"")</f>
        <v/>
      </c>
      <c r="AA5" s="12" t="str">
        <f>IF('Bundle Tag Info'!AB$10&lt;&gt;"",CONCATENATE('Bundle Tag Info'!$A$1," ",CHAR(10),'Bundle Tag Info'!$A$2," ",'Bundle Tag Info'!$A$3,CHAR(10),'Bundle Tag Info'!AB$6,CHAR(10),'Bundle Tag Info'!AB$10),"")</f>
        <v/>
      </c>
      <c r="AB5" s="12" t="str">
        <f>IF('Bundle Tag Info'!AC$10&lt;&gt;"",CONCATENATE('Bundle Tag Info'!$A$1," ",CHAR(10),'Bundle Tag Info'!$A$2," ",'Bundle Tag Info'!$A$3,CHAR(10),'Bundle Tag Info'!AC$6,CHAR(10),'Bundle Tag Info'!AC$10),"")</f>
        <v/>
      </c>
      <c r="AC5" s="12" t="str">
        <f>IF('Bundle Tag Info'!AD$10&lt;&gt;"",CONCATENATE('Bundle Tag Info'!$A$1," ",CHAR(10),'Bundle Tag Info'!$A$2," ",'Bundle Tag Info'!$A$3,CHAR(10),'Bundle Tag Info'!AD$6,CHAR(10),'Bundle Tag Info'!AD$10),"")</f>
        <v/>
      </c>
      <c r="AD5" s="12" t="str">
        <f>IF('Bundle Tag Info'!AE$10&lt;&gt;"",CONCATENATE('Bundle Tag Info'!$A$1," ",CHAR(10),'Bundle Tag Info'!$A$2," ",'Bundle Tag Info'!$A$3,CHAR(10),'Bundle Tag Info'!AE$6,CHAR(10),'Bundle Tag Info'!AE$10),"")</f>
        <v/>
      </c>
    </row>
    <row r="6" spans="1:30" ht="12.6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BP-KEMD  
4L541 B.1
JB70
SB0471</v>
      </c>
      <c r="J6" s="12" t="str">
        <f>IF('Bundle Tag Info'!K$11&lt;&gt;"",CONCATENATE('Bundle Tag Info'!$A$1," ",CHAR(10),'Bundle Tag Info'!$A$2," ",'Bundle Tag Info'!$A$3,CHAR(10),'Bundle Tag Info'!K$6,CHAR(10),'Bundle Tag Info'!K$11),"")</f>
        <v/>
      </c>
      <c r="K6" s="12" t="str">
        <f>IF('Bundle Tag Info'!L$11&lt;&gt;"",CONCATENATE('Bundle Tag Info'!$A$1," ",CHAR(10),'Bundle Tag Info'!$A$2," ",'Bundle Tag Info'!$A$3,CHAR(10),'Bundle Tag Info'!L$6,CHAR(10),'Bundle Tag Info'!L$11),"")</f>
        <v/>
      </c>
      <c r="L6" s="12" t="str">
        <f>IF('Bundle Tag Info'!M$11&lt;&gt;"",CONCATENATE('Bundle Tag Info'!$A$1," ",CHAR(10),'Bundle Tag Info'!$A$2," ",'Bundle Tag Info'!$A$3,CHAR(10),'Bundle Tag Info'!M$6,CHAR(10),'Bundle Tag Info'!M$11),"")</f>
        <v/>
      </c>
      <c r="M6" s="12" t="str">
        <f>IF('Bundle Tag Info'!N$11&lt;&gt;"",CONCATENATE('Bundle Tag Info'!$A$1," ",CHAR(10),'Bundle Tag Info'!$A$2," ",'Bundle Tag Info'!$A$3,CHAR(10),'Bundle Tag Info'!N$6,CHAR(10),'Bundle Tag Info'!N$11),"")</f>
        <v/>
      </c>
      <c r="N6" s="12" t="str">
        <f>IF('Bundle Tag Info'!O$11&lt;&gt;"",CONCATENATE('Bundle Tag Info'!$A$1," ",CHAR(10),'Bundle Tag Info'!$A$2," ",'Bundle Tag Info'!$A$3,CHAR(10),'Bundle Tag Info'!O$6,CHAR(10),'Bundle Tag Info'!O$11),"")</f>
        <v/>
      </c>
      <c r="O6" s="12" t="str">
        <f>IF('Bundle Tag Info'!P$11&lt;&gt;"",CONCATENATE('Bundle Tag Info'!$A$1," ",CHAR(10),'Bundle Tag Info'!$A$2," ",'Bundle Tag Info'!$A$3,CHAR(10),'Bundle Tag Info'!P$6,CHAR(10),'Bundle Tag Info'!P$11),"")</f>
        <v/>
      </c>
      <c r="P6" s="12" t="str">
        <f>IF('Bundle Tag Info'!Q$11&lt;&gt;"",CONCATENATE('Bundle Tag Info'!$A$1," ",CHAR(10),'Bundle Tag Info'!$A$2," ",'Bundle Tag Info'!$A$3,CHAR(10),'Bundle Tag Info'!Q$6,CHAR(10),'Bundle Tag Info'!Q$11),"")</f>
        <v/>
      </c>
      <c r="Q6" s="12" t="str">
        <f>IF('Bundle Tag Info'!R$11&lt;&gt;"",CONCATENATE('Bundle Tag Info'!$A$1," ",CHAR(10),'Bundle Tag Info'!$A$2," ",'Bundle Tag Info'!$A$3,CHAR(10),'Bundle Tag Info'!R$6,CHAR(10),'Bundle Tag Info'!R$11),"")</f>
        <v/>
      </c>
      <c r="R6" s="12" t="str">
        <f>IF('Bundle Tag Info'!S$11&lt;&gt;"",CONCATENATE('Bundle Tag Info'!$A$1," ",CHAR(10),'Bundle Tag Info'!$A$2," ",'Bundle Tag Info'!$A$3,CHAR(10),'Bundle Tag Info'!S$6,CHAR(10),'Bundle Tag Info'!S$11),"")</f>
        <v/>
      </c>
      <c r="S6" s="12" t="str">
        <f>IF('Bundle Tag Info'!T$11&lt;&gt;"",CONCATENATE('Bundle Tag Info'!$A$1," ",CHAR(10),'Bundle Tag Info'!$A$2," ",'Bundle Tag Info'!$A$3,CHAR(10),'Bundle Tag Info'!T$6,CHAR(10),'Bundle Tag Info'!T$11),"")</f>
        <v/>
      </c>
      <c r="T6" s="12" t="str">
        <f>IF('Bundle Tag Info'!U$11&lt;&gt;"",CONCATENATE('Bundle Tag Info'!$A$1," ",CHAR(10),'Bundle Tag Info'!$A$2," ",'Bundle Tag Info'!$A$3,CHAR(10),'Bundle Tag Info'!U$6,CHAR(10),'Bundle Tag Info'!U$11),"")</f>
        <v/>
      </c>
      <c r="U6" s="12" t="str">
        <f>IF('Bundle Tag Info'!V$11&lt;&gt;"",CONCATENATE('Bundle Tag Info'!$A$1," ",CHAR(10),'Bundle Tag Info'!$A$2," ",'Bundle Tag Info'!$A$3,CHAR(10),'Bundle Tag Info'!V$6,CHAR(10),'Bundle Tag Info'!V$11),"")</f>
        <v/>
      </c>
      <c r="V6" s="12" t="str">
        <f>IF('Bundle Tag Info'!W$11&lt;&gt;"",CONCATENATE('Bundle Tag Info'!$A$1," ",CHAR(10),'Bundle Tag Info'!$A$2," ",'Bundle Tag Info'!$A$3,CHAR(10),'Bundle Tag Info'!W$6,CHAR(10),'Bundle Tag Info'!W$11),"")</f>
        <v/>
      </c>
      <c r="W6" s="12" t="str">
        <f>IF('Bundle Tag Info'!X$11&lt;&gt;"",CONCATENATE('Bundle Tag Info'!$A$1," ",CHAR(10),'Bundle Tag Info'!$A$2," ",'Bundle Tag Info'!$A$3,CHAR(10),'Bundle Tag Info'!X$6,CHAR(10),'Bundle Tag Info'!X$11),"")</f>
        <v/>
      </c>
      <c r="X6" s="12" t="str">
        <f>IF('Bundle Tag Info'!Y$11&lt;&gt;"",CONCATENATE('Bundle Tag Info'!$A$1," ",CHAR(10),'Bundle Tag Info'!$A$2," ",'Bundle Tag Info'!$A$3,CHAR(10),'Bundle Tag Info'!Y$6,CHAR(10),'Bundle Tag Info'!Y$11),"")</f>
        <v/>
      </c>
      <c r="Y6" s="12" t="str">
        <f>IF('Bundle Tag Info'!Z$11&lt;&gt;"",CONCATENATE('Bundle Tag Info'!$A$1," ",CHAR(10),'Bundle Tag Info'!$A$2," ",'Bundle Tag Info'!$A$3,CHAR(10),'Bundle Tag Info'!Z$6,CHAR(10),'Bundle Tag Info'!Z$11),"")</f>
        <v/>
      </c>
      <c r="Z6" s="12" t="str">
        <f>IF('Bundle Tag Info'!AA$11&lt;&gt;"",CONCATENATE('Bundle Tag Info'!$A$1," ",CHAR(10),'Bundle Tag Info'!$A$2," ",'Bundle Tag Info'!$A$3,CHAR(10),'Bundle Tag Info'!AA$6,CHAR(10),'Bundle Tag Info'!AA$11),"")</f>
        <v/>
      </c>
      <c r="AA6" s="12" t="str">
        <f>IF('Bundle Tag Info'!AB$11&lt;&gt;"",CONCATENATE('Bundle Tag Info'!$A$1," ",CHAR(10),'Bundle Tag Info'!$A$2," ",'Bundle Tag Info'!$A$3,CHAR(10),'Bundle Tag Info'!AB$6,CHAR(10),'Bundle Tag Info'!AB$11),"")</f>
        <v/>
      </c>
      <c r="AB6" s="12" t="str">
        <f>IF('Bundle Tag Info'!AC$11&lt;&gt;"",CONCATENATE('Bundle Tag Info'!$A$1," ",CHAR(10),'Bundle Tag Info'!$A$2," ",'Bundle Tag Info'!$A$3,CHAR(10),'Bundle Tag Info'!AC$6,CHAR(10),'Bundle Tag Info'!AC$11),"")</f>
        <v/>
      </c>
      <c r="AC6" s="12" t="str">
        <f>IF('Bundle Tag Info'!AD$11&lt;&gt;"",CONCATENATE('Bundle Tag Info'!$A$1," ",CHAR(10),'Bundle Tag Info'!$A$2," ",'Bundle Tag Info'!$A$3,CHAR(10),'Bundle Tag Info'!AD$6,CHAR(10),'Bundle Tag Info'!AD$11),"")</f>
        <v/>
      </c>
      <c r="AD6" s="12" t="str">
        <f>IF('Bundle Tag Info'!AE$11&lt;&gt;"",CONCATENATE('Bundle Tag Info'!$A$1," ",CHAR(10),'Bundle Tag Info'!$A$2," ",'Bundle Tag Info'!$A$3,CHAR(10),'Bundle Tag Info'!AE$6,CHAR(10),'Bundle Tag Info'!AE$11),"")</f>
        <v/>
      </c>
    </row>
    <row r="7" spans="1:30" ht="12.6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>BP-KEMD  
4L541 B.1
JB70
SB0472</v>
      </c>
      <c r="J7" s="12" t="str">
        <f>IF('Bundle Tag Info'!K$12&lt;&gt;"",CONCATENATE('Bundle Tag Info'!$A$1," ",CHAR(10),'Bundle Tag Info'!$A$2," ",'Bundle Tag Info'!$A$3,CHAR(10),'Bundle Tag Info'!K$6,CHAR(10),'Bundle Tag Info'!K$12),"")</f>
        <v/>
      </c>
      <c r="K7" s="12" t="str">
        <f>IF('Bundle Tag Info'!L$12&lt;&gt;"",CONCATENATE('Bundle Tag Info'!$A$1," ",CHAR(10),'Bundle Tag Info'!$A$2," ",'Bundle Tag Info'!$A$3,CHAR(10),'Bundle Tag Info'!L$6,CHAR(10),'Bundle Tag Info'!L$12),"")</f>
        <v/>
      </c>
      <c r="L7" s="12" t="str">
        <f>IF('Bundle Tag Info'!M$12&lt;&gt;"",CONCATENATE('Bundle Tag Info'!$A$1," ",CHAR(10),'Bundle Tag Info'!$A$2," ",'Bundle Tag Info'!$A$3,CHAR(10),'Bundle Tag Info'!M$6,CHAR(10),'Bundle Tag Info'!M$12),"")</f>
        <v/>
      </c>
      <c r="M7" s="12" t="str">
        <f>IF('Bundle Tag Info'!N$12&lt;&gt;"",CONCATENATE('Bundle Tag Info'!$A$1," ",CHAR(10),'Bundle Tag Info'!$A$2," ",'Bundle Tag Info'!$A$3,CHAR(10),'Bundle Tag Info'!N$6,CHAR(10),'Bundle Tag Info'!N$12),"")</f>
        <v/>
      </c>
      <c r="N7" s="12" t="str">
        <f>IF('Bundle Tag Info'!O$12&lt;&gt;"",CONCATENATE('Bundle Tag Info'!$A$1," ",CHAR(10),'Bundle Tag Info'!$A$2," ",'Bundle Tag Info'!$A$3,CHAR(10),'Bundle Tag Info'!O$6,CHAR(10),'Bundle Tag Info'!O$12),"")</f>
        <v/>
      </c>
      <c r="O7" s="12" t="str">
        <f>IF('Bundle Tag Info'!P$12&lt;&gt;"",CONCATENATE('Bundle Tag Info'!$A$1," ",CHAR(10),'Bundle Tag Info'!$A$2," ",'Bundle Tag Info'!$A$3,CHAR(10),'Bundle Tag Info'!P$6,CHAR(10),'Bundle Tag Info'!P$12),"")</f>
        <v/>
      </c>
      <c r="P7" s="12" t="str">
        <f>IF('Bundle Tag Info'!Q$12&lt;&gt;"",CONCATENATE('Bundle Tag Info'!$A$1," ",CHAR(10),'Bundle Tag Info'!$A$2," ",'Bundle Tag Info'!$A$3,CHAR(10),'Bundle Tag Info'!Q$6,CHAR(10),'Bundle Tag Info'!Q$12),"")</f>
        <v/>
      </c>
      <c r="Q7" s="12" t="str">
        <f>IF('Bundle Tag Info'!R$12&lt;&gt;"",CONCATENATE('Bundle Tag Info'!$A$1," ",CHAR(10),'Bundle Tag Info'!$A$2," ",'Bundle Tag Info'!$A$3,CHAR(10),'Bundle Tag Info'!R$6,CHAR(10),'Bundle Tag Info'!R$12),"")</f>
        <v/>
      </c>
      <c r="R7" s="12" t="str">
        <f>IF('Bundle Tag Info'!S$12&lt;&gt;"",CONCATENATE('Bundle Tag Info'!$A$1," ",CHAR(10),'Bundle Tag Info'!$A$2," ",'Bundle Tag Info'!$A$3,CHAR(10),'Bundle Tag Info'!S$6,CHAR(10),'Bundle Tag Info'!S$12),"")</f>
        <v/>
      </c>
      <c r="S7" s="12" t="str">
        <f>IF('Bundle Tag Info'!T$12&lt;&gt;"",CONCATENATE('Bundle Tag Info'!$A$1," ",CHAR(10),'Bundle Tag Info'!$A$2," ",'Bundle Tag Info'!$A$3,CHAR(10),'Bundle Tag Info'!T$6,CHAR(10),'Bundle Tag Info'!T$12),"")</f>
        <v/>
      </c>
      <c r="T7" s="12" t="str">
        <f>IF('Bundle Tag Info'!U$12&lt;&gt;"",CONCATENATE('Bundle Tag Info'!$A$1," ",CHAR(10),'Bundle Tag Info'!$A$2," ",'Bundle Tag Info'!$A$3,CHAR(10),'Bundle Tag Info'!U$6,CHAR(10),'Bundle Tag Info'!U$12),"")</f>
        <v/>
      </c>
      <c r="U7" s="12" t="str">
        <f>IF('Bundle Tag Info'!V$12&lt;&gt;"",CONCATENATE('Bundle Tag Info'!$A$1," ",CHAR(10),'Bundle Tag Info'!$A$2," ",'Bundle Tag Info'!$A$3,CHAR(10),'Bundle Tag Info'!V$6,CHAR(10),'Bundle Tag Info'!V$12),"")</f>
        <v/>
      </c>
      <c r="V7" s="12" t="str">
        <f>IF('Bundle Tag Info'!W$12&lt;&gt;"",CONCATENATE('Bundle Tag Info'!$A$1," ",CHAR(10),'Bundle Tag Info'!$A$2," ",'Bundle Tag Info'!$A$3,CHAR(10),'Bundle Tag Info'!W$6,CHAR(10),'Bundle Tag Info'!W$12),"")</f>
        <v/>
      </c>
      <c r="W7" s="12" t="str">
        <f>IF('Bundle Tag Info'!X$12&lt;&gt;"",CONCATENATE('Bundle Tag Info'!$A$1," ",CHAR(10),'Bundle Tag Info'!$A$2," ",'Bundle Tag Info'!$A$3,CHAR(10),'Bundle Tag Info'!X$6,CHAR(10),'Bundle Tag Info'!X$12),"")</f>
        <v/>
      </c>
      <c r="X7" s="12" t="str">
        <f>IF('Bundle Tag Info'!Y$12&lt;&gt;"",CONCATENATE('Bundle Tag Info'!$A$1," ",CHAR(10),'Bundle Tag Info'!$A$2," ",'Bundle Tag Info'!$A$3,CHAR(10),'Bundle Tag Info'!Y$6,CHAR(10),'Bundle Tag Info'!Y$12),"")</f>
        <v/>
      </c>
      <c r="Y7" s="12" t="str">
        <f>IF('Bundle Tag Info'!Z$12&lt;&gt;"",CONCATENATE('Bundle Tag Info'!$A$1," ",CHAR(10),'Bundle Tag Info'!$A$2," ",'Bundle Tag Info'!$A$3,CHAR(10),'Bundle Tag Info'!Z$6,CHAR(10),'Bundle Tag Info'!Z$12),"")</f>
        <v/>
      </c>
      <c r="Z7" s="12" t="str">
        <f>IF('Bundle Tag Info'!AA$12&lt;&gt;"",CONCATENATE('Bundle Tag Info'!$A$1," ",CHAR(10),'Bundle Tag Info'!$A$2," ",'Bundle Tag Info'!$A$3,CHAR(10),'Bundle Tag Info'!AA$6,CHAR(10),'Bundle Tag Info'!AA$12),"")</f>
        <v/>
      </c>
      <c r="AA7" s="12" t="str">
        <f>IF('Bundle Tag Info'!AB$12&lt;&gt;"",CONCATENATE('Bundle Tag Info'!$A$1," ",CHAR(10),'Bundle Tag Info'!$A$2," ",'Bundle Tag Info'!$A$3,CHAR(10),'Bundle Tag Info'!AB$6,CHAR(10),'Bundle Tag Info'!AB$12),"")</f>
        <v/>
      </c>
      <c r="AB7" s="12" t="str">
        <f>IF('Bundle Tag Info'!AC$12&lt;&gt;"",CONCATENATE('Bundle Tag Info'!$A$1," ",CHAR(10),'Bundle Tag Info'!$A$2," ",'Bundle Tag Info'!$A$3,CHAR(10),'Bundle Tag Info'!AC$6,CHAR(10),'Bundle Tag Info'!AC$12),"")</f>
        <v/>
      </c>
      <c r="AC7" s="12" t="str">
        <f>IF('Bundle Tag Info'!AD$12&lt;&gt;"",CONCATENATE('Bundle Tag Info'!$A$1," ",CHAR(10),'Bundle Tag Info'!$A$2," ",'Bundle Tag Info'!$A$3,CHAR(10),'Bundle Tag Info'!AD$6,CHAR(10),'Bundle Tag Info'!AD$12),"")</f>
        <v/>
      </c>
      <c r="AD7" s="12" t="str">
        <f>IF('Bundle Tag Info'!AE$12&lt;&gt;"",CONCATENATE('Bundle Tag Info'!$A$1," ",CHAR(10),'Bundle Tag Info'!$A$2," ",'Bundle Tag Info'!$A$3,CHAR(10),'Bundle Tag Info'!AE$6,CHAR(10),'Bundle Tag Info'!AE$12),"")</f>
        <v/>
      </c>
    </row>
    <row r="8" spans="1:30" ht="12.6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>BP-KEMD  
4L541 B.1
JB70
SB0473</v>
      </c>
      <c r="J8" s="12" t="str">
        <f>IF('Bundle Tag Info'!K$13&lt;&gt;"",CONCATENATE('Bundle Tag Info'!$A$1," ",CHAR(10),'Bundle Tag Info'!$A$2," ",'Bundle Tag Info'!$A$3,CHAR(10),'Bundle Tag Info'!K$6,CHAR(10),'Bundle Tag Info'!K$13),"")</f>
        <v/>
      </c>
      <c r="K8" s="12" t="str">
        <f>IF('Bundle Tag Info'!L$13&lt;&gt;"",CONCATENATE('Bundle Tag Info'!$A$1," ",CHAR(10),'Bundle Tag Info'!$A$2," ",'Bundle Tag Info'!$A$3,CHAR(10),'Bundle Tag Info'!L$6,CHAR(10),'Bundle Tag Info'!L$13),"")</f>
        <v/>
      </c>
      <c r="L8" s="12" t="str">
        <f>IF('Bundle Tag Info'!M$13&lt;&gt;"",CONCATENATE('Bundle Tag Info'!$A$1," ",CHAR(10),'Bundle Tag Info'!$A$2," ",'Bundle Tag Info'!$A$3,CHAR(10),'Bundle Tag Info'!M$6,CHAR(10),'Bundle Tag Info'!M$13),"")</f>
        <v/>
      </c>
      <c r="M8" s="12" t="str">
        <f>IF('Bundle Tag Info'!N$13&lt;&gt;"",CONCATENATE('Bundle Tag Info'!$A$1," ",CHAR(10),'Bundle Tag Info'!$A$2," ",'Bundle Tag Info'!$A$3,CHAR(10),'Bundle Tag Info'!N$6,CHAR(10),'Bundle Tag Info'!N$13),"")</f>
        <v/>
      </c>
      <c r="N8" s="12" t="str">
        <f>IF('Bundle Tag Info'!O$13&lt;&gt;"",CONCATENATE('Bundle Tag Info'!$A$1," ",CHAR(10),'Bundle Tag Info'!$A$2," ",'Bundle Tag Info'!$A$3,CHAR(10),'Bundle Tag Info'!O$6,CHAR(10),'Bundle Tag Info'!O$13),"")</f>
        <v/>
      </c>
      <c r="O8" s="12" t="str">
        <f>IF('Bundle Tag Info'!P$13&lt;&gt;"",CONCATENATE('Bundle Tag Info'!$A$1," ",CHAR(10),'Bundle Tag Info'!$A$2," ",'Bundle Tag Info'!$A$3,CHAR(10),'Bundle Tag Info'!P$6,CHAR(10),'Bundle Tag Info'!P$13),"")</f>
        <v/>
      </c>
      <c r="P8" s="12" t="str">
        <f>IF('Bundle Tag Info'!Q$13&lt;&gt;"",CONCATENATE('Bundle Tag Info'!$A$1," ",CHAR(10),'Bundle Tag Info'!$A$2," ",'Bundle Tag Info'!$A$3,CHAR(10),'Bundle Tag Info'!Q$6,CHAR(10),'Bundle Tag Info'!Q$13),"")</f>
        <v/>
      </c>
      <c r="Q8" s="12" t="str">
        <f>IF('Bundle Tag Info'!R$13&lt;&gt;"",CONCATENATE('Bundle Tag Info'!$A$1," ",CHAR(10),'Bundle Tag Info'!$A$2," ",'Bundle Tag Info'!$A$3,CHAR(10),'Bundle Tag Info'!R$6,CHAR(10),'Bundle Tag Info'!R$13),"")</f>
        <v/>
      </c>
      <c r="R8" s="12" t="str">
        <f>IF('Bundle Tag Info'!S$13&lt;&gt;"",CONCATENATE('Bundle Tag Info'!$A$1," ",CHAR(10),'Bundle Tag Info'!$A$2," ",'Bundle Tag Info'!$A$3,CHAR(10),'Bundle Tag Info'!S$6,CHAR(10),'Bundle Tag Info'!S$13),"")</f>
        <v/>
      </c>
      <c r="S8" s="12" t="str">
        <f>IF('Bundle Tag Info'!T$13&lt;&gt;"",CONCATENATE('Bundle Tag Info'!$A$1," ",CHAR(10),'Bundle Tag Info'!$A$2," ",'Bundle Tag Info'!$A$3,CHAR(10),'Bundle Tag Info'!T$6,CHAR(10),'Bundle Tag Info'!T$13),"")</f>
        <v/>
      </c>
      <c r="T8" s="12" t="str">
        <f>IF('Bundle Tag Info'!U$13&lt;&gt;"",CONCATENATE('Bundle Tag Info'!$A$1," ",CHAR(10),'Bundle Tag Info'!$A$2," ",'Bundle Tag Info'!$A$3,CHAR(10),'Bundle Tag Info'!U$6,CHAR(10),'Bundle Tag Info'!U$13),"")</f>
        <v/>
      </c>
      <c r="U8" s="12" t="str">
        <f>IF('Bundle Tag Info'!V$13&lt;&gt;"",CONCATENATE('Bundle Tag Info'!$A$1," ",CHAR(10),'Bundle Tag Info'!$A$2," ",'Bundle Tag Info'!$A$3,CHAR(10),'Bundle Tag Info'!V$6,CHAR(10),'Bundle Tag Info'!V$13),"")</f>
        <v/>
      </c>
      <c r="V8" s="12" t="str">
        <f>IF('Bundle Tag Info'!W$13&lt;&gt;"",CONCATENATE('Bundle Tag Info'!$A$1," ",CHAR(10),'Bundle Tag Info'!$A$2," ",'Bundle Tag Info'!$A$3,CHAR(10),'Bundle Tag Info'!W$6,CHAR(10),'Bundle Tag Info'!W$13),"")</f>
        <v/>
      </c>
      <c r="W8" s="12" t="str">
        <f>IF('Bundle Tag Info'!X$13&lt;&gt;"",CONCATENATE('Bundle Tag Info'!$A$1," ",CHAR(10),'Bundle Tag Info'!$A$2," ",'Bundle Tag Info'!$A$3,CHAR(10),'Bundle Tag Info'!X$6,CHAR(10),'Bundle Tag Info'!X$13),"")</f>
        <v/>
      </c>
      <c r="X8" s="12" t="str">
        <f>IF('Bundle Tag Info'!Y$13&lt;&gt;"",CONCATENATE('Bundle Tag Info'!$A$1," ",CHAR(10),'Bundle Tag Info'!$A$2," ",'Bundle Tag Info'!$A$3,CHAR(10),'Bundle Tag Info'!Y$6,CHAR(10),'Bundle Tag Info'!Y$13),"")</f>
        <v/>
      </c>
      <c r="Y8" s="12" t="str">
        <f>IF('Bundle Tag Info'!Z$13&lt;&gt;"",CONCATENATE('Bundle Tag Info'!$A$1," ",CHAR(10),'Bundle Tag Info'!$A$2," ",'Bundle Tag Info'!$A$3,CHAR(10),'Bundle Tag Info'!Z$6,CHAR(10),'Bundle Tag Info'!Z$13),"")</f>
        <v/>
      </c>
      <c r="Z8" s="12" t="str">
        <f>IF('Bundle Tag Info'!AA$13&lt;&gt;"",CONCATENATE('Bundle Tag Info'!$A$1," ",CHAR(10),'Bundle Tag Info'!$A$2," ",'Bundle Tag Info'!$A$3,CHAR(10),'Bundle Tag Info'!AA$6,CHAR(10),'Bundle Tag Info'!AA$13),"")</f>
        <v/>
      </c>
      <c r="AA8" s="12" t="str">
        <f>IF('Bundle Tag Info'!AB$13&lt;&gt;"",CONCATENATE('Bundle Tag Info'!$A$1," ",CHAR(10),'Bundle Tag Info'!$A$2," ",'Bundle Tag Info'!$A$3,CHAR(10),'Bundle Tag Info'!AB$6,CHAR(10),'Bundle Tag Info'!AB$13),"")</f>
        <v/>
      </c>
      <c r="AB8" s="12" t="str">
        <f>IF('Bundle Tag Info'!AC$13&lt;&gt;"",CONCATENATE('Bundle Tag Info'!$A$1," ",CHAR(10),'Bundle Tag Info'!$A$2," ",'Bundle Tag Info'!$A$3,CHAR(10),'Bundle Tag Info'!AC$6,CHAR(10),'Bundle Tag Info'!AC$13),"")</f>
        <v/>
      </c>
      <c r="AC8" s="12" t="str">
        <f>IF('Bundle Tag Info'!AD$13&lt;&gt;"",CONCATENATE('Bundle Tag Info'!$A$1," ",CHAR(10),'Bundle Tag Info'!$A$2," ",'Bundle Tag Info'!$A$3,CHAR(10),'Bundle Tag Info'!AD$6,CHAR(10),'Bundle Tag Info'!AD$13),"")</f>
        <v/>
      </c>
      <c r="AD8" s="12" t="str">
        <f>IF('Bundle Tag Info'!AE$13&lt;&gt;"",CONCATENATE('Bundle Tag Info'!$A$1," ",CHAR(10),'Bundle Tag Info'!$A$2," ",'Bundle Tag Info'!$A$3,CHAR(10),'Bundle Tag Info'!AE$6,CHAR(10),'Bundle Tag Info'!AE$13),"")</f>
        <v/>
      </c>
    </row>
    <row r="9" spans="1:30" ht="12.6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>BP-KEMD  
4L541 B.1
JB70
SB0474</v>
      </c>
      <c r="J9" s="12" t="str">
        <f>IF('Bundle Tag Info'!K$14&lt;&gt;"",CONCATENATE('Bundle Tag Info'!$A$1," ",CHAR(10),'Bundle Tag Info'!$A$2," ",'Bundle Tag Info'!$A$3,CHAR(10),'Bundle Tag Info'!K$6,CHAR(10),'Bundle Tag Info'!K$14),"")</f>
        <v/>
      </c>
      <c r="K9" s="12" t="str">
        <f>IF('Bundle Tag Info'!L$14&lt;&gt;"",CONCATENATE('Bundle Tag Info'!$A$1," ",CHAR(10),'Bundle Tag Info'!$A$2," ",'Bundle Tag Info'!$A$3,CHAR(10),'Bundle Tag Info'!L$6,CHAR(10),'Bundle Tag Info'!L$14),"")</f>
        <v/>
      </c>
      <c r="L9" s="12" t="str">
        <f>IF('Bundle Tag Info'!M$14&lt;&gt;"",CONCATENATE('Bundle Tag Info'!$A$1," ",CHAR(10),'Bundle Tag Info'!$A$2," ",'Bundle Tag Info'!$A$3,CHAR(10),'Bundle Tag Info'!M$6,CHAR(10),'Bundle Tag Info'!M$14),"")</f>
        <v/>
      </c>
      <c r="M9" s="12" t="str">
        <f>IF('Bundle Tag Info'!N$14&lt;&gt;"",CONCATENATE('Bundle Tag Info'!$A$1," ",CHAR(10),'Bundle Tag Info'!$A$2," ",'Bundle Tag Info'!$A$3,CHAR(10),'Bundle Tag Info'!N$6,CHAR(10),'Bundle Tag Info'!N$14),"")</f>
        <v/>
      </c>
      <c r="N9" s="12" t="str">
        <f>IF('Bundle Tag Info'!O$14&lt;&gt;"",CONCATENATE('Bundle Tag Info'!$A$1," ",CHAR(10),'Bundle Tag Info'!$A$2," ",'Bundle Tag Info'!$A$3,CHAR(10),'Bundle Tag Info'!O$6,CHAR(10),'Bundle Tag Info'!O$14),"")</f>
        <v/>
      </c>
      <c r="O9" s="12" t="str">
        <f>IF('Bundle Tag Info'!P$14&lt;&gt;"",CONCATENATE('Bundle Tag Info'!$A$1," ",CHAR(10),'Bundle Tag Info'!$A$2," ",'Bundle Tag Info'!$A$3,CHAR(10),'Bundle Tag Info'!P$6,CHAR(10),'Bundle Tag Info'!P$14),"")</f>
        <v/>
      </c>
      <c r="P9" s="12" t="str">
        <f>IF('Bundle Tag Info'!Q$14&lt;&gt;"",CONCATENATE('Bundle Tag Info'!$A$1," ",CHAR(10),'Bundle Tag Info'!$A$2," ",'Bundle Tag Info'!$A$3,CHAR(10),'Bundle Tag Info'!Q$6,CHAR(10),'Bundle Tag Info'!Q$14),"")</f>
        <v/>
      </c>
      <c r="Q9" s="12" t="str">
        <f>IF('Bundle Tag Info'!R$14&lt;&gt;"",CONCATENATE('Bundle Tag Info'!$A$1," ",CHAR(10),'Bundle Tag Info'!$A$2," ",'Bundle Tag Info'!$A$3,CHAR(10),'Bundle Tag Info'!R$6,CHAR(10),'Bundle Tag Info'!R$14),"")</f>
        <v/>
      </c>
      <c r="R9" s="12" t="str">
        <f>IF('Bundle Tag Info'!S$14&lt;&gt;"",CONCATENATE('Bundle Tag Info'!$A$1," ",CHAR(10),'Bundle Tag Info'!$A$2," ",'Bundle Tag Info'!$A$3,CHAR(10),'Bundle Tag Info'!S$6,CHAR(10),'Bundle Tag Info'!S$14),"")</f>
        <v/>
      </c>
      <c r="S9" s="12" t="str">
        <f>IF('Bundle Tag Info'!T$14&lt;&gt;"",CONCATENATE('Bundle Tag Info'!$A$1," ",CHAR(10),'Bundle Tag Info'!$A$2," ",'Bundle Tag Info'!$A$3,CHAR(10),'Bundle Tag Info'!T$6,CHAR(10),'Bundle Tag Info'!T$14),"")</f>
        <v/>
      </c>
      <c r="T9" s="12" t="str">
        <f>IF('Bundle Tag Info'!U$14&lt;&gt;"",CONCATENATE('Bundle Tag Info'!$A$1," ",CHAR(10),'Bundle Tag Info'!$A$2," ",'Bundle Tag Info'!$A$3,CHAR(10),'Bundle Tag Info'!U$6,CHAR(10),'Bundle Tag Info'!U$14),"")</f>
        <v/>
      </c>
      <c r="U9" s="12" t="str">
        <f>IF('Bundle Tag Info'!V$14&lt;&gt;"",CONCATENATE('Bundle Tag Info'!$A$1," ",CHAR(10),'Bundle Tag Info'!$A$2," ",'Bundle Tag Info'!$A$3,CHAR(10),'Bundle Tag Info'!V$6,CHAR(10),'Bundle Tag Info'!V$14),"")</f>
        <v/>
      </c>
      <c r="V9" s="12" t="str">
        <f>IF('Bundle Tag Info'!W$14&lt;&gt;"",CONCATENATE('Bundle Tag Info'!$A$1," ",CHAR(10),'Bundle Tag Info'!$A$2," ",'Bundle Tag Info'!$A$3,CHAR(10),'Bundle Tag Info'!W$6,CHAR(10),'Bundle Tag Info'!W$14),"")</f>
        <v/>
      </c>
      <c r="W9" s="12" t="str">
        <f>IF('Bundle Tag Info'!X$14&lt;&gt;"",CONCATENATE('Bundle Tag Info'!$A$1," ",CHAR(10),'Bundle Tag Info'!$A$2," ",'Bundle Tag Info'!$A$3,CHAR(10),'Bundle Tag Info'!X$6,CHAR(10),'Bundle Tag Info'!X$14),"")</f>
        <v/>
      </c>
      <c r="X9" s="12" t="str">
        <f>IF('Bundle Tag Info'!Y$14&lt;&gt;"",CONCATENATE('Bundle Tag Info'!$A$1," ",CHAR(10),'Bundle Tag Info'!$A$2," ",'Bundle Tag Info'!$A$3,CHAR(10),'Bundle Tag Info'!Y$6,CHAR(10),'Bundle Tag Info'!Y$14),"")</f>
        <v/>
      </c>
      <c r="Y9" s="12" t="str">
        <f>IF('Bundle Tag Info'!Z$14&lt;&gt;"",CONCATENATE('Bundle Tag Info'!$A$1," ",CHAR(10),'Bundle Tag Info'!$A$2," ",'Bundle Tag Info'!$A$3,CHAR(10),'Bundle Tag Info'!Z$6,CHAR(10),'Bundle Tag Info'!Z$14),"")</f>
        <v/>
      </c>
      <c r="Z9" s="12" t="str">
        <f>IF('Bundle Tag Info'!AA$14&lt;&gt;"",CONCATENATE('Bundle Tag Info'!$A$1," ",CHAR(10),'Bundle Tag Info'!$A$2," ",'Bundle Tag Info'!$A$3,CHAR(10),'Bundle Tag Info'!AA$6,CHAR(10),'Bundle Tag Info'!AA$14),"")</f>
        <v/>
      </c>
      <c r="AA9" s="12" t="str">
        <f>IF('Bundle Tag Info'!AB$14&lt;&gt;"",CONCATENATE('Bundle Tag Info'!$A$1," ",CHAR(10),'Bundle Tag Info'!$A$2," ",'Bundle Tag Info'!$A$3,CHAR(10),'Bundle Tag Info'!AB$6,CHAR(10),'Bundle Tag Info'!AB$14),"")</f>
        <v/>
      </c>
      <c r="AB9" s="12" t="str">
        <f>IF('Bundle Tag Info'!AC$14&lt;&gt;"",CONCATENATE('Bundle Tag Info'!$A$1," ",CHAR(10),'Bundle Tag Info'!$A$2," ",'Bundle Tag Info'!$A$3,CHAR(10),'Bundle Tag Info'!AC$6,CHAR(10),'Bundle Tag Info'!AC$14),"")</f>
        <v/>
      </c>
      <c r="AC9" s="12" t="str">
        <f>IF('Bundle Tag Info'!AD$14&lt;&gt;"",CONCATENATE('Bundle Tag Info'!$A$1," ",CHAR(10),'Bundle Tag Info'!$A$2," ",'Bundle Tag Info'!$A$3,CHAR(10),'Bundle Tag Info'!AD$6,CHAR(10),'Bundle Tag Info'!AD$14),"")</f>
        <v/>
      </c>
      <c r="AD9" s="12" t="str">
        <f>IF('Bundle Tag Info'!AE$14&lt;&gt;"",CONCATENATE('Bundle Tag Info'!$A$1," ",CHAR(10),'Bundle Tag Info'!$A$2," ",'Bundle Tag Info'!$A$3,CHAR(10),'Bundle Tag Info'!AE$6,CHAR(10),'Bundle Tag Info'!AE$14),"")</f>
        <v/>
      </c>
    </row>
    <row r="10" spans="1:30" ht="12.6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>BP-KEMD  
4L541 B.1
JB70
SH0470</v>
      </c>
      <c r="J10" s="12" t="str">
        <f>IF('Bundle Tag Info'!K$15&lt;&gt;"",CONCATENATE('Bundle Tag Info'!$A$1," ",CHAR(10),'Bundle Tag Info'!$A$2," ",'Bundle Tag Info'!$A$3,CHAR(10),'Bundle Tag Info'!K$6,CHAR(10),'Bundle Tag Info'!K$15),"")</f>
        <v/>
      </c>
      <c r="K10" s="12" t="str">
        <f>IF('Bundle Tag Info'!L$15&lt;&gt;"",CONCATENATE('Bundle Tag Info'!$A$1," ",CHAR(10),'Bundle Tag Info'!$A$2," ",'Bundle Tag Info'!$A$3,CHAR(10),'Bundle Tag Info'!L$6,CHAR(10),'Bundle Tag Info'!L$15),"")</f>
        <v/>
      </c>
      <c r="L10" s="12" t="str">
        <f>IF('Bundle Tag Info'!M$15&lt;&gt;"",CONCATENATE('Bundle Tag Info'!$A$1," ",CHAR(10),'Bundle Tag Info'!$A$2," ",'Bundle Tag Info'!$A$3,CHAR(10),'Bundle Tag Info'!M$6,CHAR(10),'Bundle Tag Info'!M$15),"")</f>
        <v/>
      </c>
      <c r="M10" s="12" t="str">
        <f>IF('Bundle Tag Info'!N$15&lt;&gt;"",CONCATENATE('Bundle Tag Info'!$A$1," ",CHAR(10),'Bundle Tag Info'!$A$2," ",'Bundle Tag Info'!$A$3,CHAR(10),'Bundle Tag Info'!N$6,CHAR(10),'Bundle Tag Info'!N$15),"")</f>
        <v/>
      </c>
      <c r="N10" s="12" t="str">
        <f>IF('Bundle Tag Info'!O$15&lt;&gt;"",CONCATENATE('Bundle Tag Info'!$A$1," ",CHAR(10),'Bundle Tag Info'!$A$2," ",'Bundle Tag Info'!$A$3,CHAR(10),'Bundle Tag Info'!O$6,CHAR(10),'Bundle Tag Info'!O$15),"")</f>
        <v/>
      </c>
      <c r="O10" s="12" t="str">
        <f>IF('Bundle Tag Info'!P$15&lt;&gt;"",CONCATENATE('Bundle Tag Info'!$A$1," ",CHAR(10),'Bundle Tag Info'!$A$2," ",'Bundle Tag Info'!$A$3,CHAR(10),'Bundle Tag Info'!P$6,CHAR(10),'Bundle Tag Info'!P$15),"")</f>
        <v/>
      </c>
      <c r="P10" s="12" t="str">
        <f>IF('Bundle Tag Info'!Q$15&lt;&gt;"",CONCATENATE('Bundle Tag Info'!$A$1," ",CHAR(10),'Bundle Tag Info'!$A$2," ",'Bundle Tag Info'!$A$3,CHAR(10),'Bundle Tag Info'!Q$6,CHAR(10),'Bundle Tag Info'!Q$15),"")</f>
        <v/>
      </c>
      <c r="Q10" s="12" t="str">
        <f>IF('Bundle Tag Info'!R$15&lt;&gt;"",CONCATENATE('Bundle Tag Info'!$A$1," ",CHAR(10),'Bundle Tag Info'!$A$2," ",'Bundle Tag Info'!$A$3,CHAR(10),'Bundle Tag Info'!R$6,CHAR(10),'Bundle Tag Info'!R$15),"")</f>
        <v/>
      </c>
      <c r="R10" s="12" t="str">
        <f>IF('Bundle Tag Info'!S$15&lt;&gt;"",CONCATENATE('Bundle Tag Info'!$A$1," ",CHAR(10),'Bundle Tag Info'!$A$2," ",'Bundle Tag Info'!$A$3,CHAR(10),'Bundle Tag Info'!S$6,CHAR(10),'Bundle Tag Info'!S$15),"")</f>
        <v/>
      </c>
      <c r="S10" s="12" t="str">
        <f>IF('Bundle Tag Info'!T$15&lt;&gt;"",CONCATENATE('Bundle Tag Info'!$A$1," ",CHAR(10),'Bundle Tag Info'!$A$2," ",'Bundle Tag Info'!$A$3,CHAR(10),'Bundle Tag Info'!T$6,CHAR(10),'Bundle Tag Info'!T$15),"")</f>
        <v/>
      </c>
      <c r="T10" s="12" t="str">
        <f>IF('Bundle Tag Info'!U$15&lt;&gt;"",CONCATENATE('Bundle Tag Info'!$A$1," ",CHAR(10),'Bundle Tag Info'!$A$2," ",'Bundle Tag Info'!$A$3,CHAR(10),'Bundle Tag Info'!U$6,CHAR(10),'Bundle Tag Info'!U$15),"")</f>
        <v/>
      </c>
      <c r="U10" s="12" t="str">
        <f>IF('Bundle Tag Info'!V$15&lt;&gt;"",CONCATENATE('Bundle Tag Info'!$A$1," ",CHAR(10),'Bundle Tag Info'!$A$2," ",'Bundle Tag Info'!$A$3,CHAR(10),'Bundle Tag Info'!V$6,CHAR(10),'Bundle Tag Info'!V$15),"")</f>
        <v/>
      </c>
      <c r="V10" s="12" t="str">
        <f>IF('Bundle Tag Info'!W$15&lt;&gt;"",CONCATENATE('Bundle Tag Info'!$A$1," ",CHAR(10),'Bundle Tag Info'!$A$2," ",'Bundle Tag Info'!$A$3,CHAR(10),'Bundle Tag Info'!W$6,CHAR(10),'Bundle Tag Info'!W$15),"")</f>
        <v/>
      </c>
      <c r="W10" s="12" t="str">
        <f>IF('Bundle Tag Info'!X$15&lt;&gt;"",CONCATENATE('Bundle Tag Info'!$A$1," ",CHAR(10),'Bundle Tag Info'!$A$2," ",'Bundle Tag Info'!$A$3,CHAR(10),'Bundle Tag Info'!X$6,CHAR(10),'Bundle Tag Info'!X$15),"")</f>
        <v/>
      </c>
      <c r="X10" s="12" t="str">
        <f>IF('Bundle Tag Info'!Y$15&lt;&gt;"",CONCATENATE('Bundle Tag Info'!$A$1," ",CHAR(10),'Bundle Tag Info'!$A$2," ",'Bundle Tag Info'!$A$3,CHAR(10),'Bundle Tag Info'!Y$6,CHAR(10),'Bundle Tag Info'!Y$15),"")</f>
        <v/>
      </c>
      <c r="Y10" s="12" t="str">
        <f>IF('Bundle Tag Info'!Z$15&lt;&gt;"",CONCATENATE('Bundle Tag Info'!$A$1," ",CHAR(10),'Bundle Tag Info'!$A$2," ",'Bundle Tag Info'!$A$3,CHAR(10),'Bundle Tag Info'!Z$6,CHAR(10),'Bundle Tag Info'!Z$15),"")</f>
        <v/>
      </c>
      <c r="Z10" s="12" t="str">
        <f>IF('Bundle Tag Info'!AA$15&lt;&gt;"",CONCATENATE('Bundle Tag Info'!$A$1," ",CHAR(10),'Bundle Tag Info'!$A$2," ",'Bundle Tag Info'!$A$3,CHAR(10),'Bundle Tag Info'!AA$6,CHAR(10),'Bundle Tag Info'!AA$15),"")</f>
        <v/>
      </c>
      <c r="AA10" s="12" t="str">
        <f>IF('Bundle Tag Info'!AB$15&lt;&gt;"",CONCATENATE('Bundle Tag Info'!$A$1," ",CHAR(10),'Bundle Tag Info'!$A$2," ",'Bundle Tag Info'!$A$3,CHAR(10),'Bundle Tag Info'!AB$6,CHAR(10),'Bundle Tag Info'!AB$15),"")</f>
        <v/>
      </c>
      <c r="AB10" s="12" t="str">
        <f>IF('Bundle Tag Info'!AC$15&lt;&gt;"",CONCATENATE('Bundle Tag Info'!$A$1," ",CHAR(10),'Bundle Tag Info'!$A$2," ",'Bundle Tag Info'!$A$3,CHAR(10),'Bundle Tag Info'!AC$6,CHAR(10),'Bundle Tag Info'!AC$15),"")</f>
        <v/>
      </c>
      <c r="AC10" s="12" t="str">
        <f>IF('Bundle Tag Info'!AD$15&lt;&gt;"",CONCATENATE('Bundle Tag Info'!$A$1," ",CHAR(10),'Bundle Tag Info'!$A$2," ",'Bundle Tag Info'!$A$3,CHAR(10),'Bundle Tag Info'!AD$6,CHAR(10),'Bundle Tag Info'!AD$15),"")</f>
        <v/>
      </c>
      <c r="AD10" s="12" t="str">
        <f>IF('Bundle Tag Info'!AE$15&lt;&gt;"",CONCATENATE('Bundle Tag Info'!$A$1," ",CHAR(10),'Bundle Tag Info'!$A$2," ",'Bundle Tag Info'!$A$3,CHAR(10),'Bundle Tag Info'!AE$6,CHAR(10),'Bundle Tag Info'!AE$15),"")</f>
        <v/>
      </c>
    </row>
    <row r="11" spans="1:30" ht="12.6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>BP-KEMD  
4L541 B.1
JB70
SH0471</v>
      </c>
      <c r="J11" s="12" t="str">
        <f>IF('Bundle Tag Info'!K$16&lt;&gt;"",CONCATENATE('Bundle Tag Info'!$A$1," ",CHAR(10),'Bundle Tag Info'!$A$2," ",'Bundle Tag Info'!$A$3,CHAR(10),'Bundle Tag Info'!K$6,CHAR(10),'Bundle Tag Info'!K$16),"")</f>
        <v/>
      </c>
      <c r="K11" s="12" t="str">
        <f>IF('Bundle Tag Info'!L$16&lt;&gt;"",CONCATENATE('Bundle Tag Info'!$A$1," ",CHAR(10),'Bundle Tag Info'!$A$2," ",'Bundle Tag Info'!$A$3,CHAR(10),'Bundle Tag Info'!L$6,CHAR(10),'Bundle Tag Info'!L$16),"")</f>
        <v/>
      </c>
      <c r="L11" s="12" t="str">
        <f>IF('Bundle Tag Info'!M$16&lt;&gt;"",CONCATENATE('Bundle Tag Info'!$A$1," ",CHAR(10),'Bundle Tag Info'!$A$2," ",'Bundle Tag Info'!$A$3,CHAR(10),'Bundle Tag Info'!M$6,CHAR(10),'Bundle Tag Info'!M$16),"")</f>
        <v/>
      </c>
      <c r="M11" s="12" t="str">
        <f>IF('Bundle Tag Info'!N$16&lt;&gt;"",CONCATENATE('Bundle Tag Info'!$A$1," ",CHAR(10),'Bundle Tag Info'!$A$2," ",'Bundle Tag Info'!$A$3,CHAR(10),'Bundle Tag Info'!N$6,CHAR(10),'Bundle Tag Info'!N$16),"")</f>
        <v/>
      </c>
      <c r="N11" s="12" t="str">
        <f>IF('Bundle Tag Info'!O$16&lt;&gt;"",CONCATENATE('Bundle Tag Info'!$A$1," ",CHAR(10),'Bundle Tag Info'!$A$2," ",'Bundle Tag Info'!$A$3,CHAR(10),'Bundle Tag Info'!O$6,CHAR(10),'Bundle Tag Info'!O$16),"")</f>
        <v/>
      </c>
      <c r="O11" s="12" t="str">
        <f>IF('Bundle Tag Info'!P$16&lt;&gt;"",CONCATENATE('Bundle Tag Info'!$A$1," ",CHAR(10),'Bundle Tag Info'!$A$2," ",'Bundle Tag Info'!$A$3,CHAR(10),'Bundle Tag Info'!P$6,CHAR(10),'Bundle Tag Info'!P$16),"")</f>
        <v/>
      </c>
      <c r="P11" s="12" t="str">
        <f>IF('Bundle Tag Info'!Q$16&lt;&gt;"",CONCATENATE('Bundle Tag Info'!$A$1," ",CHAR(10),'Bundle Tag Info'!$A$2," ",'Bundle Tag Info'!$A$3,CHAR(10),'Bundle Tag Info'!Q$6,CHAR(10),'Bundle Tag Info'!Q$16),"")</f>
        <v/>
      </c>
      <c r="Q11" s="12" t="str">
        <f>IF('Bundle Tag Info'!R$16&lt;&gt;"",CONCATENATE('Bundle Tag Info'!$A$1," ",CHAR(10),'Bundle Tag Info'!$A$2," ",'Bundle Tag Info'!$A$3,CHAR(10),'Bundle Tag Info'!R$6,CHAR(10),'Bundle Tag Info'!R$16),"")</f>
        <v/>
      </c>
      <c r="R11" s="12" t="str">
        <f>IF('Bundle Tag Info'!S$16&lt;&gt;"",CONCATENATE('Bundle Tag Info'!$A$1," ",CHAR(10),'Bundle Tag Info'!$A$2," ",'Bundle Tag Info'!$A$3,CHAR(10),'Bundle Tag Info'!S$6,CHAR(10),'Bundle Tag Info'!S$16),"")</f>
        <v/>
      </c>
      <c r="S11" s="12" t="str">
        <f>IF('Bundle Tag Info'!T$16&lt;&gt;"",CONCATENATE('Bundle Tag Info'!$A$1," ",CHAR(10),'Bundle Tag Info'!$A$2," ",'Bundle Tag Info'!$A$3,CHAR(10),'Bundle Tag Info'!T$6,CHAR(10),'Bundle Tag Info'!T$16),"")</f>
        <v/>
      </c>
      <c r="T11" s="12" t="str">
        <f>IF('Bundle Tag Info'!U$16&lt;&gt;"",CONCATENATE('Bundle Tag Info'!$A$1," ",CHAR(10),'Bundle Tag Info'!$A$2," ",'Bundle Tag Info'!$A$3,CHAR(10),'Bundle Tag Info'!U$6,CHAR(10),'Bundle Tag Info'!U$16),"")</f>
        <v/>
      </c>
      <c r="U11" s="12" t="str">
        <f>IF('Bundle Tag Info'!V$16&lt;&gt;"",CONCATENATE('Bundle Tag Info'!$A$1," ",CHAR(10),'Bundle Tag Info'!$A$2," ",'Bundle Tag Info'!$A$3,CHAR(10),'Bundle Tag Info'!V$6,CHAR(10),'Bundle Tag Info'!V$16),"")</f>
        <v/>
      </c>
      <c r="V11" s="12" t="str">
        <f>IF('Bundle Tag Info'!W$16&lt;&gt;"",CONCATENATE('Bundle Tag Info'!$A$1," ",CHAR(10),'Bundle Tag Info'!$A$2," ",'Bundle Tag Info'!$A$3,CHAR(10),'Bundle Tag Info'!W$6,CHAR(10),'Bundle Tag Info'!W$16),"")</f>
        <v/>
      </c>
      <c r="W11" s="12" t="str">
        <f>IF('Bundle Tag Info'!X$16&lt;&gt;"",CONCATENATE('Bundle Tag Info'!$A$1," ",CHAR(10),'Bundle Tag Info'!$A$2," ",'Bundle Tag Info'!$A$3,CHAR(10),'Bundle Tag Info'!X$6,CHAR(10),'Bundle Tag Info'!X$16),"")</f>
        <v/>
      </c>
      <c r="X11" s="12" t="str">
        <f>IF('Bundle Tag Info'!Y$16&lt;&gt;"",CONCATENATE('Bundle Tag Info'!$A$1," ",CHAR(10),'Bundle Tag Info'!$A$2," ",'Bundle Tag Info'!$A$3,CHAR(10),'Bundle Tag Info'!Y$6,CHAR(10),'Bundle Tag Info'!Y$16),"")</f>
        <v/>
      </c>
      <c r="Y11" s="12" t="str">
        <f>IF('Bundle Tag Info'!Z$16&lt;&gt;"",CONCATENATE('Bundle Tag Info'!$A$1," ",CHAR(10),'Bundle Tag Info'!$A$2," ",'Bundle Tag Info'!$A$3,CHAR(10),'Bundle Tag Info'!Z$6,CHAR(10),'Bundle Tag Info'!Z$16),"")</f>
        <v/>
      </c>
      <c r="Z11" s="12" t="str">
        <f>IF('Bundle Tag Info'!AA$16&lt;&gt;"",CONCATENATE('Bundle Tag Info'!$A$1," ",CHAR(10),'Bundle Tag Info'!$A$2," ",'Bundle Tag Info'!$A$3,CHAR(10),'Bundle Tag Info'!AA$6,CHAR(10),'Bundle Tag Info'!AA$16),"")</f>
        <v/>
      </c>
      <c r="AA11" s="12" t="str">
        <f>IF('Bundle Tag Info'!AB$16&lt;&gt;"",CONCATENATE('Bundle Tag Info'!$A$1," ",CHAR(10),'Bundle Tag Info'!$A$2," ",'Bundle Tag Info'!$A$3,CHAR(10),'Bundle Tag Info'!AB$6,CHAR(10),'Bundle Tag Info'!AB$16),"")</f>
        <v/>
      </c>
      <c r="AB11" s="12" t="str">
        <f>IF('Bundle Tag Info'!AC$16&lt;&gt;"",CONCATENATE('Bundle Tag Info'!$A$1," ",CHAR(10),'Bundle Tag Info'!$A$2," ",'Bundle Tag Info'!$A$3,CHAR(10),'Bundle Tag Info'!AC$6,CHAR(10),'Bundle Tag Info'!AC$16),"")</f>
        <v/>
      </c>
      <c r="AC11" s="12" t="str">
        <f>IF('Bundle Tag Info'!AD$16&lt;&gt;"",CONCATENATE('Bundle Tag Info'!$A$1," ",CHAR(10),'Bundle Tag Info'!$A$2," ",'Bundle Tag Info'!$A$3,CHAR(10),'Bundle Tag Info'!AD$6,CHAR(10),'Bundle Tag Info'!AD$16),"")</f>
        <v/>
      </c>
      <c r="AD11" s="12" t="str">
        <f>IF('Bundle Tag Info'!AE$16&lt;&gt;"",CONCATENATE('Bundle Tag Info'!$A$1," ",CHAR(10),'Bundle Tag Info'!$A$2," ",'Bundle Tag Info'!$A$3,CHAR(10),'Bundle Tag Info'!AE$6,CHAR(10),'Bundle Tag Info'!AE$16),"")</f>
        <v/>
      </c>
    </row>
    <row r="12" spans="1:30" ht="12.6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>BP-KEMD  
4L541 B.1
JB70
SH0472</v>
      </c>
      <c r="J12" s="12" t="str">
        <f>IF('Bundle Tag Info'!K$17&lt;&gt;"",CONCATENATE('Bundle Tag Info'!$A$1," ",CHAR(10),'Bundle Tag Info'!$A$2," ",'Bundle Tag Info'!$A$3,CHAR(10),'Bundle Tag Info'!K$6,CHAR(10),'Bundle Tag Info'!K$17),"")</f>
        <v/>
      </c>
      <c r="K12" s="12" t="str">
        <f>IF('Bundle Tag Info'!L$17&lt;&gt;"",CONCATENATE('Bundle Tag Info'!$A$1," ",CHAR(10),'Bundle Tag Info'!$A$2," ",'Bundle Tag Info'!$A$3,CHAR(10),'Bundle Tag Info'!L$6,CHAR(10),'Bundle Tag Info'!L$17),"")</f>
        <v/>
      </c>
      <c r="L12" s="12" t="str">
        <f>IF('Bundle Tag Info'!M$17&lt;&gt;"",CONCATENATE('Bundle Tag Info'!$A$1," ",CHAR(10),'Bundle Tag Info'!$A$2," ",'Bundle Tag Info'!$A$3,CHAR(10),'Bundle Tag Info'!M$6,CHAR(10),'Bundle Tag Info'!M$17),"")</f>
        <v/>
      </c>
      <c r="M12" s="12" t="str">
        <f>IF('Bundle Tag Info'!N$17&lt;&gt;"",CONCATENATE('Bundle Tag Info'!$A$1," ",CHAR(10),'Bundle Tag Info'!$A$2," ",'Bundle Tag Info'!$A$3,CHAR(10),'Bundle Tag Info'!N$6,CHAR(10),'Bundle Tag Info'!N$17),"")</f>
        <v/>
      </c>
      <c r="N12" s="12" t="str">
        <f>IF('Bundle Tag Info'!O$17&lt;&gt;"",CONCATENATE('Bundle Tag Info'!$A$1," ",CHAR(10),'Bundle Tag Info'!$A$2," ",'Bundle Tag Info'!$A$3,CHAR(10),'Bundle Tag Info'!O$6,CHAR(10),'Bundle Tag Info'!O$17),"")</f>
        <v/>
      </c>
      <c r="O12" s="12" t="str">
        <f>IF('Bundle Tag Info'!P$17&lt;&gt;"",CONCATENATE('Bundle Tag Info'!$A$1," ",CHAR(10),'Bundle Tag Info'!$A$2," ",'Bundle Tag Info'!$A$3,CHAR(10),'Bundle Tag Info'!P$6,CHAR(10),'Bundle Tag Info'!P$17),"")</f>
        <v/>
      </c>
      <c r="P12" s="12" t="str">
        <f>IF('Bundle Tag Info'!Q$17&lt;&gt;"",CONCATENATE('Bundle Tag Info'!$A$1," ",CHAR(10),'Bundle Tag Info'!$A$2," ",'Bundle Tag Info'!$A$3,CHAR(10),'Bundle Tag Info'!Q$6,CHAR(10),'Bundle Tag Info'!Q$17),"")</f>
        <v/>
      </c>
      <c r="Q12" s="12" t="str">
        <f>IF('Bundle Tag Info'!R$17&lt;&gt;"",CONCATENATE('Bundle Tag Info'!$A$1," ",CHAR(10),'Bundle Tag Info'!$A$2," ",'Bundle Tag Info'!$A$3,CHAR(10),'Bundle Tag Info'!R$6,CHAR(10),'Bundle Tag Info'!R$17),"")</f>
        <v/>
      </c>
      <c r="R12" s="12" t="str">
        <f>IF('Bundle Tag Info'!S$17&lt;&gt;"",CONCATENATE('Bundle Tag Info'!$A$1," ",CHAR(10),'Bundle Tag Info'!$A$2," ",'Bundle Tag Info'!$A$3,CHAR(10),'Bundle Tag Info'!S$6,CHAR(10),'Bundle Tag Info'!S$17),"")</f>
        <v/>
      </c>
      <c r="S12" s="12" t="str">
        <f>IF('Bundle Tag Info'!T$17&lt;&gt;"",CONCATENATE('Bundle Tag Info'!$A$1," ",CHAR(10),'Bundle Tag Info'!$A$2," ",'Bundle Tag Info'!$A$3,CHAR(10),'Bundle Tag Info'!T$6,CHAR(10),'Bundle Tag Info'!T$17),"")</f>
        <v/>
      </c>
      <c r="T12" s="12" t="str">
        <f>IF('Bundle Tag Info'!U$17&lt;&gt;"",CONCATENATE('Bundle Tag Info'!$A$1," ",CHAR(10),'Bundle Tag Info'!$A$2," ",'Bundle Tag Info'!$A$3,CHAR(10),'Bundle Tag Info'!U$6,CHAR(10),'Bundle Tag Info'!U$17),"")</f>
        <v/>
      </c>
      <c r="U12" s="12" t="str">
        <f>IF('Bundle Tag Info'!V$17&lt;&gt;"",CONCATENATE('Bundle Tag Info'!$A$1," ",CHAR(10),'Bundle Tag Info'!$A$2," ",'Bundle Tag Info'!$A$3,CHAR(10),'Bundle Tag Info'!V$6,CHAR(10),'Bundle Tag Info'!V$17),"")</f>
        <v/>
      </c>
      <c r="V12" s="12" t="str">
        <f>IF('Bundle Tag Info'!W$17&lt;&gt;"",CONCATENATE('Bundle Tag Info'!$A$1," ",CHAR(10),'Bundle Tag Info'!$A$2," ",'Bundle Tag Info'!$A$3,CHAR(10),'Bundle Tag Info'!W$6,CHAR(10),'Bundle Tag Info'!W$17),"")</f>
        <v/>
      </c>
      <c r="W12" s="12" t="str">
        <f>IF('Bundle Tag Info'!X$17&lt;&gt;"",CONCATENATE('Bundle Tag Info'!$A$1," ",CHAR(10),'Bundle Tag Info'!$A$2," ",'Bundle Tag Info'!$A$3,CHAR(10),'Bundle Tag Info'!X$6,CHAR(10),'Bundle Tag Info'!X$17),"")</f>
        <v/>
      </c>
      <c r="X12" s="12" t="str">
        <f>IF('Bundle Tag Info'!Y$17&lt;&gt;"",CONCATENATE('Bundle Tag Info'!$A$1," ",CHAR(10),'Bundle Tag Info'!$A$2," ",'Bundle Tag Info'!$A$3,CHAR(10),'Bundle Tag Info'!Y$6,CHAR(10),'Bundle Tag Info'!Y$17),"")</f>
        <v/>
      </c>
      <c r="Y12" s="12" t="str">
        <f>IF('Bundle Tag Info'!Z$17&lt;&gt;"",CONCATENATE('Bundle Tag Info'!$A$1," ",CHAR(10),'Bundle Tag Info'!$A$2," ",'Bundle Tag Info'!$A$3,CHAR(10),'Bundle Tag Info'!Z$6,CHAR(10),'Bundle Tag Info'!Z$17),"")</f>
        <v/>
      </c>
      <c r="Z12" s="12" t="str">
        <f>IF('Bundle Tag Info'!AA$17&lt;&gt;"",CONCATENATE('Bundle Tag Info'!$A$1," ",CHAR(10),'Bundle Tag Info'!$A$2," ",'Bundle Tag Info'!$A$3,CHAR(10),'Bundle Tag Info'!AA$6,CHAR(10),'Bundle Tag Info'!AA$17),"")</f>
        <v/>
      </c>
      <c r="AA12" s="12" t="str">
        <f>IF('Bundle Tag Info'!AB$17&lt;&gt;"",CONCATENATE('Bundle Tag Info'!$A$1," ",CHAR(10),'Bundle Tag Info'!$A$2," ",'Bundle Tag Info'!$A$3,CHAR(10),'Bundle Tag Info'!AB$6,CHAR(10),'Bundle Tag Info'!AB$17),"")</f>
        <v/>
      </c>
      <c r="AB12" s="12" t="str">
        <f>IF('Bundle Tag Info'!AC$17&lt;&gt;"",CONCATENATE('Bundle Tag Info'!$A$1," ",CHAR(10),'Bundle Tag Info'!$A$2," ",'Bundle Tag Info'!$A$3,CHAR(10),'Bundle Tag Info'!AC$6,CHAR(10),'Bundle Tag Info'!AC$17),"")</f>
        <v/>
      </c>
      <c r="AC12" s="12" t="str">
        <f>IF('Bundle Tag Info'!AD$17&lt;&gt;"",CONCATENATE('Bundle Tag Info'!$A$1," ",CHAR(10),'Bundle Tag Info'!$A$2," ",'Bundle Tag Info'!$A$3,CHAR(10),'Bundle Tag Info'!AD$6,CHAR(10),'Bundle Tag Info'!AD$17),"")</f>
        <v/>
      </c>
      <c r="AD12" s="12" t="str">
        <f>IF('Bundle Tag Info'!AE$17&lt;&gt;"",CONCATENATE('Bundle Tag Info'!$A$1," ",CHAR(10),'Bundle Tag Info'!$A$2," ",'Bundle Tag Info'!$A$3,CHAR(10),'Bundle Tag Info'!AE$6,CHAR(10),'Bundle Tag Info'!AE$17),"")</f>
        <v/>
      </c>
    </row>
    <row r="13" spans="1:30" ht="12.6" customHeight="1" x14ac:dyDescent="0.25">
      <c r="A13" s="12" t="str">
        <f>IF('Bundle Tag Info'!B$7&lt;&gt;"",CONCATENATE('Bundle Tag Info'!$A$1," ",CHAR(10),'Bundle Tag Info'!$A$2," ",'Bundle Tag Info'!$A$3,CHAR(10),'Bundle Tag Info'!B$6,CHAR(10),'Bundle Tag Info'!B$7),"")</f>
        <v>BP-KEMD  
4L541 B.1
JB70 R RAIL
BA/FU</v>
      </c>
      <c r="J13" s="12" t="str">
        <f>IF('Bundle Tag Info'!K$18&lt;&gt;"",CONCATENATE('Bundle Tag Info'!$A$1," ",CHAR(10),'Bundle Tag Info'!$A$2," ",'Bundle Tag Info'!$A$3,CHAR(10),'Bundle Tag Info'!K$6,CHAR(10),'Bundle Tag Info'!K$18),"")</f>
        <v/>
      </c>
      <c r="K13" s="12" t="str">
        <f>IF('Bundle Tag Info'!L$18&lt;&gt;"",CONCATENATE('Bundle Tag Info'!$A$1," ",CHAR(10),'Bundle Tag Info'!$A$2," ",'Bundle Tag Info'!$A$3,CHAR(10),'Bundle Tag Info'!L$6,CHAR(10),'Bundle Tag Info'!L$18),"")</f>
        <v/>
      </c>
      <c r="L13" s="12" t="str">
        <f>IF('Bundle Tag Info'!M$18&lt;&gt;"",CONCATENATE('Bundle Tag Info'!$A$1," ",CHAR(10),'Bundle Tag Info'!$A$2," ",'Bundle Tag Info'!$A$3,CHAR(10),'Bundle Tag Info'!M$6,CHAR(10),'Bundle Tag Info'!M$18),"")</f>
        <v/>
      </c>
      <c r="M13" s="12" t="str">
        <f>IF('Bundle Tag Info'!N$18&lt;&gt;"",CONCATENATE('Bundle Tag Info'!$A$1," ",CHAR(10),'Bundle Tag Info'!$A$2," ",'Bundle Tag Info'!$A$3,CHAR(10),'Bundle Tag Info'!N$6,CHAR(10),'Bundle Tag Info'!N$18),"")</f>
        <v/>
      </c>
      <c r="N13" s="12" t="str">
        <f>IF('Bundle Tag Info'!O$18&lt;&gt;"",CONCATENATE('Bundle Tag Info'!$A$1," ",CHAR(10),'Bundle Tag Info'!$A$2," ",'Bundle Tag Info'!$A$3,CHAR(10),'Bundle Tag Info'!O$6,CHAR(10),'Bundle Tag Info'!O$18),"")</f>
        <v/>
      </c>
      <c r="O13" s="12" t="str">
        <f>IF('Bundle Tag Info'!P$18&lt;&gt;"",CONCATENATE('Bundle Tag Info'!$A$1," ",CHAR(10),'Bundle Tag Info'!$A$2," ",'Bundle Tag Info'!$A$3,CHAR(10),'Bundle Tag Info'!P$6,CHAR(10),'Bundle Tag Info'!P$18),"")</f>
        <v/>
      </c>
      <c r="P13" s="12" t="str">
        <f>IF('Bundle Tag Info'!Q$18&lt;&gt;"",CONCATENATE('Bundle Tag Info'!$A$1," ",CHAR(10),'Bundle Tag Info'!$A$2," ",'Bundle Tag Info'!$A$3,CHAR(10),'Bundle Tag Info'!Q$6,CHAR(10),'Bundle Tag Info'!Q$18),"")</f>
        <v/>
      </c>
      <c r="Q13" s="12" t="str">
        <f>IF('Bundle Tag Info'!R$18&lt;&gt;"",CONCATENATE('Bundle Tag Info'!$A$1," ",CHAR(10),'Bundle Tag Info'!$A$2," ",'Bundle Tag Info'!$A$3,CHAR(10),'Bundle Tag Info'!R$6,CHAR(10),'Bundle Tag Info'!R$18),"")</f>
        <v/>
      </c>
      <c r="R13" s="12" t="str">
        <f>IF('Bundle Tag Info'!S$18&lt;&gt;"",CONCATENATE('Bundle Tag Info'!$A$1," ",CHAR(10),'Bundle Tag Info'!$A$2," ",'Bundle Tag Info'!$A$3,CHAR(10),'Bundle Tag Info'!S$6,CHAR(10),'Bundle Tag Info'!S$18),"")</f>
        <v/>
      </c>
      <c r="S13" s="12" t="str">
        <f>IF('Bundle Tag Info'!T$18&lt;&gt;"",CONCATENATE('Bundle Tag Info'!$A$1," ",CHAR(10),'Bundle Tag Info'!$A$2," ",'Bundle Tag Info'!$A$3,CHAR(10),'Bundle Tag Info'!T$6,CHAR(10),'Bundle Tag Info'!T$18),"")</f>
        <v/>
      </c>
      <c r="T13" s="12" t="str">
        <f>IF('Bundle Tag Info'!U$18&lt;&gt;"",CONCATENATE('Bundle Tag Info'!$A$1," ",CHAR(10),'Bundle Tag Info'!$A$2," ",'Bundle Tag Info'!$A$3,CHAR(10),'Bundle Tag Info'!U$6,CHAR(10),'Bundle Tag Info'!U$18),"")</f>
        <v/>
      </c>
      <c r="U13" s="12" t="str">
        <f>IF('Bundle Tag Info'!V$18&lt;&gt;"",CONCATENATE('Bundle Tag Info'!$A$1," ",CHAR(10),'Bundle Tag Info'!$A$2," ",'Bundle Tag Info'!$A$3,CHAR(10),'Bundle Tag Info'!V$6,CHAR(10),'Bundle Tag Info'!V$18),"")</f>
        <v/>
      </c>
      <c r="V13" s="12" t="str">
        <f>IF('Bundle Tag Info'!W$18&lt;&gt;"",CONCATENATE('Bundle Tag Info'!$A$1," ",CHAR(10),'Bundle Tag Info'!$A$2," ",'Bundle Tag Info'!$A$3,CHAR(10),'Bundle Tag Info'!W$6,CHAR(10),'Bundle Tag Info'!W$18),"")</f>
        <v/>
      </c>
      <c r="W13" s="12" t="str">
        <f>IF('Bundle Tag Info'!X$18&lt;&gt;"",CONCATENATE('Bundle Tag Info'!$A$1," ",CHAR(10),'Bundle Tag Info'!$A$2," ",'Bundle Tag Info'!$A$3,CHAR(10),'Bundle Tag Info'!X$6,CHAR(10),'Bundle Tag Info'!X$18),"")</f>
        <v/>
      </c>
      <c r="X13" s="12" t="str">
        <f>IF('Bundle Tag Info'!Y$18&lt;&gt;"",CONCATENATE('Bundle Tag Info'!$A$1," ",CHAR(10),'Bundle Tag Info'!$A$2," ",'Bundle Tag Info'!$A$3,CHAR(10),'Bundle Tag Info'!Y$6,CHAR(10),'Bundle Tag Info'!Y$18),"")</f>
        <v/>
      </c>
      <c r="Y13" s="12" t="str">
        <f>IF('Bundle Tag Info'!Z$18&lt;&gt;"",CONCATENATE('Bundle Tag Info'!$A$1," ",CHAR(10),'Bundle Tag Info'!$A$2," ",'Bundle Tag Info'!$A$3,CHAR(10),'Bundle Tag Info'!Z$6,CHAR(10),'Bundle Tag Info'!Z$18),"")</f>
        <v/>
      </c>
      <c r="Z13" s="12" t="str">
        <f>IF('Bundle Tag Info'!AA$18&lt;&gt;"",CONCATENATE('Bundle Tag Info'!$A$1," ",CHAR(10),'Bundle Tag Info'!$A$2," ",'Bundle Tag Info'!$A$3,CHAR(10),'Bundle Tag Info'!AA$6,CHAR(10),'Bundle Tag Info'!AA$18),"")</f>
        <v/>
      </c>
      <c r="AA13" s="12" t="str">
        <f>IF('Bundle Tag Info'!AB$18&lt;&gt;"",CONCATENATE('Bundle Tag Info'!$A$1," ",CHAR(10),'Bundle Tag Info'!$A$2," ",'Bundle Tag Info'!$A$3,CHAR(10),'Bundle Tag Info'!AB$6,CHAR(10),'Bundle Tag Info'!AB$18),"")</f>
        <v/>
      </c>
      <c r="AB13" s="12" t="str">
        <f>IF('Bundle Tag Info'!AC$18&lt;&gt;"",CONCATENATE('Bundle Tag Info'!$A$1," ",CHAR(10),'Bundle Tag Info'!$A$2," ",'Bundle Tag Info'!$A$3,CHAR(10),'Bundle Tag Info'!AC$6,CHAR(10),'Bundle Tag Info'!AC$18),"")</f>
        <v/>
      </c>
      <c r="AC13" s="12" t="str">
        <f>IF('Bundle Tag Info'!AD$18&lt;&gt;"",CONCATENATE('Bundle Tag Info'!$A$1," ",CHAR(10),'Bundle Tag Info'!$A$2," ",'Bundle Tag Info'!$A$3,CHAR(10),'Bundle Tag Info'!AD$6,CHAR(10),'Bundle Tag Info'!AD$18),"")</f>
        <v/>
      </c>
      <c r="AD13" s="12" t="str">
        <f>IF('Bundle Tag Info'!AE$18&lt;&gt;"",CONCATENATE('Bundle Tag Info'!$A$1," ",CHAR(10),'Bundle Tag Info'!$A$2," ",'Bundle Tag Info'!$A$3,CHAR(10),'Bundle Tag Info'!AE$6,CHAR(10),'Bundle Tag Info'!AE$18),"")</f>
        <v/>
      </c>
    </row>
    <row r="14" spans="1:30" ht="12.6" customHeight="1" x14ac:dyDescent="0.25">
      <c r="A14" s="12" t="str">
        <f>IF('Bundle Tag Info'!B$8&lt;&gt;"",CONCATENATE('Bundle Tag Info'!$A$1," ",CHAR(10),'Bundle Tag Info'!$A$2," ",'Bundle Tag Info'!$A$3,CHAR(10),'Bundle Tag Info'!B$6,CHAR(10),'Bundle Tag Info'!B$8),"")</f>
        <v>BP-KEMD  
4L541 B.1
JB70 R RAIL
FU/UJ-A</v>
      </c>
      <c r="I14" s="12" t="str">
        <f>IF('Bundle Tag Info'!J$19&lt;&gt;"",CONCATENATE('Bundle Tag Info'!$A$1," ",CHAR(10),'Bundle Tag Info'!$A$2," ",'Bundle Tag Info'!$A$3,CHAR(10),'Bundle Tag Info'!J$6,CHAR(10),'Bundle Tag Info'!J$19),"")</f>
        <v/>
      </c>
      <c r="J14" s="12" t="str">
        <f>IF('Bundle Tag Info'!K$19&lt;&gt;"",CONCATENATE('Bundle Tag Info'!$A$1," ",CHAR(10),'Bundle Tag Info'!$A$2," ",'Bundle Tag Info'!$A$3,CHAR(10),'Bundle Tag Info'!K$6,CHAR(10),'Bundle Tag Info'!K$19),"")</f>
        <v/>
      </c>
      <c r="K14" s="12" t="str">
        <f>IF('Bundle Tag Info'!L$19&lt;&gt;"",CONCATENATE('Bundle Tag Info'!$A$1," ",CHAR(10),'Bundle Tag Info'!$A$2," ",'Bundle Tag Info'!$A$3,CHAR(10),'Bundle Tag Info'!L$6,CHAR(10),'Bundle Tag Info'!L$19),"")</f>
        <v/>
      </c>
      <c r="L14" s="12" t="str">
        <f>IF('Bundle Tag Info'!M$19&lt;&gt;"",CONCATENATE('Bundle Tag Info'!$A$1," ",CHAR(10),'Bundle Tag Info'!$A$2," ",'Bundle Tag Info'!$A$3,CHAR(10),'Bundle Tag Info'!M$6,CHAR(10),'Bundle Tag Info'!M$19),"")</f>
        <v/>
      </c>
      <c r="M14" s="12" t="str">
        <f>IF('Bundle Tag Info'!N$19&lt;&gt;"",CONCATENATE('Bundle Tag Info'!$A$1," ",CHAR(10),'Bundle Tag Info'!$A$2," ",'Bundle Tag Info'!$A$3,CHAR(10),'Bundle Tag Info'!N$6,CHAR(10),'Bundle Tag Info'!N$19),"")</f>
        <v/>
      </c>
      <c r="N14" s="12" t="str">
        <f>IF('Bundle Tag Info'!O$19&lt;&gt;"",CONCATENATE('Bundle Tag Info'!$A$1," ",CHAR(10),'Bundle Tag Info'!$A$2," ",'Bundle Tag Info'!$A$3,CHAR(10),'Bundle Tag Info'!O$6,CHAR(10),'Bundle Tag Info'!O$19),"")</f>
        <v/>
      </c>
      <c r="O14" s="12" t="str">
        <f>IF('Bundle Tag Info'!P$19&lt;&gt;"",CONCATENATE('Bundle Tag Info'!$A$1," ",CHAR(10),'Bundle Tag Info'!$A$2," ",'Bundle Tag Info'!$A$3,CHAR(10),'Bundle Tag Info'!P$6,CHAR(10),'Bundle Tag Info'!P$19),"")</f>
        <v/>
      </c>
      <c r="P14" s="12" t="str">
        <f>IF('Bundle Tag Info'!Q$19&lt;&gt;"",CONCATENATE('Bundle Tag Info'!$A$1," ",CHAR(10),'Bundle Tag Info'!$A$2," ",'Bundle Tag Info'!$A$3,CHAR(10),'Bundle Tag Info'!Q$6,CHAR(10),'Bundle Tag Info'!Q$19),"")</f>
        <v/>
      </c>
      <c r="Q14" s="12" t="str">
        <f>IF('Bundle Tag Info'!R$19&lt;&gt;"",CONCATENATE('Bundle Tag Info'!$A$1," ",CHAR(10),'Bundle Tag Info'!$A$2," ",'Bundle Tag Info'!$A$3,CHAR(10),'Bundle Tag Info'!R$6,CHAR(10),'Bundle Tag Info'!R$19),"")</f>
        <v/>
      </c>
      <c r="R14" s="12" t="str">
        <f>IF('Bundle Tag Info'!S$19&lt;&gt;"",CONCATENATE('Bundle Tag Info'!$A$1," ",CHAR(10),'Bundle Tag Info'!$A$2," ",'Bundle Tag Info'!$A$3,CHAR(10),'Bundle Tag Info'!S$6,CHAR(10),'Bundle Tag Info'!S$19),"")</f>
        <v/>
      </c>
      <c r="S14" s="12" t="str">
        <f>IF('Bundle Tag Info'!T$19&lt;&gt;"",CONCATENATE('Bundle Tag Info'!$A$1," ",CHAR(10),'Bundle Tag Info'!$A$2," ",'Bundle Tag Info'!$A$3,CHAR(10),'Bundle Tag Info'!T$6,CHAR(10),'Bundle Tag Info'!T$19),"")</f>
        <v/>
      </c>
      <c r="T14" s="12" t="str">
        <f>IF('Bundle Tag Info'!U$19&lt;&gt;"",CONCATENATE('Bundle Tag Info'!$A$1," ",CHAR(10),'Bundle Tag Info'!$A$2," ",'Bundle Tag Info'!$A$3,CHAR(10),'Bundle Tag Info'!U$6,CHAR(10),'Bundle Tag Info'!U$19),"")</f>
        <v/>
      </c>
      <c r="U14" s="12" t="str">
        <f>IF('Bundle Tag Info'!V$19&lt;&gt;"",CONCATENATE('Bundle Tag Info'!$A$1," ",CHAR(10),'Bundle Tag Info'!$A$2," ",'Bundle Tag Info'!$A$3,CHAR(10),'Bundle Tag Info'!V$6,CHAR(10),'Bundle Tag Info'!V$19),"")</f>
        <v/>
      </c>
      <c r="V14" s="12" t="str">
        <f>IF('Bundle Tag Info'!W$19&lt;&gt;"",CONCATENATE('Bundle Tag Info'!$A$1," ",CHAR(10),'Bundle Tag Info'!$A$2," ",'Bundle Tag Info'!$A$3,CHAR(10),'Bundle Tag Info'!W$6,CHAR(10),'Bundle Tag Info'!W$19),"")</f>
        <v/>
      </c>
      <c r="W14" s="12" t="str">
        <f>IF('Bundle Tag Info'!X$19&lt;&gt;"",CONCATENATE('Bundle Tag Info'!$A$1," ",CHAR(10),'Bundle Tag Info'!$A$2," ",'Bundle Tag Info'!$A$3,CHAR(10),'Bundle Tag Info'!X$6,CHAR(10),'Bundle Tag Info'!X$19),"")</f>
        <v/>
      </c>
      <c r="X14" s="12" t="str">
        <f>IF('Bundle Tag Info'!Y$19&lt;&gt;"",CONCATENATE('Bundle Tag Info'!$A$1," ",CHAR(10),'Bundle Tag Info'!$A$2," ",'Bundle Tag Info'!$A$3,CHAR(10),'Bundle Tag Info'!Y$6,CHAR(10),'Bundle Tag Info'!Y$19),"")</f>
        <v/>
      </c>
      <c r="Y14" s="12" t="str">
        <f>IF('Bundle Tag Info'!Z$19&lt;&gt;"",CONCATENATE('Bundle Tag Info'!$A$1," ",CHAR(10),'Bundle Tag Info'!$A$2," ",'Bundle Tag Info'!$A$3,CHAR(10),'Bundle Tag Info'!Z$6,CHAR(10),'Bundle Tag Info'!Z$19),"")</f>
        <v/>
      </c>
      <c r="Z14" s="12" t="str">
        <f>IF('Bundle Tag Info'!AA$19&lt;&gt;"",CONCATENATE('Bundle Tag Info'!$A$1," ",CHAR(10),'Bundle Tag Info'!$A$2," ",'Bundle Tag Info'!$A$3,CHAR(10),'Bundle Tag Info'!AA$6,CHAR(10),'Bundle Tag Info'!AA$19),"")</f>
        <v/>
      </c>
      <c r="AA14" s="12" t="str">
        <f>IF('Bundle Tag Info'!AB$19&lt;&gt;"",CONCATENATE('Bundle Tag Info'!$A$1," ",CHAR(10),'Bundle Tag Info'!$A$2," ",'Bundle Tag Info'!$A$3,CHAR(10),'Bundle Tag Info'!AB$6,CHAR(10),'Bundle Tag Info'!AB$19),"")</f>
        <v/>
      </c>
      <c r="AB14" s="12" t="str">
        <f>IF('Bundle Tag Info'!AC$19&lt;&gt;"",CONCATENATE('Bundle Tag Info'!$A$1," ",CHAR(10),'Bundle Tag Info'!$A$2," ",'Bundle Tag Info'!$A$3,CHAR(10),'Bundle Tag Info'!AC$6,CHAR(10),'Bundle Tag Info'!AC$19),"")</f>
        <v/>
      </c>
      <c r="AC14" s="12" t="str">
        <f>IF('Bundle Tag Info'!AD$19&lt;&gt;"",CONCATENATE('Bundle Tag Info'!$A$1," ",CHAR(10),'Bundle Tag Info'!$A$2," ",'Bundle Tag Info'!$A$3,CHAR(10),'Bundle Tag Info'!AD$6,CHAR(10),'Bundle Tag Info'!AD$19),"")</f>
        <v/>
      </c>
      <c r="AD14" s="12" t="str">
        <f>IF('Bundle Tag Info'!AE$19&lt;&gt;"",CONCATENATE('Bundle Tag Info'!$A$1," ",CHAR(10),'Bundle Tag Info'!$A$2," ",'Bundle Tag Info'!$A$3,CHAR(10),'Bundle Tag Info'!AE$6,CHAR(10),'Bundle Tag Info'!AE$19),"")</f>
        <v/>
      </c>
    </row>
    <row r="15" spans="1:30" ht="12.6" customHeight="1" x14ac:dyDescent="0.25">
      <c r="A15" s="12" t="str">
        <f>IF('Bundle Tag Info'!C$7&lt;&gt;"",CONCATENATE('Bundle Tag Info'!$A$1," ",CHAR(10),'Bundle Tag Info'!$A$2," ",'Bundle Tag Info'!$A$3,CHAR(10),'Bundle Tag Info'!C$6,CHAR(10),'Bundle Tag Info'!C$7),"")</f>
        <v>BP-KEMD  
4L541 B.1
JB70 L RAIL
XT-A</v>
      </c>
      <c r="I15" s="12" t="str">
        <f>IF('Bundle Tag Info'!J$20&lt;&gt;"",CONCATENATE('Bundle Tag Info'!$A$1," ",CHAR(10),'Bundle Tag Info'!$A$2," ",'Bundle Tag Info'!$A$3,CHAR(10),'Bundle Tag Info'!J$6,CHAR(10),'Bundle Tag Info'!J$20),"")</f>
        <v/>
      </c>
      <c r="J15" s="12" t="str">
        <f>IF('Bundle Tag Info'!K$20&lt;&gt;"",CONCATENATE('Bundle Tag Info'!$A$1," ",CHAR(10),'Bundle Tag Info'!$A$2," ",'Bundle Tag Info'!$A$3,CHAR(10),'Bundle Tag Info'!K$6,CHAR(10),'Bundle Tag Info'!K$20),"")</f>
        <v/>
      </c>
      <c r="K15" s="12" t="str">
        <f>IF('Bundle Tag Info'!L$20&lt;&gt;"",CONCATENATE('Bundle Tag Info'!$A$1," ",CHAR(10),'Bundle Tag Info'!$A$2," ",'Bundle Tag Info'!$A$3,CHAR(10),'Bundle Tag Info'!L$6,CHAR(10),'Bundle Tag Info'!L$20),"")</f>
        <v/>
      </c>
      <c r="L15" s="12" t="str">
        <f>IF('Bundle Tag Info'!M$20&lt;&gt;"",CONCATENATE('Bundle Tag Info'!$A$1," ",CHAR(10),'Bundle Tag Info'!$A$2," ",'Bundle Tag Info'!$A$3,CHAR(10),'Bundle Tag Info'!M$6,CHAR(10),'Bundle Tag Info'!M$20),"")</f>
        <v/>
      </c>
      <c r="M15" s="12" t="str">
        <f>IF('Bundle Tag Info'!N$20&lt;&gt;"",CONCATENATE('Bundle Tag Info'!$A$1," ",CHAR(10),'Bundle Tag Info'!$A$2," ",'Bundle Tag Info'!$A$3,CHAR(10),'Bundle Tag Info'!N$6,CHAR(10),'Bundle Tag Info'!N$20),"")</f>
        <v/>
      </c>
      <c r="N15" s="12" t="str">
        <f>IF('Bundle Tag Info'!O$20&lt;&gt;"",CONCATENATE('Bundle Tag Info'!$A$1," ",CHAR(10),'Bundle Tag Info'!$A$2," ",'Bundle Tag Info'!$A$3,CHAR(10),'Bundle Tag Info'!O$6,CHAR(10),'Bundle Tag Info'!O$20),"")</f>
        <v/>
      </c>
      <c r="O15" s="12" t="str">
        <f>IF('Bundle Tag Info'!P$20&lt;&gt;"",CONCATENATE('Bundle Tag Info'!$A$1," ",CHAR(10),'Bundle Tag Info'!$A$2," ",'Bundle Tag Info'!$A$3,CHAR(10),'Bundle Tag Info'!P$6,CHAR(10),'Bundle Tag Info'!P$20),"")</f>
        <v/>
      </c>
      <c r="P15" s="12" t="str">
        <f>IF('Bundle Tag Info'!Q$20&lt;&gt;"",CONCATENATE('Bundle Tag Info'!$A$1," ",CHAR(10),'Bundle Tag Info'!$A$2," ",'Bundle Tag Info'!$A$3,CHAR(10),'Bundle Tag Info'!Q$6,CHAR(10),'Bundle Tag Info'!Q$20),"")</f>
        <v/>
      </c>
      <c r="Q15" s="12" t="str">
        <f>IF('Bundle Tag Info'!R$20&lt;&gt;"",CONCATENATE('Bundle Tag Info'!$A$1," ",CHAR(10),'Bundle Tag Info'!$A$2," ",'Bundle Tag Info'!$A$3,CHAR(10),'Bundle Tag Info'!R$6,CHAR(10),'Bundle Tag Info'!R$20),"")</f>
        <v/>
      </c>
      <c r="R15" s="12" t="str">
        <f>IF('Bundle Tag Info'!S$20&lt;&gt;"",CONCATENATE('Bundle Tag Info'!$A$1," ",CHAR(10),'Bundle Tag Info'!$A$2," ",'Bundle Tag Info'!$A$3,CHAR(10),'Bundle Tag Info'!S$6,CHAR(10),'Bundle Tag Info'!S$20),"")</f>
        <v/>
      </c>
      <c r="S15" s="12" t="str">
        <f>IF('Bundle Tag Info'!T$20&lt;&gt;"",CONCATENATE('Bundle Tag Info'!$A$1," ",CHAR(10),'Bundle Tag Info'!$A$2," ",'Bundle Tag Info'!$A$3,CHAR(10),'Bundle Tag Info'!T$6,CHAR(10),'Bundle Tag Info'!T$20),"")</f>
        <v/>
      </c>
      <c r="T15" s="12" t="str">
        <f>IF('Bundle Tag Info'!U$20&lt;&gt;"",CONCATENATE('Bundle Tag Info'!$A$1," ",CHAR(10),'Bundle Tag Info'!$A$2," ",'Bundle Tag Info'!$A$3,CHAR(10),'Bundle Tag Info'!U$6,CHAR(10),'Bundle Tag Info'!U$20),"")</f>
        <v/>
      </c>
      <c r="U15" s="12" t="str">
        <f>IF('Bundle Tag Info'!V$20&lt;&gt;"",CONCATENATE('Bundle Tag Info'!$A$1," ",CHAR(10),'Bundle Tag Info'!$A$2," ",'Bundle Tag Info'!$A$3,CHAR(10),'Bundle Tag Info'!V$6,CHAR(10),'Bundle Tag Info'!V$20),"")</f>
        <v/>
      </c>
      <c r="V15" s="12" t="str">
        <f>IF('Bundle Tag Info'!W$20&lt;&gt;"",CONCATENATE('Bundle Tag Info'!$A$1," ",CHAR(10),'Bundle Tag Info'!$A$2," ",'Bundle Tag Info'!$A$3,CHAR(10),'Bundle Tag Info'!W$6,CHAR(10),'Bundle Tag Info'!W$20),"")</f>
        <v/>
      </c>
      <c r="W15" s="12" t="str">
        <f>IF('Bundle Tag Info'!X$20&lt;&gt;"",CONCATENATE('Bundle Tag Info'!$A$1," ",CHAR(10),'Bundle Tag Info'!$A$2," ",'Bundle Tag Info'!$A$3,CHAR(10),'Bundle Tag Info'!X$6,CHAR(10),'Bundle Tag Info'!X$20),"")</f>
        <v/>
      </c>
      <c r="X15" s="12" t="str">
        <f>IF('Bundle Tag Info'!Y$20&lt;&gt;"",CONCATENATE('Bundle Tag Info'!$A$1," ",CHAR(10),'Bundle Tag Info'!$A$2," ",'Bundle Tag Info'!$A$3,CHAR(10),'Bundle Tag Info'!Y$6,CHAR(10),'Bundle Tag Info'!Y$20),"")</f>
        <v/>
      </c>
      <c r="Y15" s="12" t="str">
        <f>IF('Bundle Tag Info'!Z$20&lt;&gt;"",CONCATENATE('Bundle Tag Info'!$A$1," ",CHAR(10),'Bundle Tag Info'!$A$2," ",'Bundle Tag Info'!$A$3,CHAR(10),'Bundle Tag Info'!Z$6,CHAR(10),'Bundle Tag Info'!Z$20),"")</f>
        <v/>
      </c>
      <c r="Z15" s="12" t="str">
        <f>IF('Bundle Tag Info'!AA$20&lt;&gt;"",CONCATENATE('Bundle Tag Info'!$A$1," ",CHAR(10),'Bundle Tag Info'!$A$2," ",'Bundle Tag Info'!$A$3,CHAR(10),'Bundle Tag Info'!AA$6,CHAR(10),'Bundle Tag Info'!AA$20),"")</f>
        <v/>
      </c>
      <c r="AA15" s="12" t="str">
        <f>IF('Bundle Tag Info'!AB$20&lt;&gt;"",CONCATENATE('Bundle Tag Info'!$A$1," ",CHAR(10),'Bundle Tag Info'!$A$2," ",'Bundle Tag Info'!$A$3,CHAR(10),'Bundle Tag Info'!AB$6,CHAR(10),'Bundle Tag Info'!AB$20),"")</f>
        <v/>
      </c>
      <c r="AB15" s="12" t="str">
        <f>IF('Bundle Tag Info'!AC$20&lt;&gt;"",CONCATENATE('Bundle Tag Info'!$A$1," ",CHAR(10),'Bundle Tag Info'!$A$2," ",'Bundle Tag Info'!$A$3,CHAR(10),'Bundle Tag Info'!AC$6,CHAR(10),'Bundle Tag Info'!AC$20),"")</f>
        <v/>
      </c>
      <c r="AC15" s="12" t="str">
        <f>IF('Bundle Tag Info'!AD$20&lt;&gt;"",CONCATENATE('Bundle Tag Info'!$A$1," ",CHAR(10),'Bundle Tag Info'!$A$2," ",'Bundle Tag Info'!$A$3,CHAR(10),'Bundle Tag Info'!AD$6,CHAR(10),'Bundle Tag Info'!AD$20),"")</f>
        <v/>
      </c>
      <c r="AD15" s="12" t="str">
        <f>IF('Bundle Tag Info'!AE$20&lt;&gt;"",CONCATENATE('Bundle Tag Info'!$A$1," ",CHAR(10),'Bundle Tag Info'!$A$2," ",'Bundle Tag Info'!$A$3,CHAR(10),'Bundle Tag Info'!AE$6,CHAR(10),'Bundle Tag Info'!AE$20),"")</f>
        <v/>
      </c>
    </row>
    <row r="16" spans="1:30" ht="12.6" customHeight="1" x14ac:dyDescent="0.25">
      <c r="A16" s="12" t="str">
        <f>IF('Bundle Tag Info'!C$8&lt;&gt;"",CONCATENATE('Bundle Tag Info'!$A$1," ",CHAR(10),'Bundle Tag Info'!$A$2," ",'Bundle Tag Info'!$A$3,CHAR(10),'Bundle Tag Info'!C$6,CHAR(10),'Bundle Tag Info'!C$8),"")</f>
        <v>BP-KEMD  
4L541 B.1
JB70 L RAIL
XT01s-B</v>
      </c>
      <c r="I16" s="12" t="str">
        <f>IF('Bundle Tag Info'!J$21&lt;&gt;"",CONCATENATE('Bundle Tag Info'!$A$1," ",CHAR(10),'Bundle Tag Info'!$A$2," ",'Bundle Tag Info'!$A$3,CHAR(10),'Bundle Tag Info'!J$6,CHAR(10),'Bundle Tag Info'!J$21),"")</f>
        <v/>
      </c>
      <c r="J16" s="12" t="str">
        <f>IF('Bundle Tag Info'!K$21&lt;&gt;"",CONCATENATE('Bundle Tag Info'!$A$1," ",CHAR(10),'Bundle Tag Info'!$A$2," ",'Bundle Tag Info'!$A$3,CHAR(10),'Bundle Tag Info'!K$6,CHAR(10),'Bundle Tag Info'!K$21),"")</f>
        <v/>
      </c>
      <c r="K16" s="12" t="str">
        <f>IF('Bundle Tag Info'!L$21&lt;&gt;"",CONCATENATE('Bundle Tag Info'!$A$1," ",CHAR(10),'Bundle Tag Info'!$A$2," ",'Bundle Tag Info'!$A$3,CHAR(10),'Bundle Tag Info'!L$6,CHAR(10),'Bundle Tag Info'!L$21),"")</f>
        <v/>
      </c>
      <c r="L16" s="12" t="str">
        <f>IF('Bundle Tag Info'!M$21&lt;&gt;"",CONCATENATE('Bundle Tag Info'!$A$1," ",CHAR(10),'Bundle Tag Info'!$A$2," ",'Bundle Tag Info'!$A$3,CHAR(10),'Bundle Tag Info'!M$6,CHAR(10),'Bundle Tag Info'!M$21),"")</f>
        <v/>
      </c>
      <c r="M16" s="12" t="str">
        <f>IF('Bundle Tag Info'!N$21&lt;&gt;"",CONCATENATE('Bundle Tag Info'!$A$1," ",CHAR(10),'Bundle Tag Info'!$A$2," ",'Bundle Tag Info'!$A$3,CHAR(10),'Bundle Tag Info'!N$6,CHAR(10),'Bundle Tag Info'!N$21),"")</f>
        <v/>
      </c>
      <c r="N16" s="12" t="str">
        <f>IF('Bundle Tag Info'!O$21&lt;&gt;"",CONCATENATE('Bundle Tag Info'!$A$1," ",CHAR(10),'Bundle Tag Info'!$A$2," ",'Bundle Tag Info'!$A$3,CHAR(10),'Bundle Tag Info'!O$6,CHAR(10),'Bundle Tag Info'!O$21),"")</f>
        <v/>
      </c>
      <c r="O16" s="12" t="str">
        <f>IF('Bundle Tag Info'!P$21&lt;&gt;"",CONCATENATE('Bundle Tag Info'!$A$1," ",CHAR(10),'Bundle Tag Info'!$A$2," ",'Bundle Tag Info'!$A$3,CHAR(10),'Bundle Tag Info'!P$6,CHAR(10),'Bundle Tag Info'!P$21),"")</f>
        <v/>
      </c>
      <c r="P16" s="12" t="str">
        <f>IF('Bundle Tag Info'!Q$21&lt;&gt;"",CONCATENATE('Bundle Tag Info'!$A$1," ",CHAR(10),'Bundle Tag Info'!$A$2," ",'Bundle Tag Info'!$A$3,CHAR(10),'Bundle Tag Info'!Q$6,CHAR(10),'Bundle Tag Info'!Q$21),"")</f>
        <v/>
      </c>
      <c r="Q16" s="12" t="str">
        <f>IF('Bundle Tag Info'!R$21&lt;&gt;"",CONCATENATE('Bundle Tag Info'!$A$1," ",CHAR(10),'Bundle Tag Info'!$A$2," ",'Bundle Tag Info'!$A$3,CHAR(10),'Bundle Tag Info'!R$6,CHAR(10),'Bundle Tag Info'!R$21),"")</f>
        <v/>
      </c>
      <c r="R16" s="12" t="str">
        <f>IF('Bundle Tag Info'!S$21&lt;&gt;"",CONCATENATE('Bundle Tag Info'!$A$1," ",CHAR(10),'Bundle Tag Info'!$A$2," ",'Bundle Tag Info'!$A$3,CHAR(10),'Bundle Tag Info'!S$6,CHAR(10),'Bundle Tag Info'!S$21),"")</f>
        <v/>
      </c>
      <c r="S16" s="12" t="str">
        <f>IF('Bundle Tag Info'!T$21&lt;&gt;"",CONCATENATE('Bundle Tag Info'!$A$1," ",CHAR(10),'Bundle Tag Info'!$A$2," ",'Bundle Tag Info'!$A$3,CHAR(10),'Bundle Tag Info'!T$6,CHAR(10),'Bundle Tag Info'!T$21),"")</f>
        <v/>
      </c>
      <c r="T16" s="12" t="str">
        <f>IF('Bundle Tag Info'!U$21&lt;&gt;"",CONCATENATE('Bundle Tag Info'!$A$1," ",CHAR(10),'Bundle Tag Info'!$A$2," ",'Bundle Tag Info'!$A$3,CHAR(10),'Bundle Tag Info'!U$6,CHAR(10),'Bundle Tag Info'!U$21),"")</f>
        <v/>
      </c>
      <c r="U16" s="12" t="str">
        <f>IF('Bundle Tag Info'!V$21&lt;&gt;"",CONCATENATE('Bundle Tag Info'!$A$1," ",CHAR(10),'Bundle Tag Info'!$A$2," ",'Bundle Tag Info'!$A$3,CHAR(10),'Bundle Tag Info'!V$6,CHAR(10),'Bundle Tag Info'!V$21),"")</f>
        <v/>
      </c>
      <c r="V16" s="12" t="str">
        <f>IF('Bundle Tag Info'!W$21&lt;&gt;"",CONCATENATE('Bundle Tag Info'!$A$1," ",CHAR(10),'Bundle Tag Info'!$A$2," ",'Bundle Tag Info'!$A$3,CHAR(10),'Bundle Tag Info'!W$6,CHAR(10),'Bundle Tag Info'!W$21),"")</f>
        <v/>
      </c>
      <c r="W16" s="12" t="str">
        <f>IF('Bundle Tag Info'!X$21&lt;&gt;"",CONCATENATE('Bundle Tag Info'!$A$1," ",CHAR(10),'Bundle Tag Info'!$A$2," ",'Bundle Tag Info'!$A$3,CHAR(10),'Bundle Tag Info'!X$6,CHAR(10),'Bundle Tag Info'!X$21),"")</f>
        <v/>
      </c>
      <c r="X16" s="12" t="str">
        <f>IF('Bundle Tag Info'!Y$21&lt;&gt;"",CONCATENATE('Bundle Tag Info'!$A$1," ",CHAR(10),'Bundle Tag Info'!$A$2," ",'Bundle Tag Info'!$A$3,CHAR(10),'Bundle Tag Info'!Y$6,CHAR(10),'Bundle Tag Info'!Y$21),"")</f>
        <v/>
      </c>
      <c r="Y16" s="12" t="str">
        <f>IF('Bundle Tag Info'!Z$21&lt;&gt;"",CONCATENATE('Bundle Tag Info'!$A$1," ",CHAR(10),'Bundle Tag Info'!$A$2," ",'Bundle Tag Info'!$A$3,CHAR(10),'Bundle Tag Info'!Z$6,CHAR(10),'Bundle Tag Info'!Z$21),"")</f>
        <v/>
      </c>
      <c r="Z16" s="12" t="str">
        <f>IF('Bundle Tag Info'!AA$21&lt;&gt;"",CONCATENATE('Bundle Tag Info'!$A$1," ",CHAR(10),'Bundle Tag Info'!$A$2," ",'Bundle Tag Info'!$A$3,CHAR(10),'Bundle Tag Info'!AA$6,CHAR(10),'Bundle Tag Info'!AA$21),"")</f>
        <v/>
      </c>
      <c r="AA16" s="12" t="str">
        <f>IF('Bundle Tag Info'!AB$21&lt;&gt;"",CONCATENATE('Bundle Tag Info'!$A$1," ",CHAR(10),'Bundle Tag Info'!$A$2," ",'Bundle Tag Info'!$A$3,CHAR(10),'Bundle Tag Info'!AB$6,CHAR(10),'Bundle Tag Info'!AB$21),"")</f>
        <v/>
      </c>
      <c r="AB16" s="12" t="str">
        <f>IF('Bundle Tag Info'!AC$21&lt;&gt;"",CONCATENATE('Bundle Tag Info'!$A$1," ",CHAR(10),'Bundle Tag Info'!$A$2," ",'Bundle Tag Info'!$A$3,CHAR(10),'Bundle Tag Info'!AC$6,CHAR(10),'Bundle Tag Info'!AC$21),"")</f>
        <v/>
      </c>
      <c r="AC16" s="12" t="str">
        <f>IF('Bundle Tag Info'!AD$21&lt;&gt;"",CONCATENATE('Bundle Tag Info'!$A$1," ",CHAR(10),'Bundle Tag Info'!$A$2," ",'Bundle Tag Info'!$A$3,CHAR(10),'Bundle Tag Info'!AD$6,CHAR(10),'Bundle Tag Info'!AD$21),"")</f>
        <v/>
      </c>
      <c r="AD16" s="12" t="str">
        <f>IF('Bundle Tag Info'!AE$21&lt;&gt;"",CONCATENATE('Bundle Tag Info'!$A$1," ",CHAR(10),'Bundle Tag Info'!$A$2," ",'Bundle Tag Info'!$A$3,CHAR(10),'Bundle Tag Info'!AE$6,CHAR(10),'Bundle Tag Info'!AE$21),"")</f>
        <v/>
      </c>
    </row>
    <row r="17" spans="1:30" ht="12.6" customHeight="1" x14ac:dyDescent="0.25">
      <c r="A17" s="12" t="str">
        <f>IF('Bundle Tag Info'!C$9&lt;&gt;"",CONCATENATE('Bundle Tag Info'!$A$1," ",CHAR(10),'Bundle Tag Info'!$A$2," ",'Bundle Tag Info'!$A$3,CHAR(10),'Bundle Tag Info'!C$6,CHAR(10),'Bundle Tag Info'!C$9),"")</f>
        <v>BP-KEMD  
4L541 B.1
JB70 L RAIL
XT9070s-B</v>
      </c>
      <c r="I17" s="12" t="str">
        <f>IF('Bundle Tag Info'!J$22&lt;&gt;"",CONCATENATE('Bundle Tag Info'!$A$1," ",CHAR(10),'Bundle Tag Info'!$A$2," ",'Bundle Tag Info'!$A$3,CHAR(10),'Bundle Tag Info'!J$6,CHAR(10),'Bundle Tag Info'!J$22),"")</f>
        <v/>
      </c>
      <c r="J17" s="12" t="str">
        <f>IF('Bundle Tag Info'!K$22&lt;&gt;"",CONCATENATE('Bundle Tag Info'!$A$1," ",CHAR(10),'Bundle Tag Info'!$A$2," ",'Bundle Tag Info'!$A$3,CHAR(10),'Bundle Tag Info'!K$6,CHAR(10),'Bundle Tag Info'!K$22),"")</f>
        <v/>
      </c>
      <c r="K17" s="12" t="str">
        <f>IF('Bundle Tag Info'!L$22&lt;&gt;"",CONCATENATE('Bundle Tag Info'!$A$1," ",CHAR(10),'Bundle Tag Info'!$A$2," ",'Bundle Tag Info'!$A$3,CHAR(10),'Bundle Tag Info'!L$6,CHAR(10),'Bundle Tag Info'!L$22),"")</f>
        <v/>
      </c>
      <c r="L17" s="12" t="str">
        <f>IF('Bundle Tag Info'!M$22&lt;&gt;"",CONCATENATE('Bundle Tag Info'!$A$1," ",CHAR(10),'Bundle Tag Info'!$A$2," ",'Bundle Tag Info'!$A$3,CHAR(10),'Bundle Tag Info'!M$6,CHAR(10),'Bundle Tag Info'!M$22),"")</f>
        <v/>
      </c>
      <c r="M17" s="12" t="str">
        <f>IF('Bundle Tag Info'!N$22&lt;&gt;"",CONCATENATE('Bundle Tag Info'!$A$1," ",CHAR(10),'Bundle Tag Info'!$A$2," ",'Bundle Tag Info'!$A$3,CHAR(10),'Bundle Tag Info'!N$6,CHAR(10),'Bundle Tag Info'!N$22),"")</f>
        <v/>
      </c>
      <c r="N17" s="12" t="str">
        <f>IF('Bundle Tag Info'!O$22&lt;&gt;"",CONCATENATE('Bundle Tag Info'!$A$1," ",CHAR(10),'Bundle Tag Info'!$A$2," ",'Bundle Tag Info'!$A$3,CHAR(10),'Bundle Tag Info'!O$6,CHAR(10),'Bundle Tag Info'!O$22),"")</f>
        <v/>
      </c>
      <c r="O17" s="12" t="str">
        <f>IF('Bundle Tag Info'!P$22&lt;&gt;"",CONCATENATE('Bundle Tag Info'!$A$1," ",CHAR(10),'Bundle Tag Info'!$A$2," ",'Bundle Tag Info'!$A$3,CHAR(10),'Bundle Tag Info'!P$6,CHAR(10),'Bundle Tag Info'!P$22),"")</f>
        <v/>
      </c>
      <c r="P17" s="12" t="str">
        <f>IF('Bundle Tag Info'!Q$22&lt;&gt;"",CONCATENATE('Bundle Tag Info'!$A$1," ",CHAR(10),'Bundle Tag Info'!$A$2," ",'Bundle Tag Info'!$A$3,CHAR(10),'Bundle Tag Info'!Q$6,CHAR(10),'Bundle Tag Info'!Q$22),"")</f>
        <v/>
      </c>
      <c r="Q17" s="12" t="str">
        <f>IF('Bundle Tag Info'!R$22&lt;&gt;"",CONCATENATE('Bundle Tag Info'!$A$1," ",CHAR(10),'Bundle Tag Info'!$A$2," ",'Bundle Tag Info'!$A$3,CHAR(10),'Bundle Tag Info'!R$6,CHAR(10),'Bundle Tag Info'!R$22),"")</f>
        <v/>
      </c>
      <c r="R17" s="12" t="str">
        <f>IF('Bundle Tag Info'!S$22&lt;&gt;"",CONCATENATE('Bundle Tag Info'!$A$1," ",CHAR(10),'Bundle Tag Info'!$A$2," ",'Bundle Tag Info'!$A$3,CHAR(10),'Bundle Tag Info'!S$6,CHAR(10),'Bundle Tag Info'!S$22),"")</f>
        <v/>
      </c>
      <c r="S17" s="12" t="str">
        <f>IF('Bundle Tag Info'!T$22&lt;&gt;"",CONCATENATE('Bundle Tag Info'!$A$1," ",CHAR(10),'Bundle Tag Info'!$A$2," ",'Bundle Tag Info'!$A$3,CHAR(10),'Bundle Tag Info'!T$6,CHAR(10),'Bundle Tag Info'!T$22),"")</f>
        <v/>
      </c>
      <c r="T17" s="12" t="str">
        <f>IF('Bundle Tag Info'!U$22&lt;&gt;"",CONCATENATE('Bundle Tag Info'!$A$1," ",CHAR(10),'Bundle Tag Info'!$A$2," ",'Bundle Tag Info'!$A$3,CHAR(10),'Bundle Tag Info'!U$6,CHAR(10),'Bundle Tag Info'!U$22),"")</f>
        <v/>
      </c>
      <c r="U17" s="12" t="str">
        <f>IF('Bundle Tag Info'!V$22&lt;&gt;"",CONCATENATE('Bundle Tag Info'!$A$1," ",CHAR(10),'Bundle Tag Info'!$A$2," ",'Bundle Tag Info'!$A$3,CHAR(10),'Bundle Tag Info'!V$6,CHAR(10),'Bundle Tag Info'!V$22),"")</f>
        <v/>
      </c>
      <c r="V17" s="12" t="str">
        <f>IF('Bundle Tag Info'!W$22&lt;&gt;"",CONCATENATE('Bundle Tag Info'!$A$1," ",CHAR(10),'Bundle Tag Info'!$A$2," ",'Bundle Tag Info'!$A$3,CHAR(10),'Bundle Tag Info'!W$6,CHAR(10),'Bundle Tag Info'!W$22),"")</f>
        <v/>
      </c>
      <c r="W17" s="12" t="str">
        <f>IF('Bundle Tag Info'!X$22&lt;&gt;"",CONCATENATE('Bundle Tag Info'!$A$1," ",CHAR(10),'Bundle Tag Info'!$A$2," ",'Bundle Tag Info'!$A$3,CHAR(10),'Bundle Tag Info'!X$6,CHAR(10),'Bundle Tag Info'!X$22),"")</f>
        <v/>
      </c>
      <c r="X17" s="12" t="str">
        <f>IF('Bundle Tag Info'!Y$22&lt;&gt;"",CONCATENATE('Bundle Tag Info'!$A$1," ",CHAR(10),'Bundle Tag Info'!$A$2," ",'Bundle Tag Info'!$A$3,CHAR(10),'Bundle Tag Info'!Y$6,CHAR(10),'Bundle Tag Info'!Y$22),"")</f>
        <v/>
      </c>
      <c r="Y17" s="12" t="str">
        <f>IF('Bundle Tag Info'!Z$22&lt;&gt;"",CONCATENATE('Bundle Tag Info'!$A$1," ",CHAR(10),'Bundle Tag Info'!$A$2," ",'Bundle Tag Info'!$A$3,CHAR(10),'Bundle Tag Info'!Z$6,CHAR(10),'Bundle Tag Info'!Z$22),"")</f>
        <v/>
      </c>
      <c r="Z17" s="12" t="str">
        <f>IF('Bundle Tag Info'!AA$22&lt;&gt;"",CONCATENATE('Bundle Tag Info'!$A$1," ",CHAR(10),'Bundle Tag Info'!$A$2," ",'Bundle Tag Info'!$A$3,CHAR(10),'Bundle Tag Info'!AA$6,CHAR(10),'Bundle Tag Info'!AA$22),"")</f>
        <v/>
      </c>
      <c r="AA17" s="12" t="str">
        <f>IF('Bundle Tag Info'!AB$22&lt;&gt;"",CONCATENATE('Bundle Tag Info'!$A$1," ",CHAR(10),'Bundle Tag Info'!$A$2," ",'Bundle Tag Info'!$A$3,CHAR(10),'Bundle Tag Info'!AB$6,CHAR(10),'Bundle Tag Info'!AB$22),"")</f>
        <v/>
      </c>
      <c r="AB17" s="12" t="str">
        <f>IF('Bundle Tag Info'!AC$22&lt;&gt;"",CONCATENATE('Bundle Tag Info'!$A$1," ",CHAR(10),'Bundle Tag Info'!$A$2," ",'Bundle Tag Info'!$A$3,CHAR(10),'Bundle Tag Info'!AC$6,CHAR(10),'Bundle Tag Info'!AC$22),"")</f>
        <v/>
      </c>
      <c r="AC17" s="12" t="str">
        <f>IF('Bundle Tag Info'!AD$22&lt;&gt;"",CONCATENATE('Bundle Tag Info'!$A$1," ",CHAR(10),'Bundle Tag Info'!$A$2," ",'Bundle Tag Info'!$A$3,CHAR(10),'Bundle Tag Info'!AD$6,CHAR(10),'Bundle Tag Info'!AD$22),"")</f>
        <v/>
      </c>
      <c r="AD17" s="12" t="str">
        <f>IF('Bundle Tag Info'!AE$22&lt;&gt;"",CONCATENATE('Bundle Tag Info'!$A$1," ",CHAR(10),'Bundle Tag Info'!$A$2," ",'Bundle Tag Info'!$A$3,CHAR(10),'Bundle Tag Info'!AE$6,CHAR(10),'Bundle Tag Info'!AE$22),"")</f>
        <v/>
      </c>
    </row>
    <row r="18" spans="1:30" ht="12.6" customHeight="1" x14ac:dyDescent="0.25">
      <c r="A18" s="12" t="str">
        <f>IF('Bundle Tag Info'!C$10&lt;&gt;"",CONCATENATE('Bundle Tag Info'!$A$1," ",CHAR(10),'Bundle Tag Info'!$A$2," ",'Bundle Tag Info'!$A$3,CHAR(10),'Bundle Tag Info'!C$6,CHAR(10),'Bundle Tag Info'!C$10),"")</f>
        <v>BP-KEMD  
4L541 B.1
JB70 L RAIL
XT-PLC</v>
      </c>
      <c r="I18" s="12" t="str">
        <f>IF('Bundle Tag Info'!J$23&lt;&gt;"",CONCATENATE('Bundle Tag Info'!$A$1," ",CHAR(10),'Bundle Tag Info'!$A$2," ",'Bundle Tag Info'!$A$3,CHAR(10),'Bundle Tag Info'!J$6,CHAR(10),'Bundle Tag Info'!J$23),"")</f>
        <v/>
      </c>
      <c r="J18" s="12" t="str">
        <f>IF('Bundle Tag Info'!K$23&lt;&gt;"",CONCATENATE('Bundle Tag Info'!$A$1," ",CHAR(10),'Bundle Tag Info'!$A$2," ",'Bundle Tag Info'!$A$3,CHAR(10),'Bundle Tag Info'!K$6,CHAR(10),'Bundle Tag Info'!K$23),"")</f>
        <v/>
      </c>
      <c r="K18" s="12" t="str">
        <f>IF('Bundle Tag Info'!L$23&lt;&gt;"",CONCATENATE('Bundle Tag Info'!$A$1," ",CHAR(10),'Bundle Tag Info'!$A$2," ",'Bundle Tag Info'!$A$3,CHAR(10),'Bundle Tag Info'!L$6,CHAR(10),'Bundle Tag Info'!L$23),"")</f>
        <v/>
      </c>
      <c r="L18" s="12" t="str">
        <f>IF('Bundle Tag Info'!M$23&lt;&gt;"",CONCATENATE('Bundle Tag Info'!$A$1," ",CHAR(10),'Bundle Tag Info'!$A$2," ",'Bundle Tag Info'!$A$3,CHAR(10),'Bundle Tag Info'!M$6,CHAR(10),'Bundle Tag Info'!M$23),"")</f>
        <v/>
      </c>
      <c r="M18" s="12" t="str">
        <f>IF('Bundle Tag Info'!N$23&lt;&gt;"",CONCATENATE('Bundle Tag Info'!$A$1," ",CHAR(10),'Bundle Tag Info'!$A$2," ",'Bundle Tag Info'!$A$3,CHAR(10),'Bundle Tag Info'!N$6,CHAR(10),'Bundle Tag Info'!N$23),"")</f>
        <v/>
      </c>
      <c r="N18" s="12" t="str">
        <f>IF('Bundle Tag Info'!O$23&lt;&gt;"",CONCATENATE('Bundle Tag Info'!$A$1," ",CHAR(10),'Bundle Tag Info'!$A$2," ",'Bundle Tag Info'!$A$3,CHAR(10),'Bundle Tag Info'!O$6,CHAR(10),'Bundle Tag Info'!O$23),"")</f>
        <v/>
      </c>
      <c r="O18" s="12" t="str">
        <f>IF('Bundle Tag Info'!P$23&lt;&gt;"",CONCATENATE('Bundle Tag Info'!$A$1," ",CHAR(10),'Bundle Tag Info'!$A$2," ",'Bundle Tag Info'!$A$3,CHAR(10),'Bundle Tag Info'!P$6,CHAR(10),'Bundle Tag Info'!P$23),"")</f>
        <v/>
      </c>
      <c r="P18" s="12" t="str">
        <f>IF('Bundle Tag Info'!Q$23&lt;&gt;"",CONCATENATE('Bundle Tag Info'!$A$1," ",CHAR(10),'Bundle Tag Info'!$A$2," ",'Bundle Tag Info'!$A$3,CHAR(10),'Bundle Tag Info'!Q$6,CHAR(10),'Bundle Tag Info'!Q$23),"")</f>
        <v/>
      </c>
      <c r="Q18" s="12" t="str">
        <f>IF('Bundle Tag Info'!R$23&lt;&gt;"",CONCATENATE('Bundle Tag Info'!$A$1," ",CHAR(10),'Bundle Tag Info'!$A$2," ",'Bundle Tag Info'!$A$3,CHAR(10),'Bundle Tag Info'!R$6,CHAR(10),'Bundle Tag Info'!R$23),"")</f>
        <v/>
      </c>
      <c r="R18" s="12" t="str">
        <f>IF('Bundle Tag Info'!S$23&lt;&gt;"",CONCATENATE('Bundle Tag Info'!$A$1," ",CHAR(10),'Bundle Tag Info'!$A$2," ",'Bundle Tag Info'!$A$3,CHAR(10),'Bundle Tag Info'!S$6,CHAR(10),'Bundle Tag Info'!S$23),"")</f>
        <v/>
      </c>
      <c r="S18" s="12" t="str">
        <f>IF('Bundle Tag Info'!T$23&lt;&gt;"",CONCATENATE('Bundle Tag Info'!$A$1," ",CHAR(10),'Bundle Tag Info'!$A$2," ",'Bundle Tag Info'!$A$3,CHAR(10),'Bundle Tag Info'!T$6,CHAR(10),'Bundle Tag Info'!T$23),"")</f>
        <v/>
      </c>
      <c r="T18" s="12" t="str">
        <f>IF('Bundle Tag Info'!U$23&lt;&gt;"",CONCATENATE('Bundle Tag Info'!$A$1," ",CHAR(10),'Bundle Tag Info'!$A$2," ",'Bundle Tag Info'!$A$3,CHAR(10),'Bundle Tag Info'!U$6,CHAR(10),'Bundle Tag Info'!U$23),"")</f>
        <v/>
      </c>
      <c r="U18" s="12" t="str">
        <f>IF('Bundle Tag Info'!V$23&lt;&gt;"",CONCATENATE('Bundle Tag Info'!$A$1," ",CHAR(10),'Bundle Tag Info'!$A$2," ",'Bundle Tag Info'!$A$3,CHAR(10),'Bundle Tag Info'!V$6,CHAR(10),'Bundle Tag Info'!V$23),"")</f>
        <v/>
      </c>
      <c r="V18" s="12" t="str">
        <f>IF('Bundle Tag Info'!W$23&lt;&gt;"",CONCATENATE('Bundle Tag Info'!$A$1," ",CHAR(10),'Bundle Tag Info'!$A$2," ",'Bundle Tag Info'!$A$3,CHAR(10),'Bundle Tag Info'!W$6,CHAR(10),'Bundle Tag Info'!W$23),"")</f>
        <v/>
      </c>
      <c r="W18" s="12" t="str">
        <f>IF('Bundle Tag Info'!X$23&lt;&gt;"",CONCATENATE('Bundle Tag Info'!$A$1," ",CHAR(10),'Bundle Tag Info'!$A$2," ",'Bundle Tag Info'!$A$3,CHAR(10),'Bundle Tag Info'!X$6,CHAR(10),'Bundle Tag Info'!X$23),"")</f>
        <v/>
      </c>
      <c r="X18" s="12" t="str">
        <f>IF('Bundle Tag Info'!Y$23&lt;&gt;"",CONCATENATE('Bundle Tag Info'!$A$1," ",CHAR(10),'Bundle Tag Info'!$A$2," ",'Bundle Tag Info'!$A$3,CHAR(10),'Bundle Tag Info'!Y$6,CHAR(10),'Bundle Tag Info'!Y$23),"")</f>
        <v/>
      </c>
      <c r="Y18" s="12" t="str">
        <f>IF('Bundle Tag Info'!Z$23&lt;&gt;"",CONCATENATE('Bundle Tag Info'!$A$1," ",CHAR(10),'Bundle Tag Info'!$A$2," ",'Bundle Tag Info'!$A$3,CHAR(10),'Bundle Tag Info'!Z$6,CHAR(10),'Bundle Tag Info'!Z$23),"")</f>
        <v/>
      </c>
      <c r="Z18" s="12" t="str">
        <f>IF('Bundle Tag Info'!AA$23&lt;&gt;"",CONCATENATE('Bundle Tag Info'!$A$1," ",CHAR(10),'Bundle Tag Info'!$A$2," ",'Bundle Tag Info'!$A$3,CHAR(10),'Bundle Tag Info'!AA$6,CHAR(10),'Bundle Tag Info'!AA$23),"")</f>
        <v/>
      </c>
      <c r="AA18" s="12" t="str">
        <f>IF('Bundle Tag Info'!AB$23&lt;&gt;"",CONCATENATE('Bundle Tag Info'!$A$1," ",CHAR(10),'Bundle Tag Info'!$A$2," ",'Bundle Tag Info'!$A$3,CHAR(10),'Bundle Tag Info'!AB$6,CHAR(10),'Bundle Tag Info'!AB$23),"")</f>
        <v/>
      </c>
      <c r="AB18" s="12" t="str">
        <f>IF('Bundle Tag Info'!AC$23&lt;&gt;"",CONCATENATE('Bundle Tag Info'!$A$1," ",CHAR(10),'Bundle Tag Info'!$A$2," ",'Bundle Tag Info'!$A$3,CHAR(10),'Bundle Tag Info'!AC$6,CHAR(10),'Bundle Tag Info'!AC$23),"")</f>
        <v/>
      </c>
      <c r="AC18" s="12" t="str">
        <f>IF('Bundle Tag Info'!AD$23&lt;&gt;"",CONCATENATE('Bundle Tag Info'!$A$1," ",CHAR(10),'Bundle Tag Info'!$A$2," ",'Bundle Tag Info'!$A$3,CHAR(10),'Bundle Tag Info'!AD$6,CHAR(10),'Bundle Tag Info'!AD$23),"")</f>
        <v/>
      </c>
      <c r="AD18" s="12" t="str">
        <f>IF('Bundle Tag Info'!AE$23&lt;&gt;"",CONCATENATE('Bundle Tag Info'!$A$1," ",CHAR(10),'Bundle Tag Info'!$A$2," ",'Bundle Tag Info'!$A$3,CHAR(10),'Bundle Tag Info'!AE$6,CHAR(10),'Bundle Tag Info'!AE$23),"")</f>
        <v/>
      </c>
    </row>
    <row r="19" spans="1:30" ht="12.6" customHeight="1" x14ac:dyDescent="0.25">
      <c r="A19" s="12" t="str">
        <f>IF('Bundle Tag Info'!D$7&lt;&gt;"",CONCATENATE('Bundle Tag Info'!$A$1," ",CHAR(10),'Bundle Tag Info'!$A$2," ",'Bundle Tag Info'!$A$3,CHAR(10),'Bundle Tag Info'!D$6,CHAR(10),'Bundle Tag Info'!D$7),"")</f>
        <v>BP-KEMD  
4L541 B.1
PLC
BA</v>
      </c>
      <c r="I19" s="12" t="str">
        <f>IF('Bundle Tag Info'!J$24&lt;&gt;"",CONCATENATE('Bundle Tag Info'!$A$1," ",CHAR(10),'Bundle Tag Info'!$A$2," ",'Bundle Tag Info'!$A$3,CHAR(10),'Bundle Tag Info'!J$6,CHAR(10),'Bundle Tag Info'!J$24),"")</f>
        <v/>
      </c>
      <c r="J19" s="12" t="str">
        <f>IF('Bundle Tag Info'!K$24&lt;&gt;"",CONCATENATE('Bundle Tag Info'!$A$1," ",CHAR(10),'Bundle Tag Info'!$A$2," ",'Bundle Tag Info'!$A$3,CHAR(10),'Bundle Tag Info'!K$6,CHAR(10),'Bundle Tag Info'!K$24),"")</f>
        <v/>
      </c>
      <c r="K19" s="12" t="str">
        <f>IF('Bundle Tag Info'!L$24&lt;&gt;"",CONCATENATE('Bundle Tag Info'!$A$1," ",CHAR(10),'Bundle Tag Info'!$A$2," ",'Bundle Tag Info'!$A$3,CHAR(10),'Bundle Tag Info'!L$6,CHAR(10),'Bundle Tag Info'!L$24),"")</f>
        <v/>
      </c>
      <c r="L19" s="12" t="str">
        <f>IF('Bundle Tag Info'!M$24&lt;&gt;"",CONCATENATE('Bundle Tag Info'!$A$1," ",CHAR(10),'Bundle Tag Info'!$A$2," ",'Bundle Tag Info'!$A$3,CHAR(10),'Bundle Tag Info'!M$6,CHAR(10),'Bundle Tag Info'!M$24),"")</f>
        <v/>
      </c>
      <c r="M19" s="12" t="str">
        <f>IF('Bundle Tag Info'!N$24&lt;&gt;"",CONCATENATE('Bundle Tag Info'!$A$1," ",CHAR(10),'Bundle Tag Info'!$A$2," ",'Bundle Tag Info'!$A$3,CHAR(10),'Bundle Tag Info'!N$6,CHAR(10),'Bundle Tag Info'!N$24),"")</f>
        <v/>
      </c>
      <c r="N19" s="12" t="str">
        <f>IF('Bundle Tag Info'!O$24&lt;&gt;"",CONCATENATE('Bundle Tag Info'!$A$1," ",CHAR(10),'Bundle Tag Info'!$A$2," ",'Bundle Tag Info'!$A$3,CHAR(10),'Bundle Tag Info'!O$6,CHAR(10),'Bundle Tag Info'!O$24),"")</f>
        <v/>
      </c>
      <c r="O19" s="12" t="str">
        <f>IF('Bundle Tag Info'!P$24&lt;&gt;"",CONCATENATE('Bundle Tag Info'!$A$1," ",CHAR(10),'Bundle Tag Info'!$A$2," ",'Bundle Tag Info'!$A$3,CHAR(10),'Bundle Tag Info'!P$6,CHAR(10),'Bundle Tag Info'!P$24),"")</f>
        <v/>
      </c>
      <c r="P19" s="12" t="str">
        <f>IF('Bundle Tag Info'!Q$24&lt;&gt;"",CONCATENATE('Bundle Tag Info'!$A$1," ",CHAR(10),'Bundle Tag Info'!$A$2," ",'Bundle Tag Info'!$A$3,CHAR(10),'Bundle Tag Info'!Q$6,CHAR(10),'Bundle Tag Info'!Q$24),"")</f>
        <v/>
      </c>
      <c r="Q19" s="12" t="str">
        <f>IF('Bundle Tag Info'!R$24&lt;&gt;"",CONCATENATE('Bundle Tag Info'!$A$1," ",CHAR(10),'Bundle Tag Info'!$A$2," ",'Bundle Tag Info'!$A$3,CHAR(10),'Bundle Tag Info'!R$6,CHAR(10),'Bundle Tag Info'!R$24),"")</f>
        <v/>
      </c>
      <c r="R19" s="12" t="str">
        <f>IF('Bundle Tag Info'!S$24&lt;&gt;"",CONCATENATE('Bundle Tag Info'!$A$1," ",CHAR(10),'Bundle Tag Info'!$A$2," ",'Bundle Tag Info'!$A$3,CHAR(10),'Bundle Tag Info'!S$6,CHAR(10),'Bundle Tag Info'!S$24),"")</f>
        <v/>
      </c>
      <c r="S19" s="12" t="str">
        <f>IF('Bundle Tag Info'!T$24&lt;&gt;"",CONCATENATE('Bundle Tag Info'!$A$1," ",CHAR(10),'Bundle Tag Info'!$A$2," ",'Bundle Tag Info'!$A$3,CHAR(10),'Bundle Tag Info'!T$6,CHAR(10),'Bundle Tag Info'!T$24),"")</f>
        <v/>
      </c>
      <c r="T19" s="12" t="str">
        <f>IF('Bundle Tag Info'!U$24&lt;&gt;"",CONCATENATE('Bundle Tag Info'!$A$1," ",CHAR(10),'Bundle Tag Info'!$A$2," ",'Bundle Tag Info'!$A$3,CHAR(10),'Bundle Tag Info'!U$6,CHAR(10),'Bundle Tag Info'!U$24),"")</f>
        <v/>
      </c>
      <c r="U19" s="12" t="str">
        <f>IF('Bundle Tag Info'!V$24&lt;&gt;"",CONCATENATE('Bundle Tag Info'!$A$1," ",CHAR(10),'Bundle Tag Info'!$A$2," ",'Bundle Tag Info'!$A$3,CHAR(10),'Bundle Tag Info'!V$6,CHAR(10),'Bundle Tag Info'!V$24),"")</f>
        <v/>
      </c>
      <c r="V19" s="12" t="str">
        <f>IF('Bundle Tag Info'!W$24&lt;&gt;"",CONCATENATE('Bundle Tag Info'!$A$1," ",CHAR(10),'Bundle Tag Info'!$A$2," ",'Bundle Tag Info'!$A$3,CHAR(10),'Bundle Tag Info'!W$6,CHAR(10),'Bundle Tag Info'!W$24),"")</f>
        <v/>
      </c>
      <c r="W19" s="12" t="str">
        <f>IF('Bundle Tag Info'!X$24&lt;&gt;"",CONCATENATE('Bundle Tag Info'!$A$1," ",CHAR(10),'Bundle Tag Info'!$A$2," ",'Bundle Tag Info'!$A$3,CHAR(10),'Bundle Tag Info'!X$6,CHAR(10),'Bundle Tag Info'!X$24),"")</f>
        <v/>
      </c>
      <c r="X19" s="12" t="str">
        <f>IF('Bundle Tag Info'!Y$24&lt;&gt;"",CONCATENATE('Bundle Tag Info'!$A$1," ",CHAR(10),'Bundle Tag Info'!$A$2," ",'Bundle Tag Info'!$A$3,CHAR(10),'Bundle Tag Info'!Y$6,CHAR(10),'Bundle Tag Info'!Y$24),"")</f>
        <v/>
      </c>
      <c r="Y19" s="12" t="str">
        <f>IF('Bundle Tag Info'!Z$24&lt;&gt;"",CONCATENATE('Bundle Tag Info'!$A$1," ",CHAR(10),'Bundle Tag Info'!$A$2," ",'Bundle Tag Info'!$A$3,CHAR(10),'Bundle Tag Info'!Z$6,CHAR(10),'Bundle Tag Info'!Z$24),"")</f>
        <v/>
      </c>
      <c r="Z19" s="12" t="str">
        <f>IF('Bundle Tag Info'!AA$24&lt;&gt;"",CONCATENATE('Bundle Tag Info'!$A$1," ",CHAR(10),'Bundle Tag Info'!$A$2," ",'Bundle Tag Info'!$A$3,CHAR(10),'Bundle Tag Info'!AA$6,CHAR(10),'Bundle Tag Info'!AA$24),"")</f>
        <v/>
      </c>
      <c r="AA19" s="12" t="str">
        <f>IF('Bundle Tag Info'!AB$24&lt;&gt;"",CONCATENATE('Bundle Tag Info'!$A$1," ",CHAR(10),'Bundle Tag Info'!$A$2," ",'Bundle Tag Info'!$A$3,CHAR(10),'Bundle Tag Info'!AB$6,CHAR(10),'Bundle Tag Info'!AB$24),"")</f>
        <v/>
      </c>
      <c r="AB19" s="12" t="str">
        <f>IF('Bundle Tag Info'!AC$24&lt;&gt;"",CONCATENATE('Bundle Tag Info'!$A$1," ",CHAR(10),'Bundle Tag Info'!$A$2," ",'Bundle Tag Info'!$A$3,CHAR(10),'Bundle Tag Info'!AC$6,CHAR(10),'Bundle Tag Info'!AC$24),"")</f>
        <v/>
      </c>
      <c r="AC19" s="12" t="str">
        <f>IF('Bundle Tag Info'!AD$24&lt;&gt;"",CONCATENATE('Bundle Tag Info'!$A$1," ",CHAR(10),'Bundle Tag Info'!$A$2," ",'Bundle Tag Info'!$A$3,CHAR(10),'Bundle Tag Info'!AD$6,CHAR(10),'Bundle Tag Info'!AD$24),"")</f>
        <v/>
      </c>
      <c r="AD19" s="12" t="str">
        <f>IF('Bundle Tag Info'!AE$24&lt;&gt;"",CONCATENATE('Bundle Tag Info'!$A$1," ",CHAR(10),'Bundle Tag Info'!$A$2," ",'Bundle Tag Info'!$A$3,CHAR(10),'Bundle Tag Info'!AE$6,CHAR(10),'Bundle Tag Info'!AE$24),"")</f>
        <v/>
      </c>
    </row>
    <row r="20" spans="1:30" ht="12.6" customHeight="1" x14ac:dyDescent="0.25">
      <c r="A20" s="12" t="str">
        <f>IF('Bundle Tag Info'!D$8&lt;&gt;"",CONCATENATE('Bundle Tag Info'!$A$1," ",CHAR(10),'Bundle Tag Info'!$A$2," ",'Bundle Tag Info'!$A$3,CHAR(10),'Bundle Tag Info'!D$6,CHAR(10),'Bundle Tag Info'!D$8),"")</f>
        <v>BP-KEMD  
4L541 B.1
PLC
AT/FU</v>
      </c>
      <c r="I20" s="12" t="str">
        <f>IF('Bundle Tag Info'!J$25&lt;&gt;"",CONCATENATE('Bundle Tag Info'!$A$1," ",CHAR(10),'Bundle Tag Info'!$A$2," ",'Bundle Tag Info'!$A$3,CHAR(10),'Bundle Tag Info'!J$6,CHAR(10),'Bundle Tag Info'!J$25),"")</f>
        <v/>
      </c>
      <c r="J20" s="12" t="str">
        <f>IF('Bundle Tag Info'!K$25&lt;&gt;"",CONCATENATE('Bundle Tag Info'!$A$1," ",CHAR(10),'Bundle Tag Info'!$A$2," ",'Bundle Tag Info'!$A$3,CHAR(10),'Bundle Tag Info'!K$6,CHAR(10),'Bundle Tag Info'!K$25),"")</f>
        <v/>
      </c>
      <c r="K20" s="12" t="str">
        <f>IF('Bundle Tag Info'!L$25&lt;&gt;"",CONCATENATE('Bundle Tag Info'!$A$1," ",CHAR(10),'Bundle Tag Info'!$A$2," ",'Bundle Tag Info'!$A$3,CHAR(10),'Bundle Tag Info'!L$6,CHAR(10),'Bundle Tag Info'!L$25),"")</f>
        <v/>
      </c>
      <c r="L20" s="12" t="str">
        <f>IF('Bundle Tag Info'!M$25&lt;&gt;"",CONCATENATE('Bundle Tag Info'!$A$1," ",CHAR(10),'Bundle Tag Info'!$A$2," ",'Bundle Tag Info'!$A$3,CHAR(10),'Bundle Tag Info'!M$6,CHAR(10),'Bundle Tag Info'!M$25),"")</f>
        <v/>
      </c>
      <c r="M20" s="12" t="str">
        <f>IF('Bundle Tag Info'!N$25&lt;&gt;"",CONCATENATE('Bundle Tag Info'!$A$1," ",CHAR(10),'Bundle Tag Info'!$A$2," ",'Bundle Tag Info'!$A$3,CHAR(10),'Bundle Tag Info'!N$6,CHAR(10),'Bundle Tag Info'!N$25),"")</f>
        <v/>
      </c>
      <c r="N20" s="12" t="str">
        <f>IF('Bundle Tag Info'!O$25&lt;&gt;"",CONCATENATE('Bundle Tag Info'!$A$1," ",CHAR(10),'Bundle Tag Info'!$A$2," ",'Bundle Tag Info'!$A$3,CHAR(10),'Bundle Tag Info'!O$6,CHAR(10),'Bundle Tag Info'!O$25),"")</f>
        <v/>
      </c>
      <c r="O20" s="12" t="str">
        <f>IF('Bundle Tag Info'!P$25&lt;&gt;"",CONCATENATE('Bundle Tag Info'!$A$1," ",CHAR(10),'Bundle Tag Info'!$A$2," ",'Bundle Tag Info'!$A$3,CHAR(10),'Bundle Tag Info'!P$6,CHAR(10),'Bundle Tag Info'!P$25),"")</f>
        <v/>
      </c>
      <c r="P20" s="12" t="str">
        <f>IF('Bundle Tag Info'!Q$25&lt;&gt;"",CONCATENATE('Bundle Tag Info'!$A$1," ",CHAR(10),'Bundle Tag Info'!$A$2," ",'Bundle Tag Info'!$A$3,CHAR(10),'Bundle Tag Info'!Q$6,CHAR(10),'Bundle Tag Info'!Q$25),"")</f>
        <v/>
      </c>
      <c r="Q20" s="12" t="str">
        <f>IF('Bundle Tag Info'!R$25&lt;&gt;"",CONCATENATE('Bundle Tag Info'!$A$1," ",CHAR(10),'Bundle Tag Info'!$A$2," ",'Bundle Tag Info'!$A$3,CHAR(10),'Bundle Tag Info'!R$6,CHAR(10),'Bundle Tag Info'!R$25),"")</f>
        <v/>
      </c>
      <c r="R20" s="12" t="str">
        <f>IF('Bundle Tag Info'!S$25&lt;&gt;"",CONCATENATE('Bundle Tag Info'!$A$1," ",CHAR(10),'Bundle Tag Info'!$A$2," ",'Bundle Tag Info'!$A$3,CHAR(10),'Bundle Tag Info'!S$6,CHAR(10),'Bundle Tag Info'!S$25),"")</f>
        <v/>
      </c>
      <c r="S20" s="12" t="str">
        <f>IF('Bundle Tag Info'!T$25&lt;&gt;"",CONCATENATE('Bundle Tag Info'!$A$1," ",CHAR(10),'Bundle Tag Info'!$A$2," ",'Bundle Tag Info'!$A$3,CHAR(10),'Bundle Tag Info'!T$6,CHAR(10),'Bundle Tag Info'!T$25),"")</f>
        <v/>
      </c>
      <c r="T20" s="12" t="str">
        <f>IF('Bundle Tag Info'!U$25&lt;&gt;"",CONCATENATE('Bundle Tag Info'!$A$1," ",CHAR(10),'Bundle Tag Info'!$A$2," ",'Bundle Tag Info'!$A$3,CHAR(10),'Bundle Tag Info'!U$6,CHAR(10),'Bundle Tag Info'!U$25),"")</f>
        <v/>
      </c>
      <c r="U20" s="12" t="str">
        <f>IF('Bundle Tag Info'!V$25&lt;&gt;"",CONCATENATE('Bundle Tag Info'!$A$1," ",CHAR(10),'Bundle Tag Info'!$A$2," ",'Bundle Tag Info'!$A$3,CHAR(10),'Bundle Tag Info'!V$6,CHAR(10),'Bundle Tag Info'!V$25),"")</f>
        <v/>
      </c>
      <c r="V20" s="12" t="str">
        <f>IF('Bundle Tag Info'!W$25&lt;&gt;"",CONCATENATE('Bundle Tag Info'!$A$1," ",CHAR(10),'Bundle Tag Info'!$A$2," ",'Bundle Tag Info'!$A$3,CHAR(10),'Bundle Tag Info'!W$6,CHAR(10),'Bundle Tag Info'!W$25),"")</f>
        <v/>
      </c>
      <c r="W20" s="12" t="str">
        <f>IF('Bundle Tag Info'!X$25&lt;&gt;"",CONCATENATE('Bundle Tag Info'!$A$1," ",CHAR(10),'Bundle Tag Info'!$A$2," ",'Bundle Tag Info'!$A$3,CHAR(10),'Bundle Tag Info'!X$6,CHAR(10),'Bundle Tag Info'!X$25),"")</f>
        <v/>
      </c>
      <c r="X20" s="12" t="str">
        <f>IF('Bundle Tag Info'!Y$25&lt;&gt;"",CONCATENATE('Bundle Tag Info'!$A$1," ",CHAR(10),'Bundle Tag Info'!$A$2," ",'Bundle Tag Info'!$A$3,CHAR(10),'Bundle Tag Info'!Y$6,CHAR(10),'Bundle Tag Info'!Y$25),"")</f>
        <v/>
      </c>
      <c r="Y20" s="12" t="str">
        <f>IF('Bundle Tag Info'!Z$25&lt;&gt;"",CONCATENATE('Bundle Tag Info'!$A$1," ",CHAR(10),'Bundle Tag Info'!$A$2," ",'Bundle Tag Info'!$A$3,CHAR(10),'Bundle Tag Info'!Z$6,CHAR(10),'Bundle Tag Info'!Z$25),"")</f>
        <v/>
      </c>
      <c r="Z20" s="12" t="str">
        <f>IF('Bundle Tag Info'!AA$25&lt;&gt;"",CONCATENATE('Bundle Tag Info'!$A$1," ",CHAR(10),'Bundle Tag Info'!$A$2," ",'Bundle Tag Info'!$A$3,CHAR(10),'Bundle Tag Info'!AA$6,CHAR(10),'Bundle Tag Info'!AA$25),"")</f>
        <v/>
      </c>
      <c r="AA20" s="12" t="str">
        <f>IF('Bundle Tag Info'!AB$25&lt;&gt;"",CONCATENATE('Bundle Tag Info'!$A$1," ",CHAR(10),'Bundle Tag Info'!$A$2," ",'Bundle Tag Info'!$A$3,CHAR(10),'Bundle Tag Info'!AB$6,CHAR(10),'Bundle Tag Info'!AB$25),"")</f>
        <v/>
      </c>
      <c r="AB20" s="12" t="str">
        <f>IF('Bundle Tag Info'!AC$25&lt;&gt;"",CONCATENATE('Bundle Tag Info'!$A$1," ",CHAR(10),'Bundle Tag Info'!$A$2," ",'Bundle Tag Info'!$A$3,CHAR(10),'Bundle Tag Info'!AC$6,CHAR(10),'Bundle Tag Info'!AC$25),"")</f>
        <v/>
      </c>
      <c r="AC20" s="12" t="str">
        <f>IF('Bundle Tag Info'!AD$25&lt;&gt;"",CONCATENATE('Bundle Tag Info'!$A$1," ",CHAR(10),'Bundle Tag Info'!$A$2," ",'Bundle Tag Info'!$A$3,CHAR(10),'Bundle Tag Info'!AD$6,CHAR(10),'Bundle Tag Info'!AD$25),"")</f>
        <v/>
      </c>
      <c r="AD20" s="12" t="str">
        <f>IF('Bundle Tag Info'!AE$25&lt;&gt;"",CONCATENATE('Bundle Tag Info'!$A$1," ",CHAR(10),'Bundle Tag Info'!$A$2," ",'Bundle Tag Info'!$A$3,CHAR(10),'Bundle Tag Info'!AE$6,CHAR(10),'Bundle Tag Info'!AE$25),"")</f>
        <v/>
      </c>
    </row>
    <row r="21" spans="1:30" ht="12.6" customHeight="1" x14ac:dyDescent="0.25">
      <c r="A21" s="12" t="str">
        <f>IF('Bundle Tag Info'!D$9&lt;&gt;"",CONCATENATE('Bundle Tag Info'!$A$1," ",CHAR(10),'Bundle Tag Info'!$A$2," ",'Bundle Tag Info'!$A$3,CHAR(10),'Bundle Tag Info'!D$6,CHAR(10),'Bundle Tag Info'!D$9),"")</f>
        <v>BP-KEMD  
4L541 B.1
PLC
UV-A</v>
      </c>
      <c r="H21" s="12" t="str">
        <f>IF('Bundle Tag Info'!I$26&lt;&gt;"",CONCATENATE('Bundle Tag Info'!$A$1," ",CHAR(10),'Bundle Tag Info'!$A$2," ",'Bundle Tag Info'!$A$3,CHAR(10),'Bundle Tag Info'!I$6,CHAR(10),'Bundle Tag Info'!I$26),"")</f>
        <v/>
      </c>
      <c r="I21" s="12" t="str">
        <f>IF('Bundle Tag Info'!J$26&lt;&gt;"",CONCATENATE('Bundle Tag Info'!$A$1," ",CHAR(10),'Bundle Tag Info'!$A$2," ",'Bundle Tag Info'!$A$3,CHAR(10),'Bundle Tag Info'!J$6,CHAR(10),'Bundle Tag Info'!J$26),"")</f>
        <v/>
      </c>
      <c r="J21" s="12" t="str">
        <f>IF('Bundle Tag Info'!K$26&lt;&gt;"",CONCATENATE('Bundle Tag Info'!$A$1," ",CHAR(10),'Bundle Tag Info'!$A$2," ",'Bundle Tag Info'!$A$3,CHAR(10),'Bundle Tag Info'!K$6,CHAR(10),'Bundle Tag Info'!K$26),"")</f>
        <v/>
      </c>
      <c r="K21" s="12" t="str">
        <f>IF('Bundle Tag Info'!L$26&lt;&gt;"",CONCATENATE('Bundle Tag Info'!$A$1," ",CHAR(10),'Bundle Tag Info'!$A$2," ",'Bundle Tag Info'!$A$3,CHAR(10),'Bundle Tag Info'!L$6,CHAR(10),'Bundle Tag Info'!L$26),"")</f>
        <v/>
      </c>
      <c r="L21" s="12" t="str">
        <f>IF('Bundle Tag Info'!M$26&lt;&gt;"",CONCATENATE('Bundle Tag Info'!$A$1," ",CHAR(10),'Bundle Tag Info'!$A$2," ",'Bundle Tag Info'!$A$3,CHAR(10),'Bundle Tag Info'!M$6,CHAR(10),'Bundle Tag Info'!M$26),"")</f>
        <v/>
      </c>
      <c r="M21" s="12" t="str">
        <f>IF('Bundle Tag Info'!N$26&lt;&gt;"",CONCATENATE('Bundle Tag Info'!$A$1," ",CHAR(10),'Bundle Tag Info'!$A$2," ",'Bundle Tag Info'!$A$3,CHAR(10),'Bundle Tag Info'!N$6,CHAR(10),'Bundle Tag Info'!N$26),"")</f>
        <v/>
      </c>
      <c r="N21" s="12" t="str">
        <f>IF('Bundle Tag Info'!O$26&lt;&gt;"",CONCATENATE('Bundle Tag Info'!$A$1," ",CHAR(10),'Bundle Tag Info'!$A$2," ",'Bundle Tag Info'!$A$3,CHAR(10),'Bundle Tag Info'!O$6,CHAR(10),'Bundle Tag Info'!O$26),"")</f>
        <v/>
      </c>
      <c r="O21" s="12" t="str">
        <f>IF('Bundle Tag Info'!P$26&lt;&gt;"",CONCATENATE('Bundle Tag Info'!$A$1," ",CHAR(10),'Bundle Tag Info'!$A$2," ",'Bundle Tag Info'!$A$3,CHAR(10),'Bundle Tag Info'!P$6,CHAR(10),'Bundle Tag Info'!P$26),"")</f>
        <v/>
      </c>
      <c r="P21" s="12" t="str">
        <f>IF('Bundle Tag Info'!Q$26&lt;&gt;"",CONCATENATE('Bundle Tag Info'!$A$1," ",CHAR(10),'Bundle Tag Info'!$A$2," ",'Bundle Tag Info'!$A$3,CHAR(10),'Bundle Tag Info'!Q$6,CHAR(10),'Bundle Tag Info'!Q$26),"")</f>
        <v/>
      </c>
      <c r="Q21" s="12" t="str">
        <f>IF('Bundle Tag Info'!R$26&lt;&gt;"",CONCATENATE('Bundle Tag Info'!$A$1," ",CHAR(10),'Bundle Tag Info'!$A$2," ",'Bundle Tag Info'!$A$3,CHAR(10),'Bundle Tag Info'!R$6,CHAR(10),'Bundle Tag Info'!R$26),"")</f>
        <v/>
      </c>
      <c r="R21" s="12" t="str">
        <f>IF('Bundle Tag Info'!S$26&lt;&gt;"",CONCATENATE('Bundle Tag Info'!$A$1," ",CHAR(10),'Bundle Tag Info'!$A$2," ",'Bundle Tag Info'!$A$3,CHAR(10),'Bundle Tag Info'!S$6,CHAR(10),'Bundle Tag Info'!S$26),"")</f>
        <v/>
      </c>
      <c r="S21" s="12" t="str">
        <f>IF('Bundle Tag Info'!T$26&lt;&gt;"",CONCATENATE('Bundle Tag Info'!$A$1," ",CHAR(10),'Bundle Tag Info'!$A$2," ",'Bundle Tag Info'!$A$3,CHAR(10),'Bundle Tag Info'!T$6,CHAR(10),'Bundle Tag Info'!T$26),"")</f>
        <v/>
      </c>
      <c r="T21" s="12" t="str">
        <f>IF('Bundle Tag Info'!U$26&lt;&gt;"",CONCATENATE('Bundle Tag Info'!$A$1," ",CHAR(10),'Bundle Tag Info'!$A$2," ",'Bundle Tag Info'!$A$3,CHAR(10),'Bundle Tag Info'!U$6,CHAR(10),'Bundle Tag Info'!U$26),"")</f>
        <v/>
      </c>
      <c r="U21" s="12" t="str">
        <f>IF('Bundle Tag Info'!V$26&lt;&gt;"",CONCATENATE('Bundle Tag Info'!$A$1," ",CHAR(10),'Bundle Tag Info'!$A$2," ",'Bundle Tag Info'!$A$3,CHAR(10),'Bundle Tag Info'!V$6,CHAR(10),'Bundle Tag Info'!V$26),"")</f>
        <v/>
      </c>
      <c r="V21" s="12" t="str">
        <f>IF('Bundle Tag Info'!W$26&lt;&gt;"",CONCATENATE('Bundle Tag Info'!$A$1," ",CHAR(10),'Bundle Tag Info'!$A$2," ",'Bundle Tag Info'!$A$3,CHAR(10),'Bundle Tag Info'!W$6,CHAR(10),'Bundle Tag Info'!W$26),"")</f>
        <v/>
      </c>
      <c r="W21" s="12" t="str">
        <f>IF('Bundle Tag Info'!X$26&lt;&gt;"",CONCATENATE('Bundle Tag Info'!$A$1," ",CHAR(10),'Bundle Tag Info'!$A$2," ",'Bundle Tag Info'!$A$3,CHAR(10),'Bundle Tag Info'!X$6,CHAR(10),'Bundle Tag Info'!X$26),"")</f>
        <v/>
      </c>
      <c r="X21" s="12" t="str">
        <f>IF('Bundle Tag Info'!Y$26&lt;&gt;"",CONCATENATE('Bundle Tag Info'!$A$1," ",CHAR(10),'Bundle Tag Info'!$A$2," ",'Bundle Tag Info'!$A$3,CHAR(10),'Bundle Tag Info'!Y$6,CHAR(10),'Bundle Tag Info'!Y$26),"")</f>
        <v/>
      </c>
      <c r="Y21" s="12" t="str">
        <f>IF('Bundle Tag Info'!Z$26&lt;&gt;"",CONCATENATE('Bundle Tag Info'!$A$1," ",CHAR(10),'Bundle Tag Info'!$A$2," ",'Bundle Tag Info'!$A$3,CHAR(10),'Bundle Tag Info'!Z$6,CHAR(10),'Bundle Tag Info'!Z$26),"")</f>
        <v/>
      </c>
      <c r="Z21" s="12" t="str">
        <f>IF('Bundle Tag Info'!AA$26&lt;&gt;"",CONCATENATE('Bundle Tag Info'!$A$1," ",CHAR(10),'Bundle Tag Info'!$A$2," ",'Bundle Tag Info'!$A$3,CHAR(10),'Bundle Tag Info'!AA$6,CHAR(10),'Bundle Tag Info'!AA$26),"")</f>
        <v/>
      </c>
      <c r="AA21" s="12" t="str">
        <f>IF('Bundle Tag Info'!AB$26&lt;&gt;"",CONCATENATE('Bundle Tag Info'!$A$1," ",CHAR(10),'Bundle Tag Info'!$A$2," ",'Bundle Tag Info'!$A$3,CHAR(10),'Bundle Tag Info'!AB$6,CHAR(10),'Bundle Tag Info'!AB$26),"")</f>
        <v/>
      </c>
      <c r="AB21" s="12" t="str">
        <f>IF('Bundle Tag Info'!AC$26&lt;&gt;"",CONCATENATE('Bundle Tag Info'!$A$1," ",CHAR(10),'Bundle Tag Info'!$A$2," ",'Bundle Tag Info'!$A$3,CHAR(10),'Bundle Tag Info'!AC$6,CHAR(10),'Bundle Tag Info'!AC$26),"")</f>
        <v/>
      </c>
      <c r="AC21" s="12" t="str">
        <f>IF('Bundle Tag Info'!AD$26&lt;&gt;"",CONCATENATE('Bundle Tag Info'!$A$1," ",CHAR(10),'Bundle Tag Info'!$A$2," ",'Bundle Tag Info'!$A$3,CHAR(10),'Bundle Tag Info'!AD$6,CHAR(10),'Bundle Tag Info'!AD$26),"")</f>
        <v/>
      </c>
      <c r="AD21" s="12" t="str">
        <f>IF('Bundle Tag Info'!AE$26&lt;&gt;"",CONCATENATE('Bundle Tag Info'!$A$1," ",CHAR(10),'Bundle Tag Info'!$A$2," ",'Bundle Tag Info'!$A$3,CHAR(10),'Bundle Tag Info'!AE$6,CHAR(10),'Bundle Tag Info'!AE$26),"")</f>
        <v/>
      </c>
    </row>
    <row r="22" spans="1:30" ht="12.6" customHeight="1" x14ac:dyDescent="0.25">
      <c r="A22" s="12" t="str">
        <f>IF('Bundle Tag Info'!D$10&lt;&gt;"",CONCATENATE('Bundle Tag Info'!$A$1," ",CHAR(10),'Bundle Tag Info'!$A$2," ",'Bundle Tag Info'!$A$3,CHAR(10),'Bundle Tag Info'!D$6,CHAR(10),'Bundle Tag Info'!D$10),"")</f>
        <v>BP-KEMD  
4L541 B.1
PLC
BA-B</v>
      </c>
      <c r="H22" s="12" t="str">
        <f>IF('Bundle Tag Info'!I$27&lt;&gt;"",CONCATENATE('Bundle Tag Info'!$A$1," ",CHAR(10),'Bundle Tag Info'!$A$2," ",'Bundle Tag Info'!$A$3,CHAR(10),'Bundle Tag Info'!I$6,CHAR(10),'Bundle Tag Info'!I$27),"")</f>
        <v/>
      </c>
      <c r="I22" s="12" t="str">
        <f>IF('Bundle Tag Info'!J$27&lt;&gt;"",CONCATENATE('Bundle Tag Info'!$A$1," ",CHAR(10),'Bundle Tag Info'!$A$2," ",'Bundle Tag Info'!$A$3,CHAR(10),'Bundle Tag Info'!J$6,CHAR(10),'Bundle Tag Info'!J$27),"")</f>
        <v/>
      </c>
      <c r="J22" s="12" t="str">
        <f>IF('Bundle Tag Info'!K$27&lt;&gt;"",CONCATENATE('Bundle Tag Info'!$A$1," ",CHAR(10),'Bundle Tag Info'!$A$2," ",'Bundle Tag Info'!$A$3,CHAR(10),'Bundle Tag Info'!K$6,CHAR(10),'Bundle Tag Info'!K$27),"")</f>
        <v/>
      </c>
      <c r="K22" s="12" t="str">
        <f>IF('Bundle Tag Info'!L$27&lt;&gt;"",CONCATENATE('Bundle Tag Info'!$A$1," ",CHAR(10),'Bundle Tag Info'!$A$2," ",'Bundle Tag Info'!$A$3,CHAR(10),'Bundle Tag Info'!L$6,CHAR(10),'Bundle Tag Info'!L$27),"")</f>
        <v/>
      </c>
      <c r="L22" s="12" t="str">
        <f>IF('Bundle Tag Info'!M$27&lt;&gt;"",CONCATENATE('Bundle Tag Info'!$A$1," ",CHAR(10),'Bundle Tag Info'!$A$2," ",'Bundle Tag Info'!$A$3,CHAR(10),'Bundle Tag Info'!M$6,CHAR(10),'Bundle Tag Info'!M$27),"")</f>
        <v/>
      </c>
      <c r="M22" s="12" t="str">
        <f>IF('Bundle Tag Info'!N$27&lt;&gt;"",CONCATENATE('Bundle Tag Info'!$A$1," ",CHAR(10),'Bundle Tag Info'!$A$2," ",'Bundle Tag Info'!$A$3,CHAR(10),'Bundle Tag Info'!N$6,CHAR(10),'Bundle Tag Info'!N$27),"")</f>
        <v/>
      </c>
      <c r="N22" s="12" t="str">
        <f>IF('Bundle Tag Info'!O$27&lt;&gt;"",CONCATENATE('Bundle Tag Info'!$A$1," ",CHAR(10),'Bundle Tag Info'!$A$2," ",'Bundle Tag Info'!$A$3,CHAR(10),'Bundle Tag Info'!O$6,CHAR(10),'Bundle Tag Info'!O$27),"")</f>
        <v/>
      </c>
      <c r="O22" s="12" t="str">
        <f>IF('Bundle Tag Info'!P$27&lt;&gt;"",CONCATENATE('Bundle Tag Info'!$A$1," ",CHAR(10),'Bundle Tag Info'!$A$2," ",'Bundle Tag Info'!$A$3,CHAR(10),'Bundle Tag Info'!P$6,CHAR(10),'Bundle Tag Info'!P$27),"")</f>
        <v/>
      </c>
      <c r="P22" s="12" t="str">
        <f>IF('Bundle Tag Info'!Q$27&lt;&gt;"",CONCATENATE('Bundle Tag Info'!$A$1," ",CHAR(10),'Bundle Tag Info'!$A$2," ",'Bundle Tag Info'!$A$3,CHAR(10),'Bundle Tag Info'!Q$6,CHAR(10),'Bundle Tag Info'!Q$27),"")</f>
        <v/>
      </c>
      <c r="Q22" s="12" t="str">
        <f>IF('Bundle Tag Info'!R$27&lt;&gt;"",CONCATENATE('Bundle Tag Info'!$A$1," ",CHAR(10),'Bundle Tag Info'!$A$2," ",'Bundle Tag Info'!$A$3,CHAR(10),'Bundle Tag Info'!R$6,CHAR(10),'Bundle Tag Info'!R$27),"")</f>
        <v/>
      </c>
      <c r="R22" s="12" t="str">
        <f>IF('Bundle Tag Info'!S$27&lt;&gt;"",CONCATENATE('Bundle Tag Info'!$A$1," ",CHAR(10),'Bundle Tag Info'!$A$2," ",'Bundle Tag Info'!$A$3,CHAR(10),'Bundle Tag Info'!S$6,CHAR(10),'Bundle Tag Info'!S$27),"")</f>
        <v/>
      </c>
      <c r="S22" s="12" t="str">
        <f>IF('Bundle Tag Info'!T$27&lt;&gt;"",CONCATENATE('Bundle Tag Info'!$A$1," ",CHAR(10),'Bundle Tag Info'!$A$2," ",'Bundle Tag Info'!$A$3,CHAR(10),'Bundle Tag Info'!T$6,CHAR(10),'Bundle Tag Info'!T$27),"")</f>
        <v/>
      </c>
      <c r="T22" s="12" t="str">
        <f>IF('Bundle Tag Info'!U$27&lt;&gt;"",CONCATENATE('Bundle Tag Info'!$A$1," ",CHAR(10),'Bundle Tag Info'!$A$2," ",'Bundle Tag Info'!$A$3,CHAR(10),'Bundle Tag Info'!U$6,CHAR(10),'Bundle Tag Info'!U$27),"")</f>
        <v/>
      </c>
      <c r="U22" s="12" t="str">
        <f>IF('Bundle Tag Info'!V$27&lt;&gt;"",CONCATENATE('Bundle Tag Info'!$A$1," ",CHAR(10),'Bundle Tag Info'!$A$2," ",'Bundle Tag Info'!$A$3,CHAR(10),'Bundle Tag Info'!V$6,CHAR(10),'Bundle Tag Info'!V$27),"")</f>
        <v/>
      </c>
      <c r="V22" s="12" t="str">
        <f>IF('Bundle Tag Info'!W$27&lt;&gt;"",CONCATENATE('Bundle Tag Info'!$A$1," ",CHAR(10),'Bundle Tag Info'!$A$2," ",'Bundle Tag Info'!$A$3,CHAR(10),'Bundle Tag Info'!W$6,CHAR(10),'Bundle Tag Info'!W$27),"")</f>
        <v/>
      </c>
      <c r="W22" s="12" t="str">
        <f>IF('Bundle Tag Info'!X$27&lt;&gt;"",CONCATENATE('Bundle Tag Info'!$A$1," ",CHAR(10),'Bundle Tag Info'!$A$2," ",'Bundle Tag Info'!$A$3,CHAR(10),'Bundle Tag Info'!X$6,CHAR(10),'Bundle Tag Info'!X$27),"")</f>
        <v/>
      </c>
      <c r="X22" s="12" t="str">
        <f>IF('Bundle Tag Info'!Y$27&lt;&gt;"",CONCATENATE('Bundle Tag Info'!$A$1," ",CHAR(10),'Bundle Tag Info'!$A$2," ",'Bundle Tag Info'!$A$3,CHAR(10),'Bundle Tag Info'!Y$6,CHAR(10),'Bundle Tag Info'!Y$27),"")</f>
        <v/>
      </c>
      <c r="Y22" s="12" t="str">
        <f>IF('Bundle Tag Info'!Z$27&lt;&gt;"",CONCATENATE('Bundle Tag Info'!$A$1," ",CHAR(10),'Bundle Tag Info'!$A$2," ",'Bundle Tag Info'!$A$3,CHAR(10),'Bundle Tag Info'!Z$6,CHAR(10),'Bundle Tag Info'!Z$27),"")</f>
        <v/>
      </c>
      <c r="Z22" s="12" t="str">
        <f>IF('Bundle Tag Info'!AA$27&lt;&gt;"",CONCATENATE('Bundle Tag Info'!$A$1," ",CHAR(10),'Bundle Tag Info'!$A$2," ",'Bundle Tag Info'!$A$3,CHAR(10),'Bundle Tag Info'!AA$6,CHAR(10),'Bundle Tag Info'!AA$27),"")</f>
        <v/>
      </c>
      <c r="AA22" s="12" t="str">
        <f>IF('Bundle Tag Info'!AB$27&lt;&gt;"",CONCATENATE('Bundle Tag Info'!$A$1," ",CHAR(10),'Bundle Tag Info'!$A$2," ",'Bundle Tag Info'!$A$3,CHAR(10),'Bundle Tag Info'!AB$6,CHAR(10),'Bundle Tag Info'!AB$27),"")</f>
        <v/>
      </c>
      <c r="AB22" s="12" t="str">
        <f>IF('Bundle Tag Info'!AC$27&lt;&gt;"",CONCATENATE('Bundle Tag Info'!$A$1," ",CHAR(10),'Bundle Tag Info'!$A$2," ",'Bundle Tag Info'!$A$3,CHAR(10),'Bundle Tag Info'!AC$6,CHAR(10),'Bundle Tag Info'!AC$27),"")</f>
        <v/>
      </c>
      <c r="AC22" s="12" t="str">
        <f>IF('Bundle Tag Info'!AD$27&lt;&gt;"",CONCATENATE('Bundle Tag Info'!$A$1," ",CHAR(10),'Bundle Tag Info'!$A$2," ",'Bundle Tag Info'!$A$3,CHAR(10),'Bundle Tag Info'!AD$6,CHAR(10),'Bundle Tag Info'!AD$27),"")</f>
        <v/>
      </c>
      <c r="AD22" s="12" t="str">
        <f>IF('Bundle Tag Info'!AE$27&lt;&gt;"",CONCATENATE('Bundle Tag Info'!$A$1," ",CHAR(10),'Bundle Tag Info'!$A$2," ",'Bundle Tag Info'!$A$3,CHAR(10),'Bundle Tag Info'!AE$6,CHAR(10),'Bundle Tag Info'!AE$27),"")</f>
        <v/>
      </c>
    </row>
    <row r="23" spans="1:30" ht="12.6" customHeight="1" x14ac:dyDescent="0.25">
      <c r="A23" s="12" t="str">
        <f>IF('Bundle Tag Info'!D$11&lt;&gt;"",CONCATENATE('Bundle Tag Info'!$A$1," ",CHAR(10),'Bundle Tag Info'!$A$2," ",'Bundle Tag Info'!$A$3,CHAR(10),'Bundle Tag Info'!D$6,CHAR(10),'Bundle Tag Info'!D$11),"")</f>
        <v>BP-KEMD  
4L541 B.1
PLC
FU/XT-B</v>
      </c>
      <c r="H23" s="12" t="str">
        <f>IF('Bundle Tag Info'!I$28&lt;&gt;"",CONCATENATE('Bundle Tag Info'!$A$1," ",CHAR(10),'Bundle Tag Info'!$A$2," ",'Bundle Tag Info'!$A$3,CHAR(10),'Bundle Tag Info'!I$6,CHAR(10),'Bundle Tag Info'!I$28),"")</f>
        <v/>
      </c>
      <c r="I23" s="12" t="str">
        <f>IF('Bundle Tag Info'!J$28&lt;&gt;"",CONCATENATE('Bundle Tag Info'!$A$1," ",CHAR(10),'Bundle Tag Info'!$A$2," ",'Bundle Tag Info'!$A$3,CHAR(10),'Bundle Tag Info'!J$6,CHAR(10),'Bundle Tag Info'!J$28),"")</f>
        <v/>
      </c>
      <c r="J23" s="12" t="str">
        <f>IF('Bundle Tag Info'!K$28&lt;&gt;"",CONCATENATE('Bundle Tag Info'!$A$1," ",CHAR(10),'Bundle Tag Info'!$A$2," ",'Bundle Tag Info'!$A$3,CHAR(10),'Bundle Tag Info'!K$6,CHAR(10),'Bundle Tag Info'!K$28),"")</f>
        <v/>
      </c>
      <c r="K23" s="12" t="str">
        <f>IF('Bundle Tag Info'!L$28&lt;&gt;"",CONCATENATE('Bundle Tag Info'!$A$1," ",CHAR(10),'Bundle Tag Info'!$A$2," ",'Bundle Tag Info'!$A$3,CHAR(10),'Bundle Tag Info'!L$6,CHAR(10),'Bundle Tag Info'!L$28),"")</f>
        <v/>
      </c>
      <c r="L23" s="12" t="str">
        <f>IF('Bundle Tag Info'!M$28&lt;&gt;"",CONCATENATE('Bundle Tag Info'!$A$1," ",CHAR(10),'Bundle Tag Info'!$A$2," ",'Bundle Tag Info'!$A$3,CHAR(10),'Bundle Tag Info'!M$6,CHAR(10),'Bundle Tag Info'!M$28),"")</f>
        <v/>
      </c>
      <c r="M23" s="12" t="str">
        <f>IF('Bundle Tag Info'!N$28&lt;&gt;"",CONCATENATE('Bundle Tag Info'!$A$1," ",CHAR(10),'Bundle Tag Info'!$A$2," ",'Bundle Tag Info'!$A$3,CHAR(10),'Bundle Tag Info'!N$6,CHAR(10),'Bundle Tag Info'!N$28),"")</f>
        <v/>
      </c>
      <c r="N23" s="12" t="str">
        <f>IF('Bundle Tag Info'!O$28&lt;&gt;"",CONCATENATE('Bundle Tag Info'!$A$1," ",CHAR(10),'Bundle Tag Info'!$A$2," ",'Bundle Tag Info'!$A$3,CHAR(10),'Bundle Tag Info'!O$6,CHAR(10),'Bundle Tag Info'!O$28),"")</f>
        <v/>
      </c>
      <c r="O23" s="12" t="str">
        <f>IF('Bundle Tag Info'!P$28&lt;&gt;"",CONCATENATE('Bundle Tag Info'!$A$1," ",CHAR(10),'Bundle Tag Info'!$A$2," ",'Bundle Tag Info'!$A$3,CHAR(10),'Bundle Tag Info'!P$6,CHAR(10),'Bundle Tag Info'!P$28),"")</f>
        <v/>
      </c>
      <c r="P23" s="12" t="str">
        <f>IF('Bundle Tag Info'!Q$28&lt;&gt;"",CONCATENATE('Bundle Tag Info'!$A$1," ",CHAR(10),'Bundle Tag Info'!$A$2," ",'Bundle Tag Info'!$A$3,CHAR(10),'Bundle Tag Info'!Q$6,CHAR(10),'Bundle Tag Info'!Q$28),"")</f>
        <v/>
      </c>
      <c r="Q23" s="12" t="str">
        <f>IF('Bundle Tag Info'!R$28&lt;&gt;"",CONCATENATE('Bundle Tag Info'!$A$1," ",CHAR(10),'Bundle Tag Info'!$A$2," ",'Bundle Tag Info'!$A$3,CHAR(10),'Bundle Tag Info'!R$6,CHAR(10),'Bundle Tag Info'!R$28),"")</f>
        <v/>
      </c>
      <c r="R23" s="12" t="str">
        <f>IF('Bundle Tag Info'!S$28&lt;&gt;"",CONCATENATE('Bundle Tag Info'!$A$1," ",CHAR(10),'Bundle Tag Info'!$A$2," ",'Bundle Tag Info'!$A$3,CHAR(10),'Bundle Tag Info'!S$6,CHAR(10),'Bundle Tag Info'!S$28),"")</f>
        <v/>
      </c>
      <c r="S23" s="12" t="str">
        <f>IF('Bundle Tag Info'!T$28&lt;&gt;"",CONCATENATE('Bundle Tag Info'!$A$1," ",CHAR(10),'Bundle Tag Info'!$A$2," ",'Bundle Tag Info'!$A$3,CHAR(10),'Bundle Tag Info'!T$6,CHAR(10),'Bundle Tag Info'!T$28),"")</f>
        <v/>
      </c>
      <c r="T23" s="12" t="str">
        <f>IF('Bundle Tag Info'!U$28&lt;&gt;"",CONCATENATE('Bundle Tag Info'!$A$1," ",CHAR(10),'Bundle Tag Info'!$A$2," ",'Bundle Tag Info'!$A$3,CHAR(10),'Bundle Tag Info'!U$6,CHAR(10),'Bundle Tag Info'!U$28),"")</f>
        <v/>
      </c>
      <c r="U23" s="12" t="str">
        <f>IF('Bundle Tag Info'!V$28&lt;&gt;"",CONCATENATE('Bundle Tag Info'!$A$1," ",CHAR(10),'Bundle Tag Info'!$A$2," ",'Bundle Tag Info'!$A$3,CHAR(10),'Bundle Tag Info'!V$6,CHAR(10),'Bundle Tag Info'!V$28),"")</f>
        <v/>
      </c>
      <c r="V23" s="12" t="str">
        <f>IF('Bundle Tag Info'!W$28&lt;&gt;"",CONCATENATE('Bundle Tag Info'!$A$1," ",CHAR(10),'Bundle Tag Info'!$A$2," ",'Bundle Tag Info'!$A$3,CHAR(10),'Bundle Tag Info'!W$6,CHAR(10),'Bundle Tag Info'!W$28),"")</f>
        <v/>
      </c>
      <c r="W23" s="12" t="str">
        <f>IF('Bundle Tag Info'!X$28&lt;&gt;"",CONCATENATE('Bundle Tag Info'!$A$1," ",CHAR(10),'Bundle Tag Info'!$A$2," ",'Bundle Tag Info'!$A$3,CHAR(10),'Bundle Tag Info'!X$6,CHAR(10),'Bundle Tag Info'!X$28),"")</f>
        <v/>
      </c>
      <c r="X23" s="12" t="str">
        <f>IF('Bundle Tag Info'!Y$28&lt;&gt;"",CONCATENATE('Bundle Tag Info'!$A$1," ",CHAR(10),'Bundle Tag Info'!$A$2," ",'Bundle Tag Info'!$A$3,CHAR(10),'Bundle Tag Info'!Y$6,CHAR(10),'Bundle Tag Info'!Y$28),"")</f>
        <v/>
      </c>
      <c r="Y23" s="12" t="str">
        <f>IF('Bundle Tag Info'!Z$28&lt;&gt;"",CONCATENATE('Bundle Tag Info'!$A$1," ",CHAR(10),'Bundle Tag Info'!$A$2," ",'Bundle Tag Info'!$A$3,CHAR(10),'Bundle Tag Info'!Z$6,CHAR(10),'Bundle Tag Info'!Z$28),"")</f>
        <v/>
      </c>
      <c r="Z23" s="12" t="str">
        <f>IF('Bundle Tag Info'!AA$28&lt;&gt;"",CONCATENATE('Bundle Tag Info'!$A$1," ",CHAR(10),'Bundle Tag Info'!$A$2," ",'Bundle Tag Info'!$A$3,CHAR(10),'Bundle Tag Info'!AA$6,CHAR(10),'Bundle Tag Info'!AA$28),"")</f>
        <v/>
      </c>
      <c r="AA23" s="12" t="str">
        <f>IF('Bundle Tag Info'!AB$28&lt;&gt;"",CONCATENATE('Bundle Tag Info'!$A$1," ",CHAR(10),'Bundle Tag Info'!$A$2," ",'Bundle Tag Info'!$A$3,CHAR(10),'Bundle Tag Info'!AB$6,CHAR(10),'Bundle Tag Info'!AB$28),"")</f>
        <v/>
      </c>
      <c r="AB23" s="12" t="str">
        <f>IF('Bundle Tag Info'!AC$28&lt;&gt;"",CONCATENATE('Bundle Tag Info'!$A$1," ",CHAR(10),'Bundle Tag Info'!$A$2," ",'Bundle Tag Info'!$A$3,CHAR(10),'Bundle Tag Info'!AC$6,CHAR(10),'Bundle Tag Info'!AC$28),"")</f>
        <v/>
      </c>
      <c r="AC23" s="12" t="str">
        <f>IF('Bundle Tag Info'!AD$28&lt;&gt;"",CONCATENATE('Bundle Tag Info'!$A$1," ",CHAR(10),'Bundle Tag Info'!$A$2," ",'Bundle Tag Info'!$A$3,CHAR(10),'Bundle Tag Info'!AD$6,CHAR(10),'Bundle Tag Info'!AD$28),"")</f>
        <v/>
      </c>
      <c r="AD23" s="12" t="str">
        <f>IF('Bundle Tag Info'!AE$28&lt;&gt;"",CONCATENATE('Bundle Tag Info'!$A$1," ",CHAR(10),'Bundle Tag Info'!$A$2," ",'Bundle Tag Info'!$A$3,CHAR(10),'Bundle Tag Info'!AE$6,CHAR(10),'Bundle Tag Info'!AE$28),"")</f>
        <v/>
      </c>
    </row>
    <row r="24" spans="1:30" ht="12.6" customHeight="1" x14ac:dyDescent="0.25">
      <c r="A24" s="12" t="str">
        <f>IF('Bundle Tag Info'!E$7&lt;&gt;"",CONCATENATE('Bundle Tag Info'!$A$1," ",CHAR(10),'Bundle Tag Info'!$A$2," ",'Bundle Tag Info'!$A$3,CHAR(10),'Bundle Tag Info'!E$6,CHAR(10),'Bundle Tag Info'!E$7),"")</f>
        <v>BP-KEMD  
4L541 B.1
A
AF080s</v>
      </c>
      <c r="H24" s="12" t="str">
        <f>IF('Bundle Tag Info'!I$29&lt;&gt;"",CONCATENATE('Bundle Tag Info'!$A$1," ",CHAR(10),'Bundle Tag Info'!$A$2," ",'Bundle Tag Info'!$A$3,CHAR(10),'Bundle Tag Info'!I$6,CHAR(10),'Bundle Tag Info'!I$29),"")</f>
        <v/>
      </c>
      <c r="I24" s="12" t="str">
        <f>IF('Bundle Tag Info'!J$29&lt;&gt;"",CONCATENATE('Bundle Tag Info'!$A$1," ",CHAR(10),'Bundle Tag Info'!$A$2," ",'Bundle Tag Info'!$A$3,CHAR(10),'Bundle Tag Info'!J$6,CHAR(10),'Bundle Tag Info'!J$29),"")</f>
        <v/>
      </c>
      <c r="J24" s="12" t="str">
        <f>IF('Bundle Tag Info'!K$29&lt;&gt;"",CONCATENATE('Bundle Tag Info'!$A$1," ",CHAR(10),'Bundle Tag Info'!$A$2," ",'Bundle Tag Info'!$A$3,CHAR(10),'Bundle Tag Info'!K$6,CHAR(10),'Bundle Tag Info'!K$29),"")</f>
        <v/>
      </c>
      <c r="K24" s="12" t="str">
        <f>IF('Bundle Tag Info'!L$29&lt;&gt;"",CONCATENATE('Bundle Tag Info'!$A$1," ",CHAR(10),'Bundle Tag Info'!$A$2," ",'Bundle Tag Info'!$A$3,CHAR(10),'Bundle Tag Info'!L$6,CHAR(10),'Bundle Tag Info'!L$29),"")</f>
        <v/>
      </c>
      <c r="L24" s="12" t="str">
        <f>IF('Bundle Tag Info'!M$29&lt;&gt;"",CONCATENATE('Bundle Tag Info'!$A$1," ",CHAR(10),'Bundle Tag Info'!$A$2," ",'Bundle Tag Info'!$A$3,CHAR(10),'Bundle Tag Info'!M$6,CHAR(10),'Bundle Tag Info'!M$29),"")</f>
        <v/>
      </c>
      <c r="M24" s="12" t="str">
        <f>IF('Bundle Tag Info'!N$29&lt;&gt;"",CONCATENATE('Bundle Tag Info'!$A$1," ",CHAR(10),'Bundle Tag Info'!$A$2," ",'Bundle Tag Info'!$A$3,CHAR(10),'Bundle Tag Info'!N$6,CHAR(10),'Bundle Tag Info'!N$29),"")</f>
        <v/>
      </c>
      <c r="N24" s="12" t="str">
        <f>IF('Bundle Tag Info'!O$29&lt;&gt;"",CONCATENATE('Bundle Tag Info'!$A$1," ",CHAR(10),'Bundle Tag Info'!$A$2," ",'Bundle Tag Info'!$A$3,CHAR(10),'Bundle Tag Info'!O$6,CHAR(10),'Bundle Tag Info'!O$29),"")</f>
        <v/>
      </c>
      <c r="O24" s="12" t="str">
        <f>IF('Bundle Tag Info'!P$29&lt;&gt;"",CONCATENATE('Bundle Tag Info'!$A$1," ",CHAR(10),'Bundle Tag Info'!$A$2," ",'Bundle Tag Info'!$A$3,CHAR(10),'Bundle Tag Info'!P$6,CHAR(10),'Bundle Tag Info'!P$29),"")</f>
        <v/>
      </c>
      <c r="P24" s="12" t="str">
        <f>IF('Bundle Tag Info'!Q$29&lt;&gt;"",CONCATENATE('Bundle Tag Info'!$A$1," ",CHAR(10),'Bundle Tag Info'!$A$2," ",'Bundle Tag Info'!$A$3,CHAR(10),'Bundle Tag Info'!Q$6,CHAR(10),'Bundle Tag Info'!Q$29),"")</f>
        <v/>
      </c>
      <c r="Q24" s="12" t="str">
        <f>IF('Bundle Tag Info'!R$29&lt;&gt;"",CONCATENATE('Bundle Tag Info'!$A$1," ",CHAR(10),'Bundle Tag Info'!$A$2," ",'Bundle Tag Info'!$A$3,CHAR(10),'Bundle Tag Info'!R$6,CHAR(10),'Bundle Tag Info'!R$29),"")</f>
        <v/>
      </c>
      <c r="R24" s="12" t="str">
        <f>IF('Bundle Tag Info'!S$29&lt;&gt;"",CONCATENATE('Bundle Tag Info'!$A$1," ",CHAR(10),'Bundle Tag Info'!$A$2," ",'Bundle Tag Info'!$A$3,CHAR(10),'Bundle Tag Info'!S$6,CHAR(10),'Bundle Tag Info'!S$29),"")</f>
        <v/>
      </c>
      <c r="S24" s="12" t="str">
        <f>IF('Bundle Tag Info'!T$29&lt;&gt;"",CONCATENATE('Bundle Tag Info'!$A$1," ",CHAR(10),'Bundle Tag Info'!$A$2," ",'Bundle Tag Info'!$A$3,CHAR(10),'Bundle Tag Info'!T$6,CHAR(10),'Bundle Tag Info'!T$29),"")</f>
        <v/>
      </c>
      <c r="T24" s="12" t="str">
        <f>IF('Bundle Tag Info'!U$29&lt;&gt;"",CONCATENATE('Bundle Tag Info'!$A$1," ",CHAR(10),'Bundle Tag Info'!$A$2," ",'Bundle Tag Info'!$A$3,CHAR(10),'Bundle Tag Info'!U$6,CHAR(10),'Bundle Tag Info'!U$29),"")</f>
        <v/>
      </c>
      <c r="U24" s="12" t="str">
        <f>IF('Bundle Tag Info'!V$29&lt;&gt;"",CONCATENATE('Bundle Tag Info'!$A$1," ",CHAR(10),'Bundle Tag Info'!$A$2," ",'Bundle Tag Info'!$A$3,CHAR(10),'Bundle Tag Info'!V$6,CHAR(10),'Bundle Tag Info'!V$29),"")</f>
        <v/>
      </c>
      <c r="V24" s="12" t="str">
        <f>IF('Bundle Tag Info'!W$29&lt;&gt;"",CONCATENATE('Bundle Tag Info'!$A$1," ",CHAR(10),'Bundle Tag Info'!$A$2," ",'Bundle Tag Info'!$A$3,CHAR(10),'Bundle Tag Info'!W$6,CHAR(10),'Bundle Tag Info'!W$29),"")</f>
        <v/>
      </c>
      <c r="W24" s="12" t="str">
        <f>IF('Bundle Tag Info'!X$29&lt;&gt;"",CONCATENATE('Bundle Tag Info'!$A$1," ",CHAR(10),'Bundle Tag Info'!$A$2," ",'Bundle Tag Info'!$A$3,CHAR(10),'Bundle Tag Info'!X$6,CHAR(10),'Bundle Tag Info'!X$29),"")</f>
        <v/>
      </c>
      <c r="X24" s="12" t="str">
        <f>IF('Bundle Tag Info'!Y$29&lt;&gt;"",CONCATENATE('Bundle Tag Info'!$A$1," ",CHAR(10),'Bundle Tag Info'!$A$2," ",'Bundle Tag Info'!$A$3,CHAR(10),'Bundle Tag Info'!Y$6,CHAR(10),'Bundle Tag Info'!Y$29),"")</f>
        <v/>
      </c>
      <c r="Y24" s="12" t="str">
        <f>IF('Bundle Tag Info'!Z$29&lt;&gt;"",CONCATENATE('Bundle Tag Info'!$A$1," ",CHAR(10),'Bundle Tag Info'!$A$2," ",'Bundle Tag Info'!$A$3,CHAR(10),'Bundle Tag Info'!Z$6,CHAR(10),'Bundle Tag Info'!Z$29),"")</f>
        <v/>
      </c>
      <c r="Z24" s="12" t="str">
        <f>IF('Bundle Tag Info'!AA$29&lt;&gt;"",CONCATENATE('Bundle Tag Info'!$A$1," ",CHAR(10),'Bundle Tag Info'!$A$2," ",'Bundle Tag Info'!$A$3,CHAR(10),'Bundle Tag Info'!AA$6,CHAR(10),'Bundle Tag Info'!AA$29),"")</f>
        <v/>
      </c>
      <c r="AA24" s="12" t="str">
        <f>IF('Bundle Tag Info'!AB$29&lt;&gt;"",CONCATENATE('Bundle Tag Info'!$A$1," ",CHAR(10),'Bundle Tag Info'!$A$2," ",'Bundle Tag Info'!$A$3,CHAR(10),'Bundle Tag Info'!AB$6,CHAR(10),'Bundle Tag Info'!AB$29),"")</f>
        <v/>
      </c>
      <c r="AB24" s="12" t="str">
        <f>IF('Bundle Tag Info'!AC$29&lt;&gt;"",CONCATENATE('Bundle Tag Info'!$A$1," ",CHAR(10),'Bundle Tag Info'!$A$2," ",'Bundle Tag Info'!$A$3,CHAR(10),'Bundle Tag Info'!AC$6,CHAR(10),'Bundle Tag Info'!AC$29),"")</f>
        <v/>
      </c>
      <c r="AC24" s="12" t="str">
        <f>IF('Bundle Tag Info'!AD$29&lt;&gt;"",CONCATENATE('Bundle Tag Info'!$A$1," ",CHAR(10),'Bundle Tag Info'!$A$2," ",'Bundle Tag Info'!$A$3,CHAR(10),'Bundle Tag Info'!AD$6,CHAR(10),'Bundle Tag Info'!AD$29),"")</f>
        <v/>
      </c>
      <c r="AD24" s="12" t="str">
        <f>IF('Bundle Tag Info'!AE$29&lt;&gt;"",CONCATENATE('Bundle Tag Info'!$A$1," ",CHAR(10),'Bundle Tag Info'!$A$2," ",'Bundle Tag Info'!$A$3,CHAR(10),'Bundle Tag Info'!AE$6,CHAR(10),'Bundle Tag Info'!AE$29),"")</f>
        <v/>
      </c>
    </row>
    <row r="25" spans="1:30" ht="12.6" customHeight="1" x14ac:dyDescent="0.25">
      <c r="A25" s="12" t="str">
        <f>IF('Bundle Tag Info'!E$8&lt;&gt;"",CONCATENATE('Bundle Tag Info'!$A$1," ",CHAR(10),'Bundle Tag Info'!$A$2," ",'Bundle Tag Info'!$A$3,CHAR(10),'Bundle Tag Info'!E$6,CHAR(10),'Bundle Tag Info'!E$8),"")</f>
        <v>BP-KEMD  
4L541 B.1
A
AF/AU090s</v>
      </c>
      <c r="G25" s="12" t="str">
        <f>IF('Bundle Tag Info'!H$30&lt;&gt;"",CONCATENATE('Bundle Tag Info'!$A$1," ",CHAR(10),'Bundle Tag Info'!$A$2," ",'Bundle Tag Info'!$A$3,CHAR(10),'Bundle Tag Info'!H$6,CHAR(10),'Bundle Tag Info'!H$30),"")</f>
        <v/>
      </c>
      <c r="H25" s="12" t="str">
        <f>IF('Bundle Tag Info'!I$30&lt;&gt;"",CONCATENATE('Bundle Tag Info'!$A$1," ",CHAR(10),'Bundle Tag Info'!$A$2," ",'Bundle Tag Info'!$A$3,CHAR(10),'Bundle Tag Info'!I$6,CHAR(10),'Bundle Tag Info'!I$30),"")</f>
        <v/>
      </c>
      <c r="I25" s="12" t="str">
        <f>IF('Bundle Tag Info'!J$30&lt;&gt;"",CONCATENATE('Bundle Tag Info'!$A$1," ",CHAR(10),'Bundle Tag Info'!$A$2," ",'Bundle Tag Info'!$A$3,CHAR(10),'Bundle Tag Info'!J$6,CHAR(10),'Bundle Tag Info'!J$30),"")</f>
        <v/>
      </c>
      <c r="J25" s="12" t="str">
        <f>IF('Bundle Tag Info'!K$30&lt;&gt;"",CONCATENATE('Bundle Tag Info'!$A$1," ",CHAR(10),'Bundle Tag Info'!$A$2," ",'Bundle Tag Info'!$A$3,CHAR(10),'Bundle Tag Info'!K$6,CHAR(10),'Bundle Tag Info'!K$30),"")</f>
        <v/>
      </c>
      <c r="K25" s="12" t="str">
        <f>IF('Bundle Tag Info'!L$30&lt;&gt;"",CONCATENATE('Bundle Tag Info'!$A$1," ",CHAR(10),'Bundle Tag Info'!$A$2," ",'Bundle Tag Info'!$A$3,CHAR(10),'Bundle Tag Info'!L$6,CHAR(10),'Bundle Tag Info'!L$30),"")</f>
        <v/>
      </c>
      <c r="L25" s="12" t="str">
        <f>IF('Bundle Tag Info'!M$30&lt;&gt;"",CONCATENATE('Bundle Tag Info'!$A$1," ",CHAR(10),'Bundle Tag Info'!$A$2," ",'Bundle Tag Info'!$A$3,CHAR(10),'Bundle Tag Info'!M$6,CHAR(10),'Bundle Tag Info'!M$30),"")</f>
        <v/>
      </c>
      <c r="M25" s="12" t="str">
        <f>IF('Bundle Tag Info'!N$30&lt;&gt;"",CONCATENATE('Bundle Tag Info'!$A$1," ",CHAR(10),'Bundle Tag Info'!$A$2," ",'Bundle Tag Info'!$A$3,CHAR(10),'Bundle Tag Info'!N$6,CHAR(10),'Bundle Tag Info'!N$30),"")</f>
        <v/>
      </c>
      <c r="N25" s="12" t="str">
        <f>IF('Bundle Tag Info'!O$30&lt;&gt;"",CONCATENATE('Bundle Tag Info'!$A$1," ",CHAR(10),'Bundle Tag Info'!$A$2," ",'Bundle Tag Info'!$A$3,CHAR(10),'Bundle Tag Info'!O$6,CHAR(10),'Bundle Tag Info'!O$30),"")</f>
        <v/>
      </c>
      <c r="O25" s="12" t="str">
        <f>IF('Bundle Tag Info'!P$30&lt;&gt;"",CONCATENATE('Bundle Tag Info'!$A$1," ",CHAR(10),'Bundle Tag Info'!$A$2," ",'Bundle Tag Info'!$A$3,CHAR(10),'Bundle Tag Info'!P$6,CHAR(10),'Bundle Tag Info'!P$30),"")</f>
        <v/>
      </c>
      <c r="P25" s="12" t="str">
        <f>IF('Bundle Tag Info'!Q$30&lt;&gt;"",CONCATENATE('Bundle Tag Info'!$A$1," ",CHAR(10),'Bundle Tag Info'!$A$2," ",'Bundle Tag Info'!$A$3,CHAR(10),'Bundle Tag Info'!Q$6,CHAR(10),'Bundle Tag Info'!Q$30),"")</f>
        <v/>
      </c>
      <c r="Q25" s="12" t="str">
        <f>IF('Bundle Tag Info'!R$30&lt;&gt;"",CONCATENATE('Bundle Tag Info'!$A$1," ",CHAR(10),'Bundle Tag Info'!$A$2," ",'Bundle Tag Info'!$A$3,CHAR(10),'Bundle Tag Info'!R$6,CHAR(10),'Bundle Tag Info'!R$30),"")</f>
        <v/>
      </c>
      <c r="R25" s="12" t="str">
        <f>IF('Bundle Tag Info'!S$30&lt;&gt;"",CONCATENATE('Bundle Tag Info'!$A$1," ",CHAR(10),'Bundle Tag Info'!$A$2," ",'Bundle Tag Info'!$A$3,CHAR(10),'Bundle Tag Info'!S$6,CHAR(10),'Bundle Tag Info'!S$30),"")</f>
        <v/>
      </c>
      <c r="S25" s="12" t="str">
        <f>IF('Bundle Tag Info'!T$30&lt;&gt;"",CONCATENATE('Bundle Tag Info'!$A$1," ",CHAR(10),'Bundle Tag Info'!$A$2," ",'Bundle Tag Info'!$A$3,CHAR(10),'Bundle Tag Info'!T$6,CHAR(10),'Bundle Tag Info'!T$30),"")</f>
        <v/>
      </c>
      <c r="T25" s="12" t="str">
        <f>IF('Bundle Tag Info'!U$30&lt;&gt;"",CONCATENATE('Bundle Tag Info'!$A$1," ",CHAR(10),'Bundle Tag Info'!$A$2," ",'Bundle Tag Info'!$A$3,CHAR(10),'Bundle Tag Info'!U$6,CHAR(10),'Bundle Tag Info'!U$30),"")</f>
        <v/>
      </c>
      <c r="U25" s="12" t="str">
        <f>IF('Bundle Tag Info'!V$30&lt;&gt;"",CONCATENATE('Bundle Tag Info'!$A$1," ",CHAR(10),'Bundle Tag Info'!$A$2," ",'Bundle Tag Info'!$A$3,CHAR(10),'Bundle Tag Info'!V$6,CHAR(10),'Bundle Tag Info'!V$30),"")</f>
        <v/>
      </c>
      <c r="V25" s="12" t="str">
        <f>IF('Bundle Tag Info'!W$30&lt;&gt;"",CONCATENATE('Bundle Tag Info'!$A$1," ",CHAR(10),'Bundle Tag Info'!$A$2," ",'Bundle Tag Info'!$A$3,CHAR(10),'Bundle Tag Info'!W$6,CHAR(10),'Bundle Tag Info'!W$30),"")</f>
        <v/>
      </c>
      <c r="W25" s="12" t="str">
        <f>IF('Bundle Tag Info'!X$30&lt;&gt;"",CONCATENATE('Bundle Tag Info'!$A$1," ",CHAR(10),'Bundle Tag Info'!$A$2," ",'Bundle Tag Info'!$A$3,CHAR(10),'Bundle Tag Info'!X$6,CHAR(10),'Bundle Tag Info'!X$30),"")</f>
        <v/>
      </c>
      <c r="X25" s="12" t="str">
        <f>IF('Bundle Tag Info'!Y$30&lt;&gt;"",CONCATENATE('Bundle Tag Info'!$A$1," ",CHAR(10),'Bundle Tag Info'!$A$2," ",'Bundle Tag Info'!$A$3,CHAR(10),'Bundle Tag Info'!Y$6,CHAR(10),'Bundle Tag Info'!Y$30),"")</f>
        <v/>
      </c>
      <c r="Y25" s="12" t="str">
        <f>IF('Bundle Tag Info'!Z$30&lt;&gt;"",CONCATENATE('Bundle Tag Info'!$A$1," ",CHAR(10),'Bundle Tag Info'!$A$2," ",'Bundle Tag Info'!$A$3,CHAR(10),'Bundle Tag Info'!Z$6,CHAR(10),'Bundle Tag Info'!Z$30),"")</f>
        <v/>
      </c>
      <c r="Z25" s="12" t="str">
        <f>IF('Bundle Tag Info'!AA$30&lt;&gt;"",CONCATENATE('Bundle Tag Info'!$A$1," ",CHAR(10),'Bundle Tag Info'!$A$2," ",'Bundle Tag Info'!$A$3,CHAR(10),'Bundle Tag Info'!AA$6,CHAR(10),'Bundle Tag Info'!AA$30),"")</f>
        <v/>
      </c>
      <c r="AA25" s="12" t="str">
        <f>IF('Bundle Tag Info'!AB$30&lt;&gt;"",CONCATENATE('Bundle Tag Info'!$A$1," ",CHAR(10),'Bundle Tag Info'!$A$2," ",'Bundle Tag Info'!$A$3,CHAR(10),'Bundle Tag Info'!AB$6,CHAR(10),'Bundle Tag Info'!AB$30),"")</f>
        <v/>
      </c>
      <c r="AB25" s="12" t="str">
        <f>IF('Bundle Tag Info'!AC$30&lt;&gt;"",CONCATENATE('Bundle Tag Info'!$A$1," ",CHAR(10),'Bundle Tag Info'!$A$2," ",'Bundle Tag Info'!$A$3,CHAR(10),'Bundle Tag Info'!AC$6,CHAR(10),'Bundle Tag Info'!AC$30),"")</f>
        <v/>
      </c>
      <c r="AC25" s="12" t="str">
        <f>IF('Bundle Tag Info'!AD$30&lt;&gt;"",CONCATENATE('Bundle Tag Info'!$A$1," ",CHAR(10),'Bundle Tag Info'!$A$2," ",'Bundle Tag Info'!$A$3,CHAR(10),'Bundle Tag Info'!AD$6,CHAR(10),'Bundle Tag Info'!AD$30),"")</f>
        <v/>
      </c>
      <c r="AD25" s="12" t="str">
        <f>IF('Bundle Tag Info'!AE$30&lt;&gt;"",CONCATENATE('Bundle Tag Info'!$A$1," ",CHAR(10),'Bundle Tag Info'!$A$2," ",'Bundle Tag Info'!$A$3,CHAR(10),'Bundle Tag Info'!AE$6,CHAR(10),'Bundle Tag Info'!AE$30),"")</f>
        <v/>
      </c>
    </row>
    <row r="26" spans="1:30" ht="12.6" customHeight="1" x14ac:dyDescent="0.25">
      <c r="A26" s="12" t="str">
        <f>IF('Bundle Tag Info'!E$9&lt;&gt;"",CONCATENATE('Bundle Tag Info'!$A$1," ",CHAR(10),'Bundle Tag Info'!$A$2," ",'Bundle Tag Info'!$A$3,CHAR(10),'Bundle Tag Info'!E$6,CHAR(10),'Bundle Tag Info'!E$9),"")</f>
        <v>BP-KEMD  
4L541 B.1
A
FU</v>
      </c>
      <c r="G26" s="12" t="str">
        <f>IF('Bundle Tag Info'!H$31&lt;&gt;"",CONCATENATE('Bundle Tag Info'!$A$1," ",CHAR(10),'Bundle Tag Info'!$A$2," ",'Bundle Tag Info'!$A$3,CHAR(10),'Bundle Tag Info'!H$6,CHAR(10),'Bundle Tag Info'!H$31),"")</f>
        <v/>
      </c>
      <c r="H26" s="12" t="str">
        <f>IF('Bundle Tag Info'!I$31&lt;&gt;"",CONCATENATE('Bundle Tag Info'!$A$1," ",CHAR(10),'Bundle Tag Info'!$A$2," ",'Bundle Tag Info'!$A$3,CHAR(10),'Bundle Tag Info'!I$6,CHAR(10),'Bundle Tag Info'!I$31),"")</f>
        <v/>
      </c>
      <c r="I26" s="12" t="str">
        <f>IF('Bundle Tag Info'!J$31&lt;&gt;"",CONCATENATE('Bundle Tag Info'!$A$1," ",CHAR(10),'Bundle Tag Info'!$A$2," ",'Bundle Tag Info'!$A$3,CHAR(10),'Bundle Tag Info'!J$6,CHAR(10),'Bundle Tag Info'!J$31),"")</f>
        <v/>
      </c>
      <c r="J26" s="12" t="str">
        <f>IF('Bundle Tag Info'!K$31&lt;&gt;"",CONCATENATE('Bundle Tag Info'!$A$1," ",CHAR(10),'Bundle Tag Info'!$A$2," ",'Bundle Tag Info'!$A$3,CHAR(10),'Bundle Tag Info'!K$6,CHAR(10),'Bundle Tag Info'!K$31),"")</f>
        <v/>
      </c>
      <c r="K26" s="12" t="str">
        <f>IF('Bundle Tag Info'!L$31&lt;&gt;"",CONCATENATE('Bundle Tag Info'!$A$1," ",CHAR(10),'Bundle Tag Info'!$A$2," ",'Bundle Tag Info'!$A$3,CHAR(10),'Bundle Tag Info'!L$6,CHAR(10),'Bundle Tag Info'!L$31),"")</f>
        <v/>
      </c>
      <c r="L26" s="12" t="str">
        <f>IF('Bundle Tag Info'!M$31&lt;&gt;"",CONCATENATE('Bundle Tag Info'!$A$1," ",CHAR(10),'Bundle Tag Info'!$A$2," ",'Bundle Tag Info'!$A$3,CHAR(10),'Bundle Tag Info'!M$6,CHAR(10),'Bundle Tag Info'!M$31),"")</f>
        <v/>
      </c>
      <c r="M26" s="12" t="str">
        <f>IF('Bundle Tag Info'!N$31&lt;&gt;"",CONCATENATE('Bundle Tag Info'!$A$1," ",CHAR(10),'Bundle Tag Info'!$A$2," ",'Bundle Tag Info'!$A$3,CHAR(10),'Bundle Tag Info'!N$6,CHAR(10),'Bundle Tag Info'!N$31),"")</f>
        <v/>
      </c>
      <c r="N26" s="12" t="str">
        <f>IF('Bundle Tag Info'!O$31&lt;&gt;"",CONCATENATE('Bundle Tag Info'!$A$1," ",CHAR(10),'Bundle Tag Info'!$A$2," ",'Bundle Tag Info'!$A$3,CHAR(10),'Bundle Tag Info'!O$6,CHAR(10),'Bundle Tag Info'!O$31),"")</f>
        <v/>
      </c>
      <c r="O26" s="12" t="str">
        <f>IF('Bundle Tag Info'!P$31&lt;&gt;"",CONCATENATE('Bundle Tag Info'!$A$1," ",CHAR(10),'Bundle Tag Info'!$A$2," ",'Bundle Tag Info'!$A$3,CHAR(10),'Bundle Tag Info'!P$6,CHAR(10),'Bundle Tag Info'!P$31),"")</f>
        <v/>
      </c>
      <c r="P26" s="12" t="str">
        <f>IF('Bundle Tag Info'!Q$31&lt;&gt;"",CONCATENATE('Bundle Tag Info'!$A$1," ",CHAR(10),'Bundle Tag Info'!$A$2," ",'Bundle Tag Info'!$A$3,CHAR(10),'Bundle Tag Info'!Q$6,CHAR(10),'Bundle Tag Info'!Q$31),"")</f>
        <v/>
      </c>
      <c r="Q26" s="12" t="str">
        <f>IF('Bundle Tag Info'!R$31&lt;&gt;"",CONCATENATE('Bundle Tag Info'!$A$1," ",CHAR(10),'Bundle Tag Info'!$A$2," ",'Bundle Tag Info'!$A$3,CHAR(10),'Bundle Tag Info'!R$6,CHAR(10),'Bundle Tag Info'!R$31),"")</f>
        <v/>
      </c>
      <c r="R26" s="12" t="str">
        <f>IF('Bundle Tag Info'!S$31&lt;&gt;"",CONCATENATE('Bundle Tag Info'!$A$1," ",CHAR(10),'Bundle Tag Info'!$A$2," ",'Bundle Tag Info'!$A$3,CHAR(10),'Bundle Tag Info'!S$6,CHAR(10),'Bundle Tag Info'!S$31),"")</f>
        <v/>
      </c>
      <c r="S26" s="12" t="str">
        <f>IF('Bundle Tag Info'!T$31&lt;&gt;"",CONCATENATE('Bundle Tag Info'!$A$1," ",CHAR(10),'Bundle Tag Info'!$A$2," ",'Bundle Tag Info'!$A$3,CHAR(10),'Bundle Tag Info'!T$6,CHAR(10),'Bundle Tag Info'!T$31),"")</f>
        <v/>
      </c>
      <c r="T26" s="12" t="str">
        <f>IF('Bundle Tag Info'!U$31&lt;&gt;"",CONCATENATE('Bundle Tag Info'!$A$1," ",CHAR(10),'Bundle Tag Info'!$A$2," ",'Bundle Tag Info'!$A$3,CHAR(10),'Bundle Tag Info'!U$6,CHAR(10),'Bundle Tag Info'!U$31),"")</f>
        <v/>
      </c>
      <c r="U26" s="12" t="str">
        <f>IF('Bundle Tag Info'!V$31&lt;&gt;"",CONCATENATE('Bundle Tag Info'!$A$1," ",CHAR(10),'Bundle Tag Info'!$A$2," ",'Bundle Tag Info'!$A$3,CHAR(10),'Bundle Tag Info'!V$6,CHAR(10),'Bundle Tag Info'!V$31),"")</f>
        <v/>
      </c>
      <c r="V26" s="12" t="str">
        <f>IF('Bundle Tag Info'!W$31&lt;&gt;"",CONCATENATE('Bundle Tag Info'!$A$1," ",CHAR(10),'Bundle Tag Info'!$A$2," ",'Bundle Tag Info'!$A$3,CHAR(10),'Bundle Tag Info'!W$6,CHAR(10),'Bundle Tag Info'!W$31),"")</f>
        <v/>
      </c>
      <c r="W26" s="12" t="str">
        <f>IF('Bundle Tag Info'!X$31&lt;&gt;"",CONCATENATE('Bundle Tag Info'!$A$1," ",CHAR(10),'Bundle Tag Info'!$A$2," ",'Bundle Tag Info'!$A$3,CHAR(10),'Bundle Tag Info'!X$6,CHAR(10),'Bundle Tag Info'!X$31),"")</f>
        <v/>
      </c>
      <c r="X26" s="12" t="str">
        <f>IF('Bundle Tag Info'!Y$31&lt;&gt;"",CONCATENATE('Bundle Tag Info'!$A$1," ",CHAR(10),'Bundle Tag Info'!$A$2," ",'Bundle Tag Info'!$A$3,CHAR(10),'Bundle Tag Info'!Y$6,CHAR(10),'Bundle Tag Info'!Y$31),"")</f>
        <v/>
      </c>
      <c r="Y26" s="12" t="str">
        <f>IF('Bundle Tag Info'!Z$31&lt;&gt;"",CONCATENATE('Bundle Tag Info'!$A$1," ",CHAR(10),'Bundle Tag Info'!$A$2," ",'Bundle Tag Info'!$A$3,CHAR(10),'Bundle Tag Info'!Z$6,CHAR(10),'Bundle Tag Info'!Z$31),"")</f>
        <v/>
      </c>
      <c r="Z26" s="12" t="str">
        <f>IF('Bundle Tag Info'!AA$31&lt;&gt;"",CONCATENATE('Bundle Tag Info'!$A$1," ",CHAR(10),'Bundle Tag Info'!$A$2," ",'Bundle Tag Info'!$A$3,CHAR(10),'Bundle Tag Info'!AA$6,CHAR(10),'Bundle Tag Info'!AA$31),"")</f>
        <v/>
      </c>
      <c r="AA26" s="12" t="str">
        <f>IF('Bundle Tag Info'!AB$31&lt;&gt;"",CONCATENATE('Bundle Tag Info'!$A$1," ",CHAR(10),'Bundle Tag Info'!$A$2," ",'Bundle Tag Info'!$A$3,CHAR(10),'Bundle Tag Info'!AB$6,CHAR(10),'Bundle Tag Info'!AB$31),"")</f>
        <v/>
      </c>
      <c r="AB26" s="12" t="str">
        <f>IF('Bundle Tag Info'!AC$31&lt;&gt;"",CONCATENATE('Bundle Tag Info'!$A$1," ",CHAR(10),'Bundle Tag Info'!$A$2," ",'Bundle Tag Info'!$A$3,CHAR(10),'Bundle Tag Info'!AC$6,CHAR(10),'Bundle Tag Info'!AC$31),"")</f>
        <v/>
      </c>
      <c r="AC26" s="12" t="str">
        <f>IF('Bundle Tag Info'!AD$31&lt;&gt;"",CONCATENATE('Bundle Tag Info'!$A$1," ",CHAR(10),'Bundle Tag Info'!$A$2," ",'Bundle Tag Info'!$A$3,CHAR(10),'Bundle Tag Info'!AD$6,CHAR(10),'Bundle Tag Info'!AD$31),"")</f>
        <v/>
      </c>
      <c r="AD26" s="12" t="str">
        <f>IF('Bundle Tag Info'!AE$31&lt;&gt;"",CONCATENATE('Bundle Tag Info'!$A$1," ",CHAR(10),'Bundle Tag Info'!$A$2," ",'Bundle Tag Info'!$A$3,CHAR(10),'Bundle Tag Info'!AE$6,CHAR(10),'Bundle Tag Info'!AE$31),"")</f>
        <v/>
      </c>
    </row>
    <row r="27" spans="1:30" ht="12.6" customHeight="1" x14ac:dyDescent="0.25">
      <c r="A27" s="12" t="str">
        <f>IF('Bundle Tag Info'!E$10&lt;&gt;"",CONCATENATE('Bundle Tag Info'!$A$1," ",CHAR(10),'Bundle Tag Info'!$A$2," ",'Bundle Tag Info'!$A$3,CHAR(10),'Bundle Tag Info'!E$6,CHAR(10),'Bundle Tag Info'!E$10),"")</f>
        <v>BP-KEMD  
4L541 B.1
A
KA</v>
      </c>
      <c r="G27" s="12" t="str">
        <f>IF('Bundle Tag Info'!H$32&lt;&gt;"",CONCATENATE('Bundle Tag Info'!$A$1," ",CHAR(10),'Bundle Tag Info'!$A$2," ",'Bundle Tag Info'!$A$3,CHAR(10),'Bundle Tag Info'!H$6,CHAR(10),'Bundle Tag Info'!H$32),"")</f>
        <v/>
      </c>
      <c r="H27" s="12" t="str">
        <f>IF('Bundle Tag Info'!I$32&lt;&gt;"",CONCATENATE('Bundle Tag Info'!$A$1," ",CHAR(10),'Bundle Tag Info'!$A$2," ",'Bundle Tag Info'!$A$3,CHAR(10),'Bundle Tag Info'!I$6,CHAR(10),'Bundle Tag Info'!I$32),"")</f>
        <v/>
      </c>
      <c r="I27" s="12" t="str">
        <f>IF('Bundle Tag Info'!J$32&lt;&gt;"",CONCATENATE('Bundle Tag Info'!$A$1," ",CHAR(10),'Bundle Tag Info'!$A$2," ",'Bundle Tag Info'!$A$3,CHAR(10),'Bundle Tag Info'!J$6,CHAR(10),'Bundle Tag Info'!J$32),"")</f>
        <v/>
      </c>
      <c r="J27" s="12" t="str">
        <f>IF('Bundle Tag Info'!K$32&lt;&gt;"",CONCATENATE('Bundle Tag Info'!$A$1," ",CHAR(10),'Bundle Tag Info'!$A$2," ",'Bundle Tag Info'!$A$3,CHAR(10),'Bundle Tag Info'!K$6,CHAR(10),'Bundle Tag Info'!K$32),"")</f>
        <v/>
      </c>
      <c r="K27" s="12" t="str">
        <f>IF('Bundle Tag Info'!L$32&lt;&gt;"",CONCATENATE('Bundle Tag Info'!$A$1," ",CHAR(10),'Bundle Tag Info'!$A$2," ",'Bundle Tag Info'!$A$3,CHAR(10),'Bundle Tag Info'!L$6,CHAR(10),'Bundle Tag Info'!L$32),"")</f>
        <v/>
      </c>
      <c r="L27" s="12" t="str">
        <f>IF('Bundle Tag Info'!M$32&lt;&gt;"",CONCATENATE('Bundle Tag Info'!$A$1," ",CHAR(10),'Bundle Tag Info'!$A$2," ",'Bundle Tag Info'!$A$3,CHAR(10),'Bundle Tag Info'!M$6,CHAR(10),'Bundle Tag Info'!M$32),"")</f>
        <v/>
      </c>
      <c r="M27" s="12" t="str">
        <f>IF('Bundle Tag Info'!N$32&lt;&gt;"",CONCATENATE('Bundle Tag Info'!$A$1," ",CHAR(10),'Bundle Tag Info'!$A$2," ",'Bundle Tag Info'!$A$3,CHAR(10),'Bundle Tag Info'!N$6,CHAR(10),'Bundle Tag Info'!N$32),"")</f>
        <v/>
      </c>
      <c r="N27" s="12" t="str">
        <f>IF('Bundle Tag Info'!O$32&lt;&gt;"",CONCATENATE('Bundle Tag Info'!$A$1," ",CHAR(10),'Bundle Tag Info'!$A$2," ",'Bundle Tag Info'!$A$3,CHAR(10),'Bundle Tag Info'!O$6,CHAR(10),'Bundle Tag Info'!O$32),"")</f>
        <v/>
      </c>
      <c r="O27" s="12" t="str">
        <f>IF('Bundle Tag Info'!P$32&lt;&gt;"",CONCATENATE('Bundle Tag Info'!$A$1," ",CHAR(10),'Bundle Tag Info'!$A$2," ",'Bundle Tag Info'!$A$3,CHAR(10),'Bundle Tag Info'!P$6,CHAR(10),'Bundle Tag Info'!P$32),"")</f>
        <v/>
      </c>
      <c r="P27" s="12" t="str">
        <f>IF('Bundle Tag Info'!Q$32&lt;&gt;"",CONCATENATE('Bundle Tag Info'!$A$1," ",CHAR(10),'Bundle Tag Info'!$A$2," ",'Bundle Tag Info'!$A$3,CHAR(10),'Bundle Tag Info'!Q$6,CHAR(10),'Bundle Tag Info'!Q$32),"")</f>
        <v/>
      </c>
      <c r="Q27" s="12" t="str">
        <f>IF('Bundle Tag Info'!R$32&lt;&gt;"",CONCATENATE('Bundle Tag Info'!$A$1," ",CHAR(10),'Bundle Tag Info'!$A$2," ",'Bundle Tag Info'!$A$3,CHAR(10),'Bundle Tag Info'!R$6,CHAR(10),'Bundle Tag Info'!R$32),"")</f>
        <v/>
      </c>
      <c r="R27" s="12" t="str">
        <f>IF('Bundle Tag Info'!S$32&lt;&gt;"",CONCATENATE('Bundle Tag Info'!$A$1," ",CHAR(10),'Bundle Tag Info'!$A$2," ",'Bundle Tag Info'!$A$3,CHAR(10),'Bundle Tag Info'!S$6,CHAR(10),'Bundle Tag Info'!S$32),"")</f>
        <v/>
      </c>
      <c r="S27" s="12" t="str">
        <f>IF('Bundle Tag Info'!T$32&lt;&gt;"",CONCATENATE('Bundle Tag Info'!$A$1," ",CHAR(10),'Bundle Tag Info'!$A$2," ",'Bundle Tag Info'!$A$3,CHAR(10),'Bundle Tag Info'!T$6,CHAR(10),'Bundle Tag Info'!T$32),"")</f>
        <v/>
      </c>
      <c r="T27" s="12" t="str">
        <f>IF('Bundle Tag Info'!U$32&lt;&gt;"",CONCATENATE('Bundle Tag Info'!$A$1," ",CHAR(10),'Bundle Tag Info'!$A$2," ",'Bundle Tag Info'!$A$3,CHAR(10),'Bundle Tag Info'!U$6,CHAR(10),'Bundle Tag Info'!U$32),"")</f>
        <v/>
      </c>
      <c r="U27" s="12" t="str">
        <f>IF('Bundle Tag Info'!V$32&lt;&gt;"",CONCATENATE('Bundle Tag Info'!$A$1," ",CHAR(10),'Bundle Tag Info'!$A$2," ",'Bundle Tag Info'!$A$3,CHAR(10),'Bundle Tag Info'!V$6,CHAR(10),'Bundle Tag Info'!V$32),"")</f>
        <v/>
      </c>
      <c r="V27" s="12" t="str">
        <f>IF('Bundle Tag Info'!W$32&lt;&gt;"",CONCATENATE('Bundle Tag Info'!$A$1," ",CHAR(10),'Bundle Tag Info'!$A$2," ",'Bundle Tag Info'!$A$3,CHAR(10),'Bundle Tag Info'!W$6,CHAR(10),'Bundle Tag Info'!W$32),"")</f>
        <v/>
      </c>
      <c r="W27" s="12" t="str">
        <f>IF('Bundle Tag Info'!X$32&lt;&gt;"",CONCATENATE('Bundle Tag Info'!$A$1," ",CHAR(10),'Bundle Tag Info'!$A$2," ",'Bundle Tag Info'!$A$3,CHAR(10),'Bundle Tag Info'!X$6,CHAR(10),'Bundle Tag Info'!X$32),"")</f>
        <v/>
      </c>
      <c r="X27" s="12" t="str">
        <f>IF('Bundle Tag Info'!Y$32&lt;&gt;"",CONCATENATE('Bundle Tag Info'!$A$1," ",CHAR(10),'Bundle Tag Info'!$A$2," ",'Bundle Tag Info'!$A$3,CHAR(10),'Bundle Tag Info'!Y$6,CHAR(10),'Bundle Tag Info'!Y$32),"")</f>
        <v/>
      </c>
      <c r="Y27" s="12" t="str">
        <f>IF('Bundle Tag Info'!Z$32&lt;&gt;"",CONCATENATE('Bundle Tag Info'!$A$1," ",CHAR(10),'Bundle Tag Info'!$A$2," ",'Bundle Tag Info'!$A$3,CHAR(10),'Bundle Tag Info'!Z$6,CHAR(10),'Bundle Tag Info'!Z$32),"")</f>
        <v/>
      </c>
      <c r="Z27" s="12" t="str">
        <f>IF('Bundle Tag Info'!AA$32&lt;&gt;"",CONCATENATE('Bundle Tag Info'!$A$1," ",CHAR(10),'Bundle Tag Info'!$A$2," ",'Bundle Tag Info'!$A$3,CHAR(10),'Bundle Tag Info'!AA$6,CHAR(10),'Bundle Tag Info'!AA$32),"")</f>
        <v/>
      </c>
      <c r="AA27" s="12" t="str">
        <f>IF('Bundle Tag Info'!AB$32&lt;&gt;"",CONCATENATE('Bundle Tag Info'!$A$1," ",CHAR(10),'Bundle Tag Info'!$A$2," ",'Bundle Tag Info'!$A$3,CHAR(10),'Bundle Tag Info'!AB$6,CHAR(10),'Bundle Tag Info'!AB$32),"")</f>
        <v/>
      </c>
      <c r="AB27" s="12" t="str">
        <f>IF('Bundle Tag Info'!AC$32&lt;&gt;"",CONCATENATE('Bundle Tag Info'!$A$1," ",CHAR(10),'Bundle Tag Info'!$A$2," ",'Bundle Tag Info'!$A$3,CHAR(10),'Bundle Tag Info'!AC$6,CHAR(10),'Bundle Tag Info'!AC$32),"")</f>
        <v/>
      </c>
      <c r="AC27" s="12" t="str">
        <f>IF('Bundle Tag Info'!AD$32&lt;&gt;"",CONCATENATE('Bundle Tag Info'!$A$1," ",CHAR(10),'Bundle Tag Info'!$A$2," ",'Bundle Tag Info'!$A$3,CHAR(10),'Bundle Tag Info'!AD$6,CHAR(10),'Bundle Tag Info'!AD$32),"")</f>
        <v/>
      </c>
      <c r="AD27" s="12" t="str">
        <f>IF('Bundle Tag Info'!AE$32&lt;&gt;"",CONCATENATE('Bundle Tag Info'!$A$1," ",CHAR(10),'Bundle Tag Info'!$A$2," ",'Bundle Tag Info'!$A$3,CHAR(10),'Bundle Tag Info'!AE$6,CHAR(10),'Bundle Tag Info'!AE$32),"")</f>
        <v/>
      </c>
    </row>
    <row r="28" spans="1:30" ht="12.6" customHeight="1" x14ac:dyDescent="0.25">
      <c r="A28" s="12" t="str">
        <f>IF('Bundle Tag Info'!E$11&lt;&gt;"",CONCATENATE('Bundle Tag Info'!$A$1," ",CHAR(10),'Bundle Tag Info'!$A$2," ",'Bundle Tag Info'!$A$3,CHAR(10),'Bundle Tag Info'!E$6,CHAR(10),'Bundle Tag Info'!E$11),"")</f>
        <v>BP-KEMD  
4L541 B.1
A
PC</v>
      </c>
      <c r="G28" s="12" t="str">
        <f>IF('Bundle Tag Info'!H$33&lt;&gt;"",CONCATENATE('Bundle Tag Info'!$A$1," ",CHAR(10),'Bundle Tag Info'!$A$2," ",'Bundle Tag Info'!$A$3,CHAR(10),'Bundle Tag Info'!H$6,CHAR(10),'Bundle Tag Info'!H$33),"")</f>
        <v/>
      </c>
      <c r="H28" s="12" t="str">
        <f>IF('Bundle Tag Info'!I$33&lt;&gt;"",CONCATENATE('Bundle Tag Info'!$A$1," ",CHAR(10),'Bundle Tag Info'!$A$2," ",'Bundle Tag Info'!$A$3,CHAR(10),'Bundle Tag Info'!I$6,CHAR(10),'Bundle Tag Info'!I$33),"")</f>
        <v/>
      </c>
      <c r="I28" s="12" t="str">
        <f>IF('Bundle Tag Info'!J$33&lt;&gt;"",CONCATENATE('Bundle Tag Info'!$A$1," ",CHAR(10),'Bundle Tag Info'!$A$2," ",'Bundle Tag Info'!$A$3,CHAR(10),'Bundle Tag Info'!J$6,CHAR(10),'Bundle Tag Info'!J$33),"")</f>
        <v/>
      </c>
      <c r="J28" s="12" t="str">
        <f>IF('Bundle Tag Info'!K$33&lt;&gt;"",CONCATENATE('Bundle Tag Info'!$A$1," ",CHAR(10),'Bundle Tag Info'!$A$2," ",'Bundle Tag Info'!$A$3,CHAR(10),'Bundle Tag Info'!K$6,CHAR(10),'Bundle Tag Info'!K$33),"")</f>
        <v/>
      </c>
      <c r="K28" s="12" t="str">
        <f>IF('Bundle Tag Info'!L$33&lt;&gt;"",CONCATENATE('Bundle Tag Info'!$A$1," ",CHAR(10),'Bundle Tag Info'!$A$2," ",'Bundle Tag Info'!$A$3,CHAR(10),'Bundle Tag Info'!L$6,CHAR(10),'Bundle Tag Info'!L$33),"")</f>
        <v/>
      </c>
      <c r="L28" s="12" t="str">
        <f>IF('Bundle Tag Info'!M$33&lt;&gt;"",CONCATENATE('Bundle Tag Info'!$A$1," ",CHAR(10),'Bundle Tag Info'!$A$2," ",'Bundle Tag Info'!$A$3,CHAR(10),'Bundle Tag Info'!M$6,CHAR(10),'Bundle Tag Info'!M$33),"")</f>
        <v/>
      </c>
      <c r="M28" s="12" t="str">
        <f>IF('Bundle Tag Info'!N$33&lt;&gt;"",CONCATENATE('Bundle Tag Info'!$A$1," ",CHAR(10),'Bundle Tag Info'!$A$2," ",'Bundle Tag Info'!$A$3,CHAR(10),'Bundle Tag Info'!N$6,CHAR(10),'Bundle Tag Info'!N$33),"")</f>
        <v/>
      </c>
      <c r="N28" s="12" t="str">
        <f>IF('Bundle Tag Info'!O$33&lt;&gt;"",CONCATENATE('Bundle Tag Info'!$A$1," ",CHAR(10),'Bundle Tag Info'!$A$2," ",'Bundle Tag Info'!$A$3,CHAR(10),'Bundle Tag Info'!O$6,CHAR(10),'Bundle Tag Info'!O$33),"")</f>
        <v/>
      </c>
      <c r="O28" s="12" t="str">
        <f>IF('Bundle Tag Info'!P$33&lt;&gt;"",CONCATENATE('Bundle Tag Info'!$A$1," ",CHAR(10),'Bundle Tag Info'!$A$2," ",'Bundle Tag Info'!$A$3,CHAR(10),'Bundle Tag Info'!P$6,CHAR(10),'Bundle Tag Info'!P$33),"")</f>
        <v/>
      </c>
      <c r="P28" s="12" t="str">
        <f>IF('Bundle Tag Info'!Q$33&lt;&gt;"",CONCATENATE('Bundle Tag Info'!$A$1," ",CHAR(10),'Bundle Tag Info'!$A$2," ",'Bundle Tag Info'!$A$3,CHAR(10),'Bundle Tag Info'!Q$6,CHAR(10),'Bundle Tag Info'!Q$33),"")</f>
        <v/>
      </c>
      <c r="Q28" s="12" t="str">
        <f>IF('Bundle Tag Info'!R$33&lt;&gt;"",CONCATENATE('Bundle Tag Info'!$A$1," ",CHAR(10),'Bundle Tag Info'!$A$2," ",'Bundle Tag Info'!$A$3,CHAR(10),'Bundle Tag Info'!R$6,CHAR(10),'Bundle Tag Info'!R$33),"")</f>
        <v/>
      </c>
      <c r="R28" s="12" t="str">
        <f>IF('Bundle Tag Info'!S$33&lt;&gt;"",CONCATENATE('Bundle Tag Info'!$A$1," ",CHAR(10),'Bundle Tag Info'!$A$2," ",'Bundle Tag Info'!$A$3,CHAR(10),'Bundle Tag Info'!S$6,CHAR(10),'Bundle Tag Info'!S$33),"")</f>
        <v/>
      </c>
      <c r="S28" s="12" t="str">
        <f>IF('Bundle Tag Info'!T$33&lt;&gt;"",CONCATENATE('Bundle Tag Info'!$A$1," ",CHAR(10),'Bundle Tag Info'!$A$2," ",'Bundle Tag Info'!$A$3,CHAR(10),'Bundle Tag Info'!T$6,CHAR(10),'Bundle Tag Info'!T$33),"")</f>
        <v/>
      </c>
      <c r="T28" s="12" t="str">
        <f>IF('Bundle Tag Info'!U$33&lt;&gt;"",CONCATENATE('Bundle Tag Info'!$A$1," ",CHAR(10),'Bundle Tag Info'!$A$2," ",'Bundle Tag Info'!$A$3,CHAR(10),'Bundle Tag Info'!U$6,CHAR(10),'Bundle Tag Info'!U$33),"")</f>
        <v/>
      </c>
      <c r="U28" s="12" t="str">
        <f>IF('Bundle Tag Info'!V$33&lt;&gt;"",CONCATENATE('Bundle Tag Info'!$A$1," ",CHAR(10),'Bundle Tag Info'!$A$2," ",'Bundle Tag Info'!$A$3,CHAR(10),'Bundle Tag Info'!V$6,CHAR(10),'Bundle Tag Info'!V$33),"")</f>
        <v/>
      </c>
      <c r="V28" s="12" t="str">
        <f>IF('Bundle Tag Info'!W$33&lt;&gt;"",CONCATENATE('Bundle Tag Info'!$A$1," ",CHAR(10),'Bundle Tag Info'!$A$2," ",'Bundle Tag Info'!$A$3,CHAR(10),'Bundle Tag Info'!W$6,CHAR(10),'Bundle Tag Info'!W$33),"")</f>
        <v/>
      </c>
      <c r="W28" s="12" t="str">
        <f>IF('Bundle Tag Info'!X$33&lt;&gt;"",CONCATENATE('Bundle Tag Info'!$A$1," ",CHAR(10),'Bundle Tag Info'!$A$2," ",'Bundle Tag Info'!$A$3,CHAR(10),'Bundle Tag Info'!X$6,CHAR(10),'Bundle Tag Info'!X$33),"")</f>
        <v/>
      </c>
      <c r="X28" s="12" t="str">
        <f>IF('Bundle Tag Info'!Y$33&lt;&gt;"",CONCATENATE('Bundle Tag Info'!$A$1," ",CHAR(10),'Bundle Tag Info'!$A$2," ",'Bundle Tag Info'!$A$3,CHAR(10),'Bundle Tag Info'!Y$6,CHAR(10),'Bundle Tag Info'!Y$33),"")</f>
        <v/>
      </c>
      <c r="Y28" s="12" t="str">
        <f>IF('Bundle Tag Info'!Z$33&lt;&gt;"",CONCATENATE('Bundle Tag Info'!$A$1," ",CHAR(10),'Bundle Tag Info'!$A$2," ",'Bundle Tag Info'!$A$3,CHAR(10),'Bundle Tag Info'!Z$6,CHAR(10),'Bundle Tag Info'!Z$33),"")</f>
        <v/>
      </c>
      <c r="Z28" s="12" t="str">
        <f>IF('Bundle Tag Info'!AA$33&lt;&gt;"",CONCATENATE('Bundle Tag Info'!$A$1," ",CHAR(10),'Bundle Tag Info'!$A$2," ",'Bundle Tag Info'!$A$3,CHAR(10),'Bundle Tag Info'!AA$6,CHAR(10),'Bundle Tag Info'!AA$33),"")</f>
        <v/>
      </c>
      <c r="AA28" s="12" t="str">
        <f>IF('Bundle Tag Info'!AB$33&lt;&gt;"",CONCATENATE('Bundle Tag Info'!$A$1," ",CHAR(10),'Bundle Tag Info'!$A$2," ",'Bundle Tag Info'!$A$3,CHAR(10),'Bundle Tag Info'!AB$6,CHAR(10),'Bundle Tag Info'!AB$33),"")</f>
        <v/>
      </c>
      <c r="AB28" s="12" t="str">
        <f>IF('Bundle Tag Info'!AC$33&lt;&gt;"",CONCATENATE('Bundle Tag Info'!$A$1," ",CHAR(10),'Bundle Tag Info'!$A$2," ",'Bundle Tag Info'!$A$3,CHAR(10),'Bundle Tag Info'!AC$6,CHAR(10),'Bundle Tag Info'!AC$33),"")</f>
        <v/>
      </c>
      <c r="AC28" s="12" t="str">
        <f>IF('Bundle Tag Info'!AD$33&lt;&gt;"",CONCATENATE('Bundle Tag Info'!$A$1," ",CHAR(10),'Bundle Tag Info'!$A$2," ",'Bundle Tag Info'!$A$3,CHAR(10),'Bundle Tag Info'!AD$6,CHAR(10),'Bundle Tag Info'!AD$33),"")</f>
        <v/>
      </c>
      <c r="AD28" s="12" t="str">
        <f>IF('Bundle Tag Info'!AE$33&lt;&gt;"",CONCATENATE('Bundle Tag Info'!$A$1," ",CHAR(10),'Bundle Tag Info'!$A$2," ",'Bundle Tag Info'!$A$3,CHAR(10),'Bundle Tag Info'!AE$6,CHAR(10),'Bundle Tag Info'!AE$33),"")</f>
        <v/>
      </c>
    </row>
    <row r="29" spans="1:30" ht="12.6" customHeight="1" x14ac:dyDescent="0.25">
      <c r="A29" s="12" t="str">
        <f>IF('Bundle Tag Info'!E$12&lt;&gt;"",CONCATENATE('Bundle Tag Info'!$A$1," ",CHAR(10),'Bundle Tag Info'!$A$2," ",'Bundle Tag Info'!$A$3,CHAR(10),'Bundle Tag Info'!E$6,CHAR(10),'Bundle Tag Info'!E$12),"")</f>
        <v>BP-KEMD  
4L541 B.1
A
UJ</v>
      </c>
      <c r="G29" s="12" t="str">
        <f>IF('Bundle Tag Info'!H$34&lt;&gt;"",CONCATENATE('Bundle Tag Info'!$A$1," ",CHAR(10),'Bundle Tag Info'!$A$2," ",'Bundle Tag Info'!$A$3,CHAR(10),'Bundle Tag Info'!H$6,CHAR(10),'Bundle Tag Info'!H$34),"")</f>
        <v/>
      </c>
      <c r="H29" s="12" t="str">
        <f>IF('Bundle Tag Info'!I$34&lt;&gt;"",CONCATENATE('Bundle Tag Info'!$A$1," ",CHAR(10),'Bundle Tag Info'!$A$2," ",'Bundle Tag Info'!$A$3,CHAR(10),'Bundle Tag Info'!I$6,CHAR(10),'Bundle Tag Info'!I$34),"")</f>
        <v/>
      </c>
      <c r="I29" s="12" t="str">
        <f>IF('Bundle Tag Info'!J$34&lt;&gt;"",CONCATENATE('Bundle Tag Info'!$A$1," ",CHAR(10),'Bundle Tag Info'!$A$2," ",'Bundle Tag Info'!$A$3,CHAR(10),'Bundle Tag Info'!J$6,CHAR(10),'Bundle Tag Info'!J$34),"")</f>
        <v/>
      </c>
      <c r="J29" s="12" t="str">
        <f>IF('Bundle Tag Info'!K$34&lt;&gt;"",CONCATENATE('Bundle Tag Info'!$A$1," ",CHAR(10),'Bundle Tag Info'!$A$2," ",'Bundle Tag Info'!$A$3,CHAR(10),'Bundle Tag Info'!K$6,CHAR(10),'Bundle Tag Info'!K$34),"")</f>
        <v/>
      </c>
      <c r="K29" s="12" t="str">
        <f>IF('Bundle Tag Info'!L$34&lt;&gt;"",CONCATENATE('Bundle Tag Info'!$A$1," ",CHAR(10),'Bundle Tag Info'!$A$2," ",'Bundle Tag Info'!$A$3,CHAR(10),'Bundle Tag Info'!L$6,CHAR(10),'Bundle Tag Info'!L$34),"")</f>
        <v/>
      </c>
      <c r="L29" s="12" t="str">
        <f>IF('Bundle Tag Info'!M$34&lt;&gt;"",CONCATENATE('Bundle Tag Info'!$A$1," ",CHAR(10),'Bundle Tag Info'!$A$2," ",'Bundle Tag Info'!$A$3,CHAR(10),'Bundle Tag Info'!M$6,CHAR(10),'Bundle Tag Info'!M$34),"")</f>
        <v/>
      </c>
      <c r="M29" s="12" t="str">
        <f>IF('Bundle Tag Info'!N$34&lt;&gt;"",CONCATENATE('Bundle Tag Info'!$A$1," ",CHAR(10),'Bundle Tag Info'!$A$2," ",'Bundle Tag Info'!$A$3,CHAR(10),'Bundle Tag Info'!N$6,CHAR(10),'Bundle Tag Info'!N$34),"")</f>
        <v/>
      </c>
      <c r="N29" s="12" t="str">
        <f>IF('Bundle Tag Info'!O$34&lt;&gt;"",CONCATENATE('Bundle Tag Info'!$A$1," ",CHAR(10),'Bundle Tag Info'!$A$2," ",'Bundle Tag Info'!$A$3,CHAR(10),'Bundle Tag Info'!O$6,CHAR(10),'Bundle Tag Info'!O$34),"")</f>
        <v/>
      </c>
      <c r="O29" s="12" t="str">
        <f>IF('Bundle Tag Info'!P$34&lt;&gt;"",CONCATENATE('Bundle Tag Info'!$A$1," ",CHAR(10),'Bundle Tag Info'!$A$2," ",'Bundle Tag Info'!$A$3,CHAR(10),'Bundle Tag Info'!P$6,CHAR(10),'Bundle Tag Info'!P$34),"")</f>
        <v/>
      </c>
      <c r="P29" s="12" t="str">
        <f>IF('Bundle Tag Info'!Q$34&lt;&gt;"",CONCATENATE('Bundle Tag Info'!$A$1," ",CHAR(10),'Bundle Tag Info'!$A$2," ",'Bundle Tag Info'!$A$3,CHAR(10),'Bundle Tag Info'!Q$6,CHAR(10),'Bundle Tag Info'!Q$34),"")</f>
        <v/>
      </c>
      <c r="Q29" s="12" t="str">
        <f>IF('Bundle Tag Info'!R$34&lt;&gt;"",CONCATENATE('Bundle Tag Info'!$A$1," ",CHAR(10),'Bundle Tag Info'!$A$2," ",'Bundle Tag Info'!$A$3,CHAR(10),'Bundle Tag Info'!R$6,CHAR(10),'Bundle Tag Info'!R$34),"")</f>
        <v/>
      </c>
      <c r="R29" s="12" t="str">
        <f>IF('Bundle Tag Info'!S$34&lt;&gt;"",CONCATENATE('Bundle Tag Info'!$A$1," ",CHAR(10),'Bundle Tag Info'!$A$2," ",'Bundle Tag Info'!$A$3,CHAR(10),'Bundle Tag Info'!S$6,CHAR(10),'Bundle Tag Info'!S$34),"")</f>
        <v/>
      </c>
      <c r="S29" s="12" t="str">
        <f>IF('Bundle Tag Info'!T$34&lt;&gt;"",CONCATENATE('Bundle Tag Info'!$A$1," ",CHAR(10),'Bundle Tag Info'!$A$2," ",'Bundle Tag Info'!$A$3,CHAR(10),'Bundle Tag Info'!T$6,CHAR(10),'Bundle Tag Info'!T$34),"")</f>
        <v/>
      </c>
      <c r="T29" s="12" t="str">
        <f>IF('Bundle Tag Info'!U$34&lt;&gt;"",CONCATENATE('Bundle Tag Info'!$A$1," ",CHAR(10),'Bundle Tag Info'!$A$2," ",'Bundle Tag Info'!$A$3,CHAR(10),'Bundle Tag Info'!U$6,CHAR(10),'Bundle Tag Info'!U$34),"")</f>
        <v/>
      </c>
      <c r="U29" s="12" t="str">
        <f>IF('Bundle Tag Info'!V$34&lt;&gt;"",CONCATENATE('Bundle Tag Info'!$A$1," ",CHAR(10),'Bundle Tag Info'!$A$2," ",'Bundle Tag Info'!$A$3,CHAR(10),'Bundle Tag Info'!V$6,CHAR(10),'Bundle Tag Info'!V$34),"")</f>
        <v/>
      </c>
      <c r="V29" s="12" t="str">
        <f>IF('Bundle Tag Info'!W$34&lt;&gt;"",CONCATENATE('Bundle Tag Info'!$A$1," ",CHAR(10),'Bundle Tag Info'!$A$2," ",'Bundle Tag Info'!$A$3,CHAR(10),'Bundle Tag Info'!W$6,CHAR(10),'Bundle Tag Info'!W$34),"")</f>
        <v/>
      </c>
      <c r="W29" s="12" t="str">
        <f>IF('Bundle Tag Info'!X$34&lt;&gt;"",CONCATENATE('Bundle Tag Info'!$A$1," ",CHAR(10),'Bundle Tag Info'!$A$2," ",'Bundle Tag Info'!$A$3,CHAR(10),'Bundle Tag Info'!X$6,CHAR(10),'Bundle Tag Info'!X$34),"")</f>
        <v/>
      </c>
      <c r="X29" s="12" t="str">
        <f>IF('Bundle Tag Info'!Y$34&lt;&gt;"",CONCATENATE('Bundle Tag Info'!$A$1," ",CHAR(10),'Bundle Tag Info'!$A$2," ",'Bundle Tag Info'!$A$3,CHAR(10),'Bundle Tag Info'!Y$6,CHAR(10),'Bundle Tag Info'!Y$34),"")</f>
        <v/>
      </c>
      <c r="Y29" s="12" t="str">
        <f>IF('Bundle Tag Info'!Z$34&lt;&gt;"",CONCATENATE('Bundle Tag Info'!$A$1," ",CHAR(10),'Bundle Tag Info'!$A$2," ",'Bundle Tag Info'!$A$3,CHAR(10),'Bundle Tag Info'!Z$6,CHAR(10),'Bundle Tag Info'!Z$34),"")</f>
        <v/>
      </c>
      <c r="Z29" s="12" t="str">
        <f>IF('Bundle Tag Info'!AA$34&lt;&gt;"",CONCATENATE('Bundle Tag Info'!$A$1," ",CHAR(10),'Bundle Tag Info'!$A$2," ",'Bundle Tag Info'!$A$3,CHAR(10),'Bundle Tag Info'!AA$6,CHAR(10),'Bundle Tag Info'!AA$34),"")</f>
        <v/>
      </c>
      <c r="AA29" s="12" t="str">
        <f>IF('Bundle Tag Info'!AB$34&lt;&gt;"",CONCATENATE('Bundle Tag Info'!$A$1," ",CHAR(10),'Bundle Tag Info'!$A$2," ",'Bundle Tag Info'!$A$3,CHAR(10),'Bundle Tag Info'!AB$6,CHAR(10),'Bundle Tag Info'!AB$34),"")</f>
        <v/>
      </c>
      <c r="AB29" s="12" t="str">
        <f>IF('Bundle Tag Info'!AC$34&lt;&gt;"",CONCATENATE('Bundle Tag Info'!$A$1," ",CHAR(10),'Bundle Tag Info'!$A$2," ",'Bundle Tag Info'!$A$3,CHAR(10),'Bundle Tag Info'!AC$6,CHAR(10),'Bundle Tag Info'!AC$34),"")</f>
        <v/>
      </c>
      <c r="AC29" s="12" t="str">
        <f>IF('Bundle Tag Info'!AD$34&lt;&gt;"",CONCATENATE('Bundle Tag Info'!$A$1," ",CHAR(10),'Bundle Tag Info'!$A$2," ",'Bundle Tag Info'!$A$3,CHAR(10),'Bundle Tag Info'!AD$6,CHAR(10),'Bundle Tag Info'!AD$34),"")</f>
        <v/>
      </c>
      <c r="AD29" s="12" t="str">
        <f>IF('Bundle Tag Info'!AE$34&lt;&gt;"",CONCATENATE('Bundle Tag Info'!$A$1," ",CHAR(10),'Bundle Tag Info'!$A$2," ",'Bundle Tag Info'!$A$3,CHAR(10),'Bundle Tag Info'!AE$6,CHAR(10),'Bundle Tag Info'!AE$34),"")</f>
        <v/>
      </c>
    </row>
    <row r="30" spans="1:30" ht="12.6" customHeight="1" x14ac:dyDescent="0.25">
      <c r="A30" s="12" t="str">
        <f>IF('Bundle Tag Info'!E$13&lt;&gt;"",CONCATENATE('Bundle Tag Info'!$A$1," ",CHAR(10),'Bundle Tag Info'!$A$2," ",'Bundle Tag Info'!$A$3,CHAR(10),'Bundle Tag Info'!E$6,CHAR(10),'Bundle Tag Info'!E$13),"")</f>
        <v>BP-KEMD  
4L541 B.1
A
XT</v>
      </c>
      <c r="G30" s="12" t="str">
        <f>IF('Bundle Tag Info'!H$35&lt;&gt;"",CONCATENATE('Bundle Tag Info'!$A$1," ",CHAR(10),'Bundle Tag Info'!$A$2," ",'Bundle Tag Info'!$A$3,CHAR(10),'Bundle Tag Info'!H$6,CHAR(10),'Bundle Tag Info'!H$35),"")</f>
        <v/>
      </c>
      <c r="H30" s="12" t="str">
        <f>IF('Bundle Tag Info'!I$35&lt;&gt;"",CONCATENATE('Bundle Tag Info'!$A$1," ",CHAR(10),'Bundle Tag Info'!$A$2," ",'Bundle Tag Info'!$A$3,CHAR(10),'Bundle Tag Info'!I$6,CHAR(10),'Bundle Tag Info'!I$35),"")</f>
        <v/>
      </c>
      <c r="I30" s="12" t="str">
        <f>IF('Bundle Tag Info'!J$35&lt;&gt;"",CONCATENATE('Bundle Tag Info'!$A$1," ",CHAR(10),'Bundle Tag Info'!$A$2," ",'Bundle Tag Info'!$A$3,CHAR(10),'Bundle Tag Info'!J$6,CHAR(10),'Bundle Tag Info'!J$35),"")</f>
        <v/>
      </c>
      <c r="J30" s="12" t="str">
        <f>IF('Bundle Tag Info'!K$35&lt;&gt;"",CONCATENATE('Bundle Tag Info'!$A$1," ",CHAR(10),'Bundle Tag Info'!$A$2," ",'Bundle Tag Info'!$A$3,CHAR(10),'Bundle Tag Info'!K$6,CHAR(10),'Bundle Tag Info'!K$35),"")</f>
        <v/>
      </c>
      <c r="K30" s="12" t="str">
        <f>IF('Bundle Tag Info'!L$35&lt;&gt;"",CONCATENATE('Bundle Tag Info'!$A$1," ",CHAR(10),'Bundle Tag Info'!$A$2," ",'Bundle Tag Info'!$A$3,CHAR(10),'Bundle Tag Info'!L$6,CHAR(10),'Bundle Tag Info'!L$35),"")</f>
        <v/>
      </c>
      <c r="L30" s="12" t="str">
        <f>IF('Bundle Tag Info'!M$35&lt;&gt;"",CONCATENATE('Bundle Tag Info'!$A$1," ",CHAR(10),'Bundle Tag Info'!$A$2," ",'Bundle Tag Info'!$A$3,CHAR(10),'Bundle Tag Info'!M$6,CHAR(10),'Bundle Tag Info'!M$35),"")</f>
        <v/>
      </c>
      <c r="M30" s="12" t="str">
        <f>IF('Bundle Tag Info'!N$35&lt;&gt;"",CONCATENATE('Bundle Tag Info'!$A$1," ",CHAR(10),'Bundle Tag Info'!$A$2," ",'Bundle Tag Info'!$A$3,CHAR(10),'Bundle Tag Info'!N$6,CHAR(10),'Bundle Tag Info'!N$35),"")</f>
        <v/>
      </c>
      <c r="N30" s="12" t="str">
        <f>IF('Bundle Tag Info'!O$35&lt;&gt;"",CONCATENATE('Bundle Tag Info'!$A$1," ",CHAR(10),'Bundle Tag Info'!$A$2," ",'Bundle Tag Info'!$A$3,CHAR(10),'Bundle Tag Info'!O$6,CHAR(10),'Bundle Tag Info'!O$35),"")</f>
        <v/>
      </c>
      <c r="O30" s="12" t="str">
        <f>IF('Bundle Tag Info'!P$35&lt;&gt;"",CONCATENATE('Bundle Tag Info'!$A$1," ",CHAR(10),'Bundle Tag Info'!$A$2," ",'Bundle Tag Info'!$A$3,CHAR(10),'Bundle Tag Info'!P$6,CHAR(10),'Bundle Tag Info'!P$35),"")</f>
        <v/>
      </c>
      <c r="P30" s="12" t="str">
        <f>IF('Bundle Tag Info'!Q$35&lt;&gt;"",CONCATENATE('Bundle Tag Info'!$A$1," ",CHAR(10),'Bundle Tag Info'!$A$2," ",'Bundle Tag Info'!$A$3,CHAR(10),'Bundle Tag Info'!Q$6,CHAR(10),'Bundle Tag Info'!Q$35),"")</f>
        <v/>
      </c>
      <c r="Q30" s="12" t="str">
        <f>IF('Bundle Tag Info'!R$35&lt;&gt;"",CONCATENATE('Bundle Tag Info'!$A$1," ",CHAR(10),'Bundle Tag Info'!$A$2," ",'Bundle Tag Info'!$A$3,CHAR(10),'Bundle Tag Info'!R$6,CHAR(10),'Bundle Tag Info'!R$35),"")</f>
        <v/>
      </c>
      <c r="R30" s="12" t="str">
        <f>IF('Bundle Tag Info'!S$35&lt;&gt;"",CONCATENATE('Bundle Tag Info'!$A$1," ",CHAR(10),'Bundle Tag Info'!$A$2," ",'Bundle Tag Info'!$A$3,CHAR(10),'Bundle Tag Info'!S$6,CHAR(10),'Bundle Tag Info'!S$35),"")</f>
        <v/>
      </c>
      <c r="S30" s="12" t="str">
        <f>IF('Bundle Tag Info'!T$35&lt;&gt;"",CONCATENATE('Bundle Tag Info'!$A$1," ",CHAR(10),'Bundle Tag Info'!$A$2," ",'Bundle Tag Info'!$A$3,CHAR(10),'Bundle Tag Info'!T$6,CHAR(10),'Bundle Tag Info'!T$35),"")</f>
        <v/>
      </c>
      <c r="T30" s="12" t="str">
        <f>IF('Bundle Tag Info'!U$35&lt;&gt;"",CONCATENATE('Bundle Tag Info'!$A$1," ",CHAR(10),'Bundle Tag Info'!$A$2," ",'Bundle Tag Info'!$A$3,CHAR(10),'Bundle Tag Info'!U$6,CHAR(10),'Bundle Tag Info'!U$35),"")</f>
        <v/>
      </c>
      <c r="U30" s="12" t="str">
        <f>IF('Bundle Tag Info'!V$35&lt;&gt;"",CONCATENATE('Bundle Tag Info'!$A$1," ",CHAR(10),'Bundle Tag Info'!$A$2," ",'Bundle Tag Info'!$A$3,CHAR(10),'Bundle Tag Info'!V$6,CHAR(10),'Bundle Tag Info'!V$35),"")</f>
        <v/>
      </c>
      <c r="V30" s="12" t="str">
        <f>IF('Bundle Tag Info'!W$35&lt;&gt;"",CONCATENATE('Bundle Tag Info'!$A$1," ",CHAR(10),'Bundle Tag Info'!$A$2," ",'Bundle Tag Info'!$A$3,CHAR(10),'Bundle Tag Info'!W$6,CHAR(10),'Bundle Tag Info'!W$35),"")</f>
        <v/>
      </c>
      <c r="W30" s="12" t="str">
        <f>IF('Bundle Tag Info'!X$35&lt;&gt;"",CONCATENATE('Bundle Tag Info'!$A$1," ",CHAR(10),'Bundle Tag Info'!$A$2," ",'Bundle Tag Info'!$A$3,CHAR(10),'Bundle Tag Info'!X$6,CHAR(10),'Bundle Tag Info'!X$35),"")</f>
        <v/>
      </c>
      <c r="X30" s="12" t="str">
        <f>IF('Bundle Tag Info'!Y$35&lt;&gt;"",CONCATENATE('Bundle Tag Info'!$A$1," ",CHAR(10),'Bundle Tag Info'!$A$2," ",'Bundle Tag Info'!$A$3,CHAR(10),'Bundle Tag Info'!Y$6,CHAR(10),'Bundle Tag Info'!Y$35),"")</f>
        <v/>
      </c>
      <c r="Y30" s="12" t="str">
        <f>IF('Bundle Tag Info'!Z$35&lt;&gt;"",CONCATENATE('Bundle Tag Info'!$A$1," ",CHAR(10),'Bundle Tag Info'!$A$2," ",'Bundle Tag Info'!$A$3,CHAR(10),'Bundle Tag Info'!Z$6,CHAR(10),'Bundle Tag Info'!Z$35),"")</f>
        <v/>
      </c>
      <c r="Z30" s="12" t="str">
        <f>IF('Bundle Tag Info'!AA$35&lt;&gt;"",CONCATENATE('Bundle Tag Info'!$A$1," ",CHAR(10),'Bundle Tag Info'!$A$2," ",'Bundle Tag Info'!$A$3,CHAR(10),'Bundle Tag Info'!AA$6,CHAR(10),'Bundle Tag Info'!AA$35),"")</f>
        <v/>
      </c>
      <c r="AA30" s="12" t="str">
        <f>IF('Bundle Tag Info'!AB$35&lt;&gt;"",CONCATENATE('Bundle Tag Info'!$A$1," ",CHAR(10),'Bundle Tag Info'!$A$2," ",'Bundle Tag Info'!$A$3,CHAR(10),'Bundle Tag Info'!AB$6,CHAR(10),'Bundle Tag Info'!AB$35),"")</f>
        <v/>
      </c>
      <c r="AB30" s="12" t="str">
        <f>IF('Bundle Tag Info'!AC$35&lt;&gt;"",CONCATENATE('Bundle Tag Info'!$A$1," ",CHAR(10),'Bundle Tag Info'!$A$2," ",'Bundle Tag Info'!$A$3,CHAR(10),'Bundle Tag Info'!AC$6,CHAR(10),'Bundle Tag Info'!AC$35),"")</f>
        <v/>
      </c>
      <c r="AC30" s="12" t="str">
        <f>IF('Bundle Tag Info'!AD$35&lt;&gt;"",CONCATENATE('Bundle Tag Info'!$A$1," ",CHAR(10),'Bundle Tag Info'!$A$2," ",'Bundle Tag Info'!$A$3,CHAR(10),'Bundle Tag Info'!AD$6,CHAR(10),'Bundle Tag Info'!AD$35),"")</f>
        <v/>
      </c>
      <c r="AD30" s="12" t="str">
        <f>IF('Bundle Tag Info'!AE$35&lt;&gt;"",CONCATENATE('Bundle Tag Info'!$A$1," ",CHAR(10),'Bundle Tag Info'!$A$2," ",'Bundle Tag Info'!$A$3,CHAR(10),'Bundle Tag Info'!AE$6,CHAR(10),'Bundle Tag Info'!AE$35),"")</f>
        <v/>
      </c>
    </row>
    <row r="31" spans="1:30" ht="12.6" customHeight="1" x14ac:dyDescent="0.25">
      <c r="A31" s="12" t="str">
        <f>IF('Bundle Tag Info'!E$14&lt;&gt;"",CONCATENATE('Bundle Tag Info'!$A$1," ",CHAR(10),'Bundle Tag Info'!$A$2," ",'Bundle Tag Info'!$A$3,CHAR(10),'Bundle Tag Info'!E$6,CHAR(10),'Bundle Tag Info'!E$14),"")</f>
        <v>BP-KEMD  
4L541 B.1
A
AF080s-B</v>
      </c>
      <c r="G31" s="12" t="str">
        <f>IF('Bundle Tag Info'!H$36&lt;&gt;"",CONCATENATE('Bundle Tag Info'!$A$1," ",CHAR(10),'Bundle Tag Info'!$A$2," ",'Bundle Tag Info'!$A$3,CHAR(10),'Bundle Tag Info'!H$6,CHAR(10),'Bundle Tag Info'!H$36),"")</f>
        <v/>
      </c>
      <c r="H31" s="12" t="str">
        <f>IF('Bundle Tag Info'!I$36&lt;&gt;"",CONCATENATE('Bundle Tag Info'!$A$1," ",CHAR(10),'Bundle Tag Info'!$A$2," ",'Bundle Tag Info'!$A$3,CHAR(10),'Bundle Tag Info'!I$6,CHAR(10),'Bundle Tag Info'!I$36),"")</f>
        <v/>
      </c>
      <c r="I31" s="12" t="str">
        <f>IF('Bundle Tag Info'!J$36&lt;&gt;"",CONCATENATE('Bundle Tag Info'!$A$1," ",CHAR(10),'Bundle Tag Info'!$A$2," ",'Bundle Tag Info'!$A$3,CHAR(10),'Bundle Tag Info'!J$6,CHAR(10),'Bundle Tag Info'!J$36),"")</f>
        <v/>
      </c>
      <c r="J31" s="12" t="str">
        <f>IF('Bundle Tag Info'!K$36&lt;&gt;"",CONCATENATE('Bundle Tag Info'!$A$1," ",CHAR(10),'Bundle Tag Info'!$A$2," ",'Bundle Tag Info'!$A$3,CHAR(10),'Bundle Tag Info'!K$6,CHAR(10),'Bundle Tag Info'!K$36),"")</f>
        <v/>
      </c>
      <c r="K31" s="12" t="str">
        <f>IF('Bundle Tag Info'!L$36&lt;&gt;"",CONCATENATE('Bundle Tag Info'!$A$1," ",CHAR(10),'Bundle Tag Info'!$A$2," ",'Bundle Tag Info'!$A$3,CHAR(10),'Bundle Tag Info'!L$6,CHAR(10),'Bundle Tag Info'!L$36),"")</f>
        <v/>
      </c>
      <c r="L31" s="12" t="str">
        <f>IF('Bundle Tag Info'!M$36&lt;&gt;"",CONCATENATE('Bundle Tag Info'!$A$1," ",CHAR(10),'Bundle Tag Info'!$A$2," ",'Bundle Tag Info'!$A$3,CHAR(10),'Bundle Tag Info'!M$6,CHAR(10),'Bundle Tag Info'!M$36),"")</f>
        <v/>
      </c>
      <c r="M31" s="12" t="str">
        <f>IF('Bundle Tag Info'!N$36&lt;&gt;"",CONCATENATE('Bundle Tag Info'!$A$1," ",CHAR(10),'Bundle Tag Info'!$A$2," ",'Bundle Tag Info'!$A$3,CHAR(10),'Bundle Tag Info'!N$6,CHAR(10),'Bundle Tag Info'!N$36),"")</f>
        <v/>
      </c>
      <c r="N31" s="12" t="str">
        <f>IF('Bundle Tag Info'!O$36&lt;&gt;"",CONCATENATE('Bundle Tag Info'!$A$1," ",CHAR(10),'Bundle Tag Info'!$A$2," ",'Bundle Tag Info'!$A$3,CHAR(10),'Bundle Tag Info'!O$6,CHAR(10),'Bundle Tag Info'!O$36),"")</f>
        <v/>
      </c>
      <c r="O31" s="12" t="str">
        <f>IF('Bundle Tag Info'!P$36&lt;&gt;"",CONCATENATE('Bundle Tag Info'!$A$1," ",CHAR(10),'Bundle Tag Info'!$A$2," ",'Bundle Tag Info'!$A$3,CHAR(10),'Bundle Tag Info'!P$6,CHAR(10),'Bundle Tag Info'!P$36),"")</f>
        <v/>
      </c>
      <c r="P31" s="12" t="str">
        <f>IF('Bundle Tag Info'!Q$36&lt;&gt;"",CONCATENATE('Bundle Tag Info'!$A$1," ",CHAR(10),'Bundle Tag Info'!$A$2," ",'Bundle Tag Info'!$A$3,CHAR(10),'Bundle Tag Info'!Q$6,CHAR(10),'Bundle Tag Info'!Q$36),"")</f>
        <v/>
      </c>
      <c r="Q31" s="12" t="str">
        <f>IF('Bundle Tag Info'!R$36&lt;&gt;"",CONCATENATE('Bundle Tag Info'!$A$1," ",CHAR(10),'Bundle Tag Info'!$A$2," ",'Bundle Tag Info'!$A$3,CHAR(10),'Bundle Tag Info'!R$6,CHAR(10),'Bundle Tag Info'!R$36),"")</f>
        <v/>
      </c>
      <c r="R31" s="12" t="str">
        <f>IF('Bundle Tag Info'!S$36&lt;&gt;"",CONCATENATE('Bundle Tag Info'!$A$1," ",CHAR(10),'Bundle Tag Info'!$A$2," ",'Bundle Tag Info'!$A$3,CHAR(10),'Bundle Tag Info'!S$6,CHAR(10),'Bundle Tag Info'!S$36),"")</f>
        <v/>
      </c>
      <c r="S31" s="12" t="str">
        <f>IF('Bundle Tag Info'!T$36&lt;&gt;"",CONCATENATE('Bundle Tag Info'!$A$1," ",CHAR(10),'Bundle Tag Info'!$A$2," ",'Bundle Tag Info'!$A$3,CHAR(10),'Bundle Tag Info'!T$6,CHAR(10),'Bundle Tag Info'!T$36),"")</f>
        <v/>
      </c>
      <c r="T31" s="12" t="str">
        <f>IF('Bundle Tag Info'!U$36&lt;&gt;"",CONCATENATE('Bundle Tag Info'!$A$1," ",CHAR(10),'Bundle Tag Info'!$A$2," ",'Bundle Tag Info'!$A$3,CHAR(10),'Bundle Tag Info'!U$6,CHAR(10),'Bundle Tag Info'!U$36),"")</f>
        <v/>
      </c>
      <c r="U31" s="12" t="str">
        <f>IF('Bundle Tag Info'!V$36&lt;&gt;"",CONCATENATE('Bundle Tag Info'!$A$1," ",CHAR(10),'Bundle Tag Info'!$A$2," ",'Bundle Tag Info'!$A$3,CHAR(10),'Bundle Tag Info'!V$6,CHAR(10),'Bundle Tag Info'!V$36),"")</f>
        <v/>
      </c>
      <c r="V31" s="12" t="str">
        <f>IF('Bundle Tag Info'!W$36&lt;&gt;"",CONCATENATE('Bundle Tag Info'!$A$1," ",CHAR(10),'Bundle Tag Info'!$A$2," ",'Bundle Tag Info'!$A$3,CHAR(10),'Bundle Tag Info'!W$6,CHAR(10),'Bundle Tag Info'!W$36),"")</f>
        <v/>
      </c>
      <c r="W31" s="12" t="str">
        <f>IF('Bundle Tag Info'!X$36&lt;&gt;"",CONCATENATE('Bundle Tag Info'!$A$1," ",CHAR(10),'Bundle Tag Info'!$A$2," ",'Bundle Tag Info'!$A$3,CHAR(10),'Bundle Tag Info'!X$6,CHAR(10),'Bundle Tag Info'!X$36),"")</f>
        <v/>
      </c>
      <c r="X31" s="12" t="str">
        <f>IF('Bundle Tag Info'!Y$36&lt;&gt;"",CONCATENATE('Bundle Tag Info'!$A$1," ",CHAR(10),'Bundle Tag Info'!$A$2," ",'Bundle Tag Info'!$A$3,CHAR(10),'Bundle Tag Info'!Y$6,CHAR(10),'Bundle Tag Info'!Y$36),"")</f>
        <v/>
      </c>
      <c r="Y31" s="12" t="str">
        <f>IF('Bundle Tag Info'!Z$36&lt;&gt;"",CONCATENATE('Bundle Tag Info'!$A$1," ",CHAR(10),'Bundle Tag Info'!$A$2," ",'Bundle Tag Info'!$A$3,CHAR(10),'Bundle Tag Info'!Z$6,CHAR(10),'Bundle Tag Info'!Z$36),"")</f>
        <v/>
      </c>
      <c r="Z31" s="12" t="str">
        <f>IF('Bundle Tag Info'!AA$36&lt;&gt;"",CONCATENATE('Bundle Tag Info'!$A$1," ",CHAR(10),'Bundle Tag Info'!$A$2," ",'Bundle Tag Info'!$A$3,CHAR(10),'Bundle Tag Info'!AA$6,CHAR(10),'Bundle Tag Info'!AA$36),"")</f>
        <v/>
      </c>
      <c r="AA31" s="12" t="str">
        <f>IF('Bundle Tag Info'!AB$36&lt;&gt;"",CONCATENATE('Bundle Tag Info'!$A$1," ",CHAR(10),'Bundle Tag Info'!$A$2," ",'Bundle Tag Info'!$A$3,CHAR(10),'Bundle Tag Info'!AB$6,CHAR(10),'Bundle Tag Info'!AB$36),"")</f>
        <v/>
      </c>
      <c r="AB31" s="12" t="str">
        <f>IF('Bundle Tag Info'!AC$36&lt;&gt;"",CONCATENATE('Bundle Tag Info'!$A$1," ",CHAR(10),'Bundle Tag Info'!$A$2," ",'Bundle Tag Info'!$A$3,CHAR(10),'Bundle Tag Info'!AC$6,CHAR(10),'Bundle Tag Info'!AC$36),"")</f>
        <v/>
      </c>
      <c r="AC31" s="12" t="str">
        <f>IF('Bundle Tag Info'!AD$36&lt;&gt;"",CONCATENATE('Bundle Tag Info'!$A$1," ",CHAR(10),'Bundle Tag Info'!$A$2," ",'Bundle Tag Info'!$A$3,CHAR(10),'Bundle Tag Info'!AD$6,CHAR(10),'Bundle Tag Info'!AD$36),"")</f>
        <v/>
      </c>
      <c r="AD31" s="12" t="str">
        <f>IF('Bundle Tag Info'!AE$36&lt;&gt;"",CONCATENATE('Bundle Tag Info'!$A$1," ",CHAR(10),'Bundle Tag Info'!$A$2," ",'Bundle Tag Info'!$A$3,CHAR(10),'Bundle Tag Info'!AE$6,CHAR(10),'Bundle Tag Info'!AE$36),"")</f>
        <v/>
      </c>
    </row>
    <row r="32" spans="1:30" ht="12.6" customHeight="1" x14ac:dyDescent="0.25">
      <c r="A32" s="12" t="str">
        <f>IF('Bundle Tag Info'!E$15&lt;&gt;"",CONCATENATE('Bundle Tag Info'!$A$1," ",CHAR(10),'Bundle Tag Info'!$A$2," ",'Bundle Tag Info'!$A$3,CHAR(10),'Bundle Tag Info'!E$6,CHAR(10),'Bundle Tag Info'!E$15),"")</f>
        <v>BP-KEMD  
4L541 B.1
A
AF090s-B</v>
      </c>
    </row>
    <row r="33" spans="1:1" ht="12.6" customHeight="1" x14ac:dyDescent="0.25">
      <c r="A33" s="12" t="str">
        <f>IF('Bundle Tag Info'!E$16&lt;&gt;"",CONCATENATE('Bundle Tag Info'!$A$1," ",CHAR(10),'Bundle Tag Info'!$A$2," ",'Bundle Tag Info'!$A$3,CHAR(10),'Bundle Tag Info'!E$6,CHAR(10),'Bundle Tag Info'!E$16),"")</f>
        <v>BP-KEMD  
4L541 B.1
A
AP-B</v>
      </c>
    </row>
    <row r="34" spans="1:1" ht="12.6" customHeight="1" x14ac:dyDescent="0.25">
      <c r="A34" s="12" t="str">
        <f>IF('Bundle Tag Info'!E$17&lt;&gt;"",CONCATENATE('Bundle Tag Info'!$A$1," ",CHAR(10),'Bundle Tag Info'!$A$2," ",'Bundle Tag Info'!$A$3,CHAR(10),'Bundle Tag Info'!E$6,CHAR(10),'Bundle Tag Info'!E$17),"")</f>
        <v>BP-KEMD  
4L541 B.1
A
FU-B</v>
      </c>
    </row>
    <row r="35" spans="1:1" ht="12.6" customHeight="1" x14ac:dyDescent="0.25">
      <c r="A35" s="12" t="str">
        <f>IF('Bundle Tag Info'!E$18&lt;&gt;"",CONCATENATE('Bundle Tag Info'!$A$1," ",CHAR(10),'Bundle Tag Info'!$A$2," ",'Bundle Tag Info'!$A$3,CHAR(10),'Bundle Tag Info'!E$6,CHAR(10),'Bundle Tag Info'!E$18),"")</f>
        <v>BP-KEMD  
4L541 B.1
A
KA-B</v>
      </c>
    </row>
    <row r="36" spans="1:1" ht="12.6" customHeight="1" x14ac:dyDescent="0.25">
      <c r="A36" s="12" t="str">
        <f>IF('Bundle Tag Info'!E$19&lt;&gt;"",CONCATENATE('Bundle Tag Info'!$A$1," ",CHAR(10),'Bundle Tag Info'!$A$2," ",'Bundle Tag Info'!$A$3,CHAR(10),'Bundle Tag Info'!E$6,CHAR(10),'Bundle Tag Info'!E$19),"")</f>
        <v>BP-KEMD  
4L541 B.1
A
XT-B</v>
      </c>
    </row>
    <row r="37" spans="1:1" ht="12.6" customHeight="1" x14ac:dyDescent="0.25">
      <c r="A37" s="12" t="str">
        <f>IF('Bundle Tag Info'!F$7&lt;&gt;"",CONCATENATE('Bundle Tag Info'!$A$1," ",CHAR(10),'Bundle Tag Info'!$A$2," ",'Bundle Tag Info'!$A$3,CHAR(10),'Bundle Tag Info'!F$6,CHAR(10),'Bundle Tag Info'!F$7),"")</f>
        <v>BP-KEMD  
4L541 B.1
B
AF/AU</v>
      </c>
    </row>
    <row r="38" spans="1:1" ht="12.6" customHeight="1" x14ac:dyDescent="0.25">
      <c r="A38" s="12" t="str">
        <f>IF('Bundle Tag Info'!F$8&lt;&gt;"",CONCATENATE('Bundle Tag Info'!$A$1," ",CHAR(10),'Bundle Tag Info'!$A$2," ",'Bundle Tag Info'!$A$3,CHAR(10),'Bundle Tag Info'!F$6,CHAR(10),'Bundle Tag Info'!F$8),"")</f>
        <v>BP-KEMD  
4L541 B.1
B
AP</v>
      </c>
    </row>
    <row r="39" spans="1:1" ht="12.6" customHeight="1" x14ac:dyDescent="0.25">
      <c r="A39" s="12" t="str">
        <f>IF('Bundle Tag Info'!F$9&lt;&gt;"",CONCATENATE('Bundle Tag Info'!$A$1," ",CHAR(10),'Bundle Tag Info'!$A$2," ",'Bundle Tag Info'!$A$3,CHAR(10),'Bundle Tag Info'!F$6,CHAR(10),'Bundle Tag Info'!F$9),"")</f>
        <v>BP-KEMD  
4L541 B.1
B
FU</v>
      </c>
    </row>
    <row r="40" spans="1:1" ht="12.6" customHeight="1" x14ac:dyDescent="0.25">
      <c r="A40" s="12" t="str">
        <f>IF('Bundle Tag Info'!F$10&lt;&gt;"",CONCATENATE('Bundle Tag Info'!$A$1," ",CHAR(10),'Bundle Tag Info'!$A$2," ",'Bundle Tag Info'!$A$3,CHAR(10),'Bundle Tag Info'!F$6,CHAR(10),'Bundle Tag Info'!F$10),"")</f>
        <v>BP-KEMD  
4L541 B.1
B
KA A1</v>
      </c>
    </row>
    <row r="41" spans="1:1" ht="12.6" customHeight="1" x14ac:dyDescent="0.25">
      <c r="A41" s="12" t="str">
        <f>IF('Bundle Tag Info'!F$11&lt;&gt;"",CONCATENATE('Bundle Tag Info'!$A$1," ",CHAR(10),'Bundle Tag Info'!$A$2," ",'Bundle Tag Info'!$A$3,CHAR(10),'Bundle Tag Info'!F$6,CHAR(10),'Bundle Tag Info'!F$11),"")</f>
        <v>BP-KEMD  
4L541 B.1
B
KA A2</v>
      </c>
    </row>
    <row r="42" spans="1:1" ht="12.6" customHeight="1" x14ac:dyDescent="0.25">
      <c r="A42" s="12" t="str">
        <f>IF('Bundle Tag Info'!F$12&lt;&gt;"",CONCATENATE('Bundle Tag Info'!$A$1," ",CHAR(10),'Bundle Tag Info'!$A$2," ",'Bundle Tag Info'!$A$3,CHAR(10),'Bundle Tag Info'!F$6,CHAR(10),'Bundle Tag Info'!F$12),"")</f>
        <v>BP-KEMD  
4L541 B.1
B
KA</v>
      </c>
    </row>
    <row r="43" spans="1:1" ht="12.6" customHeight="1" x14ac:dyDescent="0.25">
      <c r="A43" s="12" t="str">
        <f>IF('Bundle Tag Info'!F$13&lt;&gt;"",CONCATENATE('Bundle Tag Info'!$A$1," ",CHAR(10),'Bundle Tag Info'!$A$2," ",'Bundle Tag Info'!$A$3,CHAR(10),'Bundle Tag Info'!F$6,CHAR(10),'Bundle Tag Info'!F$13),"")</f>
        <v>BP-KEMD  
4L541 B.1
B
KT L/S</v>
      </c>
    </row>
    <row r="44" spans="1:1" ht="12.6" customHeight="1" x14ac:dyDescent="0.25">
      <c r="A44" s="12" t="str">
        <f>IF('Bundle Tag Info'!F$14&lt;&gt;"",CONCATENATE('Bundle Tag Info'!$A$1," ",CHAR(10),'Bundle Tag Info'!$A$2," ",'Bundle Tag Info'!$A$3,CHAR(10),'Bundle Tag Info'!F$6,CHAR(10),'Bundle Tag Info'!F$14),"")</f>
        <v>BP-KEMD  
4L541 B.1
B
KT R/S</v>
      </c>
    </row>
    <row r="45" spans="1:1" ht="12.6" customHeight="1" x14ac:dyDescent="0.25">
      <c r="A45" s="12" t="str">
        <f>IF('Bundle Tag Info'!F$15&lt;&gt;"",CONCATENATE('Bundle Tag Info'!$A$1," ",CHAR(10),'Bundle Tag Info'!$A$2," ",'Bundle Tag Info'!$A$3,CHAR(10),'Bundle Tag Info'!F$6,CHAR(10),'Bundle Tag Info'!F$15),"")</f>
        <v>BP-KEMD  
4L541 B.1
B
XT</v>
      </c>
    </row>
    <row r="46" spans="1:1" ht="12.6" customHeight="1" x14ac:dyDescent="0.25">
      <c r="A46" s="12" t="str">
        <f>IF('Bundle Tag Info'!H$7&lt;&gt;"",CONCATENATE('Bundle Tag Info'!$A$1," ",CHAR(10),'Bundle Tag Info'!$A$2," ",'Bundle Tag Info'!$A$3,CHAR(10),'Bundle Tag Info'!H$6,CHAR(10),'Bundle Tag Info'!H$7),"")</f>
        <v>BP-KEMD  
4L541 B.1
JB73
AF</v>
      </c>
    </row>
    <row r="47" spans="1:1" ht="12.6" customHeight="1" x14ac:dyDescent="0.25">
      <c r="A47" s="12" t="str">
        <f>IF('Bundle Tag Info'!H$8&lt;&gt;"",CONCATENATE('Bundle Tag Info'!$A$1," ",CHAR(10),'Bundle Tag Info'!$A$2," ",'Bundle Tag Info'!$A$3,CHAR(10),'Bundle Tag Info'!H$6,CHAR(10),'Bundle Tag Info'!H$8),"")</f>
        <v>BP-KEMD  
4L541 B.1
JB73
AP</v>
      </c>
    </row>
    <row r="48" spans="1:1" ht="12.6" customHeight="1" x14ac:dyDescent="0.25">
      <c r="A48" s="12" t="str">
        <f>IF('Bundle Tag Info'!H$9&lt;&gt;"",CONCATENATE('Bundle Tag Info'!$A$1," ",CHAR(10),'Bundle Tag Info'!$A$2," ",'Bundle Tag Info'!$A$3,CHAR(10),'Bundle Tag Info'!H$6,CHAR(10),'Bundle Tag Info'!H$9),"")</f>
        <v>BP-KEMD  
4L541 B.1
JB73
FU</v>
      </c>
    </row>
    <row r="49" spans="1:1" ht="12.6" customHeight="1" x14ac:dyDescent="0.25">
      <c r="A49" s="12" t="str">
        <f>IF('Bundle Tag Info'!H$10&lt;&gt;"",CONCATENATE('Bundle Tag Info'!$A$1," ",CHAR(10),'Bundle Tag Info'!$A$2," ",'Bundle Tag Info'!$A$3,CHAR(10),'Bundle Tag Info'!H$6,CHAR(10),'Bundle Tag Info'!H$10),"")</f>
        <v>BP-KEMD  
4L541 B.1
JB73
XT</v>
      </c>
    </row>
    <row r="50" spans="1:1" ht="12.6" customHeight="1" x14ac:dyDescent="0.25">
      <c r="A50" s="12" t="str">
        <f>IF('Bundle Tag Info'!I$7&lt;&gt;"",CONCATENATE('Bundle Tag Info'!$A$1," ",CHAR(10),'Bundle Tag Info'!$A$2," ",'Bundle Tag Info'!$A$3,CHAR(10),'Bundle Tag Info'!I$6,CHAR(10),'Bundle Tag Info'!I$7),"")</f>
        <v>BP-KEMD  
4L541 B.1
BOP
AF140s</v>
      </c>
    </row>
    <row r="51" spans="1:1" ht="12.6" customHeight="1" x14ac:dyDescent="0.25">
      <c r="A51" s="12" t="str">
        <f>IF('Bundle Tag Info'!I$8&lt;&gt;"",CONCATENATE('Bundle Tag Info'!$A$1," ",CHAR(10),'Bundle Tag Info'!$A$2," ",'Bundle Tag Info'!$A$3,CHAR(10),'Bundle Tag Info'!I$6,CHAR(10),'Bundle Tag Info'!I$8),"")</f>
        <v>BP-KEMD  
4L541 B.1
BOP
AF180s</v>
      </c>
    </row>
    <row r="52" spans="1:1" ht="12.6" customHeight="1" x14ac:dyDescent="0.25">
      <c r="A52" s="12" t="str">
        <f>IF('Bundle Tag Info'!I$9&lt;&gt;"",CONCATENATE('Bundle Tag Info'!$A$1," ",CHAR(10),'Bundle Tag Info'!$A$2," ",'Bundle Tag Info'!$A$3,CHAR(10),'Bundle Tag Info'!I$6,CHAR(10),'Bundle Tag Info'!I$9),"")</f>
        <v>BP-KEMD  
4L541 B.1
BOP
AP</v>
      </c>
    </row>
    <row r="53" spans="1:1" ht="12.6" customHeight="1" x14ac:dyDescent="0.25">
      <c r="A53" s="12" t="str">
        <f>IF('Bundle Tag Info'!I$10&lt;&gt;"",CONCATENATE('Bundle Tag Info'!$A$1," ",CHAR(10),'Bundle Tag Info'!$A$2," ",'Bundle Tag Info'!$A$3,CHAR(10),'Bundle Tag Info'!I$6,CHAR(10),'Bundle Tag Info'!I$10),"")</f>
        <v>BP-KEMD  
4L541 B.1
BOP
FU</v>
      </c>
    </row>
    <row r="54" spans="1:1" ht="12.6" customHeight="1" x14ac:dyDescent="0.25">
      <c r="A54" s="12" t="str">
        <f>IF('Bundle Tag Info'!I$11&lt;&gt;"",CONCATENATE('Bundle Tag Info'!$A$1," ",CHAR(10),'Bundle Tag Info'!$A$2," ",'Bundle Tag Info'!$A$3,CHAR(10),'Bundle Tag Info'!I$6,CHAR(10),'Bundle Tag Info'!I$11),"")</f>
        <v>BP-KEMD  
4L541 B.1
BOP
KT L/S</v>
      </c>
    </row>
    <row r="55" spans="1:1" ht="12.6" customHeight="1" x14ac:dyDescent="0.25">
      <c r="A55" s="12" t="str">
        <f>IF('Bundle Tag Info'!I$12&lt;&gt;"",CONCATENATE('Bundle Tag Info'!$A$1," ",CHAR(10),'Bundle Tag Info'!$A$2," ",'Bundle Tag Info'!$A$3,CHAR(10),'Bundle Tag Info'!I$6,CHAR(10),'Bundle Tag Info'!I$12),"")</f>
        <v>BP-KEMD  
4L541 B.1
BOP
KT R/S</v>
      </c>
    </row>
    <row r="56" spans="1:1" ht="12.6" customHeight="1" x14ac:dyDescent="0.25">
      <c r="A56" s="12" t="str">
        <f>IF('Bundle Tag Info'!I$13&lt;&gt;"",CONCATENATE('Bundle Tag Info'!$A$1," ",CHAR(10),'Bundle Tag Info'!$A$2," ",'Bundle Tag Info'!$A$3,CHAR(10),'Bundle Tag Info'!I$6,CHAR(10),'Bundle Tag Info'!I$13),"")</f>
        <v>BP-KEMD  
4L541 B.1
BOP
XT</v>
      </c>
    </row>
    <row r="57" spans="1:1" ht="12.6" customHeight="1" x14ac:dyDescent="0.25">
      <c r="A57" s="12" t="str">
        <f>IF('Bundle Tag Info'!J$7&lt;&gt;"",CONCATENATE('Bundle Tag Info'!$A$1," ",CHAR(10),'Bundle Tag Info'!$A$2," ",'Bundle Tag Info'!$A$3,CHAR(10),'Bundle Tag Info'!J$6,CHAR(10),'Bundle Tag Info'!J$7),"")</f>
        <v>BP-KEMD  
4L541 B.1
JB74 L RAIL
KA A1</v>
      </c>
    </row>
    <row r="58" spans="1:1" ht="12.6" customHeight="1" x14ac:dyDescent="0.25">
      <c r="A58" s="12" t="str">
        <f>IF('Bundle Tag Info'!J$8&lt;&gt;"",CONCATENATE('Bundle Tag Info'!$A$1," ",CHAR(10),'Bundle Tag Info'!$A$2," ",'Bundle Tag Info'!$A$3,CHAR(10),'Bundle Tag Info'!J$6,CHAR(10),'Bundle Tag Info'!J$8),"")</f>
        <v>BP-KEMD  
4L541 B.1
JB74 L RAIL
KA A2</v>
      </c>
    </row>
    <row r="59" spans="1:1" ht="12.6" customHeight="1" x14ac:dyDescent="0.25">
      <c r="A59" s="12" t="str">
        <f>IF('Bundle Tag Info'!J$9&lt;&gt;"",CONCATENATE('Bundle Tag Info'!$A$1," ",CHAR(10),'Bundle Tag Info'!$A$2," ",'Bundle Tag Info'!$A$3,CHAR(10),'Bundle Tag Info'!J$6,CHAR(10),'Bundle Tag Info'!J$9),"")</f>
        <v>BP-KEMD  
4L541 B.1
JB74 L RAIL
KA</v>
      </c>
    </row>
    <row r="60" spans="1:1" ht="12.6" customHeight="1" x14ac:dyDescent="0.25">
      <c r="A60" s="12" t="str">
        <f>IF('Bundle Tag Info'!J$10&lt;&gt;"",CONCATENATE('Bundle Tag Info'!$A$1," ",CHAR(10),'Bundle Tag Info'!$A$2," ",'Bundle Tag Info'!$A$3,CHAR(10),'Bundle Tag Info'!J$6,CHAR(10),'Bundle Tag Info'!J$10),"")</f>
        <v>BP-KEMD  
4L541 B.1
JB74 L RAIL
KA A2-R RAIL</v>
      </c>
    </row>
    <row r="61" spans="1:1" ht="12.6" customHeight="1" x14ac:dyDescent="0.25">
      <c r="A61" s="12" t="str">
        <f>IF('Bundle Tag Info'!J$11&lt;&gt;"",CONCATENATE('Bundle Tag Info'!$A$1," ",CHAR(10),'Bundle Tag Info'!$A$2," ",'Bundle Tag Info'!$A$3,CHAR(10),'Bundle Tag Info'!J$6,CHAR(10),'Bundle Tag Info'!J$11),"")</f>
        <v>BP-KEMD  
4L541 B.1
JB74 L RAIL
KA-R RAIL</v>
      </c>
    </row>
    <row r="62" spans="1:1" ht="12.6" customHeight="1" x14ac:dyDescent="0.25">
      <c r="A62" s="12" t="str">
        <f>IF('Bundle Tag Info'!J$12&lt;&gt;"",CONCATENATE('Bundle Tag Info'!$A$1," ",CHAR(10),'Bundle Tag Info'!$A$2," ",'Bundle Tag Info'!$A$3,CHAR(10),'Bundle Tag Info'!J$6,CHAR(10),'Bundle Tag Info'!J$12),"")</f>
        <v>BP-KEMD  
4L541 B.1
JB74 L RAIL
KA A1-BOP</v>
      </c>
    </row>
    <row r="63" spans="1:1" ht="12.6" customHeight="1" x14ac:dyDescent="0.25">
      <c r="A63" s="12" t="str">
        <f>IF('Bundle Tag Info'!J$13&lt;&gt;"",CONCATENATE('Bundle Tag Info'!$A$1," ",CHAR(10),'Bundle Tag Info'!$A$2," ",'Bundle Tag Info'!$A$3,CHAR(10),'Bundle Tag Info'!J$6,CHAR(10),'Bundle Tag Info'!J$13),"")</f>
        <v>BP-KEMD  
4L541 B.1
JB74 L RAIL
KA A2-BOP</v>
      </c>
    </row>
    <row r="64" spans="1:1" ht="12.6" customHeight="1" x14ac:dyDescent="0.25">
      <c r="A64" s="12" t="str">
        <f>IF('Bundle Tag Info'!J$14&lt;&gt;"",CONCATENATE('Bundle Tag Info'!$A$1," ",CHAR(10),'Bundle Tag Info'!$A$2," ",'Bundle Tag Info'!$A$3,CHAR(10),'Bundle Tag Info'!J$6,CHAR(10),'Bundle Tag Info'!J$14),"")</f>
        <v>BP-KEMD  
4L541 B.1
JB74 L RAIL
KA-BOP</v>
      </c>
    </row>
    <row r="65" spans="1:1" ht="12.6" customHeight="1" x14ac:dyDescent="0.25">
      <c r="A65" s="12" t="str">
        <f>IF('Bundle Tag Info'!J$15&lt;&gt;"",CONCATENATE('Bundle Tag Info'!$A$1," ",CHAR(10),'Bundle Tag Info'!$A$2," ",'Bundle Tag Info'!$A$3,CHAR(10),'Bundle Tag Info'!J$6,CHAR(10),'Bundle Tag Info'!J$15),"")</f>
        <v>BP-KEMD  
4L541 B.1
JB74 L RAIL
XT-BOP</v>
      </c>
    </row>
    <row r="66" spans="1:1" ht="12.6" customHeight="1" x14ac:dyDescent="0.25">
      <c r="A66" s="12" t="str">
        <f>IF('Bundle Tag Info'!K$7&lt;&gt;"",CONCATENATE('Bundle Tag Info'!$A$1," ",CHAR(10),'Bundle Tag Info'!$A$2," ",'Bundle Tag Info'!$A$3,CHAR(10),'Bundle Tag Info'!K$6,CHAR(10),'Bundle Tag Info'!K$7),"")</f>
        <v>BP-KEMD  
4L541 B.1
JB74 R RAIL
BA0007</v>
      </c>
    </row>
    <row r="67" spans="1:1" ht="12.6" customHeight="1" x14ac:dyDescent="0.25">
      <c r="A67" s="12" t="str">
        <f>IF('Bundle Tag Info'!K$8&lt;&gt;"",CONCATENATE('Bundle Tag Info'!$A$1," ",CHAR(10),'Bundle Tag Info'!$A$2," ",'Bundle Tag Info'!$A$3,CHAR(10),'Bundle Tag Info'!K$6,CHAR(10),'Bundle Tag Info'!K$8),"")</f>
        <v>BP-KEMD  
4L541 B.1
JB74 R RAIL
BA-BOP</v>
      </c>
    </row>
    <row r="68" spans="1:1" ht="12.6" customHeight="1" x14ac:dyDescent="0.25">
      <c r="A68" s="12" t="str">
        <f>IF('Bundle Tag Info'!K$9&lt;&gt;"",CONCATENATE('Bundle Tag Info'!$A$1," ",CHAR(10),'Bundle Tag Info'!$A$2," ",'Bundle Tag Info'!$A$3,CHAR(10),'Bundle Tag Info'!K$6,CHAR(10),'Bundle Tag Info'!K$9),"")</f>
        <v>BP-KEMD  
4L541 B.1
JB74 R RAIL
XT-BOP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JB70_S</vt:lpstr>
      <vt:lpstr>JB70 R RAIL_S</vt:lpstr>
      <vt:lpstr>JB70 L RAIL_S</vt:lpstr>
      <vt:lpstr>PLC_S</vt:lpstr>
      <vt:lpstr>A_S</vt:lpstr>
      <vt:lpstr>B_S</vt:lpstr>
      <vt:lpstr>GEAR BOX PANEL_S</vt:lpstr>
      <vt:lpstr>JB73</vt:lpstr>
      <vt:lpstr>BOP PANEL_S</vt:lpstr>
      <vt:lpstr>JB74 L RAIL</vt:lpstr>
      <vt:lpstr>JB74 R RAIL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Mikko Benaso</cp:lastModifiedBy>
  <cp:lastPrinted>2026-01-22T06:40:24Z</cp:lastPrinted>
  <dcterms:created xsi:type="dcterms:W3CDTF">2025-12-19T02:04:08Z</dcterms:created>
  <dcterms:modified xsi:type="dcterms:W3CDTF">2026-01-22T06:43:26Z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2025-12-19T02:04:09Z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8d6617c1-df29-4864-b736-c3001f2d512a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