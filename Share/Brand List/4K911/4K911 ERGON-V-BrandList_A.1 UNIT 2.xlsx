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S:\#Depts\380\6SIGMABRANDLIST\BRANDING\Projects Folder\4K911 ERGON-V\"/>
    </mc:Choice>
  </mc:AlternateContent>
  <xr:revisionPtr revIDLastSave="0" documentId="13_ncr:1_{BEC6DFFB-53F6-4D04-A199-5A693AA10E1A}" xr6:coauthVersionLast="47" xr6:coauthVersionMax="47" xr10:uidLastSave="{00000000-0000-0000-0000-000000000000}"/>
  <bookViews>
    <workbookView xWindow="-120" yWindow="-120" windowWidth="29040" windowHeight="15720" tabRatio="1000" firstSheet="16" activeTab="25" xr2:uid="{00000000-000D-0000-FFFF-FFFF00000000}"/>
  </bookViews>
  <sheets>
    <sheet name="Blue Labels" sheetId="16" r:id="rId1"/>
    <sheet name="White Labels" sheetId="15" r:id="rId2"/>
    <sheet name="Heat Shrink Labels" sheetId="14" r:id="rId3"/>
    <sheet name="GENERATOR PANEL" sheetId="13" r:id="rId4"/>
    <sheet name="JB70" sheetId="12" r:id="rId5"/>
    <sheet name="LEFT SIDE RAIL^JB70" sheetId="11" r:id="rId6"/>
    <sheet name="LEFT SIDE RAIL^JB72" sheetId="10" r:id="rId7"/>
    <sheet name="MEDIA CONVERTER" sheetId="9" r:id="rId8"/>
    <sheet name="PLC PANEL^JB70" sheetId="8" r:id="rId9"/>
    <sheet name="RIGHT SIDE RAIL^JB70" sheetId="7" r:id="rId10"/>
    <sheet name="RIGHT SIDE RAIL^JB72" sheetId="6" r:id="rId11"/>
    <sheet name="TURBINE PANEL A^JB70" sheetId="5" r:id="rId12"/>
    <sheet name="TURBINE PANEL B^JB70" sheetId="4" r:id="rId13"/>
    <sheet name="Panel Errors" sheetId="3" r:id="rId14"/>
    <sheet name="Cable Part Numbers" sheetId="2" r:id="rId15"/>
    <sheet name="Part Number List" sheetId="1" r:id="rId16"/>
    <sheet name="JB70_S" sheetId="18" r:id="rId17"/>
    <sheet name="LEFT SIDE RAIL^JB70_S" sheetId="19" r:id="rId18"/>
    <sheet name="PLC PANEL^JB70_S" sheetId="22" r:id="rId19"/>
    <sheet name="TURBINE PANEL A^JB70_S" sheetId="25" r:id="rId20"/>
    <sheet name="TURBINE PANEL B^JB70_S" sheetId="26" r:id="rId21"/>
    <sheet name="LEFT SIDE RAIL^JB72_S" sheetId="20" r:id="rId22"/>
    <sheet name="RIGHT SIDE RAIL^JB72_S" sheetId="24" r:id="rId23"/>
    <sheet name="GENERATOR PANEL_S" sheetId="17" r:id="rId24"/>
    <sheet name="MEDIA CONVERTER_S" sheetId="21" r:id="rId25"/>
    <sheet name="Bundle Tag Info" sheetId="28" r:id="rId26"/>
    <sheet name="Bundle Tags2" sheetId="29" r:id="rId27"/>
    <sheet name="Sheet11" sheetId="27" r:id="rId28"/>
    <sheet name="ALL" sheetId="30" r:id="rId29"/>
  </sheets>
  <definedNames>
    <definedName name="_xlnm._FilterDatabase" localSheetId="23" hidden="1">'GENERATOR PANEL_S'!$H$1:$H$102</definedName>
    <definedName name="_xlnm._FilterDatabase" localSheetId="16" hidden="1">JB70_S!$H$1:$H$70</definedName>
    <definedName name="_xlnm._FilterDatabase" localSheetId="17" hidden="1">'LEFT SIDE RAIL^JB70_S'!$H$1:$H$123</definedName>
    <definedName name="_xlnm._FilterDatabase" localSheetId="21" hidden="1">'LEFT SIDE RAIL^JB72_S'!$H$1:$H$52</definedName>
    <definedName name="_xlnm._FilterDatabase" localSheetId="18" hidden="1">'PLC PANEL^JB70_S'!$H$1:$H$40</definedName>
    <definedName name="_xlnm._FilterDatabase" localSheetId="19" hidden="1">'TURBINE PANEL A^JB70_S'!$H$1:$H$174</definedName>
    <definedName name="_xlnm._FilterDatabase" localSheetId="20" hidden="1">'TURBINE PANEL B^JB70_S'!$H$1:$H$121</definedName>
    <definedName name="_xlnm.Print_Titles" localSheetId="14">'Cable Part Numbers'!$12:$13</definedName>
    <definedName name="_xlnm.Print_Titles" localSheetId="3">'GENERATOR PANEL'!$12:$13</definedName>
    <definedName name="_xlnm.Print_Titles" localSheetId="4">'JB70'!$12:$13</definedName>
    <definedName name="_xlnm.Print_Titles" localSheetId="5">'LEFT SIDE RAIL^JB70'!$12:$13</definedName>
    <definedName name="_xlnm.Print_Titles" localSheetId="6">'LEFT SIDE RAIL^JB72'!$12:$13</definedName>
    <definedName name="_xlnm.Print_Titles" localSheetId="7">'MEDIA CONVERTER'!$12:$13</definedName>
    <definedName name="_xlnm.Print_Titles" localSheetId="13">'Panel Errors'!$12:$13</definedName>
    <definedName name="_xlnm.Print_Titles" localSheetId="15">'Part Number List'!$11:$11</definedName>
    <definedName name="_xlnm.Print_Titles" localSheetId="8">'PLC PANEL^JB70'!$12:$13</definedName>
    <definedName name="_xlnm.Print_Titles" localSheetId="9">'RIGHT SIDE RAIL^JB70'!$12:$13</definedName>
    <definedName name="_xlnm.Print_Titles" localSheetId="10">'RIGHT SIDE RAIL^JB72'!$12:$13</definedName>
    <definedName name="_xlnm.Print_Titles" localSheetId="11">'TURBINE PANEL A^JB70'!$12:$13</definedName>
    <definedName name="_xlnm.Print_Titles" localSheetId="12">'TURBINE PANEL B^JB70'!$12:$13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D30" i="30" l="1"/>
  <c r="AC30" i="30"/>
  <c r="AB30" i="30"/>
  <c r="AA30" i="30"/>
  <c r="Z30" i="30"/>
  <c r="Y30" i="30"/>
  <c r="X30" i="30"/>
  <c r="W30" i="30"/>
  <c r="V30" i="30"/>
  <c r="U30" i="30"/>
  <c r="T30" i="30"/>
  <c r="S30" i="30"/>
  <c r="R30" i="30"/>
  <c r="Q30" i="30"/>
  <c r="P30" i="30"/>
  <c r="O30" i="30"/>
  <c r="N30" i="30"/>
  <c r="M30" i="30"/>
  <c r="L30" i="30"/>
  <c r="K30" i="30"/>
  <c r="J30" i="30"/>
  <c r="I30" i="30"/>
  <c r="H30" i="30"/>
  <c r="G30" i="30"/>
  <c r="F30" i="30"/>
  <c r="E30" i="30"/>
  <c r="D30" i="30"/>
  <c r="C30" i="30"/>
  <c r="B30" i="30"/>
  <c r="AD29" i="30"/>
  <c r="AC29" i="30"/>
  <c r="AB29" i="30"/>
  <c r="AA29" i="30"/>
  <c r="Z29" i="30"/>
  <c r="Y29" i="30"/>
  <c r="X29" i="30"/>
  <c r="W29" i="30"/>
  <c r="V29" i="30"/>
  <c r="U29" i="30"/>
  <c r="T29" i="30"/>
  <c r="S29" i="30"/>
  <c r="R29" i="30"/>
  <c r="Q29" i="30"/>
  <c r="P29" i="30"/>
  <c r="O29" i="30"/>
  <c r="N29" i="30"/>
  <c r="M29" i="30"/>
  <c r="L29" i="30"/>
  <c r="K29" i="30"/>
  <c r="J29" i="30"/>
  <c r="I29" i="30"/>
  <c r="H29" i="30"/>
  <c r="G29" i="30"/>
  <c r="F29" i="30"/>
  <c r="E29" i="30"/>
  <c r="D29" i="30"/>
  <c r="C29" i="30"/>
  <c r="B29" i="30"/>
  <c r="AD28" i="30"/>
  <c r="AC28" i="30"/>
  <c r="AB28" i="30"/>
  <c r="AA28" i="30"/>
  <c r="Z28" i="30"/>
  <c r="Y28" i="30"/>
  <c r="X28" i="30"/>
  <c r="W28" i="30"/>
  <c r="V28" i="30"/>
  <c r="U28" i="30"/>
  <c r="T28" i="30"/>
  <c r="S28" i="30"/>
  <c r="R28" i="30"/>
  <c r="Q28" i="30"/>
  <c r="P28" i="30"/>
  <c r="O28" i="30"/>
  <c r="N28" i="30"/>
  <c r="M28" i="30"/>
  <c r="L28" i="30"/>
  <c r="K28" i="30"/>
  <c r="J28" i="30"/>
  <c r="I28" i="30"/>
  <c r="H28" i="30"/>
  <c r="G28" i="30"/>
  <c r="F28" i="30"/>
  <c r="E28" i="30"/>
  <c r="D28" i="30"/>
  <c r="C28" i="30"/>
  <c r="B28" i="30"/>
  <c r="AD27" i="30"/>
  <c r="AC27" i="30"/>
  <c r="AB27" i="30"/>
  <c r="AA27" i="30"/>
  <c r="Z27" i="30"/>
  <c r="Y27" i="30"/>
  <c r="X27" i="30"/>
  <c r="W27" i="30"/>
  <c r="V27" i="30"/>
  <c r="U27" i="30"/>
  <c r="T27" i="30"/>
  <c r="S27" i="30"/>
  <c r="R27" i="30"/>
  <c r="Q27" i="30"/>
  <c r="P27" i="30"/>
  <c r="O27" i="30"/>
  <c r="N27" i="30"/>
  <c r="M27" i="30"/>
  <c r="L27" i="30"/>
  <c r="K27" i="30"/>
  <c r="J27" i="30"/>
  <c r="I27" i="30"/>
  <c r="H27" i="30"/>
  <c r="G27" i="30"/>
  <c r="F27" i="30"/>
  <c r="E27" i="30"/>
  <c r="D27" i="30"/>
  <c r="C27" i="30"/>
  <c r="B27" i="30"/>
  <c r="AD26" i="30"/>
  <c r="AC26" i="30"/>
  <c r="AB26" i="30"/>
  <c r="AA26" i="30"/>
  <c r="Z26" i="30"/>
  <c r="Y26" i="30"/>
  <c r="X26" i="30"/>
  <c r="W26" i="30"/>
  <c r="V26" i="30"/>
  <c r="U26" i="30"/>
  <c r="T26" i="30"/>
  <c r="S26" i="30"/>
  <c r="R26" i="30"/>
  <c r="Q26" i="30"/>
  <c r="P26" i="30"/>
  <c r="O26" i="30"/>
  <c r="N26" i="30"/>
  <c r="M26" i="30"/>
  <c r="L26" i="30"/>
  <c r="K26" i="30"/>
  <c r="J26" i="30"/>
  <c r="I26" i="30"/>
  <c r="H26" i="30"/>
  <c r="G26" i="30"/>
  <c r="F26" i="30"/>
  <c r="E26" i="30"/>
  <c r="D26" i="30"/>
  <c r="C26" i="30"/>
  <c r="B26" i="30"/>
  <c r="AD25" i="30"/>
  <c r="AC25" i="30"/>
  <c r="AB25" i="30"/>
  <c r="AA25" i="30"/>
  <c r="Z25" i="30"/>
  <c r="Y25" i="30"/>
  <c r="X25" i="30"/>
  <c r="W25" i="30"/>
  <c r="V25" i="30"/>
  <c r="U25" i="30"/>
  <c r="T25" i="30"/>
  <c r="S25" i="30"/>
  <c r="R25" i="30"/>
  <c r="Q25" i="30"/>
  <c r="P25" i="30"/>
  <c r="O25" i="30"/>
  <c r="N25" i="30"/>
  <c r="M25" i="30"/>
  <c r="L25" i="30"/>
  <c r="K25" i="30"/>
  <c r="J25" i="30"/>
  <c r="I25" i="30"/>
  <c r="H25" i="30"/>
  <c r="G25" i="30"/>
  <c r="F25" i="30"/>
  <c r="E25" i="30"/>
  <c r="D25" i="30"/>
  <c r="C25" i="30"/>
  <c r="B25" i="30"/>
  <c r="AD24" i="30"/>
  <c r="AC24" i="30"/>
  <c r="AB24" i="30"/>
  <c r="AA24" i="30"/>
  <c r="Z24" i="30"/>
  <c r="Y24" i="30"/>
  <c r="X24" i="30"/>
  <c r="W24" i="30"/>
  <c r="V24" i="30"/>
  <c r="U24" i="30"/>
  <c r="T24" i="30"/>
  <c r="S24" i="30"/>
  <c r="R24" i="30"/>
  <c r="Q24" i="30"/>
  <c r="P24" i="30"/>
  <c r="O24" i="30"/>
  <c r="N24" i="30"/>
  <c r="M24" i="30"/>
  <c r="L24" i="30"/>
  <c r="K24" i="30"/>
  <c r="J24" i="30"/>
  <c r="I24" i="30"/>
  <c r="H24" i="30"/>
  <c r="G24" i="30"/>
  <c r="F24" i="30"/>
  <c r="E24" i="30"/>
  <c r="D24" i="30"/>
  <c r="C24" i="30"/>
  <c r="B24" i="30"/>
  <c r="AD23" i="30"/>
  <c r="AC23" i="30"/>
  <c r="AB23" i="30"/>
  <c r="AA23" i="30"/>
  <c r="Z23" i="30"/>
  <c r="Y23" i="30"/>
  <c r="X23" i="30"/>
  <c r="W23" i="30"/>
  <c r="V23" i="30"/>
  <c r="U23" i="30"/>
  <c r="T23" i="30"/>
  <c r="S23" i="30"/>
  <c r="R23" i="30"/>
  <c r="Q23" i="30"/>
  <c r="P23" i="30"/>
  <c r="O23" i="30"/>
  <c r="N23" i="30"/>
  <c r="M23" i="30"/>
  <c r="L23" i="30"/>
  <c r="K23" i="30"/>
  <c r="J23" i="30"/>
  <c r="I23" i="30"/>
  <c r="H23" i="30"/>
  <c r="G23" i="30"/>
  <c r="F23" i="30"/>
  <c r="E23" i="30"/>
  <c r="D23" i="30"/>
  <c r="C23" i="30"/>
  <c r="B23" i="30"/>
  <c r="AD22" i="30"/>
  <c r="AC22" i="30"/>
  <c r="AB22" i="30"/>
  <c r="AA22" i="30"/>
  <c r="Z22" i="30"/>
  <c r="Y22" i="30"/>
  <c r="X22" i="30"/>
  <c r="W22" i="30"/>
  <c r="V22" i="30"/>
  <c r="U22" i="30"/>
  <c r="T22" i="30"/>
  <c r="S22" i="30"/>
  <c r="R22" i="30"/>
  <c r="Q22" i="30"/>
  <c r="P22" i="30"/>
  <c r="O22" i="30"/>
  <c r="N22" i="30"/>
  <c r="M22" i="30"/>
  <c r="L22" i="30"/>
  <c r="K22" i="30"/>
  <c r="J22" i="30"/>
  <c r="I22" i="30"/>
  <c r="H22" i="30"/>
  <c r="G22" i="30"/>
  <c r="F22" i="30"/>
  <c r="E22" i="30"/>
  <c r="D22" i="30"/>
  <c r="C22" i="30"/>
  <c r="B22" i="30"/>
  <c r="AD21" i="30"/>
  <c r="AC21" i="30"/>
  <c r="AB21" i="30"/>
  <c r="AA21" i="30"/>
  <c r="Z21" i="30"/>
  <c r="Y21" i="30"/>
  <c r="X21" i="30"/>
  <c r="W21" i="30"/>
  <c r="V21" i="30"/>
  <c r="U21" i="30"/>
  <c r="T21" i="30"/>
  <c r="S21" i="30"/>
  <c r="R21" i="30"/>
  <c r="Q21" i="30"/>
  <c r="P21" i="30"/>
  <c r="O21" i="30"/>
  <c r="N21" i="30"/>
  <c r="M21" i="30"/>
  <c r="L21" i="30"/>
  <c r="K21" i="30"/>
  <c r="J21" i="30"/>
  <c r="I21" i="30"/>
  <c r="H21" i="30"/>
  <c r="G21" i="30"/>
  <c r="F21" i="30"/>
  <c r="E21" i="30"/>
  <c r="D21" i="30"/>
  <c r="C21" i="30"/>
  <c r="B21" i="30"/>
  <c r="AD20" i="30"/>
  <c r="AC20" i="30"/>
  <c r="AB20" i="30"/>
  <c r="AA20" i="30"/>
  <c r="Z20" i="30"/>
  <c r="Y20" i="30"/>
  <c r="X20" i="30"/>
  <c r="W20" i="30"/>
  <c r="V20" i="30"/>
  <c r="U20" i="30"/>
  <c r="T20" i="30"/>
  <c r="S20" i="30"/>
  <c r="R20" i="30"/>
  <c r="Q20" i="30"/>
  <c r="P20" i="30"/>
  <c r="O20" i="30"/>
  <c r="N20" i="30"/>
  <c r="M20" i="30"/>
  <c r="L20" i="30"/>
  <c r="K20" i="30"/>
  <c r="J20" i="30"/>
  <c r="I20" i="30"/>
  <c r="H20" i="30"/>
  <c r="G20" i="30"/>
  <c r="F20" i="30"/>
  <c r="E20" i="30"/>
  <c r="D20" i="30"/>
  <c r="C20" i="30"/>
  <c r="B20" i="30"/>
  <c r="AD19" i="30"/>
  <c r="AC19" i="30"/>
  <c r="AB19" i="30"/>
  <c r="AA19" i="30"/>
  <c r="Z19" i="30"/>
  <c r="Y19" i="30"/>
  <c r="X19" i="30"/>
  <c r="W19" i="30"/>
  <c r="V19" i="30"/>
  <c r="U19" i="30"/>
  <c r="T19" i="30"/>
  <c r="S19" i="30"/>
  <c r="R19" i="30"/>
  <c r="Q19" i="30"/>
  <c r="P19" i="30"/>
  <c r="O19" i="30"/>
  <c r="N19" i="30"/>
  <c r="M19" i="30"/>
  <c r="L19" i="30"/>
  <c r="K19" i="30"/>
  <c r="J19" i="30"/>
  <c r="I19" i="30"/>
  <c r="H19" i="30"/>
  <c r="G19" i="30"/>
  <c r="F19" i="30"/>
  <c r="E19" i="30"/>
  <c r="D19" i="30"/>
  <c r="C19" i="30"/>
  <c r="B19" i="30"/>
  <c r="AD18" i="30"/>
  <c r="AC18" i="30"/>
  <c r="AB18" i="30"/>
  <c r="AA18" i="30"/>
  <c r="Z18" i="30"/>
  <c r="Y18" i="30"/>
  <c r="X18" i="30"/>
  <c r="W18" i="30"/>
  <c r="V18" i="30"/>
  <c r="U18" i="30"/>
  <c r="T18" i="30"/>
  <c r="S18" i="30"/>
  <c r="R18" i="30"/>
  <c r="Q18" i="30"/>
  <c r="P18" i="30"/>
  <c r="O18" i="30"/>
  <c r="N18" i="30"/>
  <c r="M18" i="30"/>
  <c r="L18" i="30"/>
  <c r="K18" i="30"/>
  <c r="J18" i="30"/>
  <c r="I18" i="30"/>
  <c r="H18" i="30"/>
  <c r="G18" i="30"/>
  <c r="F18" i="30"/>
  <c r="E18" i="30"/>
  <c r="D18" i="30"/>
  <c r="B18" i="30"/>
  <c r="AD17" i="30"/>
  <c r="AC17" i="30"/>
  <c r="AB17" i="30"/>
  <c r="AA17" i="30"/>
  <c r="Z17" i="30"/>
  <c r="Y17" i="30"/>
  <c r="X17" i="30"/>
  <c r="W17" i="30"/>
  <c r="V17" i="30"/>
  <c r="U17" i="30"/>
  <c r="T17" i="30"/>
  <c r="S17" i="30"/>
  <c r="R17" i="30"/>
  <c r="Q17" i="30"/>
  <c r="P17" i="30"/>
  <c r="O17" i="30"/>
  <c r="N17" i="30"/>
  <c r="M17" i="30"/>
  <c r="L17" i="30"/>
  <c r="K17" i="30"/>
  <c r="J17" i="30"/>
  <c r="I17" i="30"/>
  <c r="H17" i="30"/>
  <c r="G17" i="30"/>
  <c r="F17" i="30"/>
  <c r="E17" i="30"/>
  <c r="D17" i="30"/>
  <c r="B17" i="30"/>
  <c r="AD16" i="30"/>
  <c r="AC16" i="30"/>
  <c r="AB16" i="30"/>
  <c r="AA16" i="30"/>
  <c r="Z16" i="30"/>
  <c r="Y16" i="30"/>
  <c r="X16" i="30"/>
  <c r="W16" i="30"/>
  <c r="V16" i="30"/>
  <c r="U16" i="30"/>
  <c r="T16" i="30"/>
  <c r="S16" i="30"/>
  <c r="R16" i="30"/>
  <c r="Q16" i="30"/>
  <c r="P16" i="30"/>
  <c r="O16" i="30"/>
  <c r="N16" i="30"/>
  <c r="M16" i="30"/>
  <c r="L16" i="30"/>
  <c r="K16" i="30"/>
  <c r="J16" i="30"/>
  <c r="I16" i="30"/>
  <c r="H16" i="30"/>
  <c r="G16" i="30"/>
  <c r="F16" i="30"/>
  <c r="E16" i="30"/>
  <c r="A50" i="30"/>
  <c r="B16" i="30"/>
  <c r="AD15" i="30"/>
  <c r="AC15" i="30"/>
  <c r="AB15" i="30"/>
  <c r="AA15" i="30"/>
  <c r="Z15" i="30"/>
  <c r="Y15" i="30"/>
  <c r="X15" i="30"/>
  <c r="W15" i="30"/>
  <c r="V15" i="30"/>
  <c r="U15" i="30"/>
  <c r="T15" i="30"/>
  <c r="S15" i="30"/>
  <c r="R15" i="30"/>
  <c r="Q15" i="30"/>
  <c r="P15" i="30"/>
  <c r="O15" i="30"/>
  <c r="N15" i="30"/>
  <c r="M15" i="30"/>
  <c r="L15" i="30"/>
  <c r="K15" i="30"/>
  <c r="J15" i="30"/>
  <c r="I15" i="30"/>
  <c r="H15" i="30"/>
  <c r="G15" i="30"/>
  <c r="F15" i="30"/>
  <c r="E15" i="30"/>
  <c r="A49" i="30"/>
  <c r="B15" i="30"/>
  <c r="AD14" i="30"/>
  <c r="AC14" i="30"/>
  <c r="AB14" i="30"/>
  <c r="AA14" i="30"/>
  <c r="Z14" i="30"/>
  <c r="Y14" i="30"/>
  <c r="X14" i="30"/>
  <c r="W14" i="30"/>
  <c r="V14" i="30"/>
  <c r="U14" i="30"/>
  <c r="T14" i="30"/>
  <c r="S14" i="30"/>
  <c r="R14" i="30"/>
  <c r="Q14" i="30"/>
  <c r="P14" i="30"/>
  <c r="O14" i="30"/>
  <c r="N14" i="30"/>
  <c r="M14" i="30"/>
  <c r="L14" i="30"/>
  <c r="K14" i="30"/>
  <c r="J14" i="30"/>
  <c r="I14" i="30"/>
  <c r="H14" i="30"/>
  <c r="G14" i="30"/>
  <c r="F14" i="30"/>
  <c r="E14" i="30"/>
  <c r="A48" i="30"/>
  <c r="B14" i="30"/>
  <c r="AD13" i="30"/>
  <c r="AC13" i="30"/>
  <c r="AB13" i="30"/>
  <c r="AA13" i="30"/>
  <c r="Z13" i="30"/>
  <c r="Y13" i="30"/>
  <c r="X13" i="30"/>
  <c r="W13" i="30"/>
  <c r="V13" i="30"/>
  <c r="U13" i="30"/>
  <c r="T13" i="30"/>
  <c r="S13" i="30"/>
  <c r="R13" i="30"/>
  <c r="Q13" i="30"/>
  <c r="P13" i="30"/>
  <c r="O13" i="30"/>
  <c r="N13" i="30"/>
  <c r="M13" i="30"/>
  <c r="L13" i="30"/>
  <c r="K13" i="30"/>
  <c r="J13" i="30"/>
  <c r="I13" i="30"/>
  <c r="H13" i="30"/>
  <c r="G13" i="30"/>
  <c r="F13" i="30"/>
  <c r="E13" i="30"/>
  <c r="A47" i="30"/>
  <c r="A68" i="30"/>
  <c r="AD12" i="30"/>
  <c r="AC12" i="30"/>
  <c r="AB12" i="30"/>
  <c r="AA12" i="30"/>
  <c r="Z12" i="30"/>
  <c r="Y12" i="30"/>
  <c r="X12" i="30"/>
  <c r="W12" i="30"/>
  <c r="V12" i="30"/>
  <c r="U12" i="30"/>
  <c r="T12" i="30"/>
  <c r="S12" i="30"/>
  <c r="R12" i="30"/>
  <c r="Q12" i="30"/>
  <c r="P12" i="30"/>
  <c r="O12" i="30"/>
  <c r="N12" i="30"/>
  <c r="M12" i="30"/>
  <c r="L12" i="30"/>
  <c r="K12" i="30"/>
  <c r="J12" i="30"/>
  <c r="I12" i="30"/>
  <c r="H12" i="30"/>
  <c r="G12" i="30"/>
  <c r="F12" i="30"/>
  <c r="E12" i="30"/>
  <c r="A46" i="30"/>
  <c r="A67" i="30"/>
  <c r="A12" i="30"/>
  <c r="AD11" i="30"/>
  <c r="AC11" i="30"/>
  <c r="AB11" i="30"/>
  <c r="AA11" i="30"/>
  <c r="Z11" i="30"/>
  <c r="Y11" i="30"/>
  <c r="X11" i="30"/>
  <c r="W11" i="30"/>
  <c r="V11" i="30"/>
  <c r="U11" i="30"/>
  <c r="T11" i="30"/>
  <c r="S11" i="30"/>
  <c r="R11" i="30"/>
  <c r="Q11" i="30"/>
  <c r="P11" i="30"/>
  <c r="O11" i="30"/>
  <c r="N11" i="30"/>
  <c r="M11" i="30"/>
  <c r="L11" i="30"/>
  <c r="K11" i="30"/>
  <c r="J11" i="30"/>
  <c r="H11" i="30"/>
  <c r="G11" i="30"/>
  <c r="F11" i="30"/>
  <c r="A34" i="30"/>
  <c r="A45" i="30"/>
  <c r="A66" i="30"/>
  <c r="A11" i="30"/>
  <c r="AD10" i="30"/>
  <c r="AC10" i="30"/>
  <c r="AB10" i="30"/>
  <c r="AA10" i="30"/>
  <c r="Z10" i="30"/>
  <c r="Y10" i="30"/>
  <c r="X10" i="30"/>
  <c r="W10" i="30"/>
  <c r="V10" i="30"/>
  <c r="U10" i="30"/>
  <c r="T10" i="30"/>
  <c r="S10" i="30"/>
  <c r="R10" i="30"/>
  <c r="Q10" i="30"/>
  <c r="P10" i="30"/>
  <c r="O10" i="30"/>
  <c r="N10" i="30"/>
  <c r="M10" i="30"/>
  <c r="L10" i="30"/>
  <c r="K10" i="30"/>
  <c r="J10" i="30"/>
  <c r="H10" i="30"/>
  <c r="G10" i="30"/>
  <c r="F10" i="30"/>
  <c r="A33" i="30"/>
  <c r="A44" i="30"/>
  <c r="A65" i="30"/>
  <c r="A10" i="30"/>
  <c r="AD9" i="30"/>
  <c r="AC9" i="30"/>
  <c r="AB9" i="30"/>
  <c r="AA9" i="30"/>
  <c r="Z9" i="30"/>
  <c r="Y9" i="30"/>
  <c r="X9" i="30"/>
  <c r="W9" i="30"/>
  <c r="V9" i="30"/>
  <c r="U9" i="30"/>
  <c r="T9" i="30"/>
  <c r="S9" i="30"/>
  <c r="R9" i="30"/>
  <c r="Q9" i="30"/>
  <c r="P9" i="30"/>
  <c r="O9" i="30"/>
  <c r="N9" i="30"/>
  <c r="M9" i="30"/>
  <c r="L9" i="30"/>
  <c r="K9" i="30"/>
  <c r="J9" i="30"/>
  <c r="H9" i="30"/>
  <c r="G9" i="30"/>
  <c r="F9" i="30"/>
  <c r="A32" i="30"/>
  <c r="A43" i="30"/>
  <c r="A64" i="30"/>
  <c r="A9" i="30"/>
  <c r="AD8" i="30"/>
  <c r="AC8" i="30"/>
  <c r="AB8" i="30"/>
  <c r="AA8" i="30"/>
  <c r="Z8" i="30"/>
  <c r="Y8" i="30"/>
  <c r="X8" i="30"/>
  <c r="W8" i="30"/>
  <c r="V8" i="30"/>
  <c r="U8" i="30"/>
  <c r="T8" i="30"/>
  <c r="S8" i="30"/>
  <c r="R8" i="30"/>
  <c r="Q8" i="30"/>
  <c r="P8" i="30"/>
  <c r="O8" i="30"/>
  <c r="N8" i="30"/>
  <c r="M8" i="30"/>
  <c r="L8" i="30"/>
  <c r="K8" i="30"/>
  <c r="J8" i="30"/>
  <c r="H8" i="30"/>
  <c r="G8" i="30"/>
  <c r="F8" i="30"/>
  <c r="A31" i="30"/>
  <c r="A42" i="30"/>
  <c r="A63" i="30"/>
  <c r="A8" i="30"/>
  <c r="AD7" i="30"/>
  <c r="AC7" i="30"/>
  <c r="AB7" i="30"/>
  <c r="AA7" i="30"/>
  <c r="Z7" i="30"/>
  <c r="Y7" i="30"/>
  <c r="X7" i="30"/>
  <c r="W7" i="30"/>
  <c r="V7" i="30"/>
  <c r="U7" i="30"/>
  <c r="T7" i="30"/>
  <c r="S7" i="30"/>
  <c r="R7" i="30"/>
  <c r="Q7" i="30"/>
  <c r="P7" i="30"/>
  <c r="O7" i="30"/>
  <c r="N7" i="30"/>
  <c r="M7" i="30"/>
  <c r="L7" i="30"/>
  <c r="K7" i="30"/>
  <c r="J7" i="30"/>
  <c r="H7" i="30"/>
  <c r="G7" i="30"/>
  <c r="F7" i="30"/>
  <c r="A30" i="30"/>
  <c r="A41" i="30"/>
  <c r="A62" i="30"/>
  <c r="A7" i="30"/>
  <c r="AD6" i="30"/>
  <c r="AC6" i="30"/>
  <c r="AB6" i="30"/>
  <c r="AA6" i="30"/>
  <c r="Z6" i="30"/>
  <c r="Y6" i="30"/>
  <c r="X6" i="30"/>
  <c r="W6" i="30"/>
  <c r="V6" i="30"/>
  <c r="U6" i="30"/>
  <c r="T6" i="30"/>
  <c r="S6" i="30"/>
  <c r="R6" i="30"/>
  <c r="Q6" i="30"/>
  <c r="P6" i="30"/>
  <c r="O6" i="30"/>
  <c r="N6" i="30"/>
  <c r="M6" i="30"/>
  <c r="L6" i="30"/>
  <c r="K6" i="30"/>
  <c r="J6" i="30"/>
  <c r="A19" i="30"/>
  <c r="G6" i="30"/>
  <c r="F6" i="30"/>
  <c r="A29" i="30"/>
  <c r="A40" i="30"/>
  <c r="A61" i="30"/>
  <c r="A6" i="30"/>
  <c r="AD5" i="30"/>
  <c r="AC5" i="30"/>
  <c r="AB5" i="30"/>
  <c r="AA5" i="30"/>
  <c r="Z5" i="30"/>
  <c r="Y5" i="30"/>
  <c r="X5" i="30"/>
  <c r="W5" i="30"/>
  <c r="V5" i="30"/>
  <c r="U5" i="30"/>
  <c r="T5" i="30"/>
  <c r="S5" i="30"/>
  <c r="R5" i="30"/>
  <c r="Q5" i="30"/>
  <c r="P5" i="30"/>
  <c r="O5" i="30"/>
  <c r="N5" i="30"/>
  <c r="M5" i="30"/>
  <c r="L5" i="30"/>
  <c r="K5" i="30"/>
  <c r="J5" i="30"/>
  <c r="A18" i="30"/>
  <c r="G5" i="30"/>
  <c r="F5" i="30"/>
  <c r="A28" i="30"/>
  <c r="A39" i="30"/>
  <c r="A55" i="30"/>
  <c r="A60" i="30"/>
  <c r="A5" i="30"/>
  <c r="AD4" i="30"/>
  <c r="AC4" i="30"/>
  <c r="AB4" i="30"/>
  <c r="AA4" i="30"/>
  <c r="Z4" i="30"/>
  <c r="Y4" i="30"/>
  <c r="X4" i="30"/>
  <c r="W4" i="30"/>
  <c r="V4" i="30"/>
  <c r="U4" i="30"/>
  <c r="T4" i="30"/>
  <c r="S4" i="30"/>
  <c r="R4" i="30"/>
  <c r="Q4" i="30"/>
  <c r="P4" i="30"/>
  <c r="O4" i="30"/>
  <c r="N4" i="30"/>
  <c r="M4" i="30"/>
  <c r="L4" i="30"/>
  <c r="K4" i="30"/>
  <c r="J4" i="30"/>
  <c r="A17" i="30"/>
  <c r="G4" i="30"/>
  <c r="F4" i="30"/>
  <c r="A27" i="30"/>
  <c r="A38" i="30"/>
  <c r="A54" i="30"/>
  <c r="A59" i="30"/>
  <c r="A4" i="30"/>
  <c r="AD3" i="30"/>
  <c r="AC3" i="30"/>
  <c r="AB3" i="30"/>
  <c r="AA3" i="30"/>
  <c r="Z3" i="30"/>
  <c r="Y3" i="30"/>
  <c r="X3" i="30"/>
  <c r="W3" i="30"/>
  <c r="V3" i="30"/>
  <c r="U3" i="30"/>
  <c r="T3" i="30"/>
  <c r="S3" i="30"/>
  <c r="R3" i="30"/>
  <c r="Q3" i="30"/>
  <c r="P3" i="30"/>
  <c r="O3" i="30"/>
  <c r="N3" i="30"/>
  <c r="M3" i="30"/>
  <c r="L3" i="30"/>
  <c r="K3" i="30"/>
  <c r="J3" i="30"/>
  <c r="A16" i="30"/>
  <c r="G3" i="30"/>
  <c r="A23" i="30"/>
  <c r="A26" i="30"/>
  <c r="A37" i="30"/>
  <c r="A53" i="30"/>
  <c r="A58" i="30"/>
  <c r="A3" i="30"/>
  <c r="AD2" i="30"/>
  <c r="AC2" i="30"/>
  <c r="AB2" i="30"/>
  <c r="AA2" i="30"/>
  <c r="Z2" i="30"/>
  <c r="Y2" i="30"/>
  <c r="X2" i="30"/>
  <c r="W2" i="30"/>
  <c r="V2" i="30"/>
  <c r="U2" i="30"/>
  <c r="T2" i="30"/>
  <c r="S2" i="30"/>
  <c r="R2" i="30"/>
  <c r="Q2" i="30"/>
  <c r="P2" i="30"/>
  <c r="O2" i="30"/>
  <c r="N2" i="30"/>
  <c r="M2" i="30"/>
  <c r="L2" i="30"/>
  <c r="K2" i="30"/>
  <c r="J2" i="30"/>
  <c r="A15" i="30"/>
  <c r="G2" i="30"/>
  <c r="A22" i="30"/>
  <c r="A25" i="30"/>
  <c r="A36" i="30"/>
  <c r="A52" i="30"/>
  <c r="A57" i="30"/>
  <c r="A2" i="30"/>
  <c r="AD1" i="30"/>
  <c r="AC1" i="30"/>
  <c r="AB1" i="30"/>
  <c r="AA1" i="30"/>
  <c r="Z1" i="30"/>
  <c r="Y1" i="30"/>
  <c r="X1" i="30"/>
  <c r="W1" i="30"/>
  <c r="V1" i="30"/>
  <c r="U1" i="30"/>
  <c r="T1" i="30"/>
  <c r="S1" i="30"/>
  <c r="R1" i="30"/>
  <c r="Q1" i="30"/>
  <c r="P1" i="30"/>
  <c r="O1" i="30"/>
  <c r="N1" i="30"/>
  <c r="M1" i="30"/>
  <c r="L1" i="30"/>
  <c r="K1" i="30"/>
  <c r="J1" i="30"/>
  <c r="A13" i="30"/>
  <c r="A14" i="30"/>
  <c r="A20" i="30"/>
  <c r="A21" i="30"/>
  <c r="A24" i="30"/>
  <c r="A35" i="30"/>
  <c r="A51" i="30"/>
  <c r="A56" i="30"/>
  <c r="A1" i="30"/>
  <c r="AD31" i="29"/>
  <c r="AC31" i="29"/>
  <c r="AB31" i="29"/>
  <c r="AA31" i="29"/>
  <c r="Z31" i="29"/>
  <c r="Y31" i="29"/>
  <c r="X31" i="29"/>
  <c r="W31" i="29"/>
  <c r="V31" i="29"/>
  <c r="U31" i="29"/>
  <c r="T31" i="29"/>
  <c r="S31" i="29"/>
  <c r="R31" i="29"/>
  <c r="Q31" i="29"/>
  <c r="P31" i="29"/>
  <c r="O31" i="29"/>
  <c r="N31" i="29"/>
  <c r="M31" i="29"/>
  <c r="L31" i="29"/>
  <c r="K31" i="29"/>
  <c r="J31" i="29"/>
  <c r="I31" i="29"/>
  <c r="H31" i="29"/>
  <c r="G31" i="29"/>
  <c r="F31" i="29"/>
  <c r="E31" i="29"/>
  <c r="D31" i="29"/>
  <c r="C31" i="29"/>
  <c r="B31" i="29"/>
  <c r="A31" i="29"/>
  <c r="AD30" i="29"/>
  <c r="AC30" i="29"/>
  <c r="AB30" i="29"/>
  <c r="AA30" i="29"/>
  <c r="Z30" i="29"/>
  <c r="Y30" i="29"/>
  <c r="X30" i="29"/>
  <c r="W30" i="29"/>
  <c r="V30" i="29"/>
  <c r="U30" i="29"/>
  <c r="T30" i="29"/>
  <c r="S30" i="29"/>
  <c r="R30" i="29"/>
  <c r="Q30" i="29"/>
  <c r="P30" i="29"/>
  <c r="O30" i="29"/>
  <c r="N30" i="29"/>
  <c r="M30" i="29"/>
  <c r="L30" i="29"/>
  <c r="K30" i="29"/>
  <c r="J30" i="29"/>
  <c r="I30" i="29"/>
  <c r="H30" i="29"/>
  <c r="G30" i="29"/>
  <c r="F30" i="29"/>
  <c r="E30" i="29"/>
  <c r="D30" i="29"/>
  <c r="C30" i="29"/>
  <c r="B30" i="29"/>
  <c r="A30" i="29"/>
  <c r="AD29" i="29"/>
  <c r="AC29" i="29"/>
  <c r="AB29" i="29"/>
  <c r="AA29" i="29"/>
  <c r="Z29" i="29"/>
  <c r="Y29" i="29"/>
  <c r="X29" i="29"/>
  <c r="W29" i="29"/>
  <c r="V29" i="29"/>
  <c r="U29" i="29"/>
  <c r="T29" i="29"/>
  <c r="S29" i="29"/>
  <c r="R29" i="29"/>
  <c r="Q29" i="29"/>
  <c r="P29" i="29"/>
  <c r="O29" i="29"/>
  <c r="N29" i="29"/>
  <c r="M29" i="29"/>
  <c r="L29" i="29"/>
  <c r="K29" i="29"/>
  <c r="J29" i="29"/>
  <c r="I29" i="29"/>
  <c r="H29" i="29"/>
  <c r="G29" i="29"/>
  <c r="F29" i="29"/>
  <c r="E29" i="29"/>
  <c r="D29" i="29"/>
  <c r="C29" i="29"/>
  <c r="B29" i="29"/>
  <c r="A29" i="29"/>
  <c r="AD28" i="29"/>
  <c r="AC28" i="29"/>
  <c r="AB28" i="29"/>
  <c r="AA28" i="29"/>
  <c r="Z28" i="29"/>
  <c r="Y28" i="29"/>
  <c r="X28" i="29"/>
  <c r="W28" i="29"/>
  <c r="V28" i="29"/>
  <c r="U28" i="29"/>
  <c r="T28" i="29"/>
  <c r="S28" i="29"/>
  <c r="R28" i="29"/>
  <c r="Q28" i="29"/>
  <c r="P28" i="29"/>
  <c r="O28" i="29"/>
  <c r="N28" i="29"/>
  <c r="M28" i="29"/>
  <c r="L28" i="29"/>
  <c r="K28" i="29"/>
  <c r="J28" i="29"/>
  <c r="I28" i="29"/>
  <c r="H28" i="29"/>
  <c r="G28" i="29"/>
  <c r="F28" i="29"/>
  <c r="E28" i="29"/>
  <c r="D28" i="29"/>
  <c r="C28" i="29"/>
  <c r="B28" i="29"/>
  <c r="A28" i="29"/>
  <c r="AD27" i="29"/>
  <c r="AC27" i="29"/>
  <c r="AB27" i="29"/>
  <c r="AA27" i="29"/>
  <c r="Z27" i="29"/>
  <c r="Y27" i="29"/>
  <c r="X27" i="29"/>
  <c r="W27" i="29"/>
  <c r="V27" i="29"/>
  <c r="U27" i="29"/>
  <c r="T27" i="29"/>
  <c r="S27" i="29"/>
  <c r="R27" i="29"/>
  <c r="Q27" i="29"/>
  <c r="P27" i="29"/>
  <c r="O27" i="29"/>
  <c r="N27" i="29"/>
  <c r="M27" i="29"/>
  <c r="L27" i="29"/>
  <c r="K27" i="29"/>
  <c r="J27" i="29"/>
  <c r="I27" i="29"/>
  <c r="H27" i="29"/>
  <c r="G27" i="29"/>
  <c r="F27" i="29"/>
  <c r="E27" i="29"/>
  <c r="D27" i="29"/>
  <c r="C27" i="29"/>
  <c r="B27" i="29"/>
  <c r="A27" i="29"/>
  <c r="AD26" i="29"/>
  <c r="AC26" i="29"/>
  <c r="AB26" i="29"/>
  <c r="AA26" i="29"/>
  <c r="Z26" i="29"/>
  <c r="Y26" i="29"/>
  <c r="X26" i="29"/>
  <c r="W26" i="29"/>
  <c r="V26" i="29"/>
  <c r="U26" i="29"/>
  <c r="T26" i="29"/>
  <c r="S26" i="29"/>
  <c r="R26" i="29"/>
  <c r="Q26" i="29"/>
  <c r="P26" i="29"/>
  <c r="O26" i="29"/>
  <c r="N26" i="29"/>
  <c r="M26" i="29"/>
  <c r="L26" i="29"/>
  <c r="K26" i="29"/>
  <c r="J26" i="29"/>
  <c r="I26" i="29"/>
  <c r="H26" i="29"/>
  <c r="G26" i="29"/>
  <c r="F26" i="29"/>
  <c r="E26" i="29"/>
  <c r="D26" i="29"/>
  <c r="C26" i="29"/>
  <c r="B26" i="29"/>
  <c r="A26" i="29"/>
  <c r="AD25" i="29"/>
  <c r="AC25" i="29"/>
  <c r="AB25" i="29"/>
  <c r="AA25" i="29"/>
  <c r="Z25" i="29"/>
  <c r="Y25" i="29"/>
  <c r="X25" i="29"/>
  <c r="W25" i="29"/>
  <c r="V25" i="29"/>
  <c r="U25" i="29"/>
  <c r="T25" i="29"/>
  <c r="S25" i="29"/>
  <c r="R25" i="29"/>
  <c r="Q25" i="29"/>
  <c r="P25" i="29"/>
  <c r="O25" i="29"/>
  <c r="N25" i="29"/>
  <c r="M25" i="29"/>
  <c r="L25" i="29"/>
  <c r="K25" i="29"/>
  <c r="J25" i="29"/>
  <c r="I25" i="29"/>
  <c r="H25" i="29"/>
  <c r="G25" i="29"/>
  <c r="F25" i="29"/>
  <c r="E25" i="29"/>
  <c r="D25" i="29"/>
  <c r="C25" i="29"/>
  <c r="B25" i="29"/>
  <c r="A25" i="29"/>
  <c r="AD24" i="29"/>
  <c r="AC24" i="29"/>
  <c r="AB24" i="29"/>
  <c r="AA24" i="29"/>
  <c r="Z24" i="29"/>
  <c r="Y24" i="29"/>
  <c r="X24" i="29"/>
  <c r="W24" i="29"/>
  <c r="V24" i="29"/>
  <c r="U24" i="29"/>
  <c r="T24" i="29"/>
  <c r="S24" i="29"/>
  <c r="R24" i="29"/>
  <c r="Q24" i="29"/>
  <c r="P24" i="29"/>
  <c r="O24" i="29"/>
  <c r="N24" i="29"/>
  <c r="M24" i="29"/>
  <c r="L24" i="29"/>
  <c r="K24" i="29"/>
  <c r="J24" i="29"/>
  <c r="I24" i="29"/>
  <c r="H24" i="29"/>
  <c r="G24" i="29"/>
  <c r="F24" i="29"/>
  <c r="E24" i="29"/>
  <c r="D24" i="29"/>
  <c r="C24" i="29"/>
  <c r="B24" i="29"/>
  <c r="A24" i="29"/>
  <c r="AD23" i="29"/>
  <c r="AC23" i="29"/>
  <c r="AB23" i="29"/>
  <c r="AA23" i="29"/>
  <c r="Z23" i="29"/>
  <c r="Y23" i="29"/>
  <c r="X23" i="29"/>
  <c r="W23" i="29"/>
  <c r="V23" i="29"/>
  <c r="U23" i="29"/>
  <c r="T23" i="29"/>
  <c r="S23" i="29"/>
  <c r="R23" i="29"/>
  <c r="Q23" i="29"/>
  <c r="P23" i="29"/>
  <c r="O23" i="29"/>
  <c r="N23" i="29"/>
  <c r="M23" i="29"/>
  <c r="L23" i="29"/>
  <c r="K23" i="29"/>
  <c r="J23" i="29"/>
  <c r="I23" i="29"/>
  <c r="H23" i="29"/>
  <c r="G23" i="29"/>
  <c r="F23" i="29"/>
  <c r="E23" i="29"/>
  <c r="D23" i="29"/>
  <c r="C23" i="29"/>
  <c r="B23" i="29"/>
  <c r="A23" i="29"/>
  <c r="AD22" i="29"/>
  <c r="AC22" i="29"/>
  <c r="AB22" i="29"/>
  <c r="AA22" i="29"/>
  <c r="Z22" i="29"/>
  <c r="Y22" i="29"/>
  <c r="X22" i="29"/>
  <c r="W22" i="29"/>
  <c r="V22" i="29"/>
  <c r="U22" i="29"/>
  <c r="T22" i="29"/>
  <c r="S22" i="29"/>
  <c r="R22" i="29"/>
  <c r="Q22" i="29"/>
  <c r="P22" i="29"/>
  <c r="O22" i="29"/>
  <c r="N22" i="29"/>
  <c r="M22" i="29"/>
  <c r="L22" i="29"/>
  <c r="K22" i="29"/>
  <c r="J22" i="29"/>
  <c r="I22" i="29"/>
  <c r="H22" i="29"/>
  <c r="G22" i="29"/>
  <c r="F22" i="29"/>
  <c r="E22" i="29"/>
  <c r="D22" i="29"/>
  <c r="C22" i="29"/>
  <c r="B22" i="29"/>
  <c r="A22" i="29"/>
  <c r="AD21" i="29"/>
  <c r="AC21" i="29"/>
  <c r="AB21" i="29"/>
  <c r="AA21" i="29"/>
  <c r="Z21" i="29"/>
  <c r="Y21" i="29"/>
  <c r="X21" i="29"/>
  <c r="W21" i="29"/>
  <c r="V21" i="29"/>
  <c r="U21" i="29"/>
  <c r="T21" i="29"/>
  <c r="S21" i="29"/>
  <c r="R21" i="29"/>
  <c r="Q21" i="29"/>
  <c r="P21" i="29"/>
  <c r="O21" i="29"/>
  <c r="N21" i="29"/>
  <c r="M21" i="29"/>
  <c r="L21" i="29"/>
  <c r="K21" i="29"/>
  <c r="J21" i="29"/>
  <c r="I21" i="29"/>
  <c r="H21" i="29"/>
  <c r="G21" i="29"/>
  <c r="F21" i="29"/>
  <c r="E21" i="29"/>
  <c r="D21" i="29"/>
  <c r="C21" i="29"/>
  <c r="B21" i="29"/>
  <c r="A21" i="29"/>
  <c r="AD20" i="29"/>
  <c r="AC20" i="29"/>
  <c r="AB20" i="29"/>
  <c r="AA20" i="29"/>
  <c r="Z20" i="29"/>
  <c r="Y20" i="29"/>
  <c r="X20" i="29"/>
  <c r="W20" i="29"/>
  <c r="V20" i="29"/>
  <c r="U20" i="29"/>
  <c r="T20" i="29"/>
  <c r="S20" i="29"/>
  <c r="R20" i="29"/>
  <c r="Q20" i="29"/>
  <c r="P20" i="29"/>
  <c r="O20" i="29"/>
  <c r="N20" i="29"/>
  <c r="M20" i="29"/>
  <c r="L20" i="29"/>
  <c r="K20" i="29"/>
  <c r="J20" i="29"/>
  <c r="I20" i="29"/>
  <c r="H20" i="29"/>
  <c r="G20" i="29"/>
  <c r="F20" i="29"/>
  <c r="E20" i="29"/>
  <c r="D20" i="29"/>
  <c r="C20" i="29"/>
  <c r="B20" i="29"/>
  <c r="A20" i="29"/>
  <c r="AD19" i="29"/>
  <c r="AC19" i="29"/>
  <c r="AB19" i="29"/>
  <c r="AA19" i="29"/>
  <c r="Z19" i="29"/>
  <c r="Y19" i="29"/>
  <c r="X19" i="29"/>
  <c r="W19" i="29"/>
  <c r="V19" i="29"/>
  <c r="U19" i="29"/>
  <c r="T19" i="29"/>
  <c r="S19" i="29"/>
  <c r="R19" i="29"/>
  <c r="Q19" i="29"/>
  <c r="P19" i="29"/>
  <c r="O19" i="29"/>
  <c r="N19" i="29"/>
  <c r="M19" i="29"/>
  <c r="L19" i="29"/>
  <c r="K19" i="29"/>
  <c r="J19" i="29"/>
  <c r="I19" i="29"/>
  <c r="H19" i="29"/>
  <c r="G19" i="29"/>
  <c r="F19" i="29"/>
  <c r="E19" i="29"/>
  <c r="D19" i="29"/>
  <c r="C19" i="29"/>
  <c r="B19" i="29"/>
  <c r="A19" i="29"/>
  <c r="AD18" i="29"/>
  <c r="AC18" i="29"/>
  <c r="AB18" i="29"/>
  <c r="AA18" i="29"/>
  <c r="Z18" i="29"/>
  <c r="Y18" i="29"/>
  <c r="X18" i="29"/>
  <c r="W18" i="29"/>
  <c r="V18" i="29"/>
  <c r="U18" i="29"/>
  <c r="T18" i="29"/>
  <c r="S18" i="29"/>
  <c r="R18" i="29"/>
  <c r="Q18" i="29"/>
  <c r="P18" i="29"/>
  <c r="O18" i="29"/>
  <c r="N18" i="29"/>
  <c r="M18" i="29"/>
  <c r="L18" i="29"/>
  <c r="K18" i="29"/>
  <c r="J18" i="29"/>
  <c r="I18" i="29"/>
  <c r="H18" i="29"/>
  <c r="G18" i="29"/>
  <c r="F18" i="29"/>
  <c r="E18" i="29"/>
  <c r="D18" i="29"/>
  <c r="C18" i="29"/>
  <c r="B18" i="29"/>
  <c r="A18" i="29"/>
  <c r="AD17" i="29"/>
  <c r="AC17" i="29"/>
  <c r="AB17" i="29"/>
  <c r="AA17" i="29"/>
  <c r="Z17" i="29"/>
  <c r="Y17" i="29"/>
  <c r="X17" i="29"/>
  <c r="W17" i="29"/>
  <c r="V17" i="29"/>
  <c r="U17" i="29"/>
  <c r="T17" i="29"/>
  <c r="S17" i="29"/>
  <c r="R17" i="29"/>
  <c r="Q17" i="29"/>
  <c r="P17" i="29"/>
  <c r="O17" i="29"/>
  <c r="N17" i="29"/>
  <c r="M17" i="29"/>
  <c r="L17" i="29"/>
  <c r="K17" i="29"/>
  <c r="J17" i="29"/>
  <c r="I17" i="29"/>
  <c r="H17" i="29"/>
  <c r="G17" i="29"/>
  <c r="F17" i="29"/>
  <c r="E17" i="29"/>
  <c r="D17" i="29"/>
  <c r="C17" i="29"/>
  <c r="B17" i="29"/>
  <c r="A17" i="29"/>
  <c r="AD16" i="29"/>
  <c r="AC16" i="29"/>
  <c r="AB16" i="29"/>
  <c r="AA16" i="29"/>
  <c r="Z16" i="29"/>
  <c r="Y16" i="29"/>
  <c r="X16" i="29"/>
  <c r="W16" i="29"/>
  <c r="V16" i="29"/>
  <c r="U16" i="29"/>
  <c r="T16" i="29"/>
  <c r="S16" i="29"/>
  <c r="R16" i="29"/>
  <c r="Q16" i="29"/>
  <c r="P16" i="29"/>
  <c r="O16" i="29"/>
  <c r="N16" i="29"/>
  <c r="M16" i="29"/>
  <c r="L16" i="29"/>
  <c r="K16" i="29"/>
  <c r="J16" i="29"/>
  <c r="I16" i="29"/>
  <c r="H16" i="29"/>
  <c r="G16" i="29"/>
  <c r="F16" i="29"/>
  <c r="E16" i="29"/>
  <c r="D16" i="29"/>
  <c r="C16" i="29"/>
  <c r="B16" i="29"/>
  <c r="A16" i="29"/>
  <c r="AD15" i="29"/>
  <c r="AC15" i="29"/>
  <c r="AB15" i="29"/>
  <c r="AA15" i="29"/>
  <c r="Z15" i="29"/>
  <c r="Y15" i="29"/>
  <c r="X15" i="29"/>
  <c r="W15" i="29"/>
  <c r="V15" i="29"/>
  <c r="U15" i="29"/>
  <c r="T15" i="29"/>
  <c r="S15" i="29"/>
  <c r="R15" i="29"/>
  <c r="Q15" i="29"/>
  <c r="P15" i="29"/>
  <c r="O15" i="29"/>
  <c r="N15" i="29"/>
  <c r="M15" i="29"/>
  <c r="L15" i="29"/>
  <c r="K15" i="29"/>
  <c r="J15" i="29"/>
  <c r="I15" i="29"/>
  <c r="H15" i="29"/>
  <c r="G15" i="29"/>
  <c r="F15" i="29"/>
  <c r="E15" i="29"/>
  <c r="D15" i="29"/>
  <c r="C15" i="29"/>
  <c r="B15" i="29"/>
  <c r="A15" i="29"/>
  <c r="AD14" i="29"/>
  <c r="AC14" i="29"/>
  <c r="AB14" i="29"/>
  <c r="AA14" i="29"/>
  <c r="Z14" i="29"/>
  <c r="Y14" i="29"/>
  <c r="X14" i="29"/>
  <c r="W14" i="29"/>
  <c r="V14" i="29"/>
  <c r="U14" i="29"/>
  <c r="T14" i="29"/>
  <c r="S14" i="29"/>
  <c r="R14" i="29"/>
  <c r="Q14" i="29"/>
  <c r="P14" i="29"/>
  <c r="O14" i="29"/>
  <c r="N14" i="29"/>
  <c r="M14" i="29"/>
  <c r="L14" i="29"/>
  <c r="K14" i="29"/>
  <c r="J14" i="29"/>
  <c r="I14" i="29"/>
  <c r="H14" i="29"/>
  <c r="G14" i="29"/>
  <c r="F14" i="29"/>
  <c r="E14" i="29"/>
  <c r="D14" i="29"/>
  <c r="C14" i="29"/>
  <c r="B14" i="29"/>
  <c r="A14" i="29"/>
  <c r="AD13" i="29"/>
  <c r="AC13" i="29"/>
  <c r="AB13" i="29"/>
  <c r="AA13" i="29"/>
  <c r="Z13" i="29"/>
  <c r="Y13" i="29"/>
  <c r="X13" i="29"/>
  <c r="W13" i="29"/>
  <c r="V13" i="29"/>
  <c r="U13" i="29"/>
  <c r="T13" i="29"/>
  <c r="S13" i="29"/>
  <c r="R13" i="29"/>
  <c r="Q13" i="29"/>
  <c r="P13" i="29"/>
  <c r="O13" i="29"/>
  <c r="N13" i="29"/>
  <c r="M13" i="29"/>
  <c r="L13" i="29"/>
  <c r="K13" i="29"/>
  <c r="J13" i="29"/>
  <c r="I13" i="29"/>
  <c r="H13" i="29"/>
  <c r="G13" i="29"/>
  <c r="F13" i="29"/>
  <c r="E13" i="29"/>
  <c r="D13" i="29"/>
  <c r="C13" i="29"/>
  <c r="B13" i="29"/>
  <c r="A13" i="29"/>
  <c r="AD12" i="29"/>
  <c r="AC12" i="29"/>
  <c r="AB12" i="29"/>
  <c r="AA12" i="29"/>
  <c r="Z12" i="29"/>
  <c r="Y12" i="29"/>
  <c r="X12" i="29"/>
  <c r="W12" i="29"/>
  <c r="V12" i="29"/>
  <c r="U12" i="29"/>
  <c r="T12" i="29"/>
  <c r="S12" i="29"/>
  <c r="R12" i="29"/>
  <c r="Q12" i="29"/>
  <c r="P12" i="29"/>
  <c r="O12" i="29"/>
  <c r="N12" i="29"/>
  <c r="M12" i="29"/>
  <c r="L12" i="29"/>
  <c r="K12" i="29"/>
  <c r="J12" i="29"/>
  <c r="I12" i="29"/>
  <c r="H12" i="29"/>
  <c r="G12" i="29"/>
  <c r="F12" i="29"/>
  <c r="E12" i="29"/>
  <c r="D12" i="29"/>
  <c r="C12" i="29"/>
  <c r="B12" i="29"/>
  <c r="A12" i="29"/>
  <c r="AD11" i="29"/>
  <c r="AC11" i="29"/>
  <c r="AB11" i="29"/>
  <c r="AA11" i="29"/>
  <c r="Z11" i="29"/>
  <c r="Y11" i="29"/>
  <c r="X11" i="29"/>
  <c r="W11" i="29"/>
  <c r="V11" i="29"/>
  <c r="U11" i="29"/>
  <c r="T11" i="29"/>
  <c r="S11" i="29"/>
  <c r="R11" i="29"/>
  <c r="Q11" i="29"/>
  <c r="P11" i="29"/>
  <c r="O11" i="29"/>
  <c r="N11" i="29"/>
  <c r="M11" i="29"/>
  <c r="L11" i="29"/>
  <c r="K11" i="29"/>
  <c r="J11" i="29"/>
  <c r="I11" i="29"/>
  <c r="H11" i="29"/>
  <c r="G11" i="29"/>
  <c r="F11" i="29"/>
  <c r="E11" i="29"/>
  <c r="D11" i="29"/>
  <c r="C11" i="29"/>
  <c r="B11" i="29"/>
  <c r="A11" i="29"/>
  <c r="AD10" i="29"/>
  <c r="AC10" i="29"/>
  <c r="AB10" i="29"/>
  <c r="AA10" i="29"/>
  <c r="Z10" i="29"/>
  <c r="Y10" i="29"/>
  <c r="X10" i="29"/>
  <c r="W10" i="29"/>
  <c r="V10" i="29"/>
  <c r="U10" i="29"/>
  <c r="T10" i="29"/>
  <c r="S10" i="29"/>
  <c r="R10" i="29"/>
  <c r="Q10" i="29"/>
  <c r="P10" i="29"/>
  <c r="O10" i="29"/>
  <c r="N10" i="29"/>
  <c r="M10" i="29"/>
  <c r="L10" i="29"/>
  <c r="K10" i="29"/>
  <c r="J10" i="29"/>
  <c r="I10" i="29"/>
  <c r="H10" i="29"/>
  <c r="G10" i="29"/>
  <c r="F10" i="29"/>
  <c r="E10" i="29"/>
  <c r="D10" i="29"/>
  <c r="C10" i="29"/>
  <c r="B10" i="29"/>
  <c r="A10" i="29"/>
  <c r="AD9" i="29"/>
  <c r="AC9" i="29"/>
  <c r="AB9" i="29"/>
  <c r="AA9" i="29"/>
  <c r="Z9" i="29"/>
  <c r="Y9" i="29"/>
  <c r="X9" i="29"/>
  <c r="W9" i="29"/>
  <c r="V9" i="29"/>
  <c r="U9" i="29"/>
  <c r="T9" i="29"/>
  <c r="S9" i="29"/>
  <c r="R9" i="29"/>
  <c r="Q9" i="29"/>
  <c r="P9" i="29"/>
  <c r="O9" i="29"/>
  <c r="N9" i="29"/>
  <c r="M9" i="29"/>
  <c r="L9" i="29"/>
  <c r="K9" i="29"/>
  <c r="J9" i="29"/>
  <c r="I9" i="29"/>
  <c r="H9" i="29"/>
  <c r="G9" i="29"/>
  <c r="F9" i="29"/>
  <c r="E9" i="29"/>
  <c r="D9" i="29"/>
  <c r="C9" i="29"/>
  <c r="B9" i="29"/>
  <c r="A9" i="29"/>
  <c r="AD8" i="29"/>
  <c r="AC8" i="29"/>
  <c r="AB8" i="29"/>
  <c r="AA8" i="29"/>
  <c r="Z8" i="29"/>
  <c r="Y8" i="29"/>
  <c r="X8" i="29"/>
  <c r="W8" i="29"/>
  <c r="V8" i="29"/>
  <c r="U8" i="29"/>
  <c r="T8" i="29"/>
  <c r="S8" i="29"/>
  <c r="R8" i="29"/>
  <c r="Q8" i="29"/>
  <c r="P8" i="29"/>
  <c r="O8" i="29"/>
  <c r="N8" i="29"/>
  <c r="M8" i="29"/>
  <c r="L8" i="29"/>
  <c r="K8" i="29"/>
  <c r="J8" i="29"/>
  <c r="I8" i="29"/>
  <c r="H8" i="29"/>
  <c r="G8" i="29"/>
  <c r="F8" i="29"/>
  <c r="E8" i="29"/>
  <c r="D8" i="29"/>
  <c r="C8" i="29"/>
  <c r="B8" i="29"/>
  <c r="A8" i="29"/>
  <c r="AD7" i="29"/>
  <c r="AC7" i="29"/>
  <c r="AB7" i="29"/>
  <c r="AA7" i="29"/>
  <c r="Z7" i="29"/>
  <c r="Y7" i="29"/>
  <c r="X7" i="29"/>
  <c r="W7" i="29"/>
  <c r="V7" i="29"/>
  <c r="U7" i="29"/>
  <c r="T7" i="29"/>
  <c r="S7" i="29"/>
  <c r="R7" i="29"/>
  <c r="Q7" i="29"/>
  <c r="P7" i="29"/>
  <c r="O7" i="29"/>
  <c r="N7" i="29"/>
  <c r="M7" i="29"/>
  <c r="L7" i="29"/>
  <c r="K7" i="29"/>
  <c r="J7" i="29"/>
  <c r="I7" i="29"/>
  <c r="H7" i="29"/>
  <c r="G7" i="29"/>
  <c r="F7" i="29"/>
  <c r="E7" i="29"/>
  <c r="D7" i="29"/>
  <c r="C7" i="29"/>
  <c r="B7" i="29"/>
  <c r="A7" i="29"/>
  <c r="AD6" i="29"/>
  <c r="AC6" i="29"/>
  <c r="AB6" i="29"/>
  <c r="AA6" i="29"/>
  <c r="Z6" i="29"/>
  <c r="Y6" i="29"/>
  <c r="X6" i="29"/>
  <c r="W6" i="29"/>
  <c r="V6" i="29"/>
  <c r="U6" i="29"/>
  <c r="T6" i="29"/>
  <c r="S6" i="29"/>
  <c r="R6" i="29"/>
  <c r="Q6" i="29"/>
  <c r="P6" i="29"/>
  <c r="O6" i="29"/>
  <c r="N6" i="29"/>
  <c r="M6" i="29"/>
  <c r="L6" i="29"/>
  <c r="K6" i="29"/>
  <c r="J6" i="29"/>
  <c r="I6" i="29"/>
  <c r="H6" i="29"/>
  <c r="G6" i="29"/>
  <c r="F6" i="29"/>
  <c r="E6" i="29"/>
  <c r="D6" i="29"/>
  <c r="C6" i="29"/>
  <c r="B6" i="29"/>
  <c r="A6" i="29"/>
  <c r="AD5" i="29"/>
  <c r="AC5" i="29"/>
  <c r="AB5" i="29"/>
  <c r="AA5" i="29"/>
  <c r="Z5" i="29"/>
  <c r="Y5" i="29"/>
  <c r="X5" i="29"/>
  <c r="W5" i="29"/>
  <c r="V5" i="29"/>
  <c r="U5" i="29"/>
  <c r="T5" i="29"/>
  <c r="S5" i="29"/>
  <c r="R5" i="29"/>
  <c r="Q5" i="29"/>
  <c r="P5" i="29"/>
  <c r="O5" i="29"/>
  <c r="N5" i="29"/>
  <c r="M5" i="29"/>
  <c r="L5" i="29"/>
  <c r="K5" i="29"/>
  <c r="J5" i="29"/>
  <c r="I5" i="29"/>
  <c r="H5" i="29"/>
  <c r="G5" i="29"/>
  <c r="F5" i="29"/>
  <c r="E5" i="29"/>
  <c r="D5" i="29"/>
  <c r="C5" i="29"/>
  <c r="B5" i="29"/>
  <c r="A5" i="29"/>
  <c r="AD4" i="29"/>
  <c r="AC4" i="29"/>
  <c r="AB4" i="29"/>
  <c r="AA4" i="29"/>
  <c r="Z4" i="29"/>
  <c r="Y4" i="29"/>
  <c r="X4" i="29"/>
  <c r="W4" i="29"/>
  <c r="V4" i="29"/>
  <c r="U4" i="29"/>
  <c r="T4" i="29"/>
  <c r="S4" i="29"/>
  <c r="R4" i="29"/>
  <c r="Q4" i="29"/>
  <c r="P4" i="29"/>
  <c r="O4" i="29"/>
  <c r="N4" i="29"/>
  <c r="M4" i="29"/>
  <c r="L4" i="29"/>
  <c r="K4" i="29"/>
  <c r="J4" i="29"/>
  <c r="I4" i="29"/>
  <c r="H4" i="29"/>
  <c r="G4" i="29"/>
  <c r="F4" i="29"/>
  <c r="E4" i="29"/>
  <c r="D4" i="29"/>
  <c r="C4" i="29"/>
  <c r="B4" i="29"/>
  <c r="A4" i="29"/>
  <c r="AD3" i="29"/>
  <c r="AC3" i="29"/>
  <c r="AB3" i="29"/>
  <c r="AA3" i="29"/>
  <c r="Z3" i="29"/>
  <c r="Y3" i="29"/>
  <c r="X3" i="29"/>
  <c r="W3" i="29"/>
  <c r="V3" i="29"/>
  <c r="U3" i="29"/>
  <c r="T3" i="29"/>
  <c r="S3" i="29"/>
  <c r="R3" i="29"/>
  <c r="Q3" i="29"/>
  <c r="P3" i="29"/>
  <c r="O3" i="29"/>
  <c r="N3" i="29"/>
  <c r="M3" i="29"/>
  <c r="L3" i="29"/>
  <c r="K3" i="29"/>
  <c r="J3" i="29"/>
  <c r="I3" i="29"/>
  <c r="H3" i="29"/>
  <c r="G3" i="29"/>
  <c r="F3" i="29"/>
  <c r="E3" i="29"/>
  <c r="D3" i="29"/>
  <c r="C3" i="29"/>
  <c r="B3" i="29"/>
  <c r="A3" i="29"/>
  <c r="AD2" i="29"/>
  <c r="AC2" i="29"/>
  <c r="AB2" i="29"/>
  <c r="AA2" i="29"/>
  <c r="Z2" i="29"/>
  <c r="Y2" i="29"/>
  <c r="X2" i="29"/>
  <c r="W2" i="29"/>
  <c r="V2" i="29"/>
  <c r="U2" i="29"/>
  <c r="T2" i="29"/>
  <c r="S2" i="29"/>
  <c r="R2" i="29"/>
  <c r="Q2" i="29"/>
  <c r="P2" i="29"/>
  <c r="O2" i="29"/>
  <c r="N2" i="29"/>
  <c r="M2" i="29"/>
  <c r="L2" i="29"/>
  <c r="K2" i="29"/>
  <c r="J2" i="29"/>
  <c r="I2" i="29"/>
  <c r="H2" i="29"/>
  <c r="G2" i="29"/>
  <c r="F2" i="29"/>
  <c r="E2" i="29"/>
  <c r="D2" i="29"/>
  <c r="C2" i="29"/>
  <c r="B2" i="29"/>
  <c r="A2" i="29"/>
  <c r="AD1" i="29"/>
  <c r="AC1" i="29"/>
  <c r="AB1" i="29"/>
  <c r="AA1" i="29"/>
  <c r="Z1" i="29"/>
  <c r="Y1" i="29"/>
  <c r="X1" i="29"/>
  <c r="W1" i="29"/>
  <c r="V1" i="29"/>
  <c r="U1" i="29"/>
  <c r="T1" i="29"/>
  <c r="S1" i="29"/>
  <c r="R1" i="29"/>
  <c r="Q1" i="29"/>
  <c r="P1" i="29"/>
  <c r="O1" i="29"/>
  <c r="N1" i="29"/>
  <c r="M1" i="29"/>
  <c r="L1" i="29"/>
  <c r="K1" i="29"/>
  <c r="J1" i="29"/>
  <c r="I1" i="29"/>
  <c r="H1" i="29"/>
  <c r="G1" i="29"/>
  <c r="F1" i="29"/>
  <c r="E1" i="29"/>
  <c r="D1" i="29"/>
  <c r="C1" i="29"/>
  <c r="B1" i="29"/>
  <c r="A1" i="29"/>
</calcChain>
</file>

<file path=xl/sharedStrings.xml><?xml version="1.0" encoding="utf-8"?>
<sst xmlns="http://schemas.openxmlformats.org/spreadsheetml/2006/main" count="17453" uniqueCount="2962">
  <si>
    <t>Part Number List</t>
  </si>
  <si>
    <t>SolarTools ver. 24.0.84.24712 (Jul 31, 2025)</t>
  </si>
  <si>
    <t>Project #</t>
  </si>
  <si>
    <t>4K911</t>
  </si>
  <si>
    <t>Report date: 1/9/2026 11:43 AM</t>
  </si>
  <si>
    <t>Project Name</t>
  </si>
  <si>
    <t>ERGON REFINING INC</t>
  </si>
  <si>
    <t>Revision</t>
  </si>
  <si>
    <t>A</t>
  </si>
  <si>
    <t>Controls DE</t>
  </si>
  <si>
    <t>A. MADDI</t>
  </si>
  <si>
    <t>Phone:</t>
  </si>
  <si>
    <t>0</t>
  </si>
  <si>
    <t>Controls ME</t>
  </si>
  <si>
    <t>Device ID</t>
  </si>
  <si>
    <t>Part Number</t>
  </si>
  <si>
    <t>Description</t>
  </si>
  <si>
    <t>Location</t>
  </si>
  <si>
    <t>CCAT0170</t>
  </si>
  <si>
    <t>CUSTOMER DEFINED</t>
  </si>
  <si>
    <t>CUSTOMER CONNECTION, TROUBLE ALARM SIGNAL</t>
  </si>
  <si>
    <t>CUSTOMER FIRE AND GAS SIGNALS</t>
  </si>
  <si>
    <t>CCKA0982</t>
  </si>
  <si>
    <t>CUSTOMER CONNECTION, FIRE DETECTED SIGNAL</t>
  </si>
  <si>
    <t>CCKA0984</t>
  </si>
  <si>
    <t>CUSTOMER CONNECTION, GAS DETECTED SIGNAL</t>
  </si>
  <si>
    <t>CCKA2160</t>
  </si>
  <si>
    <t>CUSTOMER CONNECTION, CLOSE GAS BLOCK VALVE</t>
  </si>
  <si>
    <t>GAS FUEL BLOCK BLEED VALVE</t>
  </si>
  <si>
    <t>CCKA2161</t>
  </si>
  <si>
    <t>CUSTOMER CONNECTION, OPEN GAS BLEED VALVE</t>
  </si>
  <si>
    <t>AF0400</t>
  </si>
  <si>
    <t>1322418-31,1322418-40,1322418-72,1322418-73</t>
  </si>
  <si>
    <t>1444-TSCX02-02RB, 2-CH TACHOMETER INPUT^DYNAMIX 1444 VIBRATION</t>
  </si>
  <si>
    <t>GENERATOR PANEL</t>
  </si>
  <si>
    <t>AF0410</t>
  </si>
  <si>
    <t>1322418-11,1322418-20,1322418-70,1322418-71</t>
  </si>
  <si>
    <t>1444-DYN04-01RA, 4-CH VIBRATION INPUT^DYNAMIX 1444 VIBRATION</t>
  </si>
  <si>
    <t>AF0420</t>
  </si>
  <si>
    <t>AF0440</t>
  </si>
  <si>
    <t>AF0450</t>
  </si>
  <si>
    <t>AT0140</t>
  </si>
  <si>
    <t>2769310-1,2769310-4</t>
  </si>
  <si>
    <t>MODULE, DESC-250</t>
  </si>
  <si>
    <t>FU0113</t>
  </si>
  <si>
    <t>[2]1043265-1,[2]1043265-4</t>
  </si>
  <si>
    <t>FUSE, 5A</t>
  </si>
  <si>
    <t>FU0180</t>
  </si>
  <si>
    <t>1043265-1,1043265-5</t>
  </si>
  <si>
    <t>FUSE, 10A</t>
  </si>
  <si>
    <t>FU0181</t>
  </si>
  <si>
    <t>FU0182</t>
  </si>
  <si>
    <t>FU0313</t>
  </si>
  <si>
    <t>1043265-1,1043265-7</t>
  </si>
  <si>
    <t>FUSE, 20A</t>
  </si>
  <si>
    <t>FU0314</t>
  </si>
  <si>
    <t>GR0110</t>
  </si>
  <si>
    <t>903849C1</t>
  </si>
  <si>
    <t>RAIL GROUND, DIN RAIL GROUNDING</t>
  </si>
  <si>
    <t>GR0140</t>
  </si>
  <si>
    <t>[2]903849C1</t>
  </si>
  <si>
    <t>GR0141</t>
  </si>
  <si>
    <t>GR0142</t>
  </si>
  <si>
    <t>GR0143</t>
  </si>
  <si>
    <t>IEG0130</t>
  </si>
  <si>
    <t>232941-110</t>
  </si>
  <si>
    <t>BUS BAR, GENERATOR - INSTRUMENT EARTH GROUNDING</t>
  </si>
  <si>
    <t>KA0121</t>
  </si>
  <si>
    <t>1061979-1</t>
  </si>
  <si>
    <t>RELAY, AUTOMATIC CLOSE CIRCUIT BREAKER</t>
  </si>
  <si>
    <t>KA0123</t>
  </si>
  <si>
    <t>RELAY, CGCM #1 ENABLED</t>
  </si>
  <si>
    <t>KA0128</t>
  </si>
  <si>
    <t>RELAY, GENERATOR TRIP SUMMARY CIRCUIT BREAKER</t>
  </si>
  <si>
    <t>KA0180</t>
  </si>
  <si>
    <t>RELAY, 90% SPEED</t>
  </si>
  <si>
    <t>KA0181</t>
  </si>
  <si>
    <t>RELAY, TURBINE RUNNING STATUS</t>
  </si>
  <si>
    <t>KA0182</t>
  </si>
  <si>
    <t>RELAY, WHRS PURGE FLOW ESTABLISHED</t>
  </si>
  <si>
    <t>KA0183</t>
  </si>
  <si>
    <t>RELAY, WASTE HEAT READY</t>
  </si>
  <si>
    <t>KA0185</t>
  </si>
  <si>
    <t>RELAY, PERMISSIVE CLOSE CIRCUIT BREAKER</t>
  </si>
  <si>
    <t>KA0310</t>
  </si>
  <si>
    <t>RELAY, CGCM #1 FAULT</t>
  </si>
  <si>
    <t>KA0313</t>
  </si>
  <si>
    <t>1076251-1,1076251-2</t>
  </si>
  <si>
    <t>RELAY, PMG INPUT #1</t>
  </si>
  <si>
    <t>KA0330</t>
  </si>
  <si>
    <t>RELAY, CLOSED CIRCUIT BREAKER</t>
  </si>
  <si>
    <t>KA0331</t>
  </si>
  <si>
    <t>RELAY, MAIN UTILITY BREAKER AUXILIARY CONTACT CLOSED</t>
  </si>
  <si>
    <t>KA0332</t>
  </si>
  <si>
    <t>RELAY, CLOSE CONTROL CIRCUIT BREAKER</t>
  </si>
  <si>
    <t>KA0333</t>
  </si>
  <si>
    <t>RELAY, TRIP CONTROL CIRCUIT BREAKER</t>
  </si>
  <si>
    <t>KA0335</t>
  </si>
  <si>
    <t>RELAY, NO EMERGENCY SHUTDOWN SUMMARY</t>
  </si>
  <si>
    <t>KA0336</t>
  </si>
  <si>
    <t>RELAY, CONTROLLER ACTIVE</t>
  </si>
  <si>
    <t>KA4100</t>
  </si>
  <si>
    <t>RELAY, GENERATOR HEATER DISABLED</t>
  </si>
  <si>
    <t>KA4300</t>
  </si>
  <si>
    <t>RELAY, EXCITER HEATER DISABLED</t>
  </si>
  <si>
    <t>PEG0140</t>
  </si>
  <si>
    <t>232941-200</t>
  </si>
  <si>
    <t>BUS BAR, GENERATOR - POWER EARTH GROUNDING</t>
  </si>
  <si>
    <t>UA1210</t>
  </si>
  <si>
    <t>190816-120,190817-14</t>
  </si>
  <si>
    <t>PROXIMITOR, ENGINE BEARING #1^(GAS PRODUCER X-AXIS)</t>
  </si>
  <si>
    <t>UA1211</t>
  </si>
  <si>
    <t>PROXIMITOR, ENGINE BEARING #1^(GAS PRODUCER Y-AXIS)</t>
  </si>
  <si>
    <t>UA1220</t>
  </si>
  <si>
    <t>190816-120,190817-141</t>
  </si>
  <si>
    <t>PROXIMITOR, ENGINE BEARING #2^(GAS PRODUCER X-AXIS)</t>
  </si>
  <si>
    <t>UA1221</t>
  </si>
  <si>
    <t>PROXIMITOR, ENGINE BEARING #2^(GAS PRODUCER Y-AXIS)</t>
  </si>
  <si>
    <t>UA1230</t>
  </si>
  <si>
    <t>PROXIMITOR, ENGINE BEARING #3^(GAS PRODUCER X-AXIS)</t>
  </si>
  <si>
    <t>UA1231</t>
  </si>
  <si>
    <t>PROXIMITOR, ENGINE BEARING #3^(GAS PRODUCER Y-AXIS)</t>
  </si>
  <si>
    <t>UA1262</t>
  </si>
  <si>
    <t>PROXIMITOR, ENGINE BEARING AXIAL^(GAS PRODUCER Z-AXIS)</t>
  </si>
  <si>
    <t>UA1263</t>
  </si>
  <si>
    <t>PROXIMITOR, ENGINE KEYPHASOR^(GAS PRODUCER)</t>
  </si>
  <si>
    <t>UA1520</t>
  </si>
  <si>
    <t>1105411-11</t>
  </si>
  <si>
    <t>SIGNAL CONVERTER, BAM 2 SIGNAL CONDITIONER</t>
  </si>
  <si>
    <t>XT0130</t>
  </si>
  <si>
    <t>1066730-32,[2]1066730-7,[2]1066730-8,1067996-4,1067996-82</t>
  </si>
  <si>
    <t>TERMINAL BLOCK, SPRING, 4 CONDUCTOR,30-12 AWG (0.05-3.31 MM2),NON-IS</t>
  </si>
  <si>
    <t>XT0180</t>
  </si>
  <si>
    <t>1066730-7,1066730-8,1067996-4</t>
  </si>
  <si>
    <t>XT0313</t>
  </si>
  <si>
    <t>XT0332</t>
  </si>
  <si>
    <t>XT0334</t>
  </si>
  <si>
    <t>XT0335</t>
  </si>
  <si>
    <t>XT0336</t>
  </si>
  <si>
    <t>XT0337</t>
  </si>
  <si>
    <t>1066730-7,1066730-8,1067996-82</t>
  </si>
  <si>
    <t>XT0338</t>
  </si>
  <si>
    <t>1066730-7</t>
  </si>
  <si>
    <t>XT0350</t>
  </si>
  <si>
    <t>1066730-16,1066730-17,1066730-18</t>
  </si>
  <si>
    <t>TERMINAL STRIP, 2 CONDUCTOR</t>
  </si>
  <si>
    <t>XT0351</t>
  </si>
  <si>
    <t>XT0352</t>
  </si>
  <si>
    <t>XT0360</t>
  </si>
  <si>
    <t>XT0370</t>
  </si>
  <si>
    <t>XT0400</t>
  </si>
  <si>
    <t>1066730-1,1066730-7,1066730-8,1067996-4</t>
  </si>
  <si>
    <t>TERMINAL STRIP, 4 CONDUCTOR</t>
  </si>
  <si>
    <t>XT1521</t>
  </si>
  <si>
    <t>AT0170</t>
  </si>
  <si>
    <t>1056244-29</t>
  </si>
  <si>
    <t>CONTROLLER, EAGLE QUANTUM PREMIER</t>
  </si>
  <si>
    <t>JB70</t>
  </si>
  <si>
    <t>AT1100</t>
  </si>
  <si>
    <t>1577354-4501</t>
  </si>
  <si>
    <t>WORKSTATION, VERSA VIEW 1200H</t>
  </si>
  <si>
    <t>FU1100</t>
  </si>
  <si>
    <t>HA0472</t>
  </si>
  <si>
    <t>1103208-101</t>
  </si>
  <si>
    <t>HORN, ACUSTIC DEVICE</t>
  </si>
  <si>
    <t>HL0171</t>
  </si>
  <si>
    <t>2380746-7</t>
  </si>
  <si>
    <t>LIGHT, FIRE SYSTEM AUTO, GREEN</t>
  </si>
  <si>
    <t>HL0172</t>
  </si>
  <si>
    <t>LIGHT, FIRE SYSTEM INHIBIT, AMBER</t>
  </si>
  <si>
    <t>HL0173</t>
  </si>
  <si>
    <t>LIGHT, FIRE SYSTEM DISCHARGED, RED</t>
  </si>
  <si>
    <t>SA0170</t>
  </si>
  <si>
    <t>2380746-9</t>
  </si>
  <si>
    <t>SELECTOR SWITCH, FIRE SYSTEM AUTO/INHIBIT</t>
  </si>
  <si>
    <t>SA0471</t>
  </si>
  <si>
    <t>2380746-2</t>
  </si>
  <si>
    <t>SELECTOR SWITCH, SPEED/LOAD</t>
  </si>
  <si>
    <t>SA0472</t>
  </si>
  <si>
    <t>SELECTOR SWITCH, VOLTAGE</t>
  </si>
  <si>
    <t>SA0473</t>
  </si>
  <si>
    <t>2380746-5</t>
  </si>
  <si>
    <t>SELECTOR SWITCH, OFF/LOC/AUX</t>
  </si>
  <si>
    <t>SB0170</t>
  </si>
  <si>
    <t>2380746-10</t>
  </si>
  <si>
    <t>PUSHBUTTON SWITCH, MANUAL RELEASE</t>
  </si>
  <si>
    <t>SB0471</t>
  </si>
  <si>
    <t>2380746-1</t>
  </si>
  <si>
    <t>PUSHBUTTON SWITCH, HORN SILENCE</t>
  </si>
  <si>
    <t>SB0472</t>
  </si>
  <si>
    <t>2380746-4</t>
  </si>
  <si>
    <t>PUSHBUTTON SWITCH, EMERGENCY STOP</t>
  </si>
  <si>
    <t>SB0473</t>
  </si>
  <si>
    <t>PUSHBUTTON SWITCH, ACKNOWLEDGE</t>
  </si>
  <si>
    <t>SB0474</t>
  </si>
  <si>
    <t>PUSHBUTTON SWITCH, RESET</t>
  </si>
  <si>
    <t>SH0470</t>
  </si>
  <si>
    <t>2380746-3</t>
  </si>
  <si>
    <t>LIGHTED SWITCH, STOP/STOPPING, RED</t>
  </si>
  <si>
    <t>SH0471</t>
  </si>
  <si>
    <t>LIGHTED SWITCH, START/STARTING, GREEN</t>
  </si>
  <si>
    <t>SH0472</t>
  </si>
  <si>
    <t>LIGHTED SWITCH, BACKUP SYSTEM ACTIVE/RESET, AMBER</t>
  </si>
  <si>
    <t>UV0170</t>
  </si>
  <si>
    <t>1056244-2</t>
  </si>
  <si>
    <t>POWER SUPPLY, EAGLE QUANTUM PREMIER</t>
  </si>
  <si>
    <t>AT0175</t>
  </si>
  <si>
    <t>1056244-5</t>
  </si>
  <si>
    <t>8 CHANNEL ED I/O, EAGLE QUANTUM PREMIER</t>
  </si>
  <si>
    <t>LEFT SIDE RAIL^JB70</t>
  </si>
  <si>
    <t>AT0176</t>
  </si>
  <si>
    <t>AT0178</t>
  </si>
  <si>
    <t>FU0170</t>
  </si>
  <si>
    <t>1043265-1,1043265-6</t>
  </si>
  <si>
    <t>FUSE, 15A</t>
  </si>
  <si>
    <t>GR0170</t>
  </si>
  <si>
    <t>KA0172</t>
  </si>
  <si>
    <t>RELAY, FIRE DETECTED (CUSTOMER)</t>
  </si>
  <si>
    <t>KA0174</t>
  </si>
  <si>
    <t>RELAY, GAS DETECTED (CUSTOMER)</t>
  </si>
  <si>
    <t>KA0176</t>
  </si>
  <si>
    <t>RELAY, VENTILATION REQUIRED</t>
  </si>
  <si>
    <t>KA0178</t>
  </si>
  <si>
    <t>RELAY, LOCAL HORN CONTROL (EQP)</t>
  </si>
  <si>
    <t>KA0875</t>
  </si>
  <si>
    <t>RELAY, LOCAL HORN CONTROL (PLC)</t>
  </si>
  <si>
    <t>KA6510</t>
  </si>
  <si>
    <t>RELAY, FIRE SYSTEM AUTO/INHIBIT</t>
  </si>
  <si>
    <t>KA6511</t>
  </si>
  <si>
    <t>RR0175A</t>
  </si>
  <si>
    <t>912137C1</t>
  </si>
  <si>
    <t>RESISTOR, 10K OHM</t>
  </si>
  <si>
    <t>RR0175D</t>
  </si>
  <si>
    <t>RR0175I</t>
  </si>
  <si>
    <t>RR0175M</t>
  </si>
  <si>
    <t>RR0175S5</t>
  </si>
  <si>
    <t>RR0176S4</t>
  </si>
  <si>
    <t>RR0176S5</t>
  </si>
  <si>
    <t>RR0176S7</t>
  </si>
  <si>
    <t>RR0178</t>
  </si>
  <si>
    <t>VD0175A</t>
  </si>
  <si>
    <t>960592C1</t>
  </si>
  <si>
    <t>DIODE, 15 pF</t>
  </si>
  <si>
    <t>VD0175D</t>
  </si>
  <si>
    <t>VD0175I</t>
  </si>
  <si>
    <t>VD0178</t>
  </si>
  <si>
    <t>VD6211</t>
  </si>
  <si>
    <t>VD6221</t>
  </si>
  <si>
    <t>XT0170</t>
  </si>
  <si>
    <t>1066730-7,1066730-8,1067996-11</t>
  </si>
  <si>
    <t>XT0171</t>
  </si>
  <si>
    <t>XT0172</t>
  </si>
  <si>
    <t>AF0121</t>
  </si>
  <si>
    <t>2684693-17,2684693-24</t>
  </si>
  <si>
    <t>5094-OB16XT, 16 DISCRETE OUTPUT</t>
  </si>
  <si>
    <t>LEFT SIDE RAIL^JB72</t>
  </si>
  <si>
    <t>AF0122</t>
  </si>
  <si>
    <t>2684693-17,2684693-23</t>
  </si>
  <si>
    <t>5094-IB16XT, 16  DISCRETE INPUT</t>
  </si>
  <si>
    <t>AF0123</t>
  </si>
  <si>
    <t>2684693-19,2684693-33</t>
  </si>
  <si>
    <t>5094-IY8XT, 8 ANALOG INPUT,TC/RTD/I&amp;V</t>
  </si>
  <si>
    <t>AU0120</t>
  </si>
  <si>
    <t>2684693-22</t>
  </si>
  <si>
    <t>5094-AENTRXT, FLEX 5000 I/O</t>
  </si>
  <si>
    <t>FU0120</t>
  </si>
  <si>
    <t>FU0121</t>
  </si>
  <si>
    <t>FU0332</t>
  </si>
  <si>
    <t>FU0333</t>
  </si>
  <si>
    <t>1043265-1,1043265-4</t>
  </si>
  <si>
    <t>FU0334</t>
  </si>
  <si>
    <t>FU0335</t>
  </si>
  <si>
    <t>GR0120</t>
  </si>
  <si>
    <t>KA2162</t>
  </si>
  <si>
    <t>RELAY, SOLONOX OPERATION MODE</t>
  </si>
  <si>
    <t>XT0120</t>
  </si>
  <si>
    <t>BA0005</t>
  </si>
  <si>
    <t>1271449-1</t>
  </si>
  <si>
    <t>MEDIA CONVERTER, ETHERNET-FIBER OPTIC</t>
  </si>
  <si>
    <t>MEDIA CONVERTER</t>
  </si>
  <si>
    <t>BA0006</t>
  </si>
  <si>
    <t>FU0005</t>
  </si>
  <si>
    <t>1043265-1,1043265-3</t>
  </si>
  <si>
    <t>FUSE, 2A</t>
  </si>
  <si>
    <t>FU0006</t>
  </si>
  <si>
    <t>GR1123</t>
  </si>
  <si>
    <t>GR1125</t>
  </si>
  <si>
    <t>XT0003</t>
  </si>
  <si>
    <t>1066730-32,1066730-7,1066730-8,1067996-82</t>
  </si>
  <si>
    <t>CCKA0124</t>
  </si>
  <si>
    <t>CUSTOMER CONNECTION, SINGLE PHASE AC POWER</t>
  </si>
  <si>
    <t>PANEL</t>
  </si>
  <si>
    <t>SB7510</t>
  </si>
  <si>
    <t>PUSHBUTTON SWITCH, START (CUSTOMER)</t>
  </si>
  <si>
    <t>SB7511</t>
  </si>
  <si>
    <t>PUSHBUTTON SWITCH, NORMAL STOP (CUSTOMER)</t>
  </si>
  <si>
    <t>SB7512</t>
  </si>
  <si>
    <t>PUSHBUTTON SWITCH, EMERGENCY STOP (CUSTOMER)</t>
  </si>
  <si>
    <t>SB7551</t>
  </si>
  <si>
    <t>PUSHBUTTON SWITCH, VOLTAGE INCREASE (CUSTOMER)</t>
  </si>
  <si>
    <t>SB7552</t>
  </si>
  <si>
    <t>PUSHBUTTON SWITCH, VOLTAGE DECREASE (CUSTOMER)</t>
  </si>
  <si>
    <t>SB7554</t>
  </si>
  <si>
    <t>PUSHBUTTON SWITCH, SPEED INCREASE (CUSTOMER)</t>
  </si>
  <si>
    <t>SB7555</t>
  </si>
  <si>
    <t>PUSHBUTTON SWITCH, SPEED DECREASE (CUSTOMER)</t>
  </si>
  <si>
    <t>AP0601</t>
  </si>
  <si>
    <t>[2]1089241-20</t>
  </si>
  <si>
    <t>MODULE, BLANK FILLER</t>
  </si>
  <si>
    <t>PLC PANEL^JB70</t>
  </si>
  <si>
    <t>AP0602</t>
  </si>
  <si>
    <t>1089241-40</t>
  </si>
  <si>
    <t>1756-EN2TRXT, ETHERNET</t>
  </si>
  <si>
    <t>AP0603</t>
  </si>
  <si>
    <t>AP0604</t>
  </si>
  <si>
    <t>1089241-20</t>
  </si>
  <si>
    <t>AP0605</t>
  </si>
  <si>
    <t>AP0606</t>
  </si>
  <si>
    <t>AP0607</t>
  </si>
  <si>
    <t>1089241-20,1089241-36</t>
  </si>
  <si>
    <t>1756-EN2TXT, ETHERNET</t>
  </si>
  <si>
    <t>AP0608</t>
  </si>
  <si>
    <t>AP0609</t>
  </si>
  <si>
    <t>AR0600</t>
  </si>
  <si>
    <t>1057900,1059465,1089241-42,1103759,19298R1,22652R1</t>
  </si>
  <si>
    <t>RACK CHASSIS, 1756-A10XT (10 SLOT)</t>
  </si>
  <si>
    <t>AT0600</t>
  </si>
  <si>
    <t>1089241-43</t>
  </si>
  <si>
    <t>1756-L83EXTS, CONTROLLER^GUARDLOGIX</t>
  </si>
  <si>
    <t>AT0680</t>
  </si>
  <si>
    <t>1634974-100</t>
  </si>
  <si>
    <t>GATEWAY MODULE, TURBOTRONIC GATEWAY</t>
  </si>
  <si>
    <t>BA0001</t>
  </si>
  <si>
    <t>BA0002</t>
  </si>
  <si>
    <t>FU0001</t>
  </si>
  <si>
    <t>FU0002</t>
  </si>
  <si>
    <t>FU0680</t>
  </si>
  <si>
    <t>GR0234</t>
  </si>
  <si>
    <t>UV0600</t>
  </si>
  <si>
    <t>1089241-28</t>
  </si>
  <si>
    <t>POWER SUPPLY, RSLOGIX CHASSIS</t>
  </si>
  <si>
    <t>XT0001</t>
  </si>
  <si>
    <t>XT0680</t>
  </si>
  <si>
    <t>GR1100</t>
  </si>
  <si>
    <t>RIGHT SIDE RAIL^JB70</t>
  </si>
  <si>
    <t>AF0181</t>
  </si>
  <si>
    <t>2684693-17,2684693-25</t>
  </si>
  <si>
    <t>5094-OB8XT, 8 DISCRETE OUTPUT</t>
  </si>
  <si>
    <t>RIGHT SIDE RAIL^JB72</t>
  </si>
  <si>
    <t>AF0182</t>
  </si>
  <si>
    <t>AF0183</t>
  </si>
  <si>
    <t>2684693-18,2684693-28</t>
  </si>
  <si>
    <t>5094-IB16SXT, 16 DISCRETE INPUT, S</t>
  </si>
  <si>
    <t>AF0184</t>
  </si>
  <si>
    <t>5094-IY8XT, 8 ANALOG INPUT, TC/RTD/ I&amp;V</t>
  </si>
  <si>
    <t>AU0180</t>
  </si>
  <si>
    <t>GR0180</t>
  </si>
  <si>
    <t>AF0081</t>
  </si>
  <si>
    <t>TURBINE PANEL A^JB70</t>
  </si>
  <si>
    <t>AF0082</t>
  </si>
  <si>
    <t>AF0083</t>
  </si>
  <si>
    <t>AF0084</t>
  </si>
  <si>
    <t>AF0085</t>
  </si>
  <si>
    <t>2684693-18,2684693-56</t>
  </si>
  <si>
    <t>5094-IF8IHXT, 8 ANALOG INPUT, ISOLATED</t>
  </si>
  <si>
    <t>AF0086</t>
  </si>
  <si>
    <t>AF0087</t>
  </si>
  <si>
    <t>AF0091</t>
  </si>
  <si>
    <t>AF0092</t>
  </si>
  <si>
    <t>AF0093</t>
  </si>
  <si>
    <t>AF0094</t>
  </si>
  <si>
    <t>AF0095</t>
  </si>
  <si>
    <t>AU0080</t>
  </si>
  <si>
    <t>AU0090</t>
  </si>
  <si>
    <t>FU0010</t>
  </si>
  <si>
    <t>FU0011</t>
  </si>
  <si>
    <t>FU0012</t>
  </si>
  <si>
    <t>FU0013</t>
  </si>
  <si>
    <t>FU0014</t>
  </si>
  <si>
    <t>FU0015</t>
  </si>
  <si>
    <t>FU0017</t>
  </si>
  <si>
    <t>[2]1043265-1,[2]1043265-5</t>
  </si>
  <si>
    <t>FU0080</t>
  </si>
  <si>
    <t>FU0090</t>
  </si>
  <si>
    <t>FU0091</t>
  </si>
  <si>
    <t>FU0092</t>
  </si>
  <si>
    <t>FU0093</t>
  </si>
  <si>
    <t>FU0116</t>
  </si>
  <si>
    <t>FU0136</t>
  </si>
  <si>
    <t>1043265-1,1043265-9</t>
  </si>
  <si>
    <t>FUSE, 30A</t>
  </si>
  <si>
    <t>FU0137</t>
  </si>
  <si>
    <t>FU0139</t>
  </si>
  <si>
    <t>GR0131</t>
  </si>
  <si>
    <t>GR0132</t>
  </si>
  <si>
    <t>GR0133</t>
  </si>
  <si>
    <t>GR0134</t>
  </si>
  <si>
    <t>KA0130</t>
  </si>
  <si>
    <t>RELAY, LOWSPEED/OPEN PROBE SETPOINT</t>
  </si>
  <si>
    <t>KA0131</t>
  </si>
  <si>
    <t>KA0132</t>
  </si>
  <si>
    <t>KA0133</t>
  </si>
  <si>
    <t>RELAY, POST LUBE NOT REQUIRED</t>
  </si>
  <si>
    <t>KA0134</t>
  </si>
  <si>
    <t>RELAY, BACKUP COMMAND OFF</t>
  </si>
  <si>
    <t>KA0135</t>
  </si>
  <si>
    <t>RELAY, AC PRE/POST PUMP DRIVE</t>
  </si>
  <si>
    <t>KA0136</t>
  </si>
  <si>
    <t>RELAY, LUBE OIL HEADER PRESSURE HIGH</t>
  </si>
  <si>
    <t>KA0137</t>
  </si>
  <si>
    <t>RELAY, LUBE PUMP INHIBIT</t>
  </si>
  <si>
    <t>KA0138</t>
  </si>
  <si>
    <t>RELAY, BACKUP LUBE OIL PUMP OFF</t>
  </si>
  <si>
    <t>KA0141</t>
  </si>
  <si>
    <t>KA0144</t>
  </si>
  <si>
    <t>KA0221</t>
  </si>
  <si>
    <t>RELAY, PRIMARY GAS FUEL SHUTOFF VALVE</t>
  </si>
  <si>
    <t>KA2160</t>
  </si>
  <si>
    <t>RELAY, CLOSE GAS BLOCK VALVE</t>
  </si>
  <si>
    <t>KA2161</t>
  </si>
  <si>
    <t>RELAY, OPEN GAS BLEED VALVE</t>
  </si>
  <si>
    <t>KA3103</t>
  </si>
  <si>
    <t>RELAY, LUBE OIL TANK HEATER</t>
  </si>
  <si>
    <t>KA6211</t>
  </si>
  <si>
    <t>RELAY, DRIVER ENCLOSURE^VENT FAN #1</t>
  </si>
  <si>
    <t>KA6221</t>
  </si>
  <si>
    <t>RELAY, DRIVEN ENCLOSURE^VENT FAN #1</t>
  </si>
  <si>
    <t>KT0140</t>
  </si>
  <si>
    <t>2651077-1</t>
  </si>
  <si>
    <t>TIMER RELAY, BACKUP PUMP POST LUBE OFF CYCLE</t>
  </si>
  <si>
    <t>KT0141</t>
  </si>
  <si>
    <t>TIMER RELAY, BACKUP POST LUBE CONTINUOUS</t>
  </si>
  <si>
    <t>KT0142</t>
  </si>
  <si>
    <t>TIMER RELAY, TOTAL POST LUBE</t>
  </si>
  <si>
    <t>KT0143</t>
  </si>
  <si>
    <t>TIMER RELAY, BACKUP PUMP POST LUBE ON CYCLE</t>
  </si>
  <si>
    <t>KT0144</t>
  </si>
  <si>
    <t>TIMER RELAY, HEADER PRESSURE HIGH BACKUP PUMP OFF</t>
  </si>
  <si>
    <t>KT0145</t>
  </si>
  <si>
    <t>TIMER RELAY, FIRE DETECTED ROLLDOWN LUBE</t>
  </si>
  <si>
    <t>KT0146</t>
  </si>
  <si>
    <t>2651077-3</t>
  </si>
  <si>
    <t>TIMER RELAY, WATCHDOG</t>
  </si>
  <si>
    <t>PC0470</t>
  </si>
  <si>
    <t>2271605-1</t>
  </si>
  <si>
    <t>TIMER/COUNTER, ENGINE HOUR / START COUNTER</t>
  </si>
  <si>
    <t>PEG0130</t>
  </si>
  <si>
    <t>232941-300</t>
  </si>
  <si>
    <t>BUS BAR, PANEL A - POWER EARTH GROUNDING</t>
  </si>
  <si>
    <t>UJ0131</t>
  </si>
  <si>
    <t>1286570-1</t>
  </si>
  <si>
    <t>POWER CONVERTER, AC/DC INPUT TO 28V DC OUTPUT</t>
  </si>
  <si>
    <t>XT0011</t>
  </si>
  <si>
    <t>XT0014</t>
  </si>
  <si>
    <t>1247052-1</t>
  </si>
  <si>
    <t>BUS BAR, SYSTEM FUNCTION (USE)</t>
  </si>
  <si>
    <t>XT0050</t>
  </si>
  <si>
    <t>XT0071</t>
  </si>
  <si>
    <t>XT0080</t>
  </si>
  <si>
    <t>XT0081</t>
  </si>
  <si>
    <t>1066730-4,1066730-7,1066730-8</t>
  </si>
  <si>
    <t>XT0134</t>
  </si>
  <si>
    <t>XT0135</t>
  </si>
  <si>
    <t>XT0136</t>
  </si>
  <si>
    <t>XT0137</t>
  </si>
  <si>
    <t>1066730-5,1066730-7,1067996-4</t>
  </si>
  <si>
    <t>XT0138</t>
  </si>
  <si>
    <t>XT0139</t>
  </si>
  <si>
    <t>AF0061</t>
  </si>
  <si>
    <t>TURBINE PANEL B^JB70</t>
  </si>
  <si>
    <t>AF0062</t>
  </si>
  <si>
    <t>AF0063</t>
  </si>
  <si>
    <t>AF0064</t>
  </si>
  <si>
    <t>2684693-18,2684693-30</t>
  </si>
  <si>
    <t>5094-IF4IHSXT, 4 ANALOG INPUT, S</t>
  </si>
  <si>
    <t>AF0065</t>
  </si>
  <si>
    <t>AF0066</t>
  </si>
  <si>
    <t>2684693-18,2684693-27</t>
  </si>
  <si>
    <t>5094-OF8IHXT, 8 ANALOG OUTPUT, ISOLATED</t>
  </si>
  <si>
    <t>AF0067</t>
  </si>
  <si>
    <t>AF0068</t>
  </si>
  <si>
    <t>2684693-21,2684693-36</t>
  </si>
  <si>
    <t>5094-IRT8SXT, 8 RTD/TC ANALOG INPUT, S</t>
  </si>
  <si>
    <t>AF0071</t>
  </si>
  <si>
    <t>2684693-18,2684693-32</t>
  </si>
  <si>
    <t>5094-IJ2ISXT, 2 FAST COUNTER INPUT, S</t>
  </si>
  <si>
    <t>AF0072</t>
  </si>
  <si>
    <t>AF0073</t>
  </si>
  <si>
    <t>AF0074</t>
  </si>
  <si>
    <t>AF0075</t>
  </si>
  <si>
    <t>AF0076</t>
  </si>
  <si>
    <t>2684693-18,2684693-55</t>
  </si>
  <si>
    <t>5094-OB16SXT, 16 DISCRETE OUTPUT, S</t>
  </si>
  <si>
    <t>AF0077</t>
  </si>
  <si>
    <t>AU0060</t>
  </si>
  <si>
    <t>AU0070</t>
  </si>
  <si>
    <t>BA0009</t>
  </si>
  <si>
    <t>BA1100</t>
  </si>
  <si>
    <t>1337728-10</t>
  </si>
  <si>
    <t>SWITCH, ETAP, DLR INTERFACE</t>
  </si>
  <si>
    <t>FU0009</t>
  </si>
  <si>
    <t>FU0060</t>
  </si>
  <si>
    <t>FU0061</t>
  </si>
  <si>
    <t>FU0062</t>
  </si>
  <si>
    <t>FU0063</t>
  </si>
  <si>
    <t>FU0064</t>
  </si>
  <si>
    <t>FU0070</t>
  </si>
  <si>
    <t>FU0071</t>
  </si>
  <si>
    <t>FU0210</t>
  </si>
  <si>
    <t>FU0211</t>
  </si>
  <si>
    <t>FU0212</t>
  </si>
  <si>
    <t>FU0291</t>
  </si>
  <si>
    <t>1043265-4</t>
  </si>
  <si>
    <t>FU1101</t>
  </si>
  <si>
    <t>GR0231</t>
  </si>
  <si>
    <t>GR0232</t>
  </si>
  <si>
    <t>GR0233</t>
  </si>
  <si>
    <t>IEG0230</t>
  </si>
  <si>
    <t>BUS BAR, PANEL B - INSTRUMENT EARTH GROUNDING</t>
  </si>
  <si>
    <t>KA0124</t>
  </si>
  <si>
    <t>RELAY, EMERGENCY SHUTDOWN ACTIVE</t>
  </si>
  <si>
    <t>KA0222</t>
  </si>
  <si>
    <t>RELAY, SECONDARY GAS FUEL SHUTOFF VALVE</t>
  </si>
  <si>
    <t>KA0231</t>
  </si>
  <si>
    <t>KA0232</t>
  </si>
  <si>
    <t>KA0233</t>
  </si>
  <si>
    <t>KA0234</t>
  </si>
  <si>
    <t>KA0235</t>
  </si>
  <si>
    <t>KA0236</t>
  </si>
  <si>
    <t>KA0237</t>
  </si>
  <si>
    <t>KA0238</t>
  </si>
  <si>
    <t>KA0239</t>
  </si>
  <si>
    <t>KA0240</t>
  </si>
  <si>
    <t>KA0241</t>
  </si>
  <si>
    <t>RELAY, BACKUP SYSTEM RESET</t>
  </si>
  <si>
    <t>KA0242</t>
  </si>
  <si>
    <t>KA0243</t>
  </si>
  <si>
    <t>RELAY, NO FIRE DETECTED</t>
  </si>
  <si>
    <t>KA0244</t>
  </si>
  <si>
    <t>KA0245</t>
  </si>
  <si>
    <t>RELAY, NO GAS DETECTED</t>
  </si>
  <si>
    <t>KA0246</t>
  </si>
  <si>
    <t>KA0247</t>
  </si>
  <si>
    <t>KA0248</t>
  </si>
  <si>
    <t>KA0249</t>
  </si>
  <si>
    <t>KA0250</t>
  </si>
  <si>
    <t>KA1020</t>
  </si>
  <si>
    <t>RELAY, IGNITION START</t>
  </si>
  <si>
    <t>RR0941</t>
  </si>
  <si>
    <t>981090C1</t>
  </si>
  <si>
    <t>RESISTOR, 3.01K OHM</t>
  </si>
  <si>
    <t>RR0942</t>
  </si>
  <si>
    <t>981089C1</t>
  </si>
  <si>
    <t>RESISTOR, 1.0K OHM</t>
  </si>
  <si>
    <t>UA1200</t>
  </si>
  <si>
    <t>1053834-8</t>
  </si>
  <si>
    <t>BUOS MODULE, BACKUP OVERSPEED</t>
  </si>
  <si>
    <t>UV0291</t>
  </si>
  <si>
    <t>1088442-4</t>
  </si>
  <si>
    <t>POWER CONVERTER, DC/DC INPUT TO 24V DC OUTPUT</t>
  </si>
  <si>
    <t>XT0005</t>
  </si>
  <si>
    <t>XT0060</t>
  </si>
  <si>
    <t>XT0070</t>
  </si>
  <si>
    <t>XT0089</t>
  </si>
  <si>
    <t>XT0233</t>
  </si>
  <si>
    <t>XT0235</t>
  </si>
  <si>
    <t>XT0236</t>
  </si>
  <si>
    <t>XT0237</t>
  </si>
  <si>
    <t>1066730-10,1066730-9,1067996-4</t>
  </si>
  <si>
    <t>DIODE TERMINAL STRIP, 4 CONDUCTOR</t>
  </si>
  <si>
    <t>XT0240</t>
  </si>
  <si>
    <t>XT0291</t>
  </si>
  <si>
    <t>Cable Part Numbers</t>
  </si>
  <si>
    <t>WC5072</t>
  </si>
  <si>
    <t>PART OF 1103208-100</t>
  </si>
  <si>
    <t>CABLE, 2 CONDUCTOR UNSHIELDED PART OF HORN</t>
  </si>
  <si>
    <t>WC0001</t>
  </si>
  <si>
    <t>1302073-36</t>
  </si>
  <si>
    <t>CABLE, ETHERNET - 36 INCHES</t>
  </si>
  <si>
    <t>WC0003</t>
  </si>
  <si>
    <t>WC0007</t>
  </si>
  <si>
    <t>WC0008</t>
  </si>
  <si>
    <t>WC0009</t>
  </si>
  <si>
    <t>WC0010</t>
  </si>
  <si>
    <t>WC0012</t>
  </si>
  <si>
    <t>WC0014</t>
  </si>
  <si>
    <t>WC0041</t>
  </si>
  <si>
    <t>CABLE, COMMUNICATION CABLE - 36 INCHES</t>
  </si>
  <si>
    <t>WC0042</t>
  </si>
  <si>
    <t>WC0044</t>
  </si>
  <si>
    <t>WC0045</t>
  </si>
  <si>
    <t>WC0101</t>
  </si>
  <si>
    <t>WC0680</t>
  </si>
  <si>
    <t>WC1228</t>
  </si>
  <si>
    <t>1075034-5</t>
  </si>
  <si>
    <t>PVC, 1 TRIAD TWISTED SHIELDED</t>
  </si>
  <si>
    <t>WC1229</t>
  </si>
  <si>
    <t>WC1230</t>
  </si>
  <si>
    <t>WC1231</t>
  </si>
  <si>
    <t>WC1232</t>
  </si>
  <si>
    <t>WC1233</t>
  </si>
  <si>
    <t>WC1234</t>
  </si>
  <si>
    <t>WC1235</t>
  </si>
  <si>
    <t>WC4524</t>
  </si>
  <si>
    <t>1075034-2</t>
  </si>
  <si>
    <t>PVC, 1 PAIR TWISTED SHIELDED</t>
  </si>
  <si>
    <t>WC4749</t>
  </si>
  <si>
    <t>WC5018</t>
  </si>
  <si>
    <t>1075034-3</t>
  </si>
  <si>
    <t>WC5500</t>
  </si>
  <si>
    <t>WC8009</t>
  </si>
  <si>
    <t>WC8040</t>
  </si>
  <si>
    <t>1322418-90</t>
  </si>
  <si>
    <t>CABLE, SYTSTEM FUNCTION</t>
  </si>
  <si>
    <t>WC8041</t>
  </si>
  <si>
    <t>WC8042</t>
  </si>
  <si>
    <t>WC8044</t>
  </si>
  <si>
    <t>WC8066</t>
  </si>
  <si>
    <t>WC8067</t>
  </si>
  <si>
    <t>WC8069</t>
  </si>
  <si>
    <t>WC8101</t>
  </si>
  <si>
    <t>1022941-32</t>
  </si>
  <si>
    <t>TPE, 1 PAIR TWISTED SHIELDED</t>
  </si>
  <si>
    <t>WC8102</t>
  </si>
  <si>
    <t>WC8201</t>
  </si>
  <si>
    <t>WC8301</t>
  </si>
  <si>
    <t>WC9001</t>
  </si>
  <si>
    <t>WC9017</t>
  </si>
  <si>
    <t>WC9019</t>
  </si>
  <si>
    <t>Panel Errors</t>
  </si>
  <si>
    <t>From</t>
  </si>
  <si>
    <t>To</t>
  </si>
  <si>
    <t>Cable (W)
 Conductor (SC)
Jumper Clip (JC)</t>
  </si>
  <si>
    <t>Wire ID</t>
  </si>
  <si>
    <t>Wire No.</t>
  </si>
  <si>
    <t>Gauge/Size</t>
  </si>
  <si>
    <t>Page/Zone</t>
  </si>
  <si>
    <t>Report date: 1/9/2026 11:42 AM</t>
  </si>
  <si>
    <t>XT0060:1</t>
  </si>
  <si>
    <t>JC</t>
  </si>
  <si>
    <t>0V</t>
  </si>
  <si>
    <t>CLIP</t>
  </si>
  <si>
    <t>---</t>
  </si>
  <si>
    <t>10.D1</t>
  </si>
  <si>
    <t>XT0060:2</t>
  </si>
  <si>
    <t>XT0233:1</t>
  </si>
  <si>
    <t>13.C4</t>
  </si>
  <si>
    <t>XT0233:2</t>
  </si>
  <si>
    <t>XT0233:3</t>
  </si>
  <si>
    <t>XT0235:1</t>
  </si>
  <si>
    <t>13.D4</t>
  </si>
  <si>
    <t>XT0235:2</t>
  </si>
  <si>
    <t>XT0235:3</t>
  </si>
  <si>
    <t>XT0240:11</t>
  </si>
  <si>
    <t>15.C4</t>
  </si>
  <si>
    <t>XT0240:12</t>
  </si>
  <si>
    <t>XT0240:9</t>
  </si>
  <si>
    <t>15.D3</t>
  </si>
  <si>
    <t>XT0240:10</t>
  </si>
  <si>
    <t>AF0061:02</t>
  </si>
  <si>
    <t>SC</t>
  </si>
  <si>
    <t>006102</t>
  </si>
  <si>
    <t>WHT</t>
  </si>
  <si>
    <t>20</t>
  </si>
  <si>
    <t>36.B7</t>
  </si>
  <si>
    <t>KA0233:14</t>
  </si>
  <si>
    <t>36.B5</t>
  </si>
  <si>
    <t>AF0061:14</t>
  </si>
  <si>
    <t>006114</t>
  </si>
  <si>
    <t>37.B7</t>
  </si>
  <si>
    <t>KA0234:14</t>
  </si>
  <si>
    <t>37.B5</t>
  </si>
  <si>
    <t>AF0061:COM</t>
  </si>
  <si>
    <t>14</t>
  </si>
  <si>
    <t>10.C2</t>
  </si>
  <si>
    <t>AF0061:J</t>
  </si>
  <si>
    <t>*</t>
  </si>
  <si>
    <t>AF0062:P</t>
  </si>
  <si>
    <t>10.C3</t>
  </si>
  <si>
    <t>AF0061:V+</t>
  </si>
  <si>
    <t>FU0061:LD</t>
  </si>
  <si>
    <t>AF0062:00</t>
  </si>
  <si>
    <t>006200</t>
  </si>
  <si>
    <t>53.A7</t>
  </si>
  <si>
    <t>KA0222:14</t>
  </si>
  <si>
    <t>53.A6</t>
  </si>
  <si>
    <t>AF0062:16</t>
  </si>
  <si>
    <t>SV21242</t>
  </si>
  <si>
    <t>XT0060:5</t>
  </si>
  <si>
    <t>53.A5</t>
  </si>
  <si>
    <t>AF0062:COM</t>
  </si>
  <si>
    <t>AF0062:J</t>
  </si>
  <si>
    <t>AF0063:P</t>
  </si>
  <si>
    <t>AF0062:V+</t>
  </si>
  <si>
    <t>FU0062:LD</t>
  </si>
  <si>
    <t>AF0063:COM</t>
  </si>
  <si>
    <t>AF0063N</t>
  </si>
  <si>
    <t>16</t>
  </si>
  <si>
    <t>AF0064:COM</t>
  </si>
  <si>
    <t>10.C4</t>
  </si>
  <si>
    <t>AU0060N</t>
  </si>
  <si>
    <t>AU0060:COM</t>
  </si>
  <si>
    <t>AF0063:J</t>
  </si>
  <si>
    <t>AF0064:P</t>
  </si>
  <si>
    <t>AF0063:V+</t>
  </si>
  <si>
    <t>AF0063P</t>
  </si>
  <si>
    <t>AF0064:V+</t>
  </si>
  <si>
    <t>AU0060P</t>
  </si>
  <si>
    <t>AU0060:V+</t>
  </si>
  <si>
    <t>AF0064N</t>
  </si>
  <si>
    <t>AF0065:COM</t>
  </si>
  <si>
    <t>10.C5</t>
  </si>
  <si>
    <t>AF0064:J</t>
  </si>
  <si>
    <t>AF0065:P</t>
  </si>
  <si>
    <t>AF0064:SH</t>
  </si>
  <si>
    <t>AF0064G</t>
  </si>
  <si>
    <t>GRN</t>
  </si>
  <si>
    <t>AF0065:SH</t>
  </si>
  <si>
    <t>IEG02304</t>
  </si>
  <si>
    <t>AU0060:GND</t>
  </si>
  <si>
    <t>AF0064P</t>
  </si>
  <si>
    <t>AF0065:V+</t>
  </si>
  <si>
    <t>AF0065N</t>
  </si>
  <si>
    <t>AF0068:COM</t>
  </si>
  <si>
    <t>10.C6</t>
  </si>
  <si>
    <t>AF0065:J</t>
  </si>
  <si>
    <t>AF0066:P</t>
  </si>
  <si>
    <t>AF0065G</t>
  </si>
  <si>
    <t>AF0066:SH</t>
  </si>
  <si>
    <t>AF0065P</t>
  </si>
  <si>
    <t>AF0068:V+</t>
  </si>
  <si>
    <t>AF0066:COM</t>
  </si>
  <si>
    <t>AF0066:J</t>
  </si>
  <si>
    <t>AF0067:P</t>
  </si>
  <si>
    <t>AF0066G</t>
  </si>
  <si>
    <t>AF0068:SH</t>
  </si>
  <si>
    <t>AF0066:V+</t>
  </si>
  <si>
    <t>FU0063:LD</t>
  </si>
  <si>
    <t>AF0067:COM</t>
  </si>
  <si>
    <t>AF0067:J</t>
  </si>
  <si>
    <t>AF0068:P</t>
  </si>
  <si>
    <t>AF0067:V+</t>
  </si>
  <si>
    <t>FU0064:LD</t>
  </si>
  <si>
    <t>AF0071:COM</t>
  </si>
  <si>
    <t>AF0071N</t>
  </si>
  <si>
    <t>10.B2</t>
  </si>
  <si>
    <t>AF0072:COM</t>
  </si>
  <si>
    <t>10.A3</t>
  </si>
  <si>
    <t>AU0070N</t>
  </si>
  <si>
    <t>AU0070:COM</t>
  </si>
  <si>
    <t>10.A2</t>
  </si>
  <si>
    <t>AF0071:J</t>
  </si>
  <si>
    <t>AF0072:P</t>
  </si>
  <si>
    <t>AF0071:SH</t>
  </si>
  <si>
    <t>AF0071G</t>
  </si>
  <si>
    <t>AF0072:SH</t>
  </si>
  <si>
    <t>IEG02305</t>
  </si>
  <si>
    <t>AU0070:GND</t>
  </si>
  <si>
    <t>AF0071:V+</t>
  </si>
  <si>
    <t>AF0071P</t>
  </si>
  <si>
    <t>AF0072:V+</t>
  </si>
  <si>
    <t>AU0070P</t>
  </si>
  <si>
    <t>AU0070:V+</t>
  </si>
  <si>
    <t>AF0072N</t>
  </si>
  <si>
    <t>AF0073:COM</t>
  </si>
  <si>
    <t>10.B3</t>
  </si>
  <si>
    <t>AF0072:J</t>
  </si>
  <si>
    <t>AF0073:P</t>
  </si>
  <si>
    <t>AF0072G</t>
  </si>
  <si>
    <t>AF0073:SH</t>
  </si>
  <si>
    <t>AF0072P</t>
  </si>
  <si>
    <t>AF0073:V+</t>
  </si>
  <si>
    <t>AF0073N</t>
  </si>
  <si>
    <t>AF0074:COM</t>
  </si>
  <si>
    <t>10.B4</t>
  </si>
  <si>
    <t>AF0073:J</t>
  </si>
  <si>
    <t>AF0074:P</t>
  </si>
  <si>
    <t>AF0073G</t>
  </si>
  <si>
    <t>AF0074:SH</t>
  </si>
  <si>
    <t>AF0073P</t>
  </si>
  <si>
    <t>AF0074:V+</t>
  </si>
  <si>
    <t>AF0074:05</t>
  </si>
  <si>
    <t>007405</t>
  </si>
  <si>
    <t>12.C7</t>
  </si>
  <si>
    <t>XT0089:2</t>
  </si>
  <si>
    <t>12.C6</t>
  </si>
  <si>
    <t>AF0074:21</t>
  </si>
  <si>
    <t>XT0089:3</t>
  </si>
  <si>
    <t>12.D6</t>
  </si>
  <si>
    <t>AF0074N</t>
  </si>
  <si>
    <t>AF0075:COM</t>
  </si>
  <si>
    <t>10.A5</t>
  </si>
  <si>
    <t>AF0074:J</t>
  </si>
  <si>
    <t>AF0075:P</t>
  </si>
  <si>
    <t>AF0074G</t>
  </si>
  <si>
    <t>AF0075:SH</t>
  </si>
  <si>
    <t>AF0074P</t>
  </si>
  <si>
    <t>AF0075:V+</t>
  </si>
  <si>
    <t>AF0075N</t>
  </si>
  <si>
    <t>AF0077:COM</t>
  </si>
  <si>
    <t>10.B6</t>
  </si>
  <si>
    <t>AF0075:J</t>
  </si>
  <si>
    <t>AF0076:P</t>
  </si>
  <si>
    <t>AF0075G</t>
  </si>
  <si>
    <t>AF0077:SH</t>
  </si>
  <si>
    <t>AF0075P</t>
  </si>
  <si>
    <t>AF0077:V+</t>
  </si>
  <si>
    <t>AF0076:00</t>
  </si>
  <si>
    <t>007600</t>
  </si>
  <si>
    <t>48.B7</t>
  </si>
  <si>
    <t>KA0237:14</t>
  </si>
  <si>
    <t>48.B5</t>
  </si>
  <si>
    <t>AF0076:01</t>
  </si>
  <si>
    <t>007601</t>
  </si>
  <si>
    <t>50.B7</t>
  </si>
  <si>
    <t>KA0237:24</t>
  </si>
  <si>
    <t>50.B5</t>
  </si>
  <si>
    <t>AF0076:04</t>
  </si>
  <si>
    <t>007604</t>
  </si>
  <si>
    <t>KA0222:A1</t>
  </si>
  <si>
    <t>AF0076:08</t>
  </si>
  <si>
    <t>007608</t>
  </si>
  <si>
    <t>31.A7</t>
  </si>
  <si>
    <t>KA1020:A1</t>
  </si>
  <si>
    <t>31.A5</t>
  </si>
  <si>
    <t>AF0076:09</t>
  </si>
  <si>
    <t>007609</t>
  </si>
  <si>
    <t>32.D6</t>
  </si>
  <si>
    <t>KA0124:A1</t>
  </si>
  <si>
    <t>AF0076:11</t>
  </si>
  <si>
    <t>UA1200J14</t>
  </si>
  <si>
    <t>16.C7</t>
  </si>
  <si>
    <t>UA1200:J1-4</t>
  </si>
  <si>
    <t>16.B3</t>
  </si>
  <si>
    <t>AF0076:12</t>
  </si>
  <si>
    <t>007612</t>
  </si>
  <si>
    <t>XT0237:1 B2</t>
  </si>
  <si>
    <t>16.C5</t>
  </si>
  <si>
    <t>AF0076:20</t>
  </si>
  <si>
    <t>007620</t>
  </si>
  <si>
    <t>KA0222:A2</t>
  </si>
  <si>
    <t>AF0076:24</t>
  </si>
  <si>
    <t>007624</t>
  </si>
  <si>
    <t>KA1020:A2</t>
  </si>
  <si>
    <t>AF0076:25</t>
  </si>
  <si>
    <t>007625</t>
  </si>
  <si>
    <t>KA0124:A2</t>
  </si>
  <si>
    <t>AF0076:26</t>
  </si>
  <si>
    <t>KA0231A2</t>
  </si>
  <si>
    <t>15.C7</t>
  </si>
  <si>
    <t>KA0231:A2</t>
  </si>
  <si>
    <t>15.C6</t>
  </si>
  <si>
    <t>AF0076:COM</t>
  </si>
  <si>
    <t>XT0070:1</t>
  </si>
  <si>
    <t>10.B1</t>
  </si>
  <si>
    <t>AF0076:J</t>
  </si>
  <si>
    <t>AF0077:P</t>
  </si>
  <si>
    <t>AF0076:V+</t>
  </si>
  <si>
    <t>FU0071:LD</t>
  </si>
  <si>
    <t>XT0240:3</t>
  </si>
  <si>
    <t>JW1</t>
  </si>
  <si>
    <t>--</t>
  </si>
  <si>
    <t>15.A3</t>
  </si>
  <si>
    <t>XT0240:2</t>
  </si>
  <si>
    <t>JP0</t>
  </si>
  <si>
    <t>VIO</t>
  </si>
  <si>
    <t>XT0240:1</t>
  </si>
  <si>
    <t>IEG0230:4</t>
  </si>
  <si>
    <t>10.D4</t>
  </si>
  <si>
    <t>FU0060:LD</t>
  </si>
  <si>
    <t>10.C1</t>
  </si>
  <si>
    <t>IEG0230:5</t>
  </si>
  <si>
    <t>FU0070:LD</t>
  </si>
  <si>
    <t>BA0009:V1(-)</t>
  </si>
  <si>
    <t>4.A2</t>
  </si>
  <si>
    <t>XT0005:2</t>
  </si>
  <si>
    <t>4.A3</t>
  </si>
  <si>
    <t>BA0009:V1(+)</t>
  </si>
  <si>
    <t>FU0009:LD</t>
  </si>
  <si>
    <t>BA1100:NEG</t>
  </si>
  <si>
    <t>UV0291N</t>
  </si>
  <si>
    <t>31.D1</t>
  </si>
  <si>
    <t>UV0291:OUT1(-)</t>
  </si>
  <si>
    <t>31.C5</t>
  </si>
  <si>
    <t>BA1100:POS</t>
  </si>
  <si>
    <t>FU1101LD</t>
  </si>
  <si>
    <t>FU1101:LD</t>
  </si>
  <si>
    <t>31.C2</t>
  </si>
  <si>
    <t>FU0009:LI</t>
  </si>
  <si>
    <t>XT0005:1</t>
  </si>
  <si>
    <t>FU0060:LI</t>
  </si>
  <si>
    <t>FU0061:LI</t>
  </si>
  <si>
    <t>FU0062:LI</t>
  </si>
  <si>
    <t>FU0063:LI</t>
  </si>
  <si>
    <t>FU0064:LI</t>
  </si>
  <si>
    <t>FU0070:LI</t>
  </si>
  <si>
    <t>FU0071:LI</t>
  </si>
  <si>
    <t>FU0210:LD</t>
  </si>
  <si>
    <t>12</t>
  </si>
  <si>
    <t>FU0211:LD</t>
  </si>
  <si>
    <t>13.B4</t>
  </si>
  <si>
    <t>KA1020:14</t>
  </si>
  <si>
    <t>35.A5</t>
  </si>
  <si>
    <t>FU0212:LD</t>
  </si>
  <si>
    <t>13.C5</t>
  </si>
  <si>
    <t>KA0248:21</t>
  </si>
  <si>
    <t>16.C6</t>
  </si>
  <si>
    <t>XT0233:4</t>
  </si>
  <si>
    <t>16.D5</t>
  </si>
  <si>
    <t>FU0212:LI</t>
  </si>
  <si>
    <t>FU0291:LD</t>
  </si>
  <si>
    <t>FU0291LD</t>
  </si>
  <si>
    <t>UV0291:24V(+)</t>
  </si>
  <si>
    <t>FU0291:LI</t>
  </si>
  <si>
    <t>XT0291:1</t>
  </si>
  <si>
    <t>31.D5</t>
  </si>
  <si>
    <t>FU1101:LI</t>
  </si>
  <si>
    <t>UV0291P</t>
  </si>
  <si>
    <t>UV0291:OUT1(+)</t>
  </si>
  <si>
    <t xml:space="preserve">GR0231: </t>
  </si>
  <si>
    <t>IEG02306</t>
  </si>
  <si>
    <t>5.A3</t>
  </si>
  <si>
    <t>IEG0230:6</t>
  </si>
  <si>
    <t xml:space="preserve">GR0232: </t>
  </si>
  <si>
    <t>GRN/YEL</t>
  </si>
  <si>
    <t>FRAME</t>
  </si>
  <si>
    <t xml:space="preserve">GR0233: </t>
  </si>
  <si>
    <t>IEG0230:7</t>
  </si>
  <si>
    <t>IEG0230:8</t>
  </si>
  <si>
    <t>IEG02308</t>
  </si>
  <si>
    <t>16.D6</t>
  </si>
  <si>
    <t>UA1200:J3-4</t>
  </si>
  <si>
    <t>KA0222:11</t>
  </si>
  <si>
    <t>KA022211</t>
  </si>
  <si>
    <t>KA0236:24</t>
  </si>
  <si>
    <t>KA0231:11</t>
  </si>
  <si>
    <t>KA0231A1</t>
  </si>
  <si>
    <t>KA0242:11</t>
  </si>
  <si>
    <t>KA0231:A1</t>
  </si>
  <si>
    <t>KA0231:14</t>
  </si>
  <si>
    <t>KA024214</t>
  </si>
  <si>
    <t>KA0242:14</t>
  </si>
  <si>
    <t>KA0231:21</t>
  </si>
  <si>
    <t>KA023121</t>
  </si>
  <si>
    <t>15.A4</t>
  </si>
  <si>
    <t>KA0245:14</t>
  </si>
  <si>
    <t>KA0232:A1</t>
  </si>
  <si>
    <t>15.D6</t>
  </si>
  <si>
    <t>KA0232:A2</t>
  </si>
  <si>
    <t>KA0232:22</t>
  </si>
  <si>
    <t>KA023222</t>
  </si>
  <si>
    <t>97.A6</t>
  </si>
  <si>
    <t>KA0249:11</t>
  </si>
  <si>
    <t>97.B6</t>
  </si>
  <si>
    <t>KA0233:A1</t>
  </si>
  <si>
    <t>KA0233:A2</t>
  </si>
  <si>
    <t>KA0234:A1</t>
  </si>
  <si>
    <t>KA0234:A2</t>
  </si>
  <si>
    <t>KA0235:11</t>
  </si>
  <si>
    <t>UA1200J21</t>
  </si>
  <si>
    <t>15.A5</t>
  </si>
  <si>
    <t>KA0241:11</t>
  </si>
  <si>
    <t>XT0060:3</t>
  </si>
  <si>
    <t>KA0235:14</t>
  </si>
  <si>
    <t>KA024114</t>
  </si>
  <si>
    <t>KA0241:14</t>
  </si>
  <si>
    <t>KA0235:A1</t>
  </si>
  <si>
    <t>ESTOP</t>
  </si>
  <si>
    <t>15.A2</t>
  </si>
  <si>
    <t>KA0236:A1</t>
  </si>
  <si>
    <t>15.B2</t>
  </si>
  <si>
    <t>XT0240:4</t>
  </si>
  <si>
    <t>KA0236:11</t>
  </si>
  <si>
    <t>15.D4</t>
  </si>
  <si>
    <t>KA0244:11</t>
  </si>
  <si>
    <t>KA0236:12</t>
  </si>
  <si>
    <t>KA023612</t>
  </si>
  <si>
    <t>XT0240:13</t>
  </si>
  <si>
    <t>KA0237:A1</t>
  </si>
  <si>
    <t>KA0236:A2</t>
  </si>
  <si>
    <t>KA0235:A2</t>
  </si>
  <si>
    <t>KA0237:A2</t>
  </si>
  <si>
    <t>KA0238:A1</t>
  </si>
  <si>
    <t>KA0238:A2</t>
  </si>
  <si>
    <t>KA0239:A1</t>
  </si>
  <si>
    <t>KA0239:A2</t>
  </si>
  <si>
    <t>KA0240:A1</t>
  </si>
  <si>
    <t>KA0240:A2</t>
  </si>
  <si>
    <t>KA0248:A1</t>
  </si>
  <si>
    <t>15.C2</t>
  </si>
  <si>
    <t>KA0248:A2</t>
  </si>
  <si>
    <t>KA0231:24</t>
  </si>
  <si>
    <t>KA0241:A1</t>
  </si>
  <si>
    <t>KA0241A1</t>
  </si>
  <si>
    <t>KA0242:A1</t>
  </si>
  <si>
    <t>XT0240:6</t>
  </si>
  <si>
    <t>15.C3</t>
  </si>
  <si>
    <t>KA0241:A2</t>
  </si>
  <si>
    <t>KA0242:A2</t>
  </si>
  <si>
    <t>KA0250:A2</t>
  </si>
  <si>
    <t>KA0242:21</t>
  </si>
  <si>
    <t>024221</t>
  </si>
  <si>
    <t>XT0237:1 T2</t>
  </si>
  <si>
    <t>KA0242:24</t>
  </si>
  <si>
    <t>024822</t>
  </si>
  <si>
    <t>KA0248:22</t>
  </si>
  <si>
    <t>KA0243:A2</t>
  </si>
  <si>
    <t>KA0243:21</t>
  </si>
  <si>
    <t>ESTOPC</t>
  </si>
  <si>
    <t>KA0243:24</t>
  </si>
  <si>
    <t>KA024511</t>
  </si>
  <si>
    <t>KA0245:11</t>
  </si>
  <si>
    <t>KA0243:A1</t>
  </si>
  <si>
    <t>KA0243A1</t>
  </si>
  <si>
    <t>KA0244:A1</t>
  </si>
  <si>
    <t>15.D2</t>
  </si>
  <si>
    <t>XT0240:7</t>
  </si>
  <si>
    <t>KA0244:A2</t>
  </si>
  <si>
    <t>KA0246:A1</t>
  </si>
  <si>
    <t>KA0246:A2</t>
  </si>
  <si>
    <t>KA0245:A1</t>
  </si>
  <si>
    <t>KA0245A1</t>
  </si>
  <si>
    <t>KA0249:A1</t>
  </si>
  <si>
    <t>XT0240:8</t>
  </si>
  <si>
    <t>KA0245:A2</t>
  </si>
  <si>
    <t>KA0249:A2</t>
  </si>
  <si>
    <t>KA0247:A2</t>
  </si>
  <si>
    <t>KA0247:A1</t>
  </si>
  <si>
    <t>KA0250:A1</t>
  </si>
  <si>
    <t>RR0941:-3.01K OHM</t>
  </si>
  <si>
    <t>LEAD</t>
  </si>
  <si>
    <t>XT0089:1</t>
  </si>
  <si>
    <t>RR0942:-1.0K OHM</t>
  </si>
  <si>
    <t>UA1200:J1-10</t>
  </si>
  <si>
    <t>UA1200:J1-5</t>
  </si>
  <si>
    <t>UA1200J15</t>
  </si>
  <si>
    <t>XT0237:1 B1</t>
  </si>
  <si>
    <t>UA1200:J1-8</t>
  </si>
  <si>
    <t>UA1200J</t>
  </si>
  <si>
    <t>60.B6</t>
  </si>
  <si>
    <t>UA1200:J3-5</t>
  </si>
  <si>
    <t>UA1200:J1-9</t>
  </si>
  <si>
    <t>XT0235:4</t>
  </si>
  <si>
    <t>UA1200:J2-1</t>
  </si>
  <si>
    <t>UA1200:J2-2</t>
  </si>
  <si>
    <t>UV0291:24V(-)</t>
  </si>
  <si>
    <t>XT0291:2</t>
  </si>
  <si>
    <t>XT0236:1</t>
  </si>
  <si>
    <t>28.B5</t>
  </si>
  <si>
    <t>XT0236:2</t>
  </si>
  <si>
    <t>XT0236:3</t>
  </si>
  <si>
    <t>28.C5</t>
  </si>
  <si>
    <t>XT0237:2 B2</t>
  </si>
  <si>
    <t>XT0240:5</t>
  </si>
  <si>
    <t>15.B3</t>
  </si>
  <si>
    <t>AU0060:L1</t>
  </si>
  <si>
    <t>AU0070L2</t>
  </si>
  <si>
    <t>ENET</t>
  </si>
  <si>
    <t>CABLE</t>
  </si>
  <si>
    <t>AU0070:L2</t>
  </si>
  <si>
    <t>AF0065:12</t>
  </si>
  <si>
    <t>UA1200J13</t>
  </si>
  <si>
    <t>CLR</t>
  </si>
  <si>
    <t>16.B7</t>
  </si>
  <si>
    <t>UA1200:J1-3</t>
  </si>
  <si>
    <t>AF0065:28</t>
  </si>
  <si>
    <t>UA1200J11</t>
  </si>
  <si>
    <t>BLK</t>
  </si>
  <si>
    <t>UA1200:J1-1</t>
  </si>
  <si>
    <t>AF0065:60</t>
  </si>
  <si>
    <t>UA1200S</t>
  </si>
  <si>
    <t>SH</t>
  </si>
  <si>
    <t>FLOATING</t>
  </si>
  <si>
    <t>SH0472:13</t>
  </si>
  <si>
    <t>28.B1</t>
  </si>
  <si>
    <t>SH0472:14</t>
  </si>
  <si>
    <t>SH0472:X1</t>
  </si>
  <si>
    <t>28.C1</t>
  </si>
  <si>
    <t>XT0236:4</t>
  </si>
  <si>
    <t>SH047211</t>
  </si>
  <si>
    <t>SH0472:11</t>
  </si>
  <si>
    <t>XT0236:5</t>
  </si>
  <si>
    <t>SH047212</t>
  </si>
  <si>
    <t>SH0472:12</t>
  </si>
  <si>
    <t>XT0237:2 B1</t>
  </si>
  <si>
    <t>SH0472X2</t>
  </si>
  <si>
    <t>SH0472:X2</t>
  </si>
  <si>
    <t>FU1100:LI</t>
  </si>
  <si>
    <t>31.D3</t>
  </si>
  <si>
    <t>AF0076:14</t>
  </si>
  <si>
    <t>007614</t>
  </si>
  <si>
    <t>101.C7</t>
  </si>
  <si>
    <t>KA0182:A1</t>
  </si>
  <si>
    <t>101.C5</t>
  </si>
  <si>
    <t>AF0076:15</t>
  </si>
  <si>
    <t>007615</t>
  </si>
  <si>
    <t>101.D7</t>
  </si>
  <si>
    <t>KA0183:A1</t>
  </si>
  <si>
    <t>101.D5</t>
  </si>
  <si>
    <t>AF0076:30</t>
  </si>
  <si>
    <t>007630</t>
  </si>
  <si>
    <t>KA0182:A2</t>
  </si>
  <si>
    <t>AF0076:31</t>
  </si>
  <si>
    <t>007631</t>
  </si>
  <si>
    <t>KA0183:A2</t>
  </si>
  <si>
    <t>AU0060:L2</t>
  </si>
  <si>
    <t>WC0006</t>
  </si>
  <si>
    <t>AU0060L2</t>
  </si>
  <si>
    <t>AF0410:L1</t>
  </si>
  <si>
    <t>18.B5</t>
  </si>
  <si>
    <t>WC8019</t>
  </si>
  <si>
    <t>1</t>
  </si>
  <si>
    <t>XT0336:1</t>
  </si>
  <si>
    <t>19.C4</t>
  </si>
  <si>
    <t>AT0170:30</t>
  </si>
  <si>
    <t>11.C3</t>
  </si>
  <si>
    <t>AT0170:24</t>
  </si>
  <si>
    <t>11.B3</t>
  </si>
  <si>
    <t>AT0170:26</t>
  </si>
  <si>
    <t>AT0170:32</t>
  </si>
  <si>
    <t>AT1100:NEG</t>
  </si>
  <si>
    <t>BA1100:L2</t>
  </si>
  <si>
    <t>BA1100L2</t>
  </si>
  <si>
    <t>AT0170:L1</t>
  </si>
  <si>
    <t>11.A5</t>
  </si>
  <si>
    <t>BA1100:DEVICE</t>
  </si>
  <si>
    <t>BA1100DEVICE</t>
  </si>
  <si>
    <t>AT1100:L1</t>
  </si>
  <si>
    <t>KA0232:11</t>
  </si>
  <si>
    <t>KA017814</t>
  </si>
  <si>
    <t>27.D6</t>
  </si>
  <si>
    <t>KA0178:14</t>
  </si>
  <si>
    <t>27.D5</t>
  </si>
  <si>
    <t>KA0232:12</t>
  </si>
  <si>
    <t>KA0875:14</t>
  </si>
  <si>
    <t>KA0232:21</t>
  </si>
  <si>
    <t>XT0170:2</t>
  </si>
  <si>
    <t>11.A2</t>
  </si>
  <si>
    <t>KA0244:21</t>
  </si>
  <si>
    <t>KA017621</t>
  </si>
  <si>
    <t>97.C5</t>
  </si>
  <si>
    <t>XT0171:3</t>
  </si>
  <si>
    <t>KA0246:11</t>
  </si>
  <si>
    <t>KA017611</t>
  </si>
  <si>
    <t>97.A5</t>
  </si>
  <si>
    <t>XT0171:1</t>
  </si>
  <si>
    <t>IEG0230:1</t>
  </si>
  <si>
    <t>IEG02301</t>
  </si>
  <si>
    <t>6.B6</t>
  </si>
  <si>
    <t>AR0600:IE2</t>
  </si>
  <si>
    <t>6.A1</t>
  </si>
  <si>
    <t>IEG0230:12</t>
  </si>
  <si>
    <t>5.A4</t>
  </si>
  <si>
    <t xml:space="preserve">GR0234: </t>
  </si>
  <si>
    <t>XT0001:3</t>
  </si>
  <si>
    <t>3.B3</t>
  </si>
  <si>
    <t>XT0001:6</t>
  </si>
  <si>
    <t>XT0001:4</t>
  </si>
  <si>
    <t>XT0001:1</t>
  </si>
  <si>
    <t>3.A3</t>
  </si>
  <si>
    <t>FU0680:LI</t>
  </si>
  <si>
    <t>8.B2</t>
  </si>
  <si>
    <t>XT0001:5</t>
  </si>
  <si>
    <t>XT0001:2</t>
  </si>
  <si>
    <t>XT0680:2</t>
  </si>
  <si>
    <t>8.B3</t>
  </si>
  <si>
    <t>BA1100:L1</t>
  </si>
  <si>
    <t>BA0001RJ45</t>
  </si>
  <si>
    <t>BA0001:RJ45</t>
  </si>
  <si>
    <t>3.A2</t>
  </si>
  <si>
    <t>BA0009:RJ45</t>
  </si>
  <si>
    <t>BA0009RJ45</t>
  </si>
  <si>
    <t>AT0680:LAN2</t>
  </si>
  <si>
    <t>8.B4</t>
  </si>
  <si>
    <t>AF0067:12</t>
  </si>
  <si>
    <t>KA0134A1</t>
  </si>
  <si>
    <t>74.D7</t>
  </si>
  <si>
    <t>KA0134:A1</t>
  </si>
  <si>
    <t>14.C6</t>
  </si>
  <si>
    <t>AF0076:02</t>
  </si>
  <si>
    <t>007602</t>
  </si>
  <si>
    <t>52.B7</t>
  </si>
  <si>
    <t>KA0221:A1</t>
  </si>
  <si>
    <t>52.B6</t>
  </si>
  <si>
    <t>AF0076:10</t>
  </si>
  <si>
    <t>KT014615</t>
  </si>
  <si>
    <t>KT0146:15</t>
  </si>
  <si>
    <t>AF0076:13</t>
  </si>
  <si>
    <t>KT0146B1</t>
  </si>
  <si>
    <t>14.B2</t>
  </si>
  <si>
    <t>KT0146:B1</t>
  </si>
  <si>
    <t>AF0076:18</t>
  </si>
  <si>
    <t>007618</t>
  </si>
  <si>
    <t>KA0221:A2</t>
  </si>
  <si>
    <t>AF0076:29</t>
  </si>
  <si>
    <t>KT0146A2</t>
  </si>
  <si>
    <t>KT0146:A2</t>
  </si>
  <si>
    <t>FU0210:LI</t>
  </si>
  <si>
    <t>XT0138:4</t>
  </si>
  <si>
    <t>13.B3</t>
  </si>
  <si>
    <t>FU0211:LI</t>
  </si>
  <si>
    <t>XT0139:3</t>
  </si>
  <si>
    <t>IEG0230:11</t>
  </si>
  <si>
    <t>IEG023011</t>
  </si>
  <si>
    <t>9.B3</t>
  </si>
  <si>
    <t>AF0083:SH</t>
  </si>
  <si>
    <t>IEG0230:2</t>
  </si>
  <si>
    <t>IEG02302</t>
  </si>
  <si>
    <t>9.D4</t>
  </si>
  <si>
    <t>AF0094:SH</t>
  </si>
  <si>
    <t>IEG0230:3</t>
  </si>
  <si>
    <t>IEG02303</t>
  </si>
  <si>
    <t xml:space="preserve">GR0133: </t>
  </si>
  <si>
    <t>IEG0230:9</t>
  </si>
  <si>
    <t xml:space="preserve">GR0134: </t>
  </si>
  <si>
    <t>KT0146:18</t>
  </si>
  <si>
    <t>KA0144:21</t>
  </si>
  <si>
    <t>KA0235:24</t>
  </si>
  <si>
    <t>KA022111</t>
  </si>
  <si>
    <t>52.B5</t>
  </si>
  <si>
    <t>KA0221:11</t>
  </si>
  <si>
    <t>KA0239:21</t>
  </si>
  <si>
    <t>KA023921</t>
  </si>
  <si>
    <t>15.B6</t>
  </si>
  <si>
    <t>AF0081:41</t>
  </si>
  <si>
    <t>15.A7</t>
  </si>
  <si>
    <t>KA0239:24</t>
  </si>
  <si>
    <t>KA023924</t>
  </si>
  <si>
    <t>AF0081:09</t>
  </si>
  <si>
    <t>KA0240:11</t>
  </si>
  <si>
    <t>PS32004</t>
  </si>
  <si>
    <t>71.D6</t>
  </si>
  <si>
    <t>XT0136:6</t>
  </si>
  <si>
    <t>71.D5</t>
  </si>
  <si>
    <t>KA0240:14</t>
  </si>
  <si>
    <t>UF1300</t>
  </si>
  <si>
    <t>XT0136:7</t>
  </si>
  <si>
    <t>AF0081:00</t>
  </si>
  <si>
    <t>KA0241:21</t>
  </si>
  <si>
    <t>KT0146A1</t>
  </si>
  <si>
    <t>KA0141:21</t>
  </si>
  <si>
    <t>KA0241:24</t>
  </si>
  <si>
    <t>KA0141:24</t>
  </si>
  <si>
    <t>XT0136:10</t>
  </si>
  <si>
    <t>14.B5</t>
  </si>
  <si>
    <t>AF0081:08</t>
  </si>
  <si>
    <t>KA0243:11</t>
  </si>
  <si>
    <t>KA024311</t>
  </si>
  <si>
    <t>AF0081:33</t>
  </si>
  <si>
    <t>15.B7</t>
  </si>
  <si>
    <t>KA0243:14</t>
  </si>
  <si>
    <t>KA024314</t>
  </si>
  <si>
    <t>AF0081:01</t>
  </si>
  <si>
    <t>KA0244:12</t>
  </si>
  <si>
    <t>KA024412</t>
  </si>
  <si>
    <t>KT0145:A1</t>
  </si>
  <si>
    <t>14.B6</t>
  </si>
  <si>
    <t>KA0244:24</t>
  </si>
  <si>
    <t>KA6221A1</t>
  </si>
  <si>
    <t>KA6221:A1</t>
  </si>
  <si>
    <t>97.C6</t>
  </si>
  <si>
    <t>KA0245:21</t>
  </si>
  <si>
    <t>KA024521</t>
  </si>
  <si>
    <t>AF0081:34</t>
  </si>
  <si>
    <t>KA0245:24</t>
  </si>
  <si>
    <t>KA024524</t>
  </si>
  <si>
    <t>AF0081:02</t>
  </si>
  <si>
    <t>KA0246:14</t>
  </si>
  <si>
    <t>KA6211A1</t>
  </si>
  <si>
    <t>KA6211:A1</t>
  </si>
  <si>
    <t>KA0249:12</t>
  </si>
  <si>
    <t>KA014422</t>
  </si>
  <si>
    <t>KA0144:22</t>
  </si>
  <si>
    <t>KA1020:24</t>
  </si>
  <si>
    <t>XT0135:1</t>
  </si>
  <si>
    <t>UA1200:J2-6</t>
  </si>
  <si>
    <t>UA1200J26</t>
  </si>
  <si>
    <t>KA0130:A2</t>
  </si>
  <si>
    <t>UA1200:J2-7</t>
  </si>
  <si>
    <t>UA1200J27</t>
  </si>
  <si>
    <t>AF0081:19</t>
  </si>
  <si>
    <t>XT0060:4</t>
  </si>
  <si>
    <t>SV21202</t>
  </si>
  <si>
    <t>AF0095:18</t>
  </si>
  <si>
    <t>XT0138:2</t>
  </si>
  <si>
    <t>13.A3</t>
  </si>
  <si>
    <t>XT0134:2</t>
  </si>
  <si>
    <t>XT0134:4</t>
  </si>
  <si>
    <t>XT0237:2 T2</t>
  </si>
  <si>
    <t>009213</t>
  </si>
  <si>
    <t>AF0092:13</t>
  </si>
  <si>
    <t>28.C7</t>
  </si>
  <si>
    <t>XT0136:3</t>
  </si>
  <si>
    <t>14.A2</t>
  </si>
  <si>
    <t>XT0136:1</t>
  </si>
  <si>
    <t>ESTOPA</t>
  </si>
  <si>
    <t>XT0137:1</t>
  </si>
  <si>
    <t>29.B5</t>
  </si>
  <si>
    <t>XT0137:2</t>
  </si>
  <si>
    <t>XT0138:3</t>
  </si>
  <si>
    <t>XT0134:3</t>
  </si>
  <si>
    <t>AU0070:L1</t>
  </si>
  <si>
    <t>AU0080L2</t>
  </si>
  <si>
    <t>AU0080:L2</t>
  </si>
  <si>
    <t>9.A1</t>
  </si>
  <si>
    <t>XT0011:2</t>
  </si>
  <si>
    <t>523NEG</t>
  </si>
  <si>
    <t>12.C3</t>
  </si>
  <si>
    <t>XT0011:3</t>
  </si>
  <si>
    <t>XT0011:4</t>
  </si>
  <si>
    <t>XT0011:5</t>
  </si>
  <si>
    <t>XT0080:1</t>
  </si>
  <si>
    <t>9.B1</t>
  </si>
  <si>
    <t>XT0080:2</t>
  </si>
  <si>
    <t>XT0080:3</t>
  </si>
  <si>
    <t>XT0081:1</t>
  </si>
  <si>
    <t>9.D1</t>
  </si>
  <si>
    <t>XT0081:2</t>
  </si>
  <si>
    <t>XT0134:1</t>
  </si>
  <si>
    <t>XT0135:2</t>
  </si>
  <si>
    <t>XT0135:3</t>
  </si>
  <si>
    <t>XT0135:4</t>
  </si>
  <si>
    <t>XT0136:2</t>
  </si>
  <si>
    <t>XT0138:1</t>
  </si>
  <si>
    <t>XT0139:1</t>
  </si>
  <si>
    <t>13.A4</t>
  </si>
  <si>
    <t>XT0139:2</t>
  </si>
  <si>
    <t>AF0081:03</t>
  </si>
  <si>
    <t>008103</t>
  </si>
  <si>
    <t>KA0130:14</t>
  </si>
  <si>
    <t>AF0081:35</t>
  </si>
  <si>
    <t>008135</t>
  </si>
  <si>
    <t>KA0130:A1</t>
  </si>
  <si>
    <t>AF0081:07</t>
  </si>
  <si>
    <t>JP2</t>
  </si>
  <si>
    <t>32.D7</t>
  </si>
  <si>
    <t>AF0081:39</t>
  </si>
  <si>
    <t>AF0081:COM</t>
  </si>
  <si>
    <t>AF0081N</t>
  </si>
  <si>
    <t>9.A2</t>
  </si>
  <si>
    <t>AF0082:COM</t>
  </si>
  <si>
    <t>AU0080N</t>
  </si>
  <si>
    <t>AU0080:COM</t>
  </si>
  <si>
    <t>AF0081:V+</t>
  </si>
  <si>
    <t>AF0081P</t>
  </si>
  <si>
    <t>AF0082:V+</t>
  </si>
  <si>
    <t>AU0080P</t>
  </si>
  <si>
    <t>AU0080:V+</t>
  </si>
  <si>
    <t>AF0082N</t>
  </si>
  <si>
    <t>AF0083:COM</t>
  </si>
  <si>
    <t>AF0082:J</t>
  </si>
  <si>
    <t>AF0083:P</t>
  </si>
  <si>
    <t>AF0082P</t>
  </si>
  <si>
    <t>AF0083:V+</t>
  </si>
  <si>
    <t>AF0083N</t>
  </si>
  <si>
    <t>AF0084:COM</t>
  </si>
  <si>
    <t>9.B4</t>
  </si>
  <si>
    <t>AF0083:J</t>
  </si>
  <si>
    <t>AF0084:P</t>
  </si>
  <si>
    <t>AF0083G</t>
  </si>
  <si>
    <t>AF0084:SH</t>
  </si>
  <si>
    <t>AU0080:GND</t>
  </si>
  <si>
    <t>AF0083P</t>
  </si>
  <si>
    <t>AF0084:V+</t>
  </si>
  <si>
    <t>AF0084N</t>
  </si>
  <si>
    <t>AF0085:COM</t>
  </si>
  <si>
    <t>AF0084:J</t>
  </si>
  <si>
    <t>AF0085:P</t>
  </si>
  <si>
    <t>AF0084G</t>
  </si>
  <si>
    <t>AF0085:SH</t>
  </si>
  <si>
    <t>AF0084P</t>
  </si>
  <si>
    <t>AF0085:V+</t>
  </si>
  <si>
    <t>AF0085N</t>
  </si>
  <si>
    <t>AF0086:COM</t>
  </si>
  <si>
    <t>9.B5</t>
  </si>
  <si>
    <t>AF0085:J</t>
  </si>
  <si>
    <t>AF0086:P</t>
  </si>
  <si>
    <t>AF0085G</t>
  </si>
  <si>
    <t>AF0086:SH</t>
  </si>
  <si>
    <t>AF0085P</t>
  </si>
  <si>
    <t>AF0086:V+</t>
  </si>
  <si>
    <t>AF0086:28</t>
  </si>
  <si>
    <t>58.C7</t>
  </si>
  <si>
    <t>XT0050:2</t>
  </si>
  <si>
    <t>58.C5</t>
  </si>
  <si>
    <t>AF0086N</t>
  </si>
  <si>
    <t>AF0087:COM</t>
  </si>
  <si>
    <t>9.B6</t>
  </si>
  <si>
    <t>AF0086:J</t>
  </si>
  <si>
    <t>AF0087:P</t>
  </si>
  <si>
    <t>AF0086P</t>
  </si>
  <si>
    <t>AF0087:V+</t>
  </si>
  <si>
    <t>AF0087:11</t>
  </si>
  <si>
    <t>KA013624</t>
  </si>
  <si>
    <t>14.B4</t>
  </si>
  <si>
    <t>KA0136:24</t>
  </si>
  <si>
    <t>14.B3</t>
  </si>
  <si>
    <t>AF0087:43</t>
  </si>
  <si>
    <t>KA013621</t>
  </si>
  <si>
    <t>KA0136:21</t>
  </si>
  <si>
    <t>AF0091:07</t>
  </si>
  <si>
    <t>KA014114</t>
  </si>
  <si>
    <t>14.C2</t>
  </si>
  <si>
    <t>KA0141:14</t>
  </si>
  <si>
    <t>AF0091:09</t>
  </si>
  <si>
    <t>UJ0131OK2</t>
  </si>
  <si>
    <t>12.B7</t>
  </si>
  <si>
    <t>UJ0131:OK2</t>
  </si>
  <si>
    <t>12.B4</t>
  </si>
  <si>
    <t>AF0091:39</t>
  </si>
  <si>
    <t>KA014111</t>
  </si>
  <si>
    <t>KA0141:11</t>
  </si>
  <si>
    <t>AF0091:41</t>
  </si>
  <si>
    <t>UJ0131OK1</t>
  </si>
  <si>
    <t>UJ0131:OK1</t>
  </si>
  <si>
    <t>AF0091:COM</t>
  </si>
  <si>
    <t>AF0091N</t>
  </si>
  <si>
    <t>9.D2</t>
  </si>
  <si>
    <t>AF0094:COM</t>
  </si>
  <si>
    <t>AU0090N</t>
  </si>
  <si>
    <t>AU0090:COM</t>
  </si>
  <si>
    <t>9.C1</t>
  </si>
  <si>
    <t>AF0091:J</t>
  </si>
  <si>
    <t>AF0092:P</t>
  </si>
  <si>
    <t>9.D3</t>
  </si>
  <si>
    <t>AF0091:V+</t>
  </si>
  <si>
    <t>AF0091P</t>
  </si>
  <si>
    <t>AF0094:V+</t>
  </si>
  <si>
    <t>AU0090P</t>
  </si>
  <si>
    <t>AU0090:V+</t>
  </si>
  <si>
    <t>AF0092:02</t>
  </si>
  <si>
    <t>KA0133A1</t>
  </si>
  <si>
    <t>72.B7</t>
  </si>
  <si>
    <t>KA0133:A1</t>
  </si>
  <si>
    <t>AF0092:04</t>
  </si>
  <si>
    <t>009204</t>
  </si>
  <si>
    <t>33.A6</t>
  </si>
  <si>
    <t>KA2160:A1</t>
  </si>
  <si>
    <t>33.A5</t>
  </si>
  <si>
    <t>AF0092:06</t>
  </si>
  <si>
    <t>KA013114</t>
  </si>
  <si>
    <t>72.A7</t>
  </si>
  <si>
    <t>KA0131:14</t>
  </si>
  <si>
    <t>14.D4</t>
  </si>
  <si>
    <t>AF0092:07</t>
  </si>
  <si>
    <t>009207</t>
  </si>
  <si>
    <t>KA2161:A1</t>
  </si>
  <si>
    <t>33.B5</t>
  </si>
  <si>
    <t>AF0092:08</t>
  </si>
  <si>
    <t>009208</t>
  </si>
  <si>
    <t>78.A7</t>
  </si>
  <si>
    <t>KA3103:A1</t>
  </si>
  <si>
    <t>78.A5</t>
  </si>
  <si>
    <t>AF0092:20</t>
  </si>
  <si>
    <t>009220</t>
  </si>
  <si>
    <t>KA2160:A2</t>
  </si>
  <si>
    <t>AF0092:23</t>
  </si>
  <si>
    <t>009223</t>
  </si>
  <si>
    <t>KA2161:A2</t>
  </si>
  <si>
    <t>AF0092:24</t>
  </si>
  <si>
    <t>009224</t>
  </si>
  <si>
    <t>KA3103:A2</t>
  </si>
  <si>
    <t>AF0092:COM</t>
  </si>
  <si>
    <t>AF0092:J</t>
  </si>
  <si>
    <t>AF0093:P</t>
  </si>
  <si>
    <t>AF0092:V+</t>
  </si>
  <si>
    <t>FU0091:LD</t>
  </si>
  <si>
    <t>AF0093:12</t>
  </si>
  <si>
    <t>009312</t>
  </si>
  <si>
    <t>31.B7</t>
  </si>
  <si>
    <t>PC0470:INP_A</t>
  </si>
  <si>
    <t>31.B5</t>
  </si>
  <si>
    <t>AF0093:20</t>
  </si>
  <si>
    <t>009320</t>
  </si>
  <si>
    <t>97.A7</t>
  </si>
  <si>
    <t>KA6211:A2</t>
  </si>
  <si>
    <t>AF0093:21</t>
  </si>
  <si>
    <t>009321</t>
  </si>
  <si>
    <t>97.C7</t>
  </si>
  <si>
    <t>KA6221:A2</t>
  </si>
  <si>
    <t>AF0093:28</t>
  </si>
  <si>
    <t>009328</t>
  </si>
  <si>
    <t>PC0470:-PWR</t>
  </si>
  <si>
    <t>AF0093:44</t>
  </si>
  <si>
    <t>009344</t>
  </si>
  <si>
    <t>PC0470:+PWR</t>
  </si>
  <si>
    <t>AF0093:COM</t>
  </si>
  <si>
    <t>AF0093:J</t>
  </si>
  <si>
    <t>AF0094:P</t>
  </si>
  <si>
    <t>AF0093:V+</t>
  </si>
  <si>
    <t>FU0092:LD</t>
  </si>
  <si>
    <t>AF0094:04</t>
  </si>
  <si>
    <t>UJ0131VIN</t>
  </si>
  <si>
    <t>12.A7</t>
  </si>
  <si>
    <t>UJ0131:VIN</t>
  </si>
  <si>
    <t>AF0094:05</t>
  </si>
  <si>
    <t>AF0094:06</t>
  </si>
  <si>
    <t>UJ0131IOUT</t>
  </si>
  <si>
    <t>UJ0131:IOUT</t>
  </si>
  <si>
    <t>AF0094:07</t>
  </si>
  <si>
    <t>AF0094:J</t>
  </si>
  <si>
    <t>AF0095:P</t>
  </si>
  <si>
    <t>AU0090:GND</t>
  </si>
  <si>
    <t>AF0095:02</t>
  </si>
  <si>
    <t>009502</t>
  </si>
  <si>
    <t>KA0221:14</t>
  </si>
  <si>
    <t>AF0095:COM</t>
  </si>
  <si>
    <t>AF0095:V+</t>
  </si>
  <si>
    <t>FU0093:LD</t>
  </si>
  <si>
    <t>FU0080:LD</t>
  </si>
  <si>
    <t>FU0090:LD</t>
  </si>
  <si>
    <t>FU0010:LI</t>
  </si>
  <si>
    <t>13.A5</t>
  </si>
  <si>
    <t>FU0139:LI</t>
  </si>
  <si>
    <t>FU0011:LD</t>
  </si>
  <si>
    <t>UJ0131P</t>
  </si>
  <si>
    <t>12.B3</t>
  </si>
  <si>
    <t>UJ0131:+</t>
  </si>
  <si>
    <t>FU0012:LI</t>
  </si>
  <si>
    <t>523POS</t>
  </si>
  <si>
    <t>BUS</t>
  </si>
  <si>
    <t>FU0013:LI</t>
  </si>
  <si>
    <t>XT0014:1</t>
  </si>
  <si>
    <t>12.B2</t>
  </si>
  <si>
    <t>FU0014:LI</t>
  </si>
  <si>
    <t>FU0015:LI</t>
  </si>
  <si>
    <t>FU0017:LI</t>
  </si>
  <si>
    <t>FU0080:LI</t>
  </si>
  <si>
    <t>FU0090:LI</t>
  </si>
  <si>
    <t>FU0091:LI</t>
  </si>
  <si>
    <t>FU0092:LI</t>
  </si>
  <si>
    <t>FU0093:LI</t>
  </si>
  <si>
    <t>FU0116:LD</t>
  </si>
  <si>
    <t>FT21081</t>
  </si>
  <si>
    <t>13.B5</t>
  </si>
  <si>
    <t>XT0050:1</t>
  </si>
  <si>
    <t>FU0116:LI</t>
  </si>
  <si>
    <t>FU0136:LD</t>
  </si>
  <si>
    <t>10</t>
  </si>
  <si>
    <t>FU0136:LI</t>
  </si>
  <si>
    <t>24V</t>
  </si>
  <si>
    <t>UJ0131:OUT(+)</t>
  </si>
  <si>
    <t>FU0137:LD</t>
  </si>
  <si>
    <t>FU0137:LI</t>
  </si>
  <si>
    <t>FU0139:LD</t>
  </si>
  <si>
    <t xml:space="preserve">GR0131: </t>
  </si>
  <si>
    <t xml:space="preserve">GR0132: </t>
  </si>
  <si>
    <t>KA0130:11</t>
  </si>
  <si>
    <t>KA0131:11</t>
  </si>
  <si>
    <t>KA0135A1</t>
  </si>
  <si>
    <t>KA0135:A1</t>
  </si>
  <si>
    <t>14.D6</t>
  </si>
  <si>
    <t>KA0131:12</t>
  </si>
  <si>
    <t>KA013724</t>
  </si>
  <si>
    <t>KA0137:24</t>
  </si>
  <si>
    <t>14.D3</t>
  </si>
  <si>
    <t>KA0131:A1</t>
  </si>
  <si>
    <t>KA0132:A1</t>
  </si>
  <si>
    <t>KA0131:A2</t>
  </si>
  <si>
    <t>KA0132:A2</t>
  </si>
  <si>
    <t>KT0145:A2</t>
  </si>
  <si>
    <t>KA0132:11</t>
  </si>
  <si>
    <t>14.A3</t>
  </si>
  <si>
    <t>KA0133:11</t>
  </si>
  <si>
    <t>KT0145:15</t>
  </si>
  <si>
    <t>14.D2</t>
  </si>
  <si>
    <t>KA0132:12</t>
  </si>
  <si>
    <t>KT0141A1</t>
  </si>
  <si>
    <t>KT0142:A1</t>
  </si>
  <si>
    <t>14.A6</t>
  </si>
  <si>
    <t>KA0133:12</t>
  </si>
  <si>
    <t>KA0132:21</t>
  </si>
  <si>
    <t>KA0138A1</t>
  </si>
  <si>
    <t>KA0138:A1</t>
  </si>
  <si>
    <t>KA0132:22</t>
  </si>
  <si>
    <t>KA013222</t>
  </si>
  <si>
    <t>KA0137:14</t>
  </si>
  <si>
    <t>KT0141:18</t>
  </si>
  <si>
    <t>KA0132:24</t>
  </si>
  <si>
    <t>KA013224</t>
  </si>
  <si>
    <t>KA0134:14</t>
  </si>
  <si>
    <t>KA0141:A1</t>
  </si>
  <si>
    <t>KA0141:A2</t>
  </si>
  <si>
    <t>KA0134:11</t>
  </si>
  <si>
    <t>KA0133:A2</t>
  </si>
  <si>
    <t>KA0134:A2</t>
  </si>
  <si>
    <t>KA0136:11</t>
  </si>
  <si>
    <t>AF0091:12</t>
  </si>
  <si>
    <t>74.C7</t>
  </si>
  <si>
    <t>KA0144:A2</t>
  </si>
  <si>
    <t>KA0144:A1</t>
  </si>
  <si>
    <t>KA0135:A2</t>
  </si>
  <si>
    <t>KA0136:A2</t>
  </si>
  <si>
    <t>KA0137:21</t>
  </si>
  <si>
    <t>KA0136:14</t>
  </si>
  <si>
    <t>KA013821</t>
  </si>
  <si>
    <t>KA0138:21</t>
  </si>
  <si>
    <t>KA0136:A1</t>
  </si>
  <si>
    <t>PS32002</t>
  </si>
  <si>
    <t>XT0136:5</t>
  </si>
  <si>
    <t>KA0137:A2</t>
  </si>
  <si>
    <t>KA0137:11</t>
  </si>
  <si>
    <t>AF0087:09</t>
  </si>
  <si>
    <t>14.C4</t>
  </si>
  <si>
    <t>KA0137:A1</t>
  </si>
  <si>
    <t>KA0137A1</t>
  </si>
  <si>
    <t>KT0142:18</t>
  </si>
  <si>
    <t>KA0138:A2</t>
  </si>
  <si>
    <t>KA0138:11</t>
  </si>
  <si>
    <t>KM3170EP</t>
  </si>
  <si>
    <t>74.C5</t>
  </si>
  <si>
    <t>XT0136:13</t>
  </si>
  <si>
    <t>KA0138:14</t>
  </si>
  <si>
    <t>XT0136:11</t>
  </si>
  <si>
    <t>74.C6</t>
  </si>
  <si>
    <t>KA0138:24</t>
  </si>
  <si>
    <t>KT0144B1</t>
  </si>
  <si>
    <t>KT0144:B1</t>
  </si>
  <si>
    <t>KT0146:A1</t>
  </si>
  <si>
    <t>KT0140:15</t>
  </si>
  <si>
    <t>14.D1</t>
  </si>
  <si>
    <t>KT0142:15</t>
  </si>
  <si>
    <t>KT0140:16</t>
  </si>
  <si>
    <t>KT014115</t>
  </si>
  <si>
    <t>KT0141:15</t>
  </si>
  <si>
    <t>KT0140:18</t>
  </si>
  <si>
    <t>KT0143A1</t>
  </si>
  <si>
    <t>KT0143:A1</t>
  </si>
  <si>
    <t>KT0140:A1</t>
  </si>
  <si>
    <t>KT0140A1</t>
  </si>
  <si>
    <t>KT0143:16</t>
  </si>
  <si>
    <t>14.A5</t>
  </si>
  <si>
    <t>KT0140:A2</t>
  </si>
  <si>
    <t>KT0141:A2</t>
  </si>
  <si>
    <t>KT0144:18</t>
  </si>
  <si>
    <t>KT0141:A1</t>
  </si>
  <si>
    <t>KT0143:15</t>
  </si>
  <si>
    <t>KT0142:A2</t>
  </si>
  <si>
    <t>KT0144:A1</t>
  </si>
  <si>
    <t>KT0145:18</t>
  </si>
  <si>
    <t>KT0143:A2</t>
  </si>
  <si>
    <t>KT0144:A2</t>
  </si>
  <si>
    <t>KT0144:15</t>
  </si>
  <si>
    <t>PC0470:INP_B</t>
  </si>
  <si>
    <t>PEG0130:3</t>
  </si>
  <si>
    <t>UJ0131:-</t>
  </si>
  <si>
    <t>521NEG</t>
  </si>
  <si>
    <t>XT0011:1</t>
  </si>
  <si>
    <t>UJ0131:G</t>
  </si>
  <si>
    <t>UJ0131G</t>
  </si>
  <si>
    <t>UJ0131:OUT(-)</t>
  </si>
  <si>
    <t>XT0136:12</t>
  </si>
  <si>
    <t>XT0136:4</t>
  </si>
  <si>
    <t>AU0080:L1</t>
  </si>
  <si>
    <t>AU0080L1</t>
  </si>
  <si>
    <t>AU0090:L2</t>
  </si>
  <si>
    <t>AF0081:04</t>
  </si>
  <si>
    <t>SB0472B212</t>
  </si>
  <si>
    <t>29.B7</t>
  </si>
  <si>
    <t>SB0472:B2-12</t>
  </si>
  <si>
    <t>29.B1</t>
  </si>
  <si>
    <t>AF0081:36</t>
  </si>
  <si>
    <t>SB0472B211</t>
  </si>
  <si>
    <t>SB0472:B2-11</t>
  </si>
  <si>
    <t>AF0087:00</t>
  </si>
  <si>
    <t>SH047114</t>
  </si>
  <si>
    <t>28.A7</t>
  </si>
  <si>
    <t>SH0471:14</t>
  </si>
  <si>
    <t>28.A1</t>
  </si>
  <si>
    <t>AF0087:01</t>
  </si>
  <si>
    <t>SH047012</t>
  </si>
  <si>
    <t>28.B7</t>
  </si>
  <si>
    <t>SH0470:12</t>
  </si>
  <si>
    <t>AF0087:02</t>
  </si>
  <si>
    <t>SB047112</t>
  </si>
  <si>
    <t>28.D7</t>
  </si>
  <si>
    <t>SB0471:12</t>
  </si>
  <si>
    <t>28.D1</t>
  </si>
  <si>
    <t>AF0087:03</t>
  </si>
  <si>
    <t>SB047314</t>
  </si>
  <si>
    <t>SB0473:14</t>
  </si>
  <si>
    <t>AF0087:04</t>
  </si>
  <si>
    <t>SB047414</t>
  </si>
  <si>
    <t>29.A7</t>
  </si>
  <si>
    <t>SB0474:14</t>
  </si>
  <si>
    <t>29.A1</t>
  </si>
  <si>
    <t>AF0087:07</t>
  </si>
  <si>
    <t>SA0471B214</t>
  </si>
  <si>
    <t>SA0471:B2-14</t>
  </si>
  <si>
    <t>AF0087:08</t>
  </si>
  <si>
    <t>SA0471B114</t>
  </si>
  <si>
    <t>SA0471:B1-14</t>
  </si>
  <si>
    <t>AF0087:32</t>
  </si>
  <si>
    <t>SH047113</t>
  </si>
  <si>
    <t>SH0471:13</t>
  </si>
  <si>
    <t>AF0087:33</t>
  </si>
  <si>
    <t>SH047011</t>
  </si>
  <si>
    <t>SH0470:11</t>
  </si>
  <si>
    <t>AF0087:34</t>
  </si>
  <si>
    <t>SB047111</t>
  </si>
  <si>
    <t>SB0471:11</t>
  </si>
  <si>
    <t>AF0087:35</t>
  </si>
  <si>
    <t>SB047313</t>
  </si>
  <si>
    <t>SB0473:13</t>
  </si>
  <si>
    <t>AF0087:36</t>
  </si>
  <si>
    <t>SB047413</t>
  </si>
  <si>
    <t>SB0474:13</t>
  </si>
  <si>
    <t>AF0087:39</t>
  </si>
  <si>
    <t>SA0471B213</t>
  </si>
  <si>
    <t>SA0471:B2-13</t>
  </si>
  <si>
    <t>AF0087:40</t>
  </si>
  <si>
    <t>SA0471B113</t>
  </si>
  <si>
    <t>SA0471:B1-13</t>
  </si>
  <si>
    <t>AF0093:06</t>
  </si>
  <si>
    <t>SH0470X2</t>
  </si>
  <si>
    <t>SH0470:X2</t>
  </si>
  <si>
    <t>AF0093:15</t>
  </si>
  <si>
    <t>SH0471X2</t>
  </si>
  <si>
    <t>SH0471:X2</t>
  </si>
  <si>
    <t>AF0093:22</t>
  </si>
  <si>
    <t>SH0470X1</t>
  </si>
  <si>
    <t>SH0470:X1</t>
  </si>
  <si>
    <t>AF0093:31</t>
  </si>
  <si>
    <t>SH0471X1</t>
  </si>
  <si>
    <t>SH0471:X1</t>
  </si>
  <si>
    <t>SB0472:B1-11</t>
  </si>
  <si>
    <t>SB0472:B1-12</t>
  </si>
  <si>
    <t>XT0137:3</t>
  </si>
  <si>
    <t>SH047111</t>
  </si>
  <si>
    <t>28.A5</t>
  </si>
  <si>
    <t>SH0471:11</t>
  </si>
  <si>
    <t>XT0137:4</t>
  </si>
  <si>
    <t>SH047112</t>
  </si>
  <si>
    <t>SH0471:12</t>
  </si>
  <si>
    <t>XT0137:5</t>
  </si>
  <si>
    <t>SH047013</t>
  </si>
  <si>
    <t>SH0470:13</t>
  </si>
  <si>
    <t>XT0137:6</t>
  </si>
  <si>
    <t>SH047014</t>
  </si>
  <si>
    <t>SH0470:14</t>
  </si>
  <si>
    <t>2</t>
  </si>
  <si>
    <t>XT0334:1</t>
  </si>
  <si>
    <t>19.C2</t>
  </si>
  <si>
    <t>4</t>
  </si>
  <si>
    <t>XT0334:2</t>
  </si>
  <si>
    <t>3</t>
  </si>
  <si>
    <t>XT0332:1</t>
  </si>
  <si>
    <t>19.B2</t>
  </si>
  <si>
    <t>AF0087:13</t>
  </si>
  <si>
    <t>SA0473W-B1</t>
  </si>
  <si>
    <t>30.A6</t>
  </si>
  <si>
    <t>SA0473:12</t>
  </si>
  <si>
    <t>30.A1</t>
  </si>
  <si>
    <t>AF0087:14</t>
  </si>
  <si>
    <t>SA0473B-B1</t>
  </si>
  <si>
    <t>SA0473:14</t>
  </si>
  <si>
    <t>AF0087:45</t>
  </si>
  <si>
    <t>SA0473W-B2</t>
  </si>
  <si>
    <t>SA0473:11</t>
  </si>
  <si>
    <t>AF0087:46</t>
  </si>
  <si>
    <t>SA0473B-B2</t>
  </si>
  <si>
    <t>SA0473:13</t>
  </si>
  <si>
    <t>AF0091:14</t>
  </si>
  <si>
    <t>SA0472B214</t>
  </si>
  <si>
    <t>29.C7</t>
  </si>
  <si>
    <t>SA0472:B2-14</t>
  </si>
  <si>
    <t>29.C1</t>
  </si>
  <si>
    <t>AF0091:15</t>
  </si>
  <si>
    <t>SA0472B114</t>
  </si>
  <si>
    <t>SA0472:B1-14</t>
  </si>
  <si>
    <t>AF0091:46</t>
  </si>
  <si>
    <t>SA0472B213</t>
  </si>
  <si>
    <t>SA0472:B2-13</t>
  </si>
  <si>
    <t>AF0091:47</t>
  </si>
  <si>
    <t>SA0472B113</t>
  </si>
  <si>
    <t>SA0472:B1-13</t>
  </si>
  <si>
    <t>PEG0130:4</t>
  </si>
  <si>
    <t>PEG01304</t>
  </si>
  <si>
    <t>31.D6</t>
  </si>
  <si>
    <t>AT1100:GND</t>
  </si>
  <si>
    <t>AF0092:12</t>
  </si>
  <si>
    <t>009212</t>
  </si>
  <si>
    <t>11.D3</t>
  </si>
  <si>
    <t>KA0875:A1</t>
  </si>
  <si>
    <t>11.D2</t>
  </si>
  <si>
    <t>AF0092:28</t>
  </si>
  <si>
    <t>009228</t>
  </si>
  <si>
    <t>KA0875:A2</t>
  </si>
  <si>
    <t>AF0093:04</t>
  </si>
  <si>
    <t>009304</t>
  </si>
  <si>
    <t>XT0171:2</t>
  </si>
  <si>
    <t>AF0093:05</t>
  </si>
  <si>
    <t>009305</t>
  </si>
  <si>
    <t>XT0171:4</t>
  </si>
  <si>
    <t>AF0093:36</t>
  </si>
  <si>
    <t>009336</t>
  </si>
  <si>
    <t>KA0176:14</t>
  </si>
  <si>
    <t>AF0093:37</t>
  </si>
  <si>
    <t>009337</t>
  </si>
  <si>
    <t>KA0176:24</t>
  </si>
  <si>
    <t>KA0176:A1</t>
  </si>
  <si>
    <t>97.B5</t>
  </si>
  <si>
    <t>XT0170:3</t>
  </si>
  <si>
    <t>FU0170:LI</t>
  </si>
  <si>
    <t>AF0092:00</t>
  </si>
  <si>
    <t>009200</t>
  </si>
  <si>
    <t>100.C6</t>
  </si>
  <si>
    <t>KA2162:A1</t>
  </si>
  <si>
    <t>100.C5</t>
  </si>
  <si>
    <t>AF0092:16</t>
  </si>
  <si>
    <t>009216</t>
  </si>
  <si>
    <t>KA2162:A2</t>
  </si>
  <si>
    <t>FU0010:LD</t>
  </si>
  <si>
    <t>UV0600:(+)</t>
  </si>
  <si>
    <t>6.B2</t>
  </si>
  <si>
    <t>UV0600:(-)</t>
  </si>
  <si>
    <t>AU0090:L1</t>
  </si>
  <si>
    <t>AP0603L2</t>
  </si>
  <si>
    <t>AP0603:L2</t>
  </si>
  <si>
    <t>6.A3</t>
  </si>
  <si>
    <t>AF0182:01</t>
  </si>
  <si>
    <t>JP3</t>
  </si>
  <si>
    <t>32.A7</t>
  </si>
  <si>
    <t>AF0182:33</t>
  </si>
  <si>
    <t>AF0182:07</t>
  </si>
  <si>
    <t>JP4</t>
  </si>
  <si>
    <t>101.A7</t>
  </si>
  <si>
    <t>AF0182:39</t>
  </si>
  <si>
    <t>AF0182:15</t>
  </si>
  <si>
    <t>JP6</t>
  </si>
  <si>
    <t>101.B7</t>
  </si>
  <si>
    <t>AF0182:47</t>
  </si>
  <si>
    <t>AF0181:J</t>
  </si>
  <si>
    <t>21.B2</t>
  </si>
  <si>
    <t>AF0182:P</t>
  </si>
  <si>
    <t>21.B3</t>
  </si>
  <si>
    <t>AF0182:COM</t>
  </si>
  <si>
    <t>AF0182N</t>
  </si>
  <si>
    <t>AF0183:COM</t>
  </si>
  <si>
    <t>21.A3</t>
  </si>
  <si>
    <t>AF0182:J</t>
  </si>
  <si>
    <t>AF0183:P</t>
  </si>
  <si>
    <t>AF0182:V+</t>
  </si>
  <si>
    <t>AF0182P</t>
  </si>
  <si>
    <t>AF0183:V+</t>
  </si>
  <si>
    <t>AF0183N</t>
  </si>
  <si>
    <t>AF0184:COM</t>
  </si>
  <si>
    <t>21.B4</t>
  </si>
  <si>
    <t>AF0183:J</t>
  </si>
  <si>
    <t>AF0184:P</t>
  </si>
  <si>
    <t>AF0183P</t>
  </si>
  <si>
    <t>AF0184:V+</t>
  </si>
  <si>
    <t>AF0184:SH</t>
  </si>
  <si>
    <t>AF0184SH</t>
  </si>
  <si>
    <t>AU0180:GND</t>
  </si>
  <si>
    <t>21.A2</t>
  </si>
  <si>
    <t>AF0181:00</t>
  </si>
  <si>
    <t>018100</t>
  </si>
  <si>
    <t>25.A7</t>
  </si>
  <si>
    <t>KA0180:A1</t>
  </si>
  <si>
    <t>25.A5</t>
  </si>
  <si>
    <t>AF0181:02</t>
  </si>
  <si>
    <t>018102</t>
  </si>
  <si>
    <t>KA0181:A1</t>
  </si>
  <si>
    <t>AF0181:10</t>
  </si>
  <si>
    <t>018110</t>
  </si>
  <si>
    <t>KA0185:A1</t>
  </si>
  <si>
    <t>AF0181:16</t>
  </si>
  <si>
    <t>018116</t>
  </si>
  <si>
    <t>KA0180:A2</t>
  </si>
  <si>
    <t>AF0181:18</t>
  </si>
  <si>
    <t>018118</t>
  </si>
  <si>
    <t>KA0181:A2</t>
  </si>
  <si>
    <t>AF0181:26</t>
  </si>
  <si>
    <t>018126</t>
  </si>
  <si>
    <t>XT0338:2</t>
  </si>
  <si>
    <t>AF0181:COM</t>
  </si>
  <si>
    <t>XT0180:2</t>
  </si>
  <si>
    <t>21.B1</t>
  </si>
  <si>
    <t>AF0181:V+</t>
  </si>
  <si>
    <t>FU0181:LD</t>
  </si>
  <si>
    <t>FU0182:LD</t>
  </si>
  <si>
    <t>IEG01305</t>
  </si>
  <si>
    <t>IEG0130:5</t>
  </si>
  <si>
    <t>21.B5</t>
  </si>
  <si>
    <t>AU0180:COM</t>
  </si>
  <si>
    <t>XT0180:1</t>
  </si>
  <si>
    <t>AU0180:V+</t>
  </si>
  <si>
    <t>FU0180:LD</t>
  </si>
  <si>
    <t xml:space="preserve">GR0180: </t>
  </si>
  <si>
    <t>5.B4</t>
  </si>
  <si>
    <t>IEG0130:4</t>
  </si>
  <si>
    <t>AU0180:L1</t>
  </si>
  <si>
    <t>AT0140L2</t>
  </si>
  <si>
    <t>AT0140:P1</t>
  </si>
  <si>
    <t>20.D5</t>
  </si>
  <si>
    <t>AU0180:L2</t>
  </si>
  <si>
    <t>WC0018</t>
  </si>
  <si>
    <t>AU0180L2</t>
  </si>
  <si>
    <t>BA0002:RJ45</t>
  </si>
  <si>
    <t>3.B2</t>
  </si>
  <si>
    <t xml:space="preserve">GR1100: </t>
  </si>
  <si>
    <t>5.A5</t>
  </si>
  <si>
    <t>AR0600:IE1</t>
  </si>
  <si>
    <t>UV0600G</t>
  </si>
  <si>
    <t>UV0600:GND</t>
  </si>
  <si>
    <t>AT0680:NEG</t>
  </si>
  <si>
    <t>AT0680:POS</t>
  </si>
  <si>
    <t>AT0680POS</t>
  </si>
  <si>
    <t>XT0680:1</t>
  </si>
  <si>
    <t>BA0001:V1(-)</t>
  </si>
  <si>
    <t>BA0001:V1(+)</t>
  </si>
  <si>
    <t>FU0001:LD</t>
  </si>
  <si>
    <t>BA0002:V1(-)</t>
  </si>
  <si>
    <t>BA0002:V1(+)</t>
  </si>
  <si>
    <t>FU0002:LD</t>
  </si>
  <si>
    <t>FU0001:LI</t>
  </si>
  <si>
    <t>FU0002:LI</t>
  </si>
  <si>
    <t>FU0680:LD</t>
  </si>
  <si>
    <t>AP0602:L2</t>
  </si>
  <si>
    <t>AP0602L2</t>
  </si>
  <si>
    <t>AP0603:L1</t>
  </si>
  <si>
    <t>AP0609:L1</t>
  </si>
  <si>
    <t>AT0680LAN1</t>
  </si>
  <si>
    <t>6.A6</t>
  </si>
  <si>
    <t>AT0680:LAN1</t>
  </si>
  <si>
    <t>AP0602:L1</t>
  </si>
  <si>
    <t>AT0170L2</t>
  </si>
  <si>
    <t>AT0170:L2</t>
  </si>
  <si>
    <t>BA0005:V1(-)</t>
  </si>
  <si>
    <t>3.A6</t>
  </si>
  <si>
    <t>XT0003:2</t>
  </si>
  <si>
    <t>3.A5</t>
  </si>
  <si>
    <t>BA0005:V1(+)</t>
  </si>
  <si>
    <t>FU0005:LD</t>
  </si>
  <si>
    <t>BA0006:V1(-)</t>
  </si>
  <si>
    <t>3.B6</t>
  </si>
  <si>
    <t>XT0003:4</t>
  </si>
  <si>
    <t>3.B5</t>
  </si>
  <si>
    <t>BA0006:V1(+)</t>
  </si>
  <si>
    <t>FU0006:LD</t>
  </si>
  <si>
    <t>FU0005:LI</t>
  </si>
  <si>
    <t>XT0003:1</t>
  </si>
  <si>
    <t>FU0006:LI</t>
  </si>
  <si>
    <t>XT0003:3</t>
  </si>
  <si>
    <t xml:space="preserve">GR1125: </t>
  </si>
  <si>
    <t>5.D4</t>
  </si>
  <si>
    <t>FG1125:1</t>
  </si>
  <si>
    <t>XT0120:1</t>
  </si>
  <si>
    <t>20.D1</t>
  </si>
  <si>
    <t>XT0120:2</t>
  </si>
  <si>
    <t>AF0122:06</t>
  </si>
  <si>
    <t>JP1</t>
  </si>
  <si>
    <t>24.C7</t>
  </si>
  <si>
    <t>AF0122:38</t>
  </si>
  <si>
    <t>AF0121:COM</t>
  </si>
  <si>
    <t>20.D2</t>
  </si>
  <si>
    <t>AF0121:J</t>
  </si>
  <si>
    <t>AF0122:P</t>
  </si>
  <si>
    <t>20.D3</t>
  </si>
  <si>
    <t>AF0121:P</t>
  </si>
  <si>
    <t>AU0120:</t>
  </si>
  <si>
    <t>20.C1</t>
  </si>
  <si>
    <t>AF0121:V+</t>
  </si>
  <si>
    <t>FU0121:LD</t>
  </si>
  <si>
    <t>AF0122:09</t>
  </si>
  <si>
    <t>012209</t>
  </si>
  <si>
    <t>26.A6</t>
  </si>
  <si>
    <t>XT0120:4</t>
  </si>
  <si>
    <t>AF0122:41</t>
  </si>
  <si>
    <t>012241</t>
  </si>
  <si>
    <t>XT0120:3</t>
  </si>
  <si>
    <t>AF0122:COM</t>
  </si>
  <si>
    <t>AF0122N</t>
  </si>
  <si>
    <t>AF0123:COM</t>
  </si>
  <si>
    <t>AU0120N</t>
  </si>
  <si>
    <t>AU0120:COM</t>
  </si>
  <si>
    <t>AF0122:J</t>
  </si>
  <si>
    <t>AF0123:P</t>
  </si>
  <si>
    <t>AF0122:V+</t>
  </si>
  <si>
    <t>AF0122P</t>
  </si>
  <si>
    <t>AF0123:V+</t>
  </si>
  <si>
    <t>AU0120P</t>
  </si>
  <si>
    <t>AU0120:V+</t>
  </si>
  <si>
    <t>FU0120:LD</t>
  </si>
  <si>
    <t>FU0120:LI</t>
  </si>
  <si>
    <t>FU0121:LI</t>
  </si>
  <si>
    <t>FU0332:LD</t>
  </si>
  <si>
    <t>19.B3</t>
  </si>
  <si>
    <t>FU0333:LI</t>
  </si>
  <si>
    <t>FU0334:LI</t>
  </si>
  <si>
    <t>FU0335:LI</t>
  </si>
  <si>
    <t>19.A3</t>
  </si>
  <si>
    <t>AF0121:01</t>
  </si>
  <si>
    <t>012101</t>
  </si>
  <si>
    <t>22.A7</t>
  </si>
  <si>
    <t>KA0121:A1</t>
  </si>
  <si>
    <t>22.A5</t>
  </si>
  <si>
    <t>AF0121:02</t>
  </si>
  <si>
    <t>012102</t>
  </si>
  <si>
    <t>67.A6</t>
  </si>
  <si>
    <t>KA0336:21</t>
  </si>
  <si>
    <t>67.A5</t>
  </si>
  <si>
    <t>AF0121:03</t>
  </si>
  <si>
    <t>012103</t>
  </si>
  <si>
    <t>KA0123:A1</t>
  </si>
  <si>
    <t>AF0121:08</t>
  </si>
  <si>
    <t>012108</t>
  </si>
  <si>
    <t>22.B7</t>
  </si>
  <si>
    <t>KA0128:A1</t>
  </si>
  <si>
    <t>22.B5</t>
  </si>
  <si>
    <t>AF0121:14</t>
  </si>
  <si>
    <t>012114</t>
  </si>
  <si>
    <t>66.A6</t>
  </si>
  <si>
    <t>KA0336:11</t>
  </si>
  <si>
    <t>66.A5</t>
  </si>
  <si>
    <t>AF0121:17</t>
  </si>
  <si>
    <t>012117</t>
  </si>
  <si>
    <t>KA0121:A2</t>
  </si>
  <si>
    <t>AF0121:18</t>
  </si>
  <si>
    <t>012118</t>
  </si>
  <si>
    <t>KA4300:A2</t>
  </si>
  <si>
    <t>67.B6</t>
  </si>
  <si>
    <t>AF0121:19</t>
  </si>
  <si>
    <t>012119</t>
  </si>
  <si>
    <t>KA0123:A2</t>
  </si>
  <si>
    <t>AF0121:24</t>
  </si>
  <si>
    <t>012124</t>
  </si>
  <si>
    <t>KA0128:A2</t>
  </si>
  <si>
    <t>AF0121:30</t>
  </si>
  <si>
    <t>012130</t>
  </si>
  <si>
    <t>KA4100:A2</t>
  </si>
  <si>
    <t>66.B6</t>
  </si>
  <si>
    <t>AF0122:00</t>
  </si>
  <si>
    <t>012200</t>
  </si>
  <si>
    <t>24.A7</t>
  </si>
  <si>
    <t>KA0330:11</t>
  </si>
  <si>
    <t>24.A6</t>
  </si>
  <si>
    <t>AF0122:01</t>
  </si>
  <si>
    <t>012201</t>
  </si>
  <si>
    <t>KA0331:11</t>
  </si>
  <si>
    <t>AF0122:02</t>
  </si>
  <si>
    <t>012202</t>
  </si>
  <si>
    <t>24.B7</t>
  </si>
  <si>
    <t>KA0310:11</t>
  </si>
  <si>
    <t>24.B6</t>
  </si>
  <si>
    <t>AF0122:32</t>
  </si>
  <si>
    <t>012232</t>
  </si>
  <si>
    <t>KA0330:14</t>
  </si>
  <si>
    <t>AF0122:33</t>
  </si>
  <si>
    <t>012233</t>
  </si>
  <si>
    <t>KA0331:14</t>
  </si>
  <si>
    <t>AF0122:34</t>
  </si>
  <si>
    <t>012234</t>
  </si>
  <si>
    <t>KA0310:14</t>
  </si>
  <si>
    <t>AF0123:SH</t>
  </si>
  <si>
    <t>IEG01303</t>
  </si>
  <si>
    <t>IEG0130:3</t>
  </si>
  <si>
    <t>20.D4</t>
  </si>
  <si>
    <t>XT0130:1</t>
  </si>
  <si>
    <t>20.A5</t>
  </si>
  <si>
    <t>FU0332:LI</t>
  </si>
  <si>
    <t>FU0333:LD</t>
  </si>
  <si>
    <t>XT0335:1</t>
  </si>
  <si>
    <t>19.B4</t>
  </si>
  <si>
    <t>FU0334:LD</t>
  </si>
  <si>
    <t>XT0335:2</t>
  </si>
  <si>
    <t>FU0335:LD</t>
  </si>
  <si>
    <t>XT0335:3</t>
  </si>
  <si>
    <t>19.A4</t>
  </si>
  <si>
    <t>FU0113:LI</t>
  </si>
  <si>
    <t>18.A4</t>
  </si>
  <si>
    <t xml:space="preserve">GR0120: </t>
  </si>
  <si>
    <t>IEG01302</t>
  </si>
  <si>
    <t>IEG0130:2</t>
  </si>
  <si>
    <t>XT0130:2</t>
  </si>
  <si>
    <t>AU0120:L2</t>
  </si>
  <si>
    <t>AU0120L2</t>
  </si>
  <si>
    <t>AT0140:P2</t>
  </si>
  <si>
    <t>AU0120:L1</t>
  </si>
  <si>
    <t>AF0450L2</t>
  </si>
  <si>
    <t>AF0450:L2</t>
  </si>
  <si>
    <t>18.B3</t>
  </si>
  <si>
    <t>XT0170:1</t>
  </si>
  <si>
    <t>XT0170:4</t>
  </si>
  <si>
    <t>AT0175:11</t>
  </si>
  <si>
    <t>KA651012</t>
  </si>
  <si>
    <t>88.A6</t>
  </si>
  <si>
    <t>KA6510:12</t>
  </si>
  <si>
    <t>AT0175:14</t>
  </si>
  <si>
    <t>AT017514</t>
  </si>
  <si>
    <t>RR0175S5: -10K OHM</t>
  </si>
  <si>
    <t>AT0175:15</t>
  </si>
  <si>
    <t>AT017515</t>
  </si>
  <si>
    <t>AT0175:17</t>
  </si>
  <si>
    <t>27.B6</t>
  </si>
  <si>
    <t>XT0171:8</t>
  </si>
  <si>
    <t>AT0175:18</t>
  </si>
  <si>
    <t>HL0171X1</t>
  </si>
  <si>
    <t>XT0171:9</t>
  </si>
  <si>
    <t>AT0175:2</t>
  </si>
  <si>
    <t>SB017013</t>
  </si>
  <si>
    <t>XT0171:5</t>
  </si>
  <si>
    <t>AT0175:20</t>
  </si>
  <si>
    <t>27.C6</t>
  </si>
  <si>
    <t>XT0171:11</t>
  </si>
  <si>
    <t>AT0175:21</t>
  </si>
  <si>
    <t>HL0172X1</t>
  </si>
  <si>
    <t>XT0171:12</t>
  </si>
  <si>
    <t>AT0175:23</t>
  </si>
  <si>
    <t>XT0171:14</t>
  </si>
  <si>
    <t>AT0175:24</t>
  </si>
  <si>
    <t>HL0173X1</t>
  </si>
  <si>
    <t>XT0171:15</t>
  </si>
  <si>
    <t>AT0175:3</t>
  </si>
  <si>
    <t>SB017014</t>
  </si>
  <si>
    <t>XT0171:6</t>
  </si>
  <si>
    <t>AT0175:5P1</t>
  </si>
  <si>
    <t>KA6510A2</t>
  </si>
  <si>
    <t>11.B5</t>
  </si>
  <si>
    <t>KA6510:A2</t>
  </si>
  <si>
    <t>27.A5</t>
  </si>
  <si>
    <t>AT0175:GND</t>
  </si>
  <si>
    <t>AT0175G</t>
  </si>
  <si>
    <t>11.C6</t>
  </si>
  <si>
    <t>AT0176:11</t>
  </si>
  <si>
    <t>AT017611</t>
  </si>
  <si>
    <t>88.B6</t>
  </si>
  <si>
    <t>RR0176S4: -10K OHM</t>
  </si>
  <si>
    <t>AT0176:12</t>
  </si>
  <si>
    <t>AT017612</t>
  </si>
  <si>
    <t>AT0176:14</t>
  </si>
  <si>
    <t>AT017614</t>
  </si>
  <si>
    <t>88.D6</t>
  </si>
  <si>
    <t>RR0176S5: -10K OHM</t>
  </si>
  <si>
    <t>AT0176:15</t>
  </si>
  <si>
    <t>AT017615</t>
  </si>
  <si>
    <t>AT0176:17</t>
  </si>
  <si>
    <t>KA651122</t>
  </si>
  <si>
    <t>88.C6</t>
  </si>
  <si>
    <t>KA6511:22</t>
  </si>
  <si>
    <t>AT0176:20</t>
  </si>
  <si>
    <t>AT017620</t>
  </si>
  <si>
    <t>RR0176S7: -10K OHM</t>
  </si>
  <si>
    <t>AT0176:21</t>
  </si>
  <si>
    <t>AT017621</t>
  </si>
  <si>
    <t>AT0176:4P1</t>
  </si>
  <si>
    <t>AT01764P1</t>
  </si>
  <si>
    <t>11.C5</t>
  </si>
  <si>
    <t>AT0178:1P1</t>
  </si>
  <si>
    <t>11.D5</t>
  </si>
  <si>
    <t>AT0176:5P1</t>
  </si>
  <si>
    <t>AT01765P1</t>
  </si>
  <si>
    <t>AT0178:2P1</t>
  </si>
  <si>
    <t>AT0176:GND</t>
  </si>
  <si>
    <t>AT0176G</t>
  </si>
  <si>
    <t>AT0178:20</t>
  </si>
  <si>
    <t>ZS61P</t>
  </si>
  <si>
    <t>92.A6</t>
  </si>
  <si>
    <t>XT0170:24</t>
  </si>
  <si>
    <t>AT0178:21</t>
  </si>
  <si>
    <t>ZS61S</t>
  </si>
  <si>
    <t>XT0170:25</t>
  </si>
  <si>
    <t>AT0178:23</t>
  </si>
  <si>
    <t>XT0170:16</t>
  </si>
  <si>
    <t>AT0178:24</t>
  </si>
  <si>
    <t>KA0178A2</t>
  </si>
  <si>
    <t>XT0170:17</t>
  </si>
  <si>
    <t>AT0178:GND</t>
  </si>
  <si>
    <t>AT0178G</t>
  </si>
  <si>
    <t>11.D6</t>
  </si>
  <si>
    <t>FU0170:LD</t>
  </si>
  <si>
    <t xml:space="preserve">GR0170: </t>
  </si>
  <si>
    <t>11.A6</t>
  </si>
  <si>
    <t>KA0172:11</t>
  </si>
  <si>
    <t>KA017211</t>
  </si>
  <si>
    <t>85.D6</t>
  </si>
  <si>
    <t>XT0170:7</t>
  </si>
  <si>
    <t>85.D5</t>
  </si>
  <si>
    <t>KA0172:12</t>
  </si>
  <si>
    <t>KA017212</t>
  </si>
  <si>
    <t>XT0170:8</t>
  </si>
  <si>
    <t>KA0172:A2</t>
  </si>
  <si>
    <t>11.B2</t>
  </si>
  <si>
    <t>KA0174:A2</t>
  </si>
  <si>
    <t>11.C2</t>
  </si>
  <si>
    <t>KA0174:11</t>
  </si>
  <si>
    <t>KA017411</t>
  </si>
  <si>
    <t>XT0170:9</t>
  </si>
  <si>
    <t>KA0174:12</t>
  </si>
  <si>
    <t>KA017412</t>
  </si>
  <si>
    <t>XT0170:10</t>
  </si>
  <si>
    <t>KA0176:11</t>
  </si>
  <si>
    <t>KA0176:21</t>
  </si>
  <si>
    <t>KA0176:A2</t>
  </si>
  <si>
    <t>KA0178:A1</t>
  </si>
  <si>
    <t>KA0178A1</t>
  </si>
  <si>
    <t>XT0170:15</t>
  </si>
  <si>
    <t>KA0178:A2</t>
  </si>
  <si>
    <t>KA0875:11</t>
  </si>
  <si>
    <t>HA04722</t>
  </si>
  <si>
    <t>KA0178:11</t>
  </si>
  <si>
    <t>XT0170:13</t>
  </si>
  <si>
    <t>KA6510:A1</t>
  </si>
  <si>
    <t>SA0170B214</t>
  </si>
  <si>
    <t>KA6511:A1</t>
  </si>
  <si>
    <t>KA6511:A2</t>
  </si>
  <si>
    <t>RR0175A: -10K OHM</t>
  </si>
  <si>
    <t>RR0175D: -10K OHM</t>
  </si>
  <si>
    <t>RR0175I: -10K OHM</t>
  </si>
  <si>
    <t>RR0175M: -10K OHM</t>
  </si>
  <si>
    <t>RR0178: -10K OHM</t>
  </si>
  <si>
    <t>VD0175A:--1N4007</t>
  </si>
  <si>
    <t>HL0171X2</t>
  </si>
  <si>
    <t>27.B5</t>
  </si>
  <si>
    <t>XT0171:7</t>
  </si>
  <si>
    <t>VD0175A:+-1N4007</t>
  </si>
  <si>
    <t>VD0175D:--1N4007</t>
  </si>
  <si>
    <t>HL0173X2</t>
  </si>
  <si>
    <t>27.C5</t>
  </si>
  <si>
    <t>XT0171:13</t>
  </si>
  <si>
    <t>VD0175D:+-1N4007</t>
  </si>
  <si>
    <t>VD0175I:--1N4007</t>
  </si>
  <si>
    <t>HL0172X2</t>
  </si>
  <si>
    <t>XT0171:10</t>
  </si>
  <si>
    <t>VD0175I:+-1N4007</t>
  </si>
  <si>
    <t>VD0178:--1N4007</t>
  </si>
  <si>
    <t>VD0178:+-1N4007</t>
  </si>
  <si>
    <t>VD6211:--1N4007</t>
  </si>
  <si>
    <t>VD6211:+-1N4007</t>
  </si>
  <si>
    <t>VD6221:--1N4007</t>
  </si>
  <si>
    <t>VD6221:+-1N4007</t>
  </si>
  <si>
    <t>XT0170:14</t>
  </si>
  <si>
    <t>XT0172:5</t>
  </si>
  <si>
    <t>95.A6</t>
  </si>
  <si>
    <t>XT0172:13</t>
  </si>
  <si>
    <t>95.B6</t>
  </si>
  <si>
    <t>XT0172:7</t>
  </si>
  <si>
    <t>95.D6</t>
  </si>
  <si>
    <t>XT0172:14</t>
  </si>
  <si>
    <t>XT0172:8</t>
  </si>
  <si>
    <t>XT0172:15</t>
  </si>
  <si>
    <t>LON1S2</t>
  </si>
  <si>
    <t>XT0172:9</t>
  </si>
  <si>
    <t>XT0172:4</t>
  </si>
  <si>
    <t>XT0172:6</t>
  </si>
  <si>
    <t>AT0178:1P2</t>
  </si>
  <si>
    <t>LON1A</t>
  </si>
  <si>
    <t>XT0172:1</t>
  </si>
  <si>
    <t>AT0178:2P2</t>
  </si>
  <si>
    <t>LON1B</t>
  </si>
  <si>
    <t>XT0172:2</t>
  </si>
  <si>
    <t>AT0178:3P2</t>
  </si>
  <si>
    <t>LON1S1</t>
  </si>
  <si>
    <t>XT0172:3</t>
  </si>
  <si>
    <t>AT0175:1P2</t>
  </si>
  <si>
    <t>AT01751P2</t>
  </si>
  <si>
    <t>11.C7</t>
  </si>
  <si>
    <t>AT0176:4P2</t>
  </si>
  <si>
    <t>AT0175:2P2</t>
  </si>
  <si>
    <t>AT01752P2</t>
  </si>
  <si>
    <t>AT0176:5P2</t>
  </si>
  <si>
    <t>AT0175:3P2</t>
  </si>
  <si>
    <t>AT01753P2</t>
  </si>
  <si>
    <t>AT0176:6P2</t>
  </si>
  <si>
    <t>AT0176:1P2</t>
  </si>
  <si>
    <t>AT01761P2</t>
  </si>
  <si>
    <t>11.D7</t>
  </si>
  <si>
    <t>AT0178:4P2</t>
  </si>
  <si>
    <t>AT0176:2P2</t>
  </si>
  <si>
    <t>AT01762P2</t>
  </si>
  <si>
    <t>AT0178:5P2</t>
  </si>
  <si>
    <t>AT0176:3P2</t>
  </si>
  <si>
    <t>AT01763P2</t>
  </si>
  <si>
    <t>AT0178:6P2</t>
  </si>
  <si>
    <t>AT0175:1P1</t>
  </si>
  <si>
    <t>UV01709</t>
  </si>
  <si>
    <t>UV0170:9(+)</t>
  </si>
  <si>
    <t>11.A3</t>
  </si>
  <si>
    <t>AT0175:2P1</t>
  </si>
  <si>
    <t>UV017010</t>
  </si>
  <si>
    <t>UV0170:10(-)</t>
  </si>
  <si>
    <t>AT0175:4P1</t>
  </si>
  <si>
    <t>AT01754P1</t>
  </si>
  <si>
    <t>SA0170:B2-13</t>
  </si>
  <si>
    <t>27.A1</t>
  </si>
  <si>
    <t>AT0176:1P1</t>
  </si>
  <si>
    <t>UV017011</t>
  </si>
  <si>
    <t>UV0170:11(+)</t>
  </si>
  <si>
    <t>AT0176:2P1</t>
  </si>
  <si>
    <t>UV017012</t>
  </si>
  <si>
    <t>UV0170:12(-)</t>
  </si>
  <si>
    <t>KA0172:A1</t>
  </si>
  <si>
    <t>AT017025</t>
  </si>
  <si>
    <t>AT0170:25</t>
  </si>
  <si>
    <t>KA0174:A1</t>
  </si>
  <si>
    <t>AT017031</t>
  </si>
  <si>
    <t>AT0170:31</t>
  </si>
  <si>
    <t>SA0170:B2-14</t>
  </si>
  <si>
    <t>XT0170:11</t>
  </si>
  <si>
    <t>SA0170B113</t>
  </si>
  <si>
    <t>27.A6</t>
  </si>
  <si>
    <t>AT0170:11</t>
  </si>
  <si>
    <t>SA0170:B1-13</t>
  </si>
  <si>
    <t>XT0170:12</t>
  </si>
  <si>
    <t>SA0170B114</t>
  </si>
  <si>
    <t>AT0170:12</t>
  </si>
  <si>
    <t>SA0170:B1-14</t>
  </si>
  <si>
    <t>XT0170:18</t>
  </si>
  <si>
    <t>LON0P</t>
  </si>
  <si>
    <t>87.A6</t>
  </si>
  <si>
    <t>UV0170:13(+)</t>
  </si>
  <si>
    <t>87.B7</t>
  </si>
  <si>
    <t>XT0170:19</t>
  </si>
  <si>
    <t>LON0N</t>
  </si>
  <si>
    <t>UV0170:14(-)</t>
  </si>
  <si>
    <t>UV0170:3(+)</t>
  </si>
  <si>
    <t>UV0170:1(+)</t>
  </si>
  <si>
    <t>XT0170:21</t>
  </si>
  <si>
    <t>LON2P</t>
  </si>
  <si>
    <t>87.D6</t>
  </si>
  <si>
    <t>UV0170:15(+)</t>
  </si>
  <si>
    <t>XT0170:22</t>
  </si>
  <si>
    <t>LON2N</t>
  </si>
  <si>
    <t>UV0170:16(-)</t>
  </si>
  <si>
    <t>UV0170:4(-)</t>
  </si>
  <si>
    <t>UV0170:2(-)</t>
  </si>
  <si>
    <t>XT0170:5</t>
  </si>
  <si>
    <t>AT017045</t>
  </si>
  <si>
    <t>AT0170:45</t>
  </si>
  <si>
    <t>XT0170:6</t>
  </si>
  <si>
    <t>AT017046</t>
  </si>
  <si>
    <t>AT0170:46</t>
  </si>
  <si>
    <t>HL0172:X2</t>
  </si>
  <si>
    <t>27.C1</t>
  </si>
  <si>
    <t>HL0172:X1</t>
  </si>
  <si>
    <t>HL0173:X2</t>
  </si>
  <si>
    <t>HL0173:X1</t>
  </si>
  <si>
    <t>SB0170:13</t>
  </si>
  <si>
    <t>27.B1</t>
  </si>
  <si>
    <t>SB0170:14</t>
  </si>
  <si>
    <t>HL0171:X2</t>
  </si>
  <si>
    <t>HL0171:X1</t>
  </si>
  <si>
    <t>XT0172:16</t>
  </si>
  <si>
    <t>LON2A</t>
  </si>
  <si>
    <t>AT0170:53</t>
  </si>
  <si>
    <t>XT0172:17</t>
  </si>
  <si>
    <t>LON2B</t>
  </si>
  <si>
    <t>AT0170:52</t>
  </si>
  <si>
    <t>XT0172:18</t>
  </si>
  <si>
    <t>LON2S1</t>
  </si>
  <si>
    <t>AT0170:51</t>
  </si>
  <si>
    <t>18</t>
  </si>
  <si>
    <t>HA0472:BLK-1</t>
  </si>
  <si>
    <t>27.D1</t>
  </si>
  <si>
    <t>HA0472:BLK-2</t>
  </si>
  <si>
    <t>AT0175:4P2</t>
  </si>
  <si>
    <t>AT017050</t>
  </si>
  <si>
    <t>11.A7</t>
  </si>
  <si>
    <t>AT0170:50</t>
  </si>
  <si>
    <t>AT0175:5P2</t>
  </si>
  <si>
    <t>AT017049</t>
  </si>
  <si>
    <t>AT0170:49</t>
  </si>
  <si>
    <t>AT0175:6P2</t>
  </si>
  <si>
    <t>AT017048</t>
  </si>
  <si>
    <t>AT0170:48</t>
  </si>
  <si>
    <t>AT0170:1</t>
  </si>
  <si>
    <t>UV01705</t>
  </si>
  <si>
    <t>UV0170:5(+)</t>
  </si>
  <si>
    <t>AT0170:2</t>
  </si>
  <si>
    <t>UV01706</t>
  </si>
  <si>
    <t>UV0170:6(-)</t>
  </si>
  <si>
    <t>AT0170:3</t>
  </si>
  <si>
    <t>UV01707</t>
  </si>
  <si>
    <t>UV0170:7(+)</t>
  </si>
  <si>
    <t>AT0170:4</t>
  </si>
  <si>
    <t>UV01708</t>
  </si>
  <si>
    <t>UV0170:8(-)</t>
  </si>
  <si>
    <t>AT0170:GND</t>
  </si>
  <si>
    <t>AT0170G</t>
  </si>
  <si>
    <t>11.B6</t>
  </si>
  <si>
    <t>UV0170:GND</t>
  </si>
  <si>
    <t>UV0170G</t>
  </si>
  <si>
    <t>11.B4</t>
  </si>
  <si>
    <t>JB72</t>
  </si>
  <si>
    <t>XT0130:3</t>
  </si>
  <si>
    <t>XT0336:2</t>
  </si>
  <si>
    <t>XT0336:3</t>
  </si>
  <si>
    <t>XT0336:4</t>
  </si>
  <si>
    <t>19.D4</t>
  </si>
  <si>
    <t>XT0350:2</t>
  </si>
  <si>
    <t>CCT1(+)</t>
  </si>
  <si>
    <t>83.A4</t>
  </si>
  <si>
    <t>XT0350:1</t>
  </si>
  <si>
    <t>XT0350:4</t>
  </si>
  <si>
    <t>CCT1(-)</t>
  </si>
  <si>
    <t>XT0350:3</t>
  </si>
  <si>
    <t>XT0351:1</t>
  </si>
  <si>
    <t>VBUSA</t>
  </si>
  <si>
    <t>81.B4</t>
  </si>
  <si>
    <t>XT0351:2</t>
  </si>
  <si>
    <t>XT0351:11</t>
  </si>
  <si>
    <t>VGENC</t>
  </si>
  <si>
    <t>81.D4</t>
  </si>
  <si>
    <t>XT0351:12</t>
  </si>
  <si>
    <t>XT0351:3</t>
  </si>
  <si>
    <t>VBUSB</t>
  </si>
  <si>
    <t>XT0351:4</t>
  </si>
  <si>
    <t>XT0351:5</t>
  </si>
  <si>
    <t>VBUSC</t>
  </si>
  <si>
    <t>XT0351:6</t>
  </si>
  <si>
    <t>XT0351:7</t>
  </si>
  <si>
    <t>VGENA</t>
  </si>
  <si>
    <t>XT0351:8</t>
  </si>
  <si>
    <t>XT0351:9</t>
  </si>
  <si>
    <t>VGENB</t>
  </si>
  <si>
    <t>XT0351:10</t>
  </si>
  <si>
    <t>XT0370:1</t>
  </si>
  <si>
    <t>EXC1</t>
  </si>
  <si>
    <t>82.C4</t>
  </si>
  <si>
    <t>XT0370:2</t>
  </si>
  <si>
    <t>82.C5</t>
  </si>
  <si>
    <t>XT0370:4</t>
  </si>
  <si>
    <t>EXC2</t>
  </si>
  <si>
    <t>XT0370:3</t>
  </si>
  <si>
    <t>XT0370:5</t>
  </si>
  <si>
    <t>EXCS</t>
  </si>
  <si>
    <t>XT0370:6</t>
  </si>
  <si>
    <t>XT0352:4</t>
  </si>
  <si>
    <t>JW70</t>
  </si>
  <si>
    <t>83.B4</t>
  </si>
  <si>
    <t>XT0352:5</t>
  </si>
  <si>
    <t>JW71</t>
  </si>
  <si>
    <t>XT0352:6</t>
  </si>
  <si>
    <t>JW72</t>
  </si>
  <si>
    <t>XT0352:7</t>
  </si>
  <si>
    <t>AF0400:12</t>
  </si>
  <si>
    <t>XT04001</t>
  </si>
  <si>
    <t>18.B6</t>
  </si>
  <si>
    <t>XT0400:1</t>
  </si>
  <si>
    <t>18.C6</t>
  </si>
  <si>
    <t>AF0410:32</t>
  </si>
  <si>
    <t>AF0410:53</t>
  </si>
  <si>
    <t>XT0130:4</t>
  </si>
  <si>
    <t>AF0410:54</t>
  </si>
  <si>
    <t>AF0410N</t>
  </si>
  <si>
    <t>AF0420:53</t>
  </si>
  <si>
    <t>AF0410:55</t>
  </si>
  <si>
    <t>FU0113:LD</t>
  </si>
  <si>
    <t>AF0410:56</t>
  </si>
  <si>
    <t>AF0410P</t>
  </si>
  <si>
    <t>AF0420:55</t>
  </si>
  <si>
    <t>AF0420:32</t>
  </si>
  <si>
    <t>AF0420:54</t>
  </si>
  <si>
    <t>AF0420N</t>
  </si>
  <si>
    <t>AF0440:53</t>
  </si>
  <si>
    <t>18.B4</t>
  </si>
  <si>
    <t>AF0420:56</t>
  </si>
  <si>
    <t>AF0420P</t>
  </si>
  <si>
    <t>AF0440:55</t>
  </si>
  <si>
    <t>AF0440:32</t>
  </si>
  <si>
    <t>XT04002</t>
  </si>
  <si>
    <t>XT0400:2</t>
  </si>
  <si>
    <t>18.C3</t>
  </si>
  <si>
    <t>AF0440:54</t>
  </si>
  <si>
    <t>AF0440N</t>
  </si>
  <si>
    <t>AF0450:53</t>
  </si>
  <si>
    <t>AF0440:56</t>
  </si>
  <si>
    <t>AF0440P</t>
  </si>
  <si>
    <t>AF0450:55</t>
  </si>
  <si>
    <t>AF0450:01</t>
  </si>
  <si>
    <t>045001</t>
  </si>
  <si>
    <t>63.D6</t>
  </si>
  <si>
    <t>AF0450:02</t>
  </si>
  <si>
    <t>AF0450:32</t>
  </si>
  <si>
    <t>AT0140:13 VGEN-A</t>
  </si>
  <si>
    <t>RED</t>
  </si>
  <si>
    <t>81.D7</t>
  </si>
  <si>
    <t>AT0140:14 VGEN-B</t>
  </si>
  <si>
    <t>AT0140:15 VGEN-C</t>
  </si>
  <si>
    <t>AT0140:17 VBUS-A</t>
  </si>
  <si>
    <t>81.B7</t>
  </si>
  <si>
    <t>AT0140:18 VBUS-B</t>
  </si>
  <si>
    <t>AT0140:19 VBUS-C</t>
  </si>
  <si>
    <t>AT0140:27 ID RLY</t>
  </si>
  <si>
    <t>BLU</t>
  </si>
  <si>
    <t>83.A7</t>
  </si>
  <si>
    <t>AT0140:28 ID RLY</t>
  </si>
  <si>
    <t>AT0140:29 FLT</t>
  </si>
  <si>
    <t>KA0310A2</t>
  </si>
  <si>
    <t>KA0310:A2</t>
  </si>
  <si>
    <t>19.B5</t>
  </si>
  <si>
    <t>AT0140:3 EX-D(-)</t>
  </si>
  <si>
    <t>84.C7</t>
  </si>
  <si>
    <t>AT0140:30 FLT</t>
  </si>
  <si>
    <t>AT0140:33 ID RES(+)</t>
  </si>
  <si>
    <t>AT0140:34 ID RES(-)</t>
  </si>
  <si>
    <t>AT014034</t>
  </si>
  <si>
    <t>AT0140:42 ID(+)</t>
  </si>
  <si>
    <t>AT0140:36 I1(+)</t>
  </si>
  <si>
    <t>MCTA</t>
  </si>
  <si>
    <t>83.B7</t>
  </si>
  <si>
    <t>XT0352:1</t>
  </si>
  <si>
    <t>AT0140:37 I1(-)</t>
  </si>
  <si>
    <t>MCTAN</t>
  </si>
  <si>
    <t>AT0140:38 I2(+)</t>
  </si>
  <si>
    <t>MCTB</t>
  </si>
  <si>
    <t>XT0352:2</t>
  </si>
  <si>
    <t>AT0140:39 I2(-)</t>
  </si>
  <si>
    <t>MCTBN</t>
  </si>
  <si>
    <t>AT0140:4 EX-D(+)</t>
  </si>
  <si>
    <t>KA012314</t>
  </si>
  <si>
    <t>KA0123:14</t>
  </si>
  <si>
    <t>AT0140:40 I3(+)</t>
  </si>
  <si>
    <t>MCTC</t>
  </si>
  <si>
    <t>XT0352:3</t>
  </si>
  <si>
    <t>AT0140:41 I3(-)</t>
  </si>
  <si>
    <t>MCTN</t>
  </si>
  <si>
    <t>AT0140:43 ID(-)</t>
  </si>
  <si>
    <t>AT0140:47 BAT(+)</t>
  </si>
  <si>
    <t>AT0140:48 BAT(-)</t>
  </si>
  <si>
    <t>AT0140:FG 56</t>
  </si>
  <si>
    <t>AT0140G</t>
  </si>
  <si>
    <t>20.D6</t>
  </si>
  <si>
    <t>FU0180:LI</t>
  </si>
  <si>
    <t>FU0181:LI</t>
  </si>
  <si>
    <t>FU0182:LI</t>
  </si>
  <si>
    <t xml:space="preserve">GR0110: </t>
  </si>
  <si>
    <t xml:space="preserve">GR0140: </t>
  </si>
  <si>
    <t>5.B3</t>
  </si>
  <si>
    <t xml:space="preserve">GR0141: </t>
  </si>
  <si>
    <t xml:space="preserve">GR0142: </t>
  </si>
  <si>
    <t xml:space="preserve">GR0143: </t>
  </si>
  <si>
    <t>FG1126:1</t>
  </si>
  <si>
    <t>IEG0130:1</t>
  </si>
  <si>
    <t>IEG01301</t>
  </si>
  <si>
    <t>XT0400:3</t>
  </si>
  <si>
    <t>IEG0130:7</t>
  </si>
  <si>
    <t>AT0140LS(S)</t>
  </si>
  <si>
    <t>84.C6</t>
  </si>
  <si>
    <t>XT0337:18</t>
  </si>
  <si>
    <t>84.C4</t>
  </si>
  <si>
    <t>KA0121:11</t>
  </si>
  <si>
    <t>KA018511</t>
  </si>
  <si>
    <t>23.C4</t>
  </si>
  <si>
    <t>XT0337:13</t>
  </si>
  <si>
    <t>23.C3</t>
  </si>
  <si>
    <t>KA0121:14</t>
  </si>
  <si>
    <t>XT0337:12</t>
  </si>
  <si>
    <t>KA0313:2</t>
  </si>
  <si>
    <t>KA0313:7</t>
  </si>
  <si>
    <t>KA0128:11</t>
  </si>
  <si>
    <t>KA0333A1</t>
  </si>
  <si>
    <t>23.B4</t>
  </si>
  <si>
    <t>KA0335:21</t>
  </si>
  <si>
    <t>KA0128:14</t>
  </si>
  <si>
    <t>KA0335:22</t>
  </si>
  <si>
    <t>XT0337:7</t>
  </si>
  <si>
    <t>23.B3</t>
  </si>
  <si>
    <t>KA0128:21</t>
  </si>
  <si>
    <t>KA012821</t>
  </si>
  <si>
    <t>24.C6</t>
  </si>
  <si>
    <t>XT0337:1</t>
  </si>
  <si>
    <t>24.C5</t>
  </si>
  <si>
    <t>KA0128:24</t>
  </si>
  <si>
    <t>KA012824</t>
  </si>
  <si>
    <t>XT0337:2</t>
  </si>
  <si>
    <t>KA0185:11</t>
  </si>
  <si>
    <t>KA0185:14</t>
  </si>
  <si>
    <t>KA0332A1</t>
  </si>
  <si>
    <t>XT0337:14</t>
  </si>
  <si>
    <t>KA0185:A2</t>
  </si>
  <si>
    <t>KA0185A2</t>
  </si>
  <si>
    <t>XT0338:1</t>
  </si>
  <si>
    <t>KA0310:21</t>
  </si>
  <si>
    <t>XT0337:8</t>
  </si>
  <si>
    <t>KA0310:24</t>
  </si>
  <si>
    <t>KA0310:A1</t>
  </si>
  <si>
    <t>KA0123:11</t>
  </si>
  <si>
    <t>KA0330:A1</t>
  </si>
  <si>
    <t>KA0330A1</t>
  </si>
  <si>
    <t>23.B6</t>
  </si>
  <si>
    <t>XT0337:9</t>
  </si>
  <si>
    <t>KA0330:A2</t>
  </si>
  <si>
    <t>KA0333:A2</t>
  </si>
  <si>
    <t>KA0331:A2</t>
  </si>
  <si>
    <t>23.C6</t>
  </si>
  <si>
    <t>KA0331:A1</t>
  </si>
  <si>
    <t>KA0331A1</t>
  </si>
  <si>
    <t>XT0337:11</t>
  </si>
  <si>
    <t>KA0332:A2</t>
  </si>
  <si>
    <t>KA0332:11</t>
  </si>
  <si>
    <t>KA033211</t>
  </si>
  <si>
    <t>24.D6</t>
  </si>
  <si>
    <t>XT0337:3</t>
  </si>
  <si>
    <t>24.D5</t>
  </si>
  <si>
    <t>KA0332:14</t>
  </si>
  <si>
    <t>KA033214</t>
  </si>
  <si>
    <t>XT0337:4</t>
  </si>
  <si>
    <t>KA0332:A1</t>
  </si>
  <si>
    <t>XT0337:15</t>
  </si>
  <si>
    <t>23.D3</t>
  </si>
  <si>
    <t>KA0333:11</t>
  </si>
  <si>
    <t>KA033311</t>
  </si>
  <si>
    <t>KA0335:11</t>
  </si>
  <si>
    <t>XT0337:5</t>
  </si>
  <si>
    <t>KA0333:14</t>
  </si>
  <si>
    <t>KA033314</t>
  </si>
  <si>
    <t>KA0335:12</t>
  </si>
  <si>
    <t>XT0337:6</t>
  </si>
  <si>
    <t>KA0333:A1</t>
  </si>
  <si>
    <t>KA0335:A1</t>
  </si>
  <si>
    <t>19.C5</t>
  </si>
  <si>
    <t>KA0335:A2</t>
  </si>
  <si>
    <t>KA0336:14</t>
  </si>
  <si>
    <t>KA033614</t>
  </si>
  <si>
    <t>KA4100:A1</t>
  </si>
  <si>
    <t>KA0336:24</t>
  </si>
  <si>
    <t>033624</t>
  </si>
  <si>
    <t>KA4300:A1</t>
  </si>
  <si>
    <t>KA0336:A1</t>
  </si>
  <si>
    <t>19.C3</t>
  </si>
  <si>
    <t>KA0336:A2</t>
  </si>
  <si>
    <t>PEG0140:1</t>
  </si>
  <si>
    <t>PMGS</t>
  </si>
  <si>
    <t>82.A6</t>
  </si>
  <si>
    <t>XT0313:1</t>
  </si>
  <si>
    <t>PEG0140:2</t>
  </si>
  <si>
    <t>82.C6</t>
  </si>
  <si>
    <t>PEG0140:5</t>
  </si>
  <si>
    <t>PEG01405</t>
  </si>
  <si>
    <t>83.B5</t>
  </si>
  <si>
    <t>AF0410:L2</t>
  </si>
  <si>
    <t>AF0410L2</t>
  </si>
  <si>
    <t>AF0420:L1</t>
  </si>
  <si>
    <t>AF0420:L2</t>
  </si>
  <si>
    <t>AF0420L2</t>
  </si>
  <si>
    <t>AF0440:L1</t>
  </si>
  <si>
    <t>AF0440:L2</t>
  </si>
  <si>
    <t>AF0440L2</t>
  </si>
  <si>
    <t>AF0450:L1</t>
  </si>
  <si>
    <t>AF0400:01</t>
  </si>
  <si>
    <t>UA12631</t>
  </si>
  <si>
    <t>62.A6</t>
  </si>
  <si>
    <t>UA1263:VT</t>
  </si>
  <si>
    <t>62.A3</t>
  </si>
  <si>
    <t>AF0400:02</t>
  </si>
  <si>
    <t>UA12632</t>
  </si>
  <si>
    <t>UA1263:OUTPUT</t>
  </si>
  <si>
    <t>AF0400:03</t>
  </si>
  <si>
    <t>UA12633</t>
  </si>
  <si>
    <t>UA1263:COM</t>
  </si>
  <si>
    <t>AF0400:07</t>
  </si>
  <si>
    <t>UA1263S</t>
  </si>
  <si>
    <t>AF0410:01</t>
  </si>
  <si>
    <t>UA12111</t>
  </si>
  <si>
    <t>62.B6</t>
  </si>
  <si>
    <t>UA1211:VT</t>
  </si>
  <si>
    <t>62.B3</t>
  </si>
  <si>
    <t>AF0410:02</t>
  </si>
  <si>
    <t>UA12112</t>
  </si>
  <si>
    <t>UA1211:OUTPUT</t>
  </si>
  <si>
    <t>AF0410:04</t>
  </si>
  <si>
    <t>UA12113</t>
  </si>
  <si>
    <t>UA1211:COM</t>
  </si>
  <si>
    <t>AF0410:19</t>
  </si>
  <si>
    <t>UA1211S</t>
  </si>
  <si>
    <t>AF0410:05</t>
  </si>
  <si>
    <t>UA12101</t>
  </si>
  <si>
    <t>UA1210:VT</t>
  </si>
  <si>
    <t>AF0410:06</t>
  </si>
  <si>
    <t>UA12102</t>
  </si>
  <si>
    <t>UA1210:OUTPUT</t>
  </si>
  <si>
    <t>AF0410:08</t>
  </si>
  <si>
    <t>UA12103</t>
  </si>
  <si>
    <t>UA1210:COM</t>
  </si>
  <si>
    <t>AF0410:23</t>
  </si>
  <si>
    <t>UA1210S</t>
  </si>
  <si>
    <t>AF0410:09</t>
  </si>
  <si>
    <t>UA12211</t>
  </si>
  <si>
    <t>62.C6</t>
  </si>
  <si>
    <t>UA1221:VT</t>
  </si>
  <si>
    <t>62.C3</t>
  </si>
  <si>
    <t>AF0410:10</t>
  </si>
  <si>
    <t>UA12212</t>
  </si>
  <si>
    <t>UA1221:OUTPUT</t>
  </si>
  <si>
    <t>AF0410:12</t>
  </si>
  <si>
    <t>UA12213</t>
  </si>
  <si>
    <t>UA1221:COM</t>
  </si>
  <si>
    <t>AF0410:27</t>
  </si>
  <si>
    <t>UA1221S</t>
  </si>
  <si>
    <t>AF0410:13</t>
  </si>
  <si>
    <t>UA12201</t>
  </si>
  <si>
    <t>UA1220:VT</t>
  </si>
  <si>
    <t>AF0410:14</t>
  </si>
  <si>
    <t>UA12202</t>
  </si>
  <si>
    <t>UA1220:OUTPUT</t>
  </si>
  <si>
    <t>AF0410:16</t>
  </si>
  <si>
    <t>UA12203</t>
  </si>
  <si>
    <t>UA1220:COM</t>
  </si>
  <si>
    <t>AF0410:31</t>
  </si>
  <si>
    <t>UA1220S</t>
  </si>
  <si>
    <t>AF0420:01</t>
  </si>
  <si>
    <t>UA12311</t>
  </si>
  <si>
    <t>UA1231:VT</t>
  </si>
  <si>
    <t>AF0420:02</t>
  </si>
  <si>
    <t>UA12312</t>
  </si>
  <si>
    <t>UA1231:OUTPUT</t>
  </si>
  <si>
    <t>AF0420:04</t>
  </si>
  <si>
    <t>UA12313</t>
  </si>
  <si>
    <t>UA1231:COM</t>
  </si>
  <si>
    <t>AF0420:19</t>
  </si>
  <si>
    <t>UA1231S</t>
  </si>
  <si>
    <t>62.D3</t>
  </si>
  <si>
    <t>AF0420:05</t>
  </si>
  <si>
    <t>UA12301</t>
  </si>
  <si>
    <t>62.D6</t>
  </si>
  <si>
    <t>UA1230:VT</t>
  </si>
  <si>
    <t>AF0420:06</t>
  </si>
  <si>
    <t>UA12302</t>
  </si>
  <si>
    <t>UA1230:OUTPUT</t>
  </si>
  <si>
    <t>AF0420:08</t>
  </si>
  <si>
    <t>UA12303</t>
  </si>
  <si>
    <t>UA1230:COM</t>
  </si>
  <si>
    <t>AF0420:23</t>
  </si>
  <si>
    <t>UA1230S</t>
  </si>
  <si>
    <t>AF0450:09</t>
  </si>
  <si>
    <t>UA12621</t>
  </si>
  <si>
    <t>UA1262:VT</t>
  </si>
  <si>
    <t>AF0450:10</t>
  </si>
  <si>
    <t>UA12622</t>
  </si>
  <si>
    <t>UA1262:OUTPUT</t>
  </si>
  <si>
    <t>AF0450:12</t>
  </si>
  <si>
    <t>UA12623</t>
  </si>
  <si>
    <t>UA1262:COM</t>
  </si>
  <si>
    <t>AF0450:27</t>
  </si>
  <si>
    <t>UA1262S</t>
  </si>
  <si>
    <t>AF0450:05</t>
  </si>
  <si>
    <t>UA15201</t>
  </si>
  <si>
    <t>44.A7</t>
  </si>
  <si>
    <t>UA1520:+24</t>
  </si>
  <si>
    <t>44.A5</t>
  </si>
  <si>
    <t>AF0450:06</t>
  </si>
  <si>
    <t>UA15202</t>
  </si>
  <si>
    <t>UA1520:OUT</t>
  </si>
  <si>
    <t>AF0450:08</t>
  </si>
  <si>
    <t>UA15203</t>
  </si>
  <si>
    <t>UA1520:COM</t>
  </si>
  <si>
    <t>AF0450:23</t>
  </si>
  <si>
    <t>PE1520S</t>
  </si>
  <si>
    <t>XT1521:1</t>
  </si>
  <si>
    <t>AT0140:1 LS(+)</t>
  </si>
  <si>
    <t>AT0140LS(+)</t>
  </si>
  <si>
    <t>XT0337:16</t>
  </si>
  <si>
    <t>AT0140:2 LS(-)</t>
  </si>
  <si>
    <t>AT0140LS(-)</t>
  </si>
  <si>
    <t>XT0337:17</t>
  </si>
  <si>
    <t>FW140:3</t>
  </si>
  <si>
    <t>AF0400:LBUS</t>
  </si>
  <si>
    <t>AF0410RBUS</t>
  </si>
  <si>
    <t>AF0410:RBUS</t>
  </si>
  <si>
    <t>AF0410:LBUS</t>
  </si>
  <si>
    <t>AF0410LBUS</t>
  </si>
  <si>
    <t>AF0420:RBUS</t>
  </si>
  <si>
    <t>AF0420:LBUS</t>
  </si>
  <si>
    <t>AF0420LBUS</t>
  </si>
  <si>
    <t>AF0440:RBUS</t>
  </si>
  <si>
    <t>AF0440:LBUS</t>
  </si>
  <si>
    <t>AF0440LBUS</t>
  </si>
  <si>
    <t>AF0450:RBUS</t>
  </si>
  <si>
    <t>FU0313:LD</t>
  </si>
  <si>
    <t>PMG1</t>
  </si>
  <si>
    <t>82.A5</t>
  </si>
  <si>
    <t>XT0360:1</t>
  </si>
  <si>
    <t>82.A4</t>
  </si>
  <si>
    <t>FU0314:LD</t>
  </si>
  <si>
    <t>PMG2</t>
  </si>
  <si>
    <t>XT0360:2</t>
  </si>
  <si>
    <t>XT0360:3</t>
  </si>
  <si>
    <t>XT0360:4</t>
  </si>
  <si>
    <t>AT0140:54 EXC(+)</t>
  </si>
  <si>
    <t>82.C7</t>
  </si>
  <si>
    <t>AT0140:55 EXC(-)</t>
  </si>
  <si>
    <t>FW140:1</t>
  </si>
  <si>
    <t>FU0313:LI</t>
  </si>
  <si>
    <t>KA0313:3</t>
  </si>
  <si>
    <t>FU0314:LI</t>
  </si>
  <si>
    <t>KA0313:6</t>
  </si>
  <si>
    <t>AT0140:50 PMG-B</t>
  </si>
  <si>
    <t>PMG14C</t>
  </si>
  <si>
    <t>82.A7</t>
  </si>
  <si>
    <t>KA0313:1</t>
  </si>
  <si>
    <t>AT0140:51 PMG-C</t>
  </si>
  <si>
    <t>PMG14A</t>
  </si>
  <si>
    <t>KA0313:8</t>
  </si>
  <si>
    <t>FW140:2</t>
  </si>
  <si>
    <t>(SHT 10) GENERATOR PANEL</t>
  </si>
  <si>
    <t>(SHT 1) JB70 - (SHT 2) LEFT SIDE RAIL^JB70</t>
  </si>
  <si>
    <t>(SHT 2) LEFT SIDE RAIL^JB70</t>
  </si>
  <si>
    <t>(SHT 6) TURBINE PANEL B^JB70</t>
  </si>
  <si>
    <t/>
  </si>
  <si>
    <t>(SHT 10) GENERATOR PANEL - (SHT 8) LEFT SIDE RAIL^JB72</t>
  </si>
  <si>
    <t>(SHT 10) GENERATOR PANEL - (SHT 9) RIGHT SIDE RAIL^JB72</t>
  </si>
  <si>
    <t>(SHT 1) JB70 - (SHT 5) TURBINE PANEL A^JB70</t>
  </si>
  <si>
    <t>(SHT 11) MEDIA CONVERTER</t>
  </si>
  <si>
    <t>(SHT 4) PLC PANEL^JB70</t>
  </si>
  <si>
    <t>(SHT 4) PLC PANEL^JB70 - (SHT 6) TURBINE PANEL B^JB70</t>
  </si>
  <si>
    <t>(SHT 9) RIGHT SIDE RAIL^JB72</t>
  </si>
  <si>
    <t>(SHT 5) TURBINE PANEL A^JB70</t>
  </si>
  <si>
    <t>(SHT 5) TURBINE PANEL A^JB70 - (SHT 6) TURBINE PANEL B^JB70</t>
  </si>
  <si>
    <t>(SHT 1) JB70</t>
  </si>
  <si>
    <t>(SHT 3) RIGHT SIDE RAIL^JB70</t>
  </si>
  <si>
    <t>(SHT 8) LEFT SIDE RAIL^JB72</t>
  </si>
  <si>
    <t>XTFGB</t>
  </si>
  <si>
    <t>XT0085</t>
  </si>
  <si>
    <t>FU0122</t>
  </si>
  <si>
    <t>IEG1123</t>
  </si>
  <si>
    <t>FU0183</t>
  </si>
  <si>
    <t>FU0184</t>
  </si>
  <si>
    <t>FU0185</t>
  </si>
  <si>
    <t>XTFGC</t>
  </si>
  <si>
    <t>XTFGA</t>
  </si>
  <si>
    <t>KA1440</t>
  </si>
  <si>
    <t>KA1441</t>
  </si>
  <si>
    <t>KA1442</t>
  </si>
  <si>
    <t>KA1443</t>
  </si>
  <si>
    <t>XT0090</t>
  </si>
  <si>
    <t>USED</t>
  </si>
  <si>
    <t>Length</t>
  </si>
  <si>
    <t>Bundle Name</t>
  </si>
  <si>
    <t>-007405</t>
  </si>
  <si>
    <t>-0V</t>
  </si>
  <si>
    <t>-007612</t>
  </si>
  <si>
    <t>-007609</t>
  </si>
  <si>
    <t>-007625</t>
  </si>
  <si>
    <t>-006200</t>
  </si>
  <si>
    <t>-007604</t>
  </si>
  <si>
    <t>-007620</t>
  </si>
  <si>
    <t>-006102</t>
  </si>
  <si>
    <t>-006114</t>
  </si>
  <si>
    <t>-007600</t>
  </si>
  <si>
    <t>-007601</t>
  </si>
  <si>
    <t>-024221</t>
  </si>
  <si>
    <t>-024822</t>
  </si>
  <si>
    <t>-007608</t>
  </si>
  <si>
    <t>-007624</t>
  </si>
  <si>
    <t>-007602</t>
  </si>
  <si>
    <t>-007618</t>
  </si>
  <si>
    <t>-009213</t>
  </si>
  <si>
    <t>-009312</t>
  </si>
  <si>
    <t>-009328</t>
  </si>
  <si>
    <t>-009344</t>
  </si>
  <si>
    <t>-008103</t>
  </si>
  <si>
    <t>-008135</t>
  </si>
  <si>
    <t>-009502</t>
  </si>
  <si>
    <t>-009204</t>
  </si>
  <si>
    <t>-009220</t>
  </si>
  <si>
    <t>-009207</t>
  </si>
  <si>
    <t>-009223</t>
  </si>
  <si>
    <t>-009208</t>
  </si>
  <si>
    <t>-009224</t>
  </si>
  <si>
    <t>-009320</t>
  </si>
  <si>
    <t>-009321</t>
  </si>
  <si>
    <t>-521NEG</t>
  </si>
  <si>
    <t>-009212</t>
  </si>
  <si>
    <t>-009228</t>
  </si>
  <si>
    <t>-009304</t>
  </si>
  <si>
    <t>-009305</t>
  </si>
  <si>
    <t>-009336</t>
  </si>
  <si>
    <t>-009337</t>
  </si>
  <si>
    <t>-018100</t>
  </si>
  <si>
    <t>-018102</t>
  </si>
  <si>
    <t>-018110</t>
  </si>
  <si>
    <t>-018116</t>
  </si>
  <si>
    <t>-018118</t>
  </si>
  <si>
    <t>-018126</t>
  </si>
  <si>
    <t>-012209</t>
  </si>
  <si>
    <t>-012241</t>
  </si>
  <si>
    <t>-012101</t>
  </si>
  <si>
    <t>-012102</t>
  </si>
  <si>
    <t>-012103</t>
  </si>
  <si>
    <t>-012108</t>
  </si>
  <si>
    <t>-012114</t>
  </si>
  <si>
    <t>-012117</t>
  </si>
  <si>
    <t>-012118</t>
  </si>
  <si>
    <t>-012119</t>
  </si>
  <si>
    <t>-012124</t>
  </si>
  <si>
    <t>-012130</t>
  </si>
  <si>
    <t>-012200</t>
  </si>
  <si>
    <t>-012201</t>
  </si>
  <si>
    <t>-012202</t>
  </si>
  <si>
    <t>-012232</t>
  </si>
  <si>
    <t>-012233</t>
  </si>
  <si>
    <t>-012234</t>
  </si>
  <si>
    <t>-033624</t>
  </si>
  <si>
    <t>Panel Name</t>
  </si>
  <si>
    <t>THRU RAIL</t>
  </si>
  <si>
    <t>B PANEL</t>
  </si>
  <si>
    <t>AT1100:POS</t>
  </si>
  <si>
    <t>FU1100:LD</t>
  </si>
  <si>
    <t>JB70 RIGHT RAIL</t>
  </si>
  <si>
    <t xml:space="preserve">A PANEL </t>
  </si>
  <si>
    <t xml:space="preserve">B PANEL </t>
  </si>
  <si>
    <t>KA</t>
  </si>
  <si>
    <t>KA A1/A2</t>
  </si>
  <si>
    <t>XT/FU</t>
  </si>
  <si>
    <t>AT-DOOR</t>
  </si>
  <si>
    <t>KA-DOOR</t>
  </si>
  <si>
    <t>XT-DOOR</t>
  </si>
  <si>
    <t>KA-A</t>
  </si>
  <si>
    <t>XT/FU-A</t>
  </si>
  <si>
    <t>KA/XT-B</t>
  </si>
  <si>
    <t>A PANEL</t>
  </si>
  <si>
    <t xml:space="preserve">PLC PANEL </t>
  </si>
  <si>
    <t>BA</t>
  </si>
  <si>
    <t>FU</t>
  </si>
  <si>
    <t>UV-A</t>
  </si>
  <si>
    <t>FU/XT-B</t>
  </si>
  <si>
    <t>60</t>
  </si>
  <si>
    <t>120</t>
  </si>
  <si>
    <t>KA A1/2-B</t>
  </si>
  <si>
    <t>AF-B</t>
  </si>
  <si>
    <t>KA-B</t>
  </si>
  <si>
    <t>KT-B</t>
  </si>
  <si>
    <t>XT-B</t>
  </si>
  <si>
    <t>AU</t>
  </si>
  <si>
    <t>AF</t>
  </si>
  <si>
    <t xml:space="preserve">KT L/S </t>
  </si>
  <si>
    <t>KT R/S</t>
  </si>
  <si>
    <t>XT</t>
  </si>
  <si>
    <t xml:space="preserve">KA A1 </t>
  </si>
  <si>
    <t xml:space="preserve">KA A2 </t>
  </si>
  <si>
    <t>AF0060'S</t>
  </si>
  <si>
    <t>AF0070'S</t>
  </si>
  <si>
    <t>220</t>
  </si>
  <si>
    <t>160</t>
  </si>
  <si>
    <t>240</t>
  </si>
  <si>
    <t>180</t>
  </si>
  <si>
    <t>200</t>
  </si>
  <si>
    <t>100</t>
  </si>
  <si>
    <t>140</t>
  </si>
  <si>
    <t>80</t>
  </si>
  <si>
    <t>300</t>
  </si>
  <si>
    <t>JB72 L/RAIL</t>
  </si>
  <si>
    <t>AF/FU</t>
  </si>
  <si>
    <t>AF-GEN</t>
  </si>
  <si>
    <t>FU/XT-GEN</t>
  </si>
  <si>
    <t>GEN PANEL</t>
  </si>
  <si>
    <t>CCT1N</t>
  </si>
  <si>
    <t>CCT1P</t>
  </si>
  <si>
    <t>BA/FU</t>
  </si>
  <si>
    <t>Rev A</t>
  </si>
  <si>
    <t>L/RAIL JB70</t>
  </si>
  <si>
    <t>PLC</t>
  </si>
  <si>
    <t>B</t>
  </si>
  <si>
    <t>L/RAIL JB72</t>
  </si>
  <si>
    <t>R/RAIL JB72</t>
  </si>
  <si>
    <t>GEN PNL</t>
  </si>
  <si>
    <t>MED CONV</t>
  </si>
  <si>
    <t>16R</t>
  </si>
  <si>
    <t>12B</t>
  </si>
  <si>
    <t>ERGON-V #2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</si>
</sst>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8" x14ac:knownFonts="1">
    <font>
      <sz val="11"/>
      <color theme="1"/>
      <name val="Calibri"/>
      <family val="2"/>
      <scheme val="minor"/>
    </font>
    <font>
      <b/>
      <sz val="14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000000"/>
      <name val="Times New Roman"/>
      <family val="1"/>
    </font>
    <font>
      <sz val="9"/>
      <color rgb="FF000000"/>
      <name val="Arial"/>
      <family val="2"/>
    </font>
    <font>
      <i/>
      <sz val="9"/>
      <color rgb="FF000000"/>
      <name val="Arial"/>
      <family val="2"/>
    </font>
    <font>
      <sz val="10"/>
      <name val="Arial"/>
      <family val="2"/>
    </font>
    <font>
      <sz val="11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solid">
        <fgColor theme="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6" fillId="0" borderId="0"/>
  </cellStyleXfs>
  <cellXfs count="54">
    <xf numFmtId="0" fontId="0" fillId="0" borderId="0" xfId="0"/>
    <xf numFmtId="0" fontId="2" fillId="0" borderId="0" xfId="0" applyFont="1" applyAlignment="1">
      <alignment horizontal="center" vertical="center" wrapText="1" shrinkToFit="1" readingOrder="1"/>
    </xf>
    <xf numFmtId="0" fontId="2" fillId="0" borderId="0" xfId="0" applyFont="1" applyAlignment="1">
      <alignment horizontal="left" vertical="top" wrapText="1" shrinkToFit="1" readingOrder="1"/>
    </xf>
    <xf numFmtId="49" fontId="2" fillId="0" borderId="0" xfId="0" applyNumberFormat="1" applyFont="1" applyAlignment="1">
      <alignment horizontal="left" vertical="top" wrapText="1" shrinkToFit="1" readingOrder="1"/>
    </xf>
    <xf numFmtId="0" fontId="2" fillId="0" borderId="1" xfId="0" applyFont="1" applyBorder="1" applyAlignment="1">
      <alignment horizontal="center" vertical="center" wrapText="1" shrinkToFit="1" readingOrder="1"/>
    </xf>
    <xf numFmtId="0" fontId="2" fillId="0" borderId="2" xfId="0" applyFont="1" applyBorder="1" applyAlignment="1">
      <alignment horizontal="center" vertical="center" wrapText="1" shrinkToFit="1" readingOrder="1"/>
    </xf>
    <xf numFmtId="49" fontId="2" fillId="0" borderId="1" xfId="0" applyNumberFormat="1" applyFont="1" applyBorder="1" applyAlignment="1">
      <alignment horizontal="center" vertical="center" wrapText="1" shrinkToFit="1" readingOrder="1"/>
    </xf>
    <xf numFmtId="49" fontId="2" fillId="0" borderId="2" xfId="0" applyNumberFormat="1" applyFont="1" applyBorder="1" applyAlignment="1">
      <alignment horizontal="center" vertical="center" wrapText="1" shrinkToFit="1" readingOrder="1"/>
    </xf>
    <xf numFmtId="49" fontId="2" fillId="0" borderId="3" xfId="0" applyNumberFormat="1" applyFont="1" applyBorder="1" applyAlignment="1">
      <alignment horizontal="center" vertical="center" wrapText="1" shrinkToFit="1" readingOrder="1"/>
    </xf>
    <xf numFmtId="49" fontId="2" fillId="0" borderId="4" xfId="0" applyNumberFormat="1" applyFont="1" applyBorder="1" applyAlignment="1">
      <alignment horizontal="center" vertical="center" wrapText="1" shrinkToFit="1" readingOrder="1"/>
    </xf>
    <xf numFmtId="0" fontId="2" fillId="0" borderId="3" xfId="0" applyFont="1" applyBorder="1" applyAlignment="1">
      <alignment horizontal="center" vertical="center" wrapText="1" shrinkToFit="1" readingOrder="1"/>
    </xf>
    <xf numFmtId="0" fontId="2" fillId="0" borderId="4" xfId="0" applyFont="1" applyBorder="1" applyAlignment="1">
      <alignment horizontal="center" vertical="center" wrapText="1" shrinkToFit="1" readingOrder="1"/>
    </xf>
    <xf numFmtId="49" fontId="2" fillId="2" borderId="1" xfId="0" applyNumberFormat="1" applyFont="1" applyFill="1" applyBorder="1" applyAlignment="1">
      <alignment horizontal="center" vertical="center" wrapText="1" shrinkToFit="1" readingOrder="1"/>
    </xf>
    <xf numFmtId="49" fontId="2" fillId="2" borderId="2" xfId="0" applyNumberFormat="1" applyFont="1" applyFill="1" applyBorder="1" applyAlignment="1">
      <alignment horizontal="center" vertical="center" wrapText="1" shrinkToFit="1" readingOrder="1"/>
    </xf>
    <xf numFmtId="0" fontId="2" fillId="2" borderId="2" xfId="0" applyFont="1" applyFill="1" applyBorder="1" applyAlignment="1">
      <alignment horizontal="center" vertical="center" wrapText="1" shrinkToFit="1" readingOrder="1"/>
    </xf>
    <xf numFmtId="0" fontId="0" fillId="0" borderId="1" xfId="0" applyBorder="1" applyAlignment="1">
      <alignment vertical="center"/>
    </xf>
    <xf numFmtId="49" fontId="0" fillId="0" borderId="0" xfId="0" applyNumberFormat="1"/>
    <xf numFmtId="49" fontId="2" fillId="0" borderId="5" xfId="0" applyNumberFormat="1" applyFont="1" applyBorder="1" applyAlignment="1">
      <alignment horizontal="center" vertical="center" wrapText="1" shrinkToFit="1" readingOrder="1"/>
    </xf>
    <xf numFmtId="49" fontId="2" fillId="0" borderId="6" xfId="0" applyNumberFormat="1" applyFont="1" applyBorder="1" applyAlignment="1">
      <alignment horizontal="center" vertical="center" wrapText="1" shrinkToFit="1" readingOrder="1"/>
    </xf>
    <xf numFmtId="0" fontId="2" fillId="0" borderId="6" xfId="0" applyFont="1" applyBorder="1" applyAlignment="1">
      <alignment horizontal="center" vertical="center" wrapText="1" shrinkToFit="1" readingOrder="1"/>
    </xf>
    <xf numFmtId="49" fontId="0" fillId="0" borderId="7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0" fontId="6" fillId="0" borderId="0" xfId="1"/>
    <xf numFmtId="0" fontId="6" fillId="0" borderId="7" xfId="1" applyBorder="1" applyAlignment="1">
      <alignment horizontal="left"/>
    </xf>
    <xf numFmtId="0" fontId="6" fillId="0" borderId="0" xfId="1" applyAlignment="1">
      <alignment horizontal="center" vertical="center"/>
    </xf>
    <xf numFmtId="0" fontId="6" fillId="0" borderId="0" xfId="1" applyAlignment="1">
      <alignment horizontal="center" vertical="center" wrapText="1"/>
    </xf>
    <xf numFmtId="49" fontId="0" fillId="3" borderId="7" xfId="0" applyNumberFormat="1" applyFill="1" applyBorder="1" applyAlignment="1">
      <alignment horizontal="center"/>
    </xf>
    <xf numFmtId="0" fontId="0" fillId="3" borderId="7" xfId="0" applyFill="1" applyBorder="1" applyAlignment="1">
      <alignment horizontal="center"/>
    </xf>
    <xf numFmtId="49" fontId="0" fillId="4" borderId="7" xfId="0" applyNumberFormat="1" applyFill="1" applyBorder="1" applyAlignment="1">
      <alignment horizontal="center"/>
    </xf>
    <xf numFmtId="0" fontId="0" fillId="4" borderId="7" xfId="0" applyFill="1" applyBorder="1" applyAlignment="1">
      <alignment horizontal="center"/>
    </xf>
    <xf numFmtId="0" fontId="7" fillId="5" borderId="7" xfId="0" applyFont="1" applyFill="1" applyBorder="1" applyAlignment="1">
      <alignment horizontal="center"/>
    </xf>
    <xf numFmtId="49" fontId="0" fillId="6" borderId="7" xfId="0" applyNumberFormat="1" applyFill="1" applyBorder="1" applyAlignment="1">
      <alignment horizontal="center"/>
    </xf>
    <xf numFmtId="0" fontId="0" fillId="6" borderId="7" xfId="0" applyFill="1" applyBorder="1" applyAlignment="1">
      <alignment horizontal="center"/>
    </xf>
    <xf numFmtId="0" fontId="0" fillId="4" borderId="7" xfId="0" applyFill="1" applyBorder="1"/>
    <xf numFmtId="49" fontId="0" fillId="4" borderId="7" xfId="0" applyNumberFormat="1" applyFill="1" applyBorder="1"/>
    <xf numFmtId="0" fontId="5" fillId="0" borderId="0" xfId="0" applyFont="1" applyAlignment="1">
      <alignment horizontal="center" vertical="center" wrapText="1" shrinkToFit="1" readingOrder="1"/>
    </xf>
    <xf numFmtId="0" fontId="4" fillId="0" borderId="0" xfId="0" applyFont="1" applyAlignment="1">
      <alignment horizontal="center" vertical="center" wrapText="1" shrinkToFit="1" readingOrder="1"/>
    </xf>
    <xf numFmtId="0" fontId="1" fillId="0" borderId="0" xfId="0" applyFont="1" applyAlignment="1">
      <alignment horizontal="left" vertical="top" wrapText="1" shrinkToFit="1" readingOrder="1"/>
    </xf>
    <xf numFmtId="0" fontId="4" fillId="0" borderId="0" xfId="0" applyFont="1" applyAlignment="1">
      <alignment horizontal="left" vertical="top" wrapText="1" shrinkToFit="1" readingOrder="1"/>
    </xf>
    <xf numFmtId="49" fontId="2" fillId="0" borderId="0" xfId="0" applyNumberFormat="1" applyFont="1" applyAlignment="1">
      <alignment horizontal="left" vertical="top" wrapText="1" shrinkToFit="1" readingOrder="1"/>
    </xf>
    <xf numFmtId="0" fontId="2" fillId="0" borderId="1" xfId="0" applyFont="1" applyBorder="1" applyAlignment="1">
      <alignment horizontal="center" vertical="center" wrapText="1" shrinkToFit="1" readingOrder="1"/>
    </xf>
    <xf numFmtId="0" fontId="2" fillId="0" borderId="2" xfId="0" applyFont="1" applyBorder="1" applyAlignment="1">
      <alignment horizontal="center" vertical="center" wrapText="1" shrinkToFit="1" readingOrder="1"/>
    </xf>
    <xf numFmtId="0" fontId="2" fillId="0" borderId="0" xfId="0" applyFont="1" applyAlignment="1">
      <alignment horizontal="center" vertical="center" wrapText="1" shrinkToFit="1" readingOrder="1"/>
    </xf>
    <xf numFmtId="0" fontId="2" fillId="0" borderId="0" xfId="0" applyFont="1" applyAlignment="1">
      <alignment horizontal="left" vertical="top" wrapText="1" shrinkToFit="1" readingOrder="1"/>
    </xf>
    <xf numFmtId="49" fontId="2" fillId="0" borderId="1" xfId="0" applyNumberFormat="1" applyFont="1" applyBorder="1" applyAlignment="1">
      <alignment horizontal="center" vertical="center" wrapText="1" shrinkToFit="1" readingOrder="1"/>
    </xf>
    <xf numFmtId="49" fontId="2" fillId="0" borderId="2" xfId="0" applyNumberFormat="1" applyFont="1" applyBorder="1" applyAlignment="1">
      <alignment horizontal="center" vertical="center" wrapText="1" shrinkToFit="1" readingOrder="1"/>
    </xf>
    <xf numFmtId="0" fontId="3" fillId="2" borderId="3" xfId="0" applyFont="1" applyFill="1" applyBorder="1" applyAlignment="1">
      <alignment horizontal="left" vertical="top" wrapText="1" shrinkToFit="1" readingOrder="1"/>
    </xf>
    <xf numFmtId="49" fontId="2" fillId="0" borderId="3" xfId="0" applyNumberFormat="1" applyFont="1" applyBorder="1" applyAlignment="1">
      <alignment horizontal="center" vertical="center" wrapText="1" shrinkToFit="1" readingOrder="1"/>
    </xf>
    <xf numFmtId="49" fontId="2" fillId="0" borderId="4" xfId="0" applyNumberFormat="1" applyFont="1" applyBorder="1" applyAlignment="1">
      <alignment horizontal="center" vertical="center" wrapText="1" shrinkToFit="1" readingOrder="1"/>
    </xf>
    <xf numFmtId="49" fontId="1" fillId="0" borderId="0" xfId="0" applyNumberFormat="1" applyFont="1" applyAlignment="1">
      <alignment horizontal="left" vertical="top" wrapText="1" shrinkToFit="1" readingOrder="1"/>
    </xf>
    <xf numFmtId="49" fontId="4" fillId="0" borderId="0" xfId="0" applyNumberFormat="1" applyFont="1" applyAlignment="1">
      <alignment horizontal="left" vertical="top" wrapText="1" shrinkToFit="1" readingOrder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6" fillId="0" borderId="0" xfId="1" applyAlignment="1">
      <alignment horizontal="left"/>
    </xf>
  </cellXfs>
  <cellStyles count="2">
    <cellStyle name="Normal" xfId="0" builtinId="0"/>
    <cellStyle name="Normal 2" xfId="1" xr:uid="{66A89644-7C1A-4145-89E9-C9DC34FD8B69}"/>
  </cellStyles>
  <dxfs count="0"/>
  <tableStyles count="1" defaultTableStyle="TableStyleMedium2" defaultPivotStyle="PivotStyleLight16">
    <tableStyle name="Invisible" pivot="0" table="0" count="0" xr9:uid="{B1B4AC9A-BCE4-4868-B530-B580D9585A9B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theme" Target="theme/theme1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282BD7-AA83-450E-92AC-1CC7345EF867}">
  <sheetPr>
    <pageSetUpPr fitToPage="1"/>
  </sheetPr>
  <dimension ref="A1:J80"/>
  <sheetViews>
    <sheetView showGridLines="0" workbookViewId="0"/>
  </sheetViews>
  <sheetFormatPr defaultRowHeight="15" x14ac:dyDescent="0.25"/>
  <cols>
    <col min="1" max="1" width="10.85546875" style="15" bestFit="1" customWidth="1"/>
    <col min="2" max="2" width="24.42578125" style="15" bestFit="1" customWidth="1"/>
    <col min="3" max="3" width="24.5703125" style="15" bestFit="1" customWidth="1"/>
    <col min="4" max="4" width="24.28515625" style="15" bestFit="1" customWidth="1"/>
    <col min="5" max="5" width="25.7109375" style="15" bestFit="1" customWidth="1"/>
    <col min="6" max="6" width="20.85546875" style="15" bestFit="1" customWidth="1"/>
    <col min="7" max="8" width="27.140625" style="15" bestFit="1" customWidth="1"/>
    <col min="9" max="9" width="24.28515625" style="15" bestFit="1" customWidth="1"/>
    <col min="10" max="10" width="25.7109375" style="15" bestFit="1" customWidth="1"/>
  </cols>
  <sheetData>
    <row r="1" spans="1:10" x14ac:dyDescent="0.25">
      <c r="A1" s="15" t="s">
        <v>2810</v>
      </c>
      <c r="B1" s="15" t="s">
        <v>2796</v>
      </c>
      <c r="C1" s="15" t="s">
        <v>2804</v>
      </c>
      <c r="D1" s="15" t="s">
        <v>2798</v>
      </c>
      <c r="E1" s="15" t="s">
        <v>2811</v>
      </c>
      <c r="F1" s="15" t="s">
        <v>2805</v>
      </c>
      <c r="G1" s="15" t="s">
        <v>2808</v>
      </c>
      <c r="H1" s="15" t="s">
        <v>2799</v>
      </c>
      <c r="I1" s="15" t="s">
        <v>2812</v>
      </c>
      <c r="J1" s="15" t="s">
        <v>2807</v>
      </c>
    </row>
    <row r="2" spans="1:10" x14ac:dyDescent="0.25">
      <c r="A2" s="15" t="s">
        <v>203</v>
      </c>
      <c r="B2" s="15" t="s">
        <v>44</v>
      </c>
      <c r="C2" s="15" t="s">
        <v>285</v>
      </c>
      <c r="D2" s="15" t="s">
        <v>211</v>
      </c>
      <c r="E2" s="15" t="s">
        <v>161</v>
      </c>
      <c r="F2" s="15" t="s">
        <v>338</v>
      </c>
      <c r="G2" s="15" t="s">
        <v>382</v>
      </c>
      <c r="H2" s="15" t="s">
        <v>570</v>
      </c>
      <c r="I2" s="15" t="s">
        <v>267</v>
      </c>
      <c r="J2" s="15" t="s">
        <v>353</v>
      </c>
    </row>
    <row r="3" spans="1:10" x14ac:dyDescent="0.25">
      <c r="A3" s="15" t="s">
        <v>154</v>
      </c>
      <c r="B3" s="15" t="s">
        <v>129</v>
      </c>
      <c r="C3" s="15" t="s">
        <v>276</v>
      </c>
      <c r="D3" s="15" t="s">
        <v>210</v>
      </c>
      <c r="E3" s="15" t="s">
        <v>2813</v>
      </c>
      <c r="F3" s="15" t="s">
        <v>326</v>
      </c>
      <c r="G3" s="15" t="s">
        <v>458</v>
      </c>
      <c r="H3" s="15" t="s">
        <v>506</v>
      </c>
      <c r="I3" s="15" t="s">
        <v>268</v>
      </c>
      <c r="J3" s="15" t="s">
        <v>350</v>
      </c>
    </row>
    <row r="4" spans="1:10" x14ac:dyDescent="0.25">
      <c r="A4" s="15" t="s">
        <v>162</v>
      </c>
      <c r="B4" s="15" t="s">
        <v>52</v>
      </c>
      <c r="C4" s="15" t="s">
        <v>280</v>
      </c>
      <c r="D4" s="15" t="s">
        <v>206</v>
      </c>
      <c r="E4" s="15" t="s">
        <v>343</v>
      </c>
      <c r="F4" s="15" t="s">
        <v>306</v>
      </c>
      <c r="G4" s="15" t="s">
        <v>459</v>
      </c>
      <c r="H4" s="15" t="s">
        <v>507</v>
      </c>
      <c r="I4" s="15" t="s">
        <v>270</v>
      </c>
      <c r="J4" s="15" t="s">
        <v>349</v>
      </c>
    </row>
    <row r="5" spans="1:10" x14ac:dyDescent="0.25">
      <c r="A5" s="15" t="s">
        <v>165</v>
      </c>
      <c r="B5" s="15" t="s">
        <v>55</v>
      </c>
      <c r="C5" s="15" t="s">
        <v>281</v>
      </c>
      <c r="D5" s="15" t="s">
        <v>216</v>
      </c>
      <c r="E5" s="15" t="s">
        <v>2800</v>
      </c>
      <c r="F5" s="15" t="s">
        <v>310</v>
      </c>
      <c r="G5" s="15" t="s">
        <v>2814</v>
      </c>
      <c r="H5" s="15" t="s">
        <v>495</v>
      </c>
      <c r="I5" s="15" t="s">
        <v>271</v>
      </c>
      <c r="J5" s="15" t="s">
        <v>345</v>
      </c>
    </row>
    <row r="6" spans="1:10" x14ac:dyDescent="0.25">
      <c r="A6" s="15" t="s">
        <v>168</v>
      </c>
      <c r="B6" s="15" t="s">
        <v>148</v>
      </c>
      <c r="C6" s="15" t="s">
        <v>284</v>
      </c>
      <c r="D6" s="15" t="s">
        <v>218</v>
      </c>
      <c r="E6" s="15" t="s">
        <v>2800</v>
      </c>
      <c r="F6" s="15" t="s">
        <v>313</v>
      </c>
      <c r="G6" s="15" t="s">
        <v>372</v>
      </c>
      <c r="H6" s="15" t="s">
        <v>483</v>
      </c>
      <c r="I6" s="15" t="s">
        <v>265</v>
      </c>
      <c r="J6" s="15" t="s">
        <v>355</v>
      </c>
    </row>
    <row r="7" spans="1:10" x14ac:dyDescent="0.25">
      <c r="A7" s="15" t="s">
        <v>170</v>
      </c>
      <c r="B7" s="15" t="s">
        <v>149</v>
      </c>
      <c r="C7" s="15" t="s">
        <v>287</v>
      </c>
      <c r="D7" s="15" t="s">
        <v>220</v>
      </c>
      <c r="E7" s="15" t="s">
        <v>2800</v>
      </c>
      <c r="F7" s="15" t="s">
        <v>314</v>
      </c>
      <c r="G7" s="15" t="s">
        <v>357</v>
      </c>
      <c r="H7" s="15" t="s">
        <v>486</v>
      </c>
      <c r="I7" s="15" t="s">
        <v>266</v>
      </c>
      <c r="J7" s="15" t="s">
        <v>356</v>
      </c>
    </row>
    <row r="8" spans="1:10" x14ac:dyDescent="0.25">
      <c r="A8" s="15" t="s">
        <v>172</v>
      </c>
      <c r="B8" s="15" t="s">
        <v>47</v>
      </c>
      <c r="C8" s="15" t="s">
        <v>286</v>
      </c>
      <c r="D8" s="15" t="s">
        <v>222</v>
      </c>
      <c r="E8" s="15" t="s">
        <v>2800</v>
      </c>
      <c r="F8" s="15" t="s">
        <v>316</v>
      </c>
      <c r="G8" s="15" t="s">
        <v>359</v>
      </c>
      <c r="H8" s="15" t="s">
        <v>487</v>
      </c>
      <c r="I8" s="15" t="s">
        <v>2815</v>
      </c>
      <c r="J8" s="15" t="s">
        <v>2800</v>
      </c>
    </row>
    <row r="9" spans="1:10" x14ac:dyDescent="0.25">
      <c r="A9" s="15" t="s">
        <v>183</v>
      </c>
      <c r="B9" s="15" t="s">
        <v>50</v>
      </c>
      <c r="C9" s="15" t="s">
        <v>2816</v>
      </c>
      <c r="D9" s="15" t="s">
        <v>224</v>
      </c>
      <c r="E9" s="15" t="s">
        <v>2800</v>
      </c>
      <c r="F9" s="15" t="s">
        <v>317</v>
      </c>
      <c r="G9" s="15" t="s">
        <v>360</v>
      </c>
      <c r="H9" s="15" t="s">
        <v>488</v>
      </c>
      <c r="I9" s="15" t="s">
        <v>273</v>
      </c>
      <c r="J9" s="15" t="s">
        <v>2800</v>
      </c>
    </row>
    <row r="10" spans="1:10" x14ac:dyDescent="0.25">
      <c r="A10" s="15" t="s">
        <v>158</v>
      </c>
      <c r="B10" s="15" t="s">
        <v>51</v>
      </c>
      <c r="C10" s="15" t="s">
        <v>2800</v>
      </c>
      <c r="D10" s="15" t="s">
        <v>226</v>
      </c>
      <c r="E10" s="15" t="s">
        <v>2800</v>
      </c>
      <c r="F10" s="15" t="s">
        <v>318</v>
      </c>
      <c r="G10" s="15" t="s">
        <v>361</v>
      </c>
      <c r="H10" s="15" t="s">
        <v>489</v>
      </c>
      <c r="I10" s="15" t="s">
        <v>275</v>
      </c>
      <c r="J10" s="15" t="s">
        <v>2800</v>
      </c>
    </row>
    <row r="11" spans="1:10" x14ac:dyDescent="0.25">
      <c r="A11" s="15" t="s">
        <v>186</v>
      </c>
      <c r="B11" s="15" t="s">
        <v>2817</v>
      </c>
      <c r="C11" s="15" t="s">
        <v>2800</v>
      </c>
      <c r="D11" s="15" t="s">
        <v>228</v>
      </c>
      <c r="E11" s="15" t="s">
        <v>2800</v>
      </c>
      <c r="F11" s="15" t="s">
        <v>321</v>
      </c>
      <c r="G11" s="15" t="s">
        <v>362</v>
      </c>
      <c r="H11" s="15" t="s">
        <v>490</v>
      </c>
      <c r="I11" s="15" t="s">
        <v>262</v>
      </c>
      <c r="J11" s="15" t="s">
        <v>2800</v>
      </c>
    </row>
    <row r="12" spans="1:10" x14ac:dyDescent="0.25">
      <c r="A12" s="15" t="s">
        <v>192</v>
      </c>
      <c r="B12" s="15" t="s">
        <v>2818</v>
      </c>
      <c r="C12" s="15" t="s">
        <v>2800</v>
      </c>
      <c r="D12" s="15" t="s">
        <v>212</v>
      </c>
      <c r="E12" s="15" t="s">
        <v>2800</v>
      </c>
      <c r="F12" s="15" t="s">
        <v>322</v>
      </c>
      <c r="G12" s="15" t="s">
        <v>365</v>
      </c>
      <c r="H12" s="15" t="s">
        <v>493</v>
      </c>
      <c r="I12" s="15" t="s">
        <v>252</v>
      </c>
      <c r="J12" s="15" t="s">
        <v>2800</v>
      </c>
    </row>
    <row r="13" spans="1:10" x14ac:dyDescent="0.25">
      <c r="A13" s="15" t="s">
        <v>194</v>
      </c>
      <c r="B13" s="15" t="s">
        <v>2819</v>
      </c>
      <c r="C13" s="15" t="s">
        <v>2800</v>
      </c>
      <c r="D13" s="15" t="s">
        <v>248</v>
      </c>
      <c r="E13" s="15" t="s">
        <v>2800</v>
      </c>
      <c r="F13" s="15" t="s">
        <v>323</v>
      </c>
      <c r="G13" s="15" t="s">
        <v>366</v>
      </c>
      <c r="H13" s="15" t="s">
        <v>500</v>
      </c>
      <c r="I13" s="15" t="s">
        <v>256</v>
      </c>
      <c r="J13" s="15" t="s">
        <v>2800</v>
      </c>
    </row>
    <row r="14" spans="1:10" x14ac:dyDescent="0.25">
      <c r="A14" s="15" t="s">
        <v>175</v>
      </c>
      <c r="B14" s="15" t="s">
        <v>2820</v>
      </c>
      <c r="C14" s="15" t="s">
        <v>2800</v>
      </c>
      <c r="D14" s="15" t="s">
        <v>250</v>
      </c>
      <c r="E14" s="15" t="s">
        <v>2800</v>
      </c>
      <c r="F14" s="15" t="s">
        <v>341</v>
      </c>
      <c r="G14" s="15" t="s">
        <v>463</v>
      </c>
      <c r="H14" s="15" t="s">
        <v>496</v>
      </c>
      <c r="I14" s="15" t="s">
        <v>259</v>
      </c>
      <c r="J14" s="15" t="s">
        <v>2800</v>
      </c>
    </row>
    <row r="15" spans="1:10" x14ac:dyDescent="0.25">
      <c r="A15" s="15" t="s">
        <v>180</v>
      </c>
      <c r="B15" s="15" t="s">
        <v>56</v>
      </c>
      <c r="C15" s="15" t="s">
        <v>2800</v>
      </c>
      <c r="D15" s="15" t="s">
        <v>251</v>
      </c>
      <c r="E15" s="15" t="s">
        <v>2800</v>
      </c>
      <c r="F15" s="15" t="s">
        <v>334</v>
      </c>
      <c r="G15" s="15" t="s">
        <v>464</v>
      </c>
      <c r="H15" s="15" t="s">
        <v>521</v>
      </c>
      <c r="I15" s="15" t="s">
        <v>272</v>
      </c>
      <c r="J15" s="15" t="s">
        <v>2800</v>
      </c>
    </row>
    <row r="16" spans="1:10" x14ac:dyDescent="0.25">
      <c r="A16" s="15" t="s">
        <v>196</v>
      </c>
      <c r="B16" s="15" t="s">
        <v>67</v>
      </c>
      <c r="C16" s="15" t="s">
        <v>2800</v>
      </c>
      <c r="D16" s="15" t="s">
        <v>2821</v>
      </c>
      <c r="E16" s="15" t="s">
        <v>2800</v>
      </c>
      <c r="F16" s="15" t="s">
        <v>335</v>
      </c>
      <c r="G16" s="15" t="s">
        <v>456</v>
      </c>
      <c r="H16" s="15" t="s">
        <v>519</v>
      </c>
      <c r="I16" s="15" t="s">
        <v>2800</v>
      </c>
      <c r="J16" s="15" t="s">
        <v>2800</v>
      </c>
    </row>
    <row r="17" spans="1:10" x14ac:dyDescent="0.25">
      <c r="A17" s="15" t="s">
        <v>189</v>
      </c>
      <c r="B17" s="15" t="s">
        <v>70</v>
      </c>
      <c r="C17" s="15" t="s">
        <v>2800</v>
      </c>
      <c r="D17" s="15" t="s">
        <v>215</v>
      </c>
      <c r="E17" s="15" t="s">
        <v>2800</v>
      </c>
      <c r="F17" s="15" t="s">
        <v>333</v>
      </c>
      <c r="G17" s="15" t="s">
        <v>396</v>
      </c>
      <c r="H17" s="15" t="s">
        <v>563</v>
      </c>
      <c r="I17" s="15" t="s">
        <v>2800</v>
      </c>
      <c r="J17" s="15" t="s">
        <v>2800</v>
      </c>
    </row>
    <row r="18" spans="1:10" x14ac:dyDescent="0.25">
      <c r="A18" s="15" t="s">
        <v>178</v>
      </c>
      <c r="B18" s="15" t="s">
        <v>72</v>
      </c>
      <c r="C18" s="15" t="s">
        <v>2800</v>
      </c>
      <c r="D18" s="15" t="s">
        <v>2800</v>
      </c>
      <c r="E18" s="15" t="s">
        <v>2800</v>
      </c>
      <c r="F18" s="15" t="s">
        <v>332</v>
      </c>
      <c r="G18" s="15" t="s">
        <v>373</v>
      </c>
      <c r="H18" s="15" t="s">
        <v>516</v>
      </c>
      <c r="I18" s="15" t="s">
        <v>2800</v>
      </c>
      <c r="J18" s="15" t="s">
        <v>2800</v>
      </c>
    </row>
    <row r="19" spans="1:10" x14ac:dyDescent="0.25">
      <c r="A19" s="15" t="s">
        <v>199</v>
      </c>
      <c r="B19" s="15" t="s">
        <v>84</v>
      </c>
      <c r="C19" s="15" t="s">
        <v>2800</v>
      </c>
      <c r="D19" s="15" t="s">
        <v>2800</v>
      </c>
      <c r="E19" s="15" t="s">
        <v>2800</v>
      </c>
      <c r="F19" s="15" t="s">
        <v>329</v>
      </c>
      <c r="G19" s="15" t="s">
        <v>367</v>
      </c>
      <c r="H19" s="15" t="s">
        <v>527</v>
      </c>
      <c r="I19" s="15" t="s">
        <v>2800</v>
      </c>
      <c r="J19" s="15" t="s">
        <v>2800</v>
      </c>
    </row>
    <row r="20" spans="1:10" x14ac:dyDescent="0.25">
      <c r="A20" s="15" t="s">
        <v>201</v>
      </c>
      <c r="B20" s="15" t="s">
        <v>89</v>
      </c>
      <c r="C20" s="15" t="s">
        <v>2800</v>
      </c>
      <c r="D20" s="15" t="s">
        <v>2800</v>
      </c>
      <c r="E20" s="15" t="s">
        <v>2800</v>
      </c>
      <c r="F20" s="15" t="s">
        <v>336</v>
      </c>
      <c r="G20" s="15" t="s">
        <v>368</v>
      </c>
      <c r="H20" s="15" t="s">
        <v>528</v>
      </c>
      <c r="I20" s="15" t="s">
        <v>2800</v>
      </c>
      <c r="J20" s="15" t="s">
        <v>2800</v>
      </c>
    </row>
    <row r="21" spans="1:10" x14ac:dyDescent="0.25">
      <c r="A21" s="15" t="s">
        <v>2800</v>
      </c>
      <c r="B21" s="15" t="s">
        <v>91</v>
      </c>
      <c r="C21" s="15" t="s">
        <v>2800</v>
      </c>
      <c r="D21" s="15" t="s">
        <v>2800</v>
      </c>
      <c r="E21" s="15" t="s">
        <v>2800</v>
      </c>
      <c r="F21" s="15" t="s">
        <v>342</v>
      </c>
      <c r="G21" s="15" t="s">
        <v>369</v>
      </c>
      <c r="H21" s="15" t="s">
        <v>529</v>
      </c>
      <c r="I21" s="15" t="s">
        <v>2800</v>
      </c>
      <c r="J21" s="15" t="s">
        <v>2800</v>
      </c>
    </row>
    <row r="22" spans="1:10" x14ac:dyDescent="0.25">
      <c r="A22" s="15" t="s">
        <v>2800</v>
      </c>
      <c r="B22" s="15" t="s">
        <v>93</v>
      </c>
      <c r="C22" s="15" t="s">
        <v>2800</v>
      </c>
      <c r="D22" s="15" t="s">
        <v>2800</v>
      </c>
      <c r="E22" s="15" t="s">
        <v>2800</v>
      </c>
      <c r="F22" s="15" t="s">
        <v>337</v>
      </c>
      <c r="G22" s="15" t="s">
        <v>370</v>
      </c>
      <c r="H22" s="15" t="s">
        <v>530</v>
      </c>
      <c r="I22" s="15" t="s">
        <v>2800</v>
      </c>
      <c r="J22" s="15" t="s">
        <v>2800</v>
      </c>
    </row>
    <row r="23" spans="1:10" x14ac:dyDescent="0.25">
      <c r="A23" s="15" t="s">
        <v>2800</v>
      </c>
      <c r="B23" s="15" t="s">
        <v>95</v>
      </c>
      <c r="C23" s="15" t="s">
        <v>2800</v>
      </c>
      <c r="D23" s="15" t="s">
        <v>2800</v>
      </c>
      <c r="E23" s="15" t="s">
        <v>2800</v>
      </c>
      <c r="F23" s="15" t="s">
        <v>2800</v>
      </c>
      <c r="G23" s="15" t="s">
        <v>371</v>
      </c>
      <c r="H23" s="15" t="s">
        <v>531</v>
      </c>
      <c r="I23" s="15" t="s">
        <v>2800</v>
      </c>
      <c r="J23" s="15" t="s">
        <v>2800</v>
      </c>
    </row>
    <row r="24" spans="1:10" x14ac:dyDescent="0.25">
      <c r="A24" s="15" t="s">
        <v>2800</v>
      </c>
      <c r="B24" s="15" t="s">
        <v>97</v>
      </c>
      <c r="C24" s="15" t="s">
        <v>2800</v>
      </c>
      <c r="D24" s="15" t="s">
        <v>2800</v>
      </c>
      <c r="E24" s="15" t="s">
        <v>2800</v>
      </c>
      <c r="F24" s="15" t="s">
        <v>2800</v>
      </c>
      <c r="G24" s="15" t="s">
        <v>2822</v>
      </c>
      <c r="H24" s="15" t="s">
        <v>532</v>
      </c>
      <c r="I24" s="15" t="s">
        <v>2800</v>
      </c>
      <c r="J24" s="15" t="s">
        <v>2800</v>
      </c>
    </row>
    <row r="25" spans="1:10" x14ac:dyDescent="0.25">
      <c r="A25" s="15" t="s">
        <v>2800</v>
      </c>
      <c r="B25" s="15" t="s">
        <v>99</v>
      </c>
      <c r="C25" s="15" t="s">
        <v>2800</v>
      </c>
      <c r="D25" s="15" t="s">
        <v>2800</v>
      </c>
      <c r="E25" s="15" t="s">
        <v>2800</v>
      </c>
      <c r="F25" s="15" t="s">
        <v>2800</v>
      </c>
      <c r="G25" s="15" t="s">
        <v>2823</v>
      </c>
      <c r="H25" s="15" t="s">
        <v>543</v>
      </c>
      <c r="I25" s="15" t="s">
        <v>2800</v>
      </c>
      <c r="J25" s="15" t="s">
        <v>2800</v>
      </c>
    </row>
    <row r="26" spans="1:10" x14ac:dyDescent="0.25">
      <c r="A26" s="15" t="s">
        <v>2800</v>
      </c>
      <c r="B26" s="15" t="s">
        <v>135</v>
      </c>
      <c r="C26" s="15" t="s">
        <v>2800</v>
      </c>
      <c r="D26" s="15" t="s">
        <v>2800</v>
      </c>
      <c r="E26" s="15" t="s">
        <v>2800</v>
      </c>
      <c r="F26" s="15" t="s">
        <v>2800</v>
      </c>
      <c r="G26" s="15" t="s">
        <v>2824</v>
      </c>
      <c r="H26" s="15" t="s">
        <v>545</v>
      </c>
      <c r="I26" s="15" t="s">
        <v>2800</v>
      </c>
      <c r="J26" s="15" t="s">
        <v>2800</v>
      </c>
    </row>
    <row r="27" spans="1:10" x14ac:dyDescent="0.25">
      <c r="A27" s="15" t="s">
        <v>2800</v>
      </c>
      <c r="B27" s="15" t="s">
        <v>136</v>
      </c>
      <c r="C27" s="15" t="s">
        <v>2800</v>
      </c>
      <c r="D27" s="15" t="s">
        <v>2800</v>
      </c>
      <c r="E27" s="15" t="s">
        <v>2800</v>
      </c>
      <c r="F27" s="15" t="s">
        <v>2800</v>
      </c>
      <c r="G27" s="15" t="s">
        <v>2825</v>
      </c>
      <c r="H27" s="15" t="s">
        <v>533</v>
      </c>
      <c r="I27" s="15" t="s">
        <v>2800</v>
      </c>
      <c r="J27" s="15" t="s">
        <v>2800</v>
      </c>
    </row>
    <row r="28" spans="1:10" x14ac:dyDescent="0.25">
      <c r="A28" s="15" t="s">
        <v>2800</v>
      </c>
      <c r="B28" s="15" t="s">
        <v>137</v>
      </c>
      <c r="C28" s="15" t="s">
        <v>2800</v>
      </c>
      <c r="D28" s="15" t="s">
        <v>2800</v>
      </c>
      <c r="E28" s="15" t="s">
        <v>2800</v>
      </c>
      <c r="F28" s="15" t="s">
        <v>2800</v>
      </c>
      <c r="G28" s="15" t="s">
        <v>397</v>
      </c>
      <c r="H28" s="15" t="s">
        <v>535</v>
      </c>
      <c r="I28" s="15" t="s">
        <v>2800</v>
      </c>
      <c r="J28" s="15" t="s">
        <v>2800</v>
      </c>
    </row>
    <row r="29" spans="1:10" x14ac:dyDescent="0.25">
      <c r="A29" s="15" t="s">
        <v>2800</v>
      </c>
      <c r="B29" s="15" t="s">
        <v>138</v>
      </c>
      <c r="C29" s="15" t="s">
        <v>2800</v>
      </c>
      <c r="D29" s="15" t="s">
        <v>2800</v>
      </c>
      <c r="E29" s="15" t="s">
        <v>2800</v>
      </c>
      <c r="F29" s="15" t="s">
        <v>2800</v>
      </c>
      <c r="G29" s="15" t="s">
        <v>399</v>
      </c>
      <c r="H29" s="15" t="s">
        <v>536</v>
      </c>
      <c r="I29" s="15" t="s">
        <v>2800</v>
      </c>
      <c r="J29" s="15" t="s">
        <v>2800</v>
      </c>
    </row>
    <row r="30" spans="1:10" x14ac:dyDescent="0.25">
      <c r="A30" s="15" t="s">
        <v>2800</v>
      </c>
      <c r="B30" s="15" t="s">
        <v>139</v>
      </c>
      <c r="C30" s="15" t="s">
        <v>2800</v>
      </c>
      <c r="D30" s="15" t="s">
        <v>2800</v>
      </c>
      <c r="E30" s="15" t="s">
        <v>2800</v>
      </c>
      <c r="F30" s="15" t="s">
        <v>2800</v>
      </c>
      <c r="G30" s="15" t="s">
        <v>400</v>
      </c>
      <c r="H30" s="15" t="s">
        <v>538</v>
      </c>
      <c r="I30" s="15" t="s">
        <v>2800</v>
      </c>
      <c r="J30" s="15" t="s">
        <v>2800</v>
      </c>
    </row>
    <row r="31" spans="1:10" x14ac:dyDescent="0.25">
      <c r="A31" s="15" t="s">
        <v>2800</v>
      </c>
      <c r="B31" s="15" t="s">
        <v>59</v>
      </c>
      <c r="C31" s="15" t="s">
        <v>2800</v>
      </c>
      <c r="D31" s="15" t="s">
        <v>2800</v>
      </c>
      <c r="E31" s="15" t="s">
        <v>2800</v>
      </c>
      <c r="F31" s="15" t="s">
        <v>2800</v>
      </c>
      <c r="G31" s="15" t="s">
        <v>413</v>
      </c>
      <c r="H31" s="15" t="s">
        <v>541</v>
      </c>
      <c r="I31" s="15" t="s">
        <v>2800</v>
      </c>
      <c r="J31" s="15" t="s">
        <v>2800</v>
      </c>
    </row>
    <row r="32" spans="1:10" x14ac:dyDescent="0.25">
      <c r="A32" s="15" t="s">
        <v>2800</v>
      </c>
      <c r="B32" s="15" t="s">
        <v>64</v>
      </c>
      <c r="C32" s="15" t="s">
        <v>2800</v>
      </c>
      <c r="D32" s="15" t="s">
        <v>2800</v>
      </c>
      <c r="E32" s="15" t="s">
        <v>2800</v>
      </c>
      <c r="F32" s="15" t="s">
        <v>2800</v>
      </c>
      <c r="G32" s="15" t="s">
        <v>401</v>
      </c>
      <c r="H32" s="15" t="s">
        <v>542</v>
      </c>
      <c r="I32" s="15" t="s">
        <v>2800</v>
      </c>
      <c r="J32" s="15" t="s">
        <v>2800</v>
      </c>
    </row>
    <row r="33" spans="1:10" x14ac:dyDescent="0.25">
      <c r="A33" s="15" t="s">
        <v>2800</v>
      </c>
      <c r="B33" s="15" t="s">
        <v>31</v>
      </c>
      <c r="C33" s="15" t="s">
        <v>2800</v>
      </c>
      <c r="D33" s="15" t="s">
        <v>2800</v>
      </c>
      <c r="E33" s="15" t="s">
        <v>2800</v>
      </c>
      <c r="F33" s="15" t="s">
        <v>2800</v>
      </c>
      <c r="G33" s="15" t="s">
        <v>403</v>
      </c>
      <c r="H33" s="15" t="s">
        <v>539</v>
      </c>
      <c r="I33" s="15" t="s">
        <v>2800</v>
      </c>
      <c r="J33" s="15" t="s">
        <v>2800</v>
      </c>
    </row>
    <row r="34" spans="1:10" x14ac:dyDescent="0.25">
      <c r="A34" s="15" t="s">
        <v>2800</v>
      </c>
      <c r="B34" s="15" t="s">
        <v>35</v>
      </c>
      <c r="C34" s="15" t="s">
        <v>2800</v>
      </c>
      <c r="D34" s="15" t="s">
        <v>2800</v>
      </c>
      <c r="E34" s="15" t="s">
        <v>2800</v>
      </c>
      <c r="F34" s="15" t="s">
        <v>2800</v>
      </c>
      <c r="G34" s="15" t="s">
        <v>414</v>
      </c>
      <c r="H34" s="15" t="s">
        <v>544</v>
      </c>
      <c r="I34" s="15" t="s">
        <v>2800</v>
      </c>
      <c r="J34" s="15" t="s">
        <v>2800</v>
      </c>
    </row>
    <row r="35" spans="1:10" x14ac:dyDescent="0.25">
      <c r="A35" s="15" t="s">
        <v>2800</v>
      </c>
      <c r="B35" s="15" t="s">
        <v>38</v>
      </c>
      <c r="C35" s="15" t="s">
        <v>2800</v>
      </c>
      <c r="D35" s="15" t="s">
        <v>2800</v>
      </c>
      <c r="E35" s="15" t="s">
        <v>2800</v>
      </c>
      <c r="F35" s="15" t="s">
        <v>2800</v>
      </c>
      <c r="G35" s="15" t="s">
        <v>407</v>
      </c>
      <c r="H35" s="15" t="s">
        <v>523</v>
      </c>
      <c r="I35" s="15" t="s">
        <v>2800</v>
      </c>
      <c r="J35" s="15" t="s">
        <v>2800</v>
      </c>
    </row>
    <row r="36" spans="1:10" x14ac:dyDescent="0.25">
      <c r="A36" s="15" t="s">
        <v>2800</v>
      </c>
      <c r="B36" s="15" t="s">
        <v>39</v>
      </c>
      <c r="C36" s="15" t="s">
        <v>2800</v>
      </c>
      <c r="D36" s="15" t="s">
        <v>2800</v>
      </c>
      <c r="E36" s="15" t="s">
        <v>2800</v>
      </c>
      <c r="F36" s="15" t="s">
        <v>2800</v>
      </c>
      <c r="G36" s="15" t="s">
        <v>409</v>
      </c>
      <c r="H36" s="15" t="s">
        <v>524</v>
      </c>
      <c r="I36" s="15" t="s">
        <v>2800</v>
      </c>
      <c r="J36" s="15" t="s">
        <v>2800</v>
      </c>
    </row>
    <row r="37" spans="1:10" x14ac:dyDescent="0.25">
      <c r="A37" s="15" t="s">
        <v>2800</v>
      </c>
      <c r="B37" s="15" t="s">
        <v>40</v>
      </c>
      <c r="C37" s="15" t="s">
        <v>2800</v>
      </c>
      <c r="D37" s="15" t="s">
        <v>2800</v>
      </c>
      <c r="E37" s="15" t="s">
        <v>2800</v>
      </c>
      <c r="F37" s="15" t="s">
        <v>2800</v>
      </c>
      <c r="G37" s="15" t="s">
        <v>411</v>
      </c>
      <c r="H37" s="15" t="s">
        <v>525</v>
      </c>
      <c r="I37" s="15" t="s">
        <v>2800</v>
      </c>
      <c r="J37" s="15" t="s">
        <v>2800</v>
      </c>
    </row>
    <row r="38" spans="1:10" x14ac:dyDescent="0.25">
      <c r="A38" s="15" t="s">
        <v>2800</v>
      </c>
      <c r="B38" s="15" t="s">
        <v>126</v>
      </c>
      <c r="C38" s="15" t="s">
        <v>2800</v>
      </c>
      <c r="D38" s="15" t="s">
        <v>2800</v>
      </c>
      <c r="E38" s="15" t="s">
        <v>2800</v>
      </c>
      <c r="F38" s="15" t="s">
        <v>2800</v>
      </c>
      <c r="G38" s="15" t="s">
        <v>427</v>
      </c>
      <c r="H38" s="15" t="s">
        <v>526</v>
      </c>
      <c r="I38" s="15" t="s">
        <v>2800</v>
      </c>
      <c r="J38" s="15" t="s">
        <v>2800</v>
      </c>
    </row>
    <row r="39" spans="1:10" x14ac:dyDescent="0.25">
      <c r="A39" s="15" t="s">
        <v>2800</v>
      </c>
      <c r="B39" s="15" t="s">
        <v>153</v>
      </c>
      <c r="C39" s="15" t="s">
        <v>2800</v>
      </c>
      <c r="D39" s="15" t="s">
        <v>2800</v>
      </c>
      <c r="E39" s="15" t="s">
        <v>2800</v>
      </c>
      <c r="F39" s="15" t="s">
        <v>2800</v>
      </c>
      <c r="G39" s="15" t="s">
        <v>430</v>
      </c>
      <c r="H39" s="15" t="s">
        <v>546</v>
      </c>
      <c r="I39" s="15" t="s">
        <v>2800</v>
      </c>
      <c r="J39" s="15" t="s">
        <v>2800</v>
      </c>
    </row>
    <row r="40" spans="1:10" x14ac:dyDescent="0.25">
      <c r="A40" s="15" t="s">
        <v>2800</v>
      </c>
      <c r="B40" s="15" t="s">
        <v>150</v>
      </c>
      <c r="C40" s="15" t="s">
        <v>2800</v>
      </c>
      <c r="D40" s="15" t="s">
        <v>2800</v>
      </c>
      <c r="E40" s="15" t="s">
        <v>2800</v>
      </c>
      <c r="F40" s="15" t="s">
        <v>2800</v>
      </c>
      <c r="G40" s="15" t="s">
        <v>432</v>
      </c>
      <c r="H40" s="15" t="s">
        <v>562</v>
      </c>
      <c r="I40" s="15" t="s">
        <v>2800</v>
      </c>
      <c r="J40" s="15" t="s">
        <v>2800</v>
      </c>
    </row>
    <row r="41" spans="1:10" x14ac:dyDescent="0.25">
      <c r="A41" s="15" t="s">
        <v>2800</v>
      </c>
      <c r="B41" s="15" t="s">
        <v>108</v>
      </c>
      <c r="C41" s="15" t="s">
        <v>2800</v>
      </c>
      <c r="D41" s="15" t="s">
        <v>2800</v>
      </c>
      <c r="E41" s="15" t="s">
        <v>2800</v>
      </c>
      <c r="F41" s="15" t="s">
        <v>2800</v>
      </c>
      <c r="G41" s="15" t="s">
        <v>434</v>
      </c>
      <c r="H41" s="15" t="s">
        <v>560</v>
      </c>
      <c r="I41" s="15" t="s">
        <v>2800</v>
      </c>
      <c r="J41" s="15" t="s">
        <v>2800</v>
      </c>
    </row>
    <row r="42" spans="1:10" x14ac:dyDescent="0.25">
      <c r="A42" s="15" t="s">
        <v>2800</v>
      </c>
      <c r="B42" s="15" t="s">
        <v>111</v>
      </c>
      <c r="C42" s="15" t="s">
        <v>2800</v>
      </c>
      <c r="D42" s="15" t="s">
        <v>2800</v>
      </c>
      <c r="E42" s="15" t="s">
        <v>2800</v>
      </c>
      <c r="F42" s="15" t="s">
        <v>2800</v>
      </c>
      <c r="G42" s="15" t="s">
        <v>436</v>
      </c>
      <c r="H42" s="15" t="s">
        <v>515</v>
      </c>
      <c r="I42" s="15" t="s">
        <v>2800</v>
      </c>
      <c r="J42" s="15" t="s">
        <v>2800</v>
      </c>
    </row>
    <row r="43" spans="1:10" x14ac:dyDescent="0.25">
      <c r="A43" s="15" t="s">
        <v>2800</v>
      </c>
      <c r="B43" s="15" t="s">
        <v>113</v>
      </c>
      <c r="C43" s="15" t="s">
        <v>2800</v>
      </c>
      <c r="D43" s="15" t="s">
        <v>2800</v>
      </c>
      <c r="E43" s="15" t="s">
        <v>2800</v>
      </c>
      <c r="F43" s="15" t="s">
        <v>2800</v>
      </c>
      <c r="G43" s="15" t="s">
        <v>438</v>
      </c>
      <c r="H43" s="15" t="s">
        <v>497</v>
      </c>
      <c r="I43" s="15" t="s">
        <v>2800</v>
      </c>
      <c r="J43" s="15" t="s">
        <v>2800</v>
      </c>
    </row>
    <row r="44" spans="1:10" x14ac:dyDescent="0.25">
      <c r="A44" s="15" t="s">
        <v>2800</v>
      </c>
      <c r="B44" s="15" t="s">
        <v>116</v>
      </c>
      <c r="C44" s="15" t="s">
        <v>2800</v>
      </c>
      <c r="D44" s="15" t="s">
        <v>2800</v>
      </c>
      <c r="E44" s="15" t="s">
        <v>2800</v>
      </c>
      <c r="F44" s="15" t="s">
        <v>2800</v>
      </c>
      <c r="G44" s="15" t="s">
        <v>440</v>
      </c>
      <c r="H44" s="15" t="s">
        <v>513</v>
      </c>
      <c r="I44" s="15" t="s">
        <v>2800</v>
      </c>
      <c r="J44" s="15" t="s">
        <v>2800</v>
      </c>
    </row>
    <row r="45" spans="1:10" x14ac:dyDescent="0.25">
      <c r="A45" s="15" t="s">
        <v>2800</v>
      </c>
      <c r="B45" s="15" t="s">
        <v>118</v>
      </c>
      <c r="C45" s="15" t="s">
        <v>2800</v>
      </c>
      <c r="D45" s="15" t="s">
        <v>2800</v>
      </c>
      <c r="E45" s="15" t="s">
        <v>2800</v>
      </c>
      <c r="F45" s="15" t="s">
        <v>2800</v>
      </c>
      <c r="G45" s="15" t="s">
        <v>405</v>
      </c>
      <c r="H45" s="15" t="s">
        <v>567</v>
      </c>
      <c r="I45" s="15" t="s">
        <v>2800</v>
      </c>
      <c r="J45" s="15" t="s">
        <v>2800</v>
      </c>
    </row>
    <row r="46" spans="1:10" x14ac:dyDescent="0.25">
      <c r="A46" s="15" t="s">
        <v>2800</v>
      </c>
      <c r="B46" s="15" t="s">
        <v>120</v>
      </c>
      <c r="C46" s="15" t="s">
        <v>2800</v>
      </c>
      <c r="D46" s="15" t="s">
        <v>2800</v>
      </c>
      <c r="E46" s="15" t="s">
        <v>2800</v>
      </c>
      <c r="F46" s="15" t="s">
        <v>2800</v>
      </c>
      <c r="G46" s="15" t="s">
        <v>421</v>
      </c>
      <c r="H46" s="15" t="s">
        <v>566</v>
      </c>
      <c r="I46" s="15" t="s">
        <v>2800</v>
      </c>
      <c r="J46" s="15" t="s">
        <v>2800</v>
      </c>
    </row>
    <row r="47" spans="1:10" x14ac:dyDescent="0.25">
      <c r="A47" s="15" t="s">
        <v>2800</v>
      </c>
      <c r="B47" s="15" t="s">
        <v>122</v>
      </c>
      <c r="C47" s="15" t="s">
        <v>2800</v>
      </c>
      <c r="D47" s="15" t="s">
        <v>2800</v>
      </c>
      <c r="E47" s="15" t="s">
        <v>2800</v>
      </c>
      <c r="F47" s="15" t="s">
        <v>2800</v>
      </c>
      <c r="G47" s="15" t="s">
        <v>423</v>
      </c>
      <c r="H47" s="15" t="s">
        <v>565</v>
      </c>
      <c r="I47" s="15" t="s">
        <v>2800</v>
      </c>
      <c r="J47" s="15" t="s">
        <v>2800</v>
      </c>
    </row>
    <row r="48" spans="1:10" x14ac:dyDescent="0.25">
      <c r="A48" s="15" t="s">
        <v>2800</v>
      </c>
      <c r="B48" s="15" t="s">
        <v>124</v>
      </c>
      <c r="C48" s="15" t="s">
        <v>2800</v>
      </c>
      <c r="D48" s="15" t="s">
        <v>2800</v>
      </c>
      <c r="E48" s="15" t="s">
        <v>2800</v>
      </c>
      <c r="F48" s="15" t="s">
        <v>2800</v>
      </c>
      <c r="G48" s="15" t="s">
        <v>425</v>
      </c>
      <c r="H48" s="15" t="s">
        <v>564</v>
      </c>
      <c r="I48" s="15" t="s">
        <v>2800</v>
      </c>
      <c r="J48" s="15" t="s">
        <v>2800</v>
      </c>
    </row>
    <row r="49" spans="1:10" x14ac:dyDescent="0.25">
      <c r="A49" s="15" t="s">
        <v>2800</v>
      </c>
      <c r="B49" s="15" t="s">
        <v>63</v>
      </c>
      <c r="C49" s="15" t="s">
        <v>2800</v>
      </c>
      <c r="D49" s="15" t="s">
        <v>2800</v>
      </c>
      <c r="E49" s="15" t="s">
        <v>2800</v>
      </c>
      <c r="F49" s="15" t="s">
        <v>2800</v>
      </c>
      <c r="G49" s="15" t="s">
        <v>395</v>
      </c>
      <c r="H49" s="15" t="s">
        <v>508</v>
      </c>
      <c r="I49" s="15" t="s">
        <v>2800</v>
      </c>
      <c r="J49" s="15" t="s">
        <v>2800</v>
      </c>
    </row>
    <row r="50" spans="1:10" x14ac:dyDescent="0.25">
      <c r="A50" s="15" t="s">
        <v>2800</v>
      </c>
      <c r="B50" s="15" t="s">
        <v>134</v>
      </c>
      <c r="C50" s="15" t="s">
        <v>2800</v>
      </c>
      <c r="D50" s="15" t="s">
        <v>2800</v>
      </c>
      <c r="E50" s="15" t="s">
        <v>2800</v>
      </c>
      <c r="F50" s="15" t="s">
        <v>2800</v>
      </c>
      <c r="G50" s="15" t="s">
        <v>443</v>
      </c>
      <c r="H50" s="15" t="s">
        <v>509</v>
      </c>
      <c r="I50" s="15" t="s">
        <v>2800</v>
      </c>
      <c r="J50" s="15" t="s">
        <v>2800</v>
      </c>
    </row>
    <row r="51" spans="1:10" x14ac:dyDescent="0.25">
      <c r="A51" s="15" t="s">
        <v>2800</v>
      </c>
      <c r="B51" s="15" t="s">
        <v>132</v>
      </c>
      <c r="C51" s="15" t="s">
        <v>2800</v>
      </c>
      <c r="D51" s="15" t="s">
        <v>2800</v>
      </c>
      <c r="E51" s="15" t="s">
        <v>2800</v>
      </c>
      <c r="F51" s="15" t="s">
        <v>2800</v>
      </c>
      <c r="G51" s="15" t="s">
        <v>383</v>
      </c>
      <c r="H51" s="15" t="s">
        <v>510</v>
      </c>
      <c r="I51" s="15" t="s">
        <v>2800</v>
      </c>
      <c r="J51" s="15" t="s">
        <v>2800</v>
      </c>
    </row>
    <row r="52" spans="1:10" x14ac:dyDescent="0.25">
      <c r="A52" s="15" t="s">
        <v>2800</v>
      </c>
      <c r="B52" s="15" t="s">
        <v>141</v>
      </c>
      <c r="C52" s="15" t="s">
        <v>2800</v>
      </c>
      <c r="D52" s="15" t="s">
        <v>2800</v>
      </c>
      <c r="E52" s="15" t="s">
        <v>2800</v>
      </c>
      <c r="F52" s="15" t="s">
        <v>2800</v>
      </c>
      <c r="G52" s="15" t="s">
        <v>384</v>
      </c>
      <c r="H52" s="15" t="s">
        <v>501</v>
      </c>
      <c r="I52" s="15" t="s">
        <v>2800</v>
      </c>
      <c r="J52" s="15" t="s">
        <v>2800</v>
      </c>
    </row>
    <row r="53" spans="1:10" x14ac:dyDescent="0.25">
      <c r="A53" s="15" t="s">
        <v>2800</v>
      </c>
      <c r="B53" s="15" t="s">
        <v>103</v>
      </c>
      <c r="C53" s="15" t="s">
        <v>2800</v>
      </c>
      <c r="D53" s="15" t="s">
        <v>2800</v>
      </c>
      <c r="E53" s="15" t="s">
        <v>2800</v>
      </c>
      <c r="F53" s="15" t="s">
        <v>2800</v>
      </c>
      <c r="G53" s="15" t="s">
        <v>385</v>
      </c>
      <c r="H53" s="15" t="s">
        <v>502</v>
      </c>
      <c r="I53" s="15" t="s">
        <v>2800</v>
      </c>
      <c r="J53" s="15" t="s">
        <v>2800</v>
      </c>
    </row>
    <row r="54" spans="1:10" x14ac:dyDescent="0.25">
      <c r="A54" s="15" t="s">
        <v>2800</v>
      </c>
      <c r="B54" s="15" t="s">
        <v>101</v>
      </c>
      <c r="C54" s="15" t="s">
        <v>2800</v>
      </c>
      <c r="D54" s="15" t="s">
        <v>2800</v>
      </c>
      <c r="E54" s="15" t="s">
        <v>2800</v>
      </c>
      <c r="F54" s="15" t="s">
        <v>2800</v>
      </c>
      <c r="G54" s="15" t="s">
        <v>386</v>
      </c>
      <c r="H54" s="15" t="s">
        <v>503</v>
      </c>
      <c r="I54" s="15" t="s">
        <v>2800</v>
      </c>
      <c r="J54" s="15" t="s">
        <v>2800</v>
      </c>
    </row>
    <row r="55" spans="1:10" x14ac:dyDescent="0.25">
      <c r="A55" s="15" t="s">
        <v>2800</v>
      </c>
      <c r="B55" s="15" t="s">
        <v>61</v>
      </c>
      <c r="C55" s="15" t="s">
        <v>2800</v>
      </c>
      <c r="D55" s="15" t="s">
        <v>2800</v>
      </c>
      <c r="E55" s="15" t="s">
        <v>2800</v>
      </c>
      <c r="F55" s="15" t="s">
        <v>2800</v>
      </c>
      <c r="G55" s="15" t="s">
        <v>2826</v>
      </c>
      <c r="H55" s="15" t="s">
        <v>504</v>
      </c>
      <c r="I55" s="15" t="s">
        <v>2800</v>
      </c>
      <c r="J55" s="15" t="s">
        <v>2800</v>
      </c>
    </row>
    <row r="56" spans="1:10" x14ac:dyDescent="0.25">
      <c r="A56" s="15" t="s">
        <v>2800</v>
      </c>
      <c r="B56" s="15" t="s">
        <v>105</v>
      </c>
      <c r="C56" s="15" t="s">
        <v>2800</v>
      </c>
      <c r="D56" s="15" t="s">
        <v>2800</v>
      </c>
      <c r="E56" s="15" t="s">
        <v>2800</v>
      </c>
      <c r="F56" s="15" t="s">
        <v>2800</v>
      </c>
      <c r="G56" s="15" t="s">
        <v>374</v>
      </c>
      <c r="H56" s="15" t="s">
        <v>505</v>
      </c>
      <c r="I56" s="15" t="s">
        <v>2800</v>
      </c>
      <c r="J56" s="15" t="s">
        <v>2800</v>
      </c>
    </row>
    <row r="57" spans="1:10" x14ac:dyDescent="0.25">
      <c r="A57" s="15" t="s">
        <v>2800</v>
      </c>
      <c r="B57" s="15" t="s">
        <v>86</v>
      </c>
      <c r="C57" s="15" t="s">
        <v>2800</v>
      </c>
      <c r="D57" s="15" t="s">
        <v>2800</v>
      </c>
      <c r="E57" s="15" t="s">
        <v>2800</v>
      </c>
      <c r="F57" s="15" t="s">
        <v>2800</v>
      </c>
      <c r="G57" s="15" t="s">
        <v>392</v>
      </c>
      <c r="H57" s="15" t="s">
        <v>561</v>
      </c>
      <c r="I57" s="15" t="s">
        <v>2800</v>
      </c>
      <c r="J57" s="15" t="s">
        <v>2800</v>
      </c>
    </row>
    <row r="58" spans="1:10" x14ac:dyDescent="0.25">
      <c r="A58" s="15" t="s">
        <v>2800</v>
      </c>
      <c r="B58" s="15" t="s">
        <v>74</v>
      </c>
      <c r="C58" s="15" t="s">
        <v>2800</v>
      </c>
      <c r="D58" s="15" t="s">
        <v>2800</v>
      </c>
      <c r="E58" s="15" t="s">
        <v>2800</v>
      </c>
      <c r="F58" s="15" t="s">
        <v>2800</v>
      </c>
      <c r="G58" s="15" t="s">
        <v>466</v>
      </c>
      <c r="H58" s="15" t="s">
        <v>480</v>
      </c>
      <c r="I58" s="15" t="s">
        <v>2800</v>
      </c>
      <c r="J58" s="15" t="s">
        <v>2800</v>
      </c>
    </row>
    <row r="59" spans="1:10" x14ac:dyDescent="0.25">
      <c r="A59" s="15" t="s">
        <v>2800</v>
      </c>
      <c r="B59" s="15" t="s">
        <v>76</v>
      </c>
      <c r="C59" s="15" t="s">
        <v>2800</v>
      </c>
      <c r="D59" s="15" t="s">
        <v>2800</v>
      </c>
      <c r="E59" s="15" t="s">
        <v>2800</v>
      </c>
      <c r="F59" s="15" t="s">
        <v>2800</v>
      </c>
      <c r="G59" s="15" t="s">
        <v>467</v>
      </c>
      <c r="H59" s="15" t="s">
        <v>479</v>
      </c>
      <c r="I59" s="15" t="s">
        <v>2800</v>
      </c>
      <c r="J59" s="15" t="s">
        <v>2800</v>
      </c>
    </row>
    <row r="60" spans="1:10" x14ac:dyDescent="0.25">
      <c r="A60" s="15" t="s">
        <v>2800</v>
      </c>
      <c r="B60" s="15" t="s">
        <v>78</v>
      </c>
      <c r="C60" s="15" t="s">
        <v>2800</v>
      </c>
      <c r="D60" s="15" t="s">
        <v>2800</v>
      </c>
      <c r="E60" s="15" t="s">
        <v>2800</v>
      </c>
      <c r="F60" s="15" t="s">
        <v>2800</v>
      </c>
      <c r="G60" s="15" t="s">
        <v>461</v>
      </c>
      <c r="H60" s="15" t="s">
        <v>476</v>
      </c>
      <c r="I60" s="15" t="s">
        <v>2800</v>
      </c>
      <c r="J60" s="15" t="s">
        <v>2800</v>
      </c>
    </row>
    <row r="61" spans="1:10" x14ac:dyDescent="0.25">
      <c r="A61" s="15" t="s">
        <v>2800</v>
      </c>
      <c r="B61" s="15" t="s">
        <v>80</v>
      </c>
      <c r="C61" s="15" t="s">
        <v>2800</v>
      </c>
      <c r="D61" s="15" t="s">
        <v>2800</v>
      </c>
      <c r="E61" s="15" t="s">
        <v>2800</v>
      </c>
      <c r="F61" s="15" t="s">
        <v>2800</v>
      </c>
      <c r="G61" s="15" t="s">
        <v>462</v>
      </c>
      <c r="H61" s="15" t="s">
        <v>475</v>
      </c>
      <c r="I61" s="15" t="s">
        <v>2800</v>
      </c>
      <c r="J61" s="15" t="s">
        <v>2800</v>
      </c>
    </row>
    <row r="62" spans="1:10" x14ac:dyDescent="0.25">
      <c r="A62" s="15" t="s">
        <v>2800</v>
      </c>
      <c r="B62" s="15" t="s">
        <v>82</v>
      </c>
      <c r="C62" s="15" t="s">
        <v>2800</v>
      </c>
      <c r="D62" s="15" t="s">
        <v>2800</v>
      </c>
      <c r="E62" s="15" t="s">
        <v>2800</v>
      </c>
      <c r="F62" s="15" t="s">
        <v>2800</v>
      </c>
      <c r="G62" s="15" t="s">
        <v>388</v>
      </c>
      <c r="H62" s="15" t="s">
        <v>472</v>
      </c>
      <c r="I62" s="15" t="s">
        <v>2800</v>
      </c>
      <c r="J62" s="15" t="s">
        <v>2800</v>
      </c>
    </row>
    <row r="63" spans="1:10" x14ac:dyDescent="0.25">
      <c r="A63" s="15" t="s">
        <v>2800</v>
      </c>
      <c r="B63" s="15" t="s">
        <v>143</v>
      </c>
      <c r="C63" s="15" t="s">
        <v>2800</v>
      </c>
      <c r="D63" s="15" t="s">
        <v>2800</v>
      </c>
      <c r="E63" s="15" t="s">
        <v>2800</v>
      </c>
      <c r="F63" s="15" t="s">
        <v>2800</v>
      </c>
      <c r="G63" s="15" t="s">
        <v>391</v>
      </c>
      <c r="H63" s="15" t="s">
        <v>471</v>
      </c>
      <c r="I63" s="15" t="s">
        <v>2800</v>
      </c>
      <c r="J63" s="15" t="s">
        <v>2800</v>
      </c>
    </row>
    <row r="64" spans="1:10" x14ac:dyDescent="0.25">
      <c r="A64" s="15" t="s">
        <v>2800</v>
      </c>
      <c r="B64" s="15" t="s">
        <v>146</v>
      </c>
      <c r="C64" s="15" t="s">
        <v>2800</v>
      </c>
      <c r="D64" s="15" t="s">
        <v>2800</v>
      </c>
      <c r="E64" s="15" t="s">
        <v>2800</v>
      </c>
      <c r="F64" s="15" t="s">
        <v>2800</v>
      </c>
      <c r="G64" s="15" t="s">
        <v>415</v>
      </c>
      <c r="H64" s="15" t="s">
        <v>470</v>
      </c>
      <c r="I64" s="15" t="s">
        <v>2800</v>
      </c>
      <c r="J64" s="15" t="s">
        <v>2800</v>
      </c>
    </row>
    <row r="65" spans="1:10" x14ac:dyDescent="0.25">
      <c r="A65" s="15" t="s">
        <v>2800</v>
      </c>
      <c r="B65" s="15" t="s">
        <v>147</v>
      </c>
      <c r="C65" s="15" t="s">
        <v>2800</v>
      </c>
      <c r="D65" s="15" t="s">
        <v>2800</v>
      </c>
      <c r="E65" s="15" t="s">
        <v>2800</v>
      </c>
      <c r="F65" s="15" t="s">
        <v>2800</v>
      </c>
      <c r="G65" s="15" t="s">
        <v>417</v>
      </c>
      <c r="H65" s="15" t="s">
        <v>468</v>
      </c>
      <c r="I65" s="15" t="s">
        <v>2800</v>
      </c>
      <c r="J65" s="15" t="s">
        <v>2800</v>
      </c>
    </row>
    <row r="66" spans="1:10" x14ac:dyDescent="0.25">
      <c r="A66" s="15" t="s">
        <v>2800</v>
      </c>
      <c r="B66" s="15" t="s">
        <v>62</v>
      </c>
      <c r="C66" s="15" t="s">
        <v>2800</v>
      </c>
      <c r="D66" s="15" t="s">
        <v>2800</v>
      </c>
      <c r="E66" s="15" t="s">
        <v>2800</v>
      </c>
      <c r="F66" s="15" t="s">
        <v>2800</v>
      </c>
      <c r="G66" s="15" t="s">
        <v>419</v>
      </c>
      <c r="H66" s="15" t="s">
        <v>494</v>
      </c>
      <c r="I66" s="15" t="s">
        <v>2800</v>
      </c>
      <c r="J66" s="15" t="s">
        <v>2800</v>
      </c>
    </row>
    <row r="67" spans="1:10" x14ac:dyDescent="0.25">
      <c r="A67" s="15" t="s">
        <v>2800</v>
      </c>
      <c r="B67" s="15" t="s">
        <v>41</v>
      </c>
      <c r="C67" s="15" t="s">
        <v>2800</v>
      </c>
      <c r="D67" s="15" t="s">
        <v>2800</v>
      </c>
      <c r="E67" s="15" t="s">
        <v>2800</v>
      </c>
      <c r="F67" s="15" t="s">
        <v>2800</v>
      </c>
      <c r="G67" s="15" t="s">
        <v>457</v>
      </c>
      <c r="H67" s="15" t="s">
        <v>571</v>
      </c>
      <c r="I67" s="15" t="s">
        <v>2800</v>
      </c>
      <c r="J67" s="15" t="s">
        <v>2800</v>
      </c>
    </row>
    <row r="68" spans="1:10" x14ac:dyDescent="0.25">
      <c r="A68" s="15" t="s">
        <v>2800</v>
      </c>
      <c r="B68" s="15" t="s">
        <v>2800</v>
      </c>
      <c r="C68" s="15" t="s">
        <v>2800</v>
      </c>
      <c r="D68" s="15" t="s">
        <v>2800</v>
      </c>
      <c r="E68" s="15" t="s">
        <v>2800</v>
      </c>
      <c r="F68" s="15" t="s">
        <v>2800</v>
      </c>
      <c r="G68" s="15" t="s">
        <v>387</v>
      </c>
      <c r="H68" s="15" t="s">
        <v>511</v>
      </c>
      <c r="I68" s="15" t="s">
        <v>2800</v>
      </c>
      <c r="J68" s="15" t="s">
        <v>2800</v>
      </c>
    </row>
    <row r="69" spans="1:10" x14ac:dyDescent="0.25">
      <c r="A69" s="15" t="s">
        <v>2800</v>
      </c>
      <c r="B69" s="15" t="s">
        <v>2800</v>
      </c>
      <c r="C69" s="15" t="s">
        <v>2800</v>
      </c>
      <c r="D69" s="15" t="s">
        <v>2800</v>
      </c>
      <c r="E69" s="15" t="s">
        <v>2800</v>
      </c>
      <c r="F69" s="15" t="s">
        <v>2800</v>
      </c>
      <c r="G69" s="15" t="s">
        <v>393</v>
      </c>
      <c r="H69" s="15" t="s">
        <v>557</v>
      </c>
      <c r="I69" s="15" t="s">
        <v>2800</v>
      </c>
      <c r="J69" s="15" t="s">
        <v>2800</v>
      </c>
    </row>
    <row r="70" spans="1:10" x14ac:dyDescent="0.25">
      <c r="A70" s="15" t="s">
        <v>2800</v>
      </c>
      <c r="B70" s="15" t="s">
        <v>2800</v>
      </c>
      <c r="C70" s="15" t="s">
        <v>2800</v>
      </c>
      <c r="D70" s="15" t="s">
        <v>2800</v>
      </c>
      <c r="E70" s="15" t="s">
        <v>2800</v>
      </c>
      <c r="F70" s="15" t="s">
        <v>2800</v>
      </c>
      <c r="G70" s="15" t="s">
        <v>375</v>
      </c>
      <c r="H70" s="15" t="s">
        <v>514</v>
      </c>
      <c r="I70" s="15" t="s">
        <v>2800</v>
      </c>
      <c r="J70" s="15" t="s">
        <v>2800</v>
      </c>
    </row>
    <row r="71" spans="1:10" x14ac:dyDescent="0.25">
      <c r="A71" s="15" t="s">
        <v>2800</v>
      </c>
      <c r="B71" s="15" t="s">
        <v>2800</v>
      </c>
      <c r="C71" s="15" t="s">
        <v>2800</v>
      </c>
      <c r="D71" s="15" t="s">
        <v>2800</v>
      </c>
      <c r="E71" s="15" t="s">
        <v>2800</v>
      </c>
      <c r="F71" s="15" t="s">
        <v>2800</v>
      </c>
      <c r="G71" s="15" t="s">
        <v>376</v>
      </c>
      <c r="H71" s="15" t="s">
        <v>554</v>
      </c>
      <c r="I71" s="15" t="s">
        <v>2800</v>
      </c>
      <c r="J71" s="15" t="s">
        <v>2800</v>
      </c>
    </row>
    <row r="72" spans="1:10" x14ac:dyDescent="0.25">
      <c r="A72" s="15" t="s">
        <v>2800</v>
      </c>
      <c r="B72" s="15" t="s">
        <v>2800</v>
      </c>
      <c r="C72" s="15" t="s">
        <v>2800</v>
      </c>
      <c r="D72" s="15" t="s">
        <v>2800</v>
      </c>
      <c r="E72" s="15" t="s">
        <v>2800</v>
      </c>
      <c r="F72" s="15" t="s">
        <v>2800</v>
      </c>
      <c r="G72" s="15" t="s">
        <v>377</v>
      </c>
      <c r="H72" s="15" t="s">
        <v>517</v>
      </c>
      <c r="I72" s="15" t="s">
        <v>2800</v>
      </c>
      <c r="J72" s="15" t="s">
        <v>2800</v>
      </c>
    </row>
    <row r="73" spans="1:10" x14ac:dyDescent="0.25">
      <c r="A73" s="15" t="s">
        <v>2800</v>
      </c>
      <c r="B73" s="15" t="s">
        <v>2800</v>
      </c>
      <c r="C73" s="15" t="s">
        <v>2800</v>
      </c>
      <c r="D73" s="15" t="s">
        <v>2800</v>
      </c>
      <c r="E73" s="15" t="s">
        <v>2800</v>
      </c>
      <c r="F73" s="15" t="s">
        <v>2800</v>
      </c>
      <c r="G73" s="15" t="s">
        <v>378</v>
      </c>
      <c r="H73" s="15" t="s">
        <v>2800</v>
      </c>
      <c r="I73" s="15" t="s">
        <v>2800</v>
      </c>
      <c r="J73" s="15" t="s">
        <v>2800</v>
      </c>
    </row>
    <row r="74" spans="1:10" x14ac:dyDescent="0.25">
      <c r="A74" s="15" t="s">
        <v>2800</v>
      </c>
      <c r="B74" s="15" t="s">
        <v>2800</v>
      </c>
      <c r="C74" s="15" t="s">
        <v>2800</v>
      </c>
      <c r="D74" s="15" t="s">
        <v>2800</v>
      </c>
      <c r="E74" s="15" t="s">
        <v>2800</v>
      </c>
      <c r="F74" s="15" t="s">
        <v>2800</v>
      </c>
      <c r="G74" s="15" t="s">
        <v>379</v>
      </c>
      <c r="H74" s="15" t="s">
        <v>2800</v>
      </c>
      <c r="I74" s="15" t="s">
        <v>2800</v>
      </c>
      <c r="J74" s="15" t="s">
        <v>2800</v>
      </c>
    </row>
    <row r="75" spans="1:10" x14ac:dyDescent="0.25">
      <c r="A75" s="15" t="s">
        <v>2800</v>
      </c>
      <c r="B75" s="15" t="s">
        <v>2800</v>
      </c>
      <c r="C75" s="15" t="s">
        <v>2800</v>
      </c>
      <c r="D75" s="15" t="s">
        <v>2800</v>
      </c>
      <c r="E75" s="15" t="s">
        <v>2800</v>
      </c>
      <c r="F75" s="15" t="s">
        <v>2800</v>
      </c>
      <c r="G75" s="15" t="s">
        <v>380</v>
      </c>
      <c r="H75" s="15" t="s">
        <v>2800</v>
      </c>
      <c r="I75" s="15" t="s">
        <v>2800</v>
      </c>
      <c r="J75" s="15" t="s">
        <v>2800</v>
      </c>
    </row>
    <row r="76" spans="1:10" x14ac:dyDescent="0.25">
      <c r="A76" s="15" t="s">
        <v>2800</v>
      </c>
      <c r="B76" s="15" t="s">
        <v>2800</v>
      </c>
      <c r="C76" s="15" t="s">
        <v>2800</v>
      </c>
      <c r="D76" s="15" t="s">
        <v>2800</v>
      </c>
      <c r="E76" s="15" t="s">
        <v>2800</v>
      </c>
      <c r="F76" s="15" t="s">
        <v>2800</v>
      </c>
      <c r="G76" s="15" t="s">
        <v>452</v>
      </c>
      <c r="H76" s="15" t="s">
        <v>2800</v>
      </c>
      <c r="I76" s="15" t="s">
        <v>2800</v>
      </c>
      <c r="J76" s="15" t="s">
        <v>2800</v>
      </c>
    </row>
    <row r="77" spans="1:10" x14ac:dyDescent="0.25">
      <c r="A77" s="15" t="s">
        <v>2800</v>
      </c>
      <c r="B77" s="15" t="s">
        <v>2800</v>
      </c>
      <c r="C77" s="15" t="s">
        <v>2800</v>
      </c>
      <c r="D77" s="15" t="s">
        <v>2800</v>
      </c>
      <c r="E77" s="15" t="s">
        <v>2800</v>
      </c>
      <c r="F77" s="15" t="s">
        <v>2800</v>
      </c>
      <c r="G77" s="15" t="s">
        <v>394</v>
      </c>
      <c r="H77" s="15" t="s">
        <v>2800</v>
      </c>
      <c r="I77" s="15" t="s">
        <v>2800</v>
      </c>
      <c r="J77" s="15" t="s">
        <v>2800</v>
      </c>
    </row>
    <row r="78" spans="1:10" x14ac:dyDescent="0.25">
      <c r="A78" s="15" t="s">
        <v>2800</v>
      </c>
      <c r="B78" s="15" t="s">
        <v>2800</v>
      </c>
      <c r="C78" s="15" t="s">
        <v>2800</v>
      </c>
      <c r="D78" s="15" t="s">
        <v>2800</v>
      </c>
      <c r="E78" s="15" t="s">
        <v>2800</v>
      </c>
      <c r="F78" s="15" t="s">
        <v>2800</v>
      </c>
      <c r="G78" s="15" t="s">
        <v>449</v>
      </c>
      <c r="H78" s="15" t="s">
        <v>2800</v>
      </c>
      <c r="I78" s="15" t="s">
        <v>2800</v>
      </c>
      <c r="J78" s="15" t="s">
        <v>2800</v>
      </c>
    </row>
    <row r="79" spans="1:10" x14ac:dyDescent="0.25">
      <c r="A79" s="15" t="s">
        <v>2800</v>
      </c>
      <c r="B79" s="15" t="s">
        <v>2800</v>
      </c>
      <c r="C79" s="15" t="s">
        <v>2800</v>
      </c>
      <c r="D79" s="15" t="s">
        <v>2800</v>
      </c>
      <c r="E79" s="15" t="s">
        <v>2800</v>
      </c>
      <c r="F79" s="15" t="s">
        <v>2800</v>
      </c>
      <c r="G79" s="15" t="s">
        <v>453</v>
      </c>
      <c r="H79" s="15" t="s">
        <v>2800</v>
      </c>
      <c r="I79" s="15" t="s">
        <v>2800</v>
      </c>
      <c r="J79" s="15" t="s">
        <v>2800</v>
      </c>
    </row>
    <row r="80" spans="1:10" x14ac:dyDescent="0.25">
      <c r="A80" s="15" t="s">
        <v>2800</v>
      </c>
      <c r="B80" s="15" t="s">
        <v>2800</v>
      </c>
      <c r="C80" s="15" t="s">
        <v>2800</v>
      </c>
      <c r="D80" s="15" t="s">
        <v>2800</v>
      </c>
      <c r="E80" s="15" t="s">
        <v>2800</v>
      </c>
      <c r="F80" s="15" t="s">
        <v>2800</v>
      </c>
      <c r="G80" s="15" t="s">
        <v>446</v>
      </c>
      <c r="H80" s="15" t="s">
        <v>2800</v>
      </c>
      <c r="I80" s="15" t="s">
        <v>2800</v>
      </c>
      <c r="J80" s="15" t="s">
        <v>2800</v>
      </c>
    </row>
  </sheetData>
  <pageMargins left="0.7" right="0.7" top="0.75" bottom="0.75" header="0.3" footer="0.3"/>
  <pageSetup fitToHeight="999" orientation="landscape" r:id="rId1"/>
  <headerFooter>
    <oddHeader>&amp;C4K911 BLUE LABELS_A.1</oddHeader>
    <oddFooter>&amp;L&amp;D&amp;CPage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950DE4-4A0A-401F-93B6-9D606A69FA71}">
  <sheetPr>
    <pageSetUpPr fitToPage="1"/>
  </sheetPr>
  <dimension ref="A1:K14"/>
  <sheetViews>
    <sheetView showGridLines="0" workbookViewId="0"/>
  </sheetViews>
  <sheetFormatPr defaultRowHeight="15" x14ac:dyDescent="0.25"/>
  <cols>
    <col min="1" max="1" width="24.42578125" style="15" bestFit="1" customWidth="1"/>
    <col min="2" max="2" width="49.5703125" style="15" bestFit="1" customWidth="1"/>
    <col min="3" max="3" width="51" style="15" bestFit="1" customWidth="1"/>
    <col min="4" max="4" width="38.85546875" style="15" bestFit="1" customWidth="1"/>
    <col min="5" max="5" width="24.5703125" style="15" bestFit="1" customWidth="1"/>
    <col min="6" max="6" width="20.85546875" style="15" bestFit="1" customWidth="1"/>
    <col min="7" max="7" width="48.85546875" style="15" bestFit="1" customWidth="1"/>
    <col min="8" max="8" width="25.7109375" style="15" bestFit="1" customWidth="1"/>
    <col min="9" max="9" width="27.140625" style="15" bestFit="1" customWidth="1"/>
    <col min="10" max="10" width="55.140625" style="15" bestFit="1" customWidth="1"/>
    <col min="11" max="11" width="27.140625" style="15" bestFit="1" customWidth="1"/>
  </cols>
  <sheetData>
    <row r="1" spans="1:11" x14ac:dyDescent="0.25">
      <c r="A1" s="15" t="s">
        <v>2796</v>
      </c>
      <c r="B1" s="15" t="s">
        <v>2801</v>
      </c>
      <c r="C1" s="15" t="s">
        <v>2802</v>
      </c>
      <c r="D1" s="15" t="s">
        <v>2803</v>
      </c>
      <c r="E1" s="15" t="s">
        <v>2804</v>
      </c>
      <c r="F1" s="15" t="s">
        <v>2805</v>
      </c>
      <c r="G1" s="15" t="s">
        <v>2806</v>
      </c>
      <c r="H1" s="15" t="s">
        <v>2807</v>
      </c>
      <c r="I1" s="15" t="s">
        <v>2808</v>
      </c>
      <c r="J1" s="15" t="s">
        <v>2809</v>
      </c>
      <c r="K1" s="15" t="s">
        <v>2799</v>
      </c>
    </row>
    <row r="2" spans="1:11" x14ac:dyDescent="0.25">
      <c r="A2" s="15" t="s">
        <v>2538</v>
      </c>
      <c r="B2" s="15" t="s">
        <v>2073</v>
      </c>
      <c r="C2" s="15" t="s">
        <v>356</v>
      </c>
      <c r="D2" s="15" t="s">
        <v>1777</v>
      </c>
      <c r="E2" s="15" t="s">
        <v>286</v>
      </c>
      <c r="F2" s="15" t="s">
        <v>1904</v>
      </c>
      <c r="G2" s="15" t="s">
        <v>337</v>
      </c>
      <c r="H2" s="15" t="s">
        <v>1853</v>
      </c>
      <c r="I2" s="15" t="s">
        <v>640</v>
      </c>
      <c r="J2" s="15" t="s">
        <v>396</v>
      </c>
      <c r="K2" s="15" t="s">
        <v>715</v>
      </c>
    </row>
    <row r="3" spans="1:11" x14ac:dyDescent="0.25">
      <c r="A3" s="15" t="s">
        <v>2426</v>
      </c>
      <c r="B3" s="15" t="s">
        <v>2056</v>
      </c>
      <c r="C3" s="15" t="s">
        <v>1882</v>
      </c>
      <c r="D3" s="15" t="s">
        <v>2800</v>
      </c>
      <c r="E3" s="15" t="s">
        <v>2800</v>
      </c>
      <c r="F3" s="15" t="s">
        <v>2800</v>
      </c>
      <c r="G3" s="15" t="s">
        <v>1147</v>
      </c>
      <c r="H3" s="15" t="s">
        <v>2800</v>
      </c>
      <c r="I3" s="15" t="s">
        <v>1359</v>
      </c>
      <c r="J3" s="15" t="s">
        <v>1211</v>
      </c>
      <c r="K3" s="15" t="s">
        <v>727</v>
      </c>
    </row>
    <row r="4" spans="1:11" x14ac:dyDescent="0.25">
      <c r="A4" s="15" t="s">
        <v>63</v>
      </c>
      <c r="B4" s="15" t="s">
        <v>2800</v>
      </c>
      <c r="C4" s="15" t="s">
        <v>2800</v>
      </c>
      <c r="D4" s="15" t="s">
        <v>2800</v>
      </c>
      <c r="E4" s="15" t="s">
        <v>2800</v>
      </c>
      <c r="F4" s="15" t="s">
        <v>2800</v>
      </c>
      <c r="G4" s="15" t="s">
        <v>2800</v>
      </c>
      <c r="H4" s="15" t="s">
        <v>2800</v>
      </c>
      <c r="I4" s="15" t="s">
        <v>1368</v>
      </c>
      <c r="J4" s="15" t="s">
        <v>2800</v>
      </c>
      <c r="K4" s="15" t="s">
        <v>734</v>
      </c>
    </row>
    <row r="5" spans="1:11" x14ac:dyDescent="0.25">
      <c r="A5" s="15" t="s">
        <v>2535</v>
      </c>
      <c r="B5" s="15" t="s">
        <v>2800</v>
      </c>
      <c r="C5" s="15" t="s">
        <v>2800</v>
      </c>
      <c r="D5" s="15" t="s">
        <v>2800</v>
      </c>
      <c r="E5" s="15" t="s">
        <v>2800</v>
      </c>
      <c r="F5" s="15" t="s">
        <v>2800</v>
      </c>
      <c r="G5" s="15" t="s">
        <v>2800</v>
      </c>
      <c r="H5" s="15" t="s">
        <v>2800</v>
      </c>
      <c r="I5" s="15" t="s">
        <v>1377</v>
      </c>
      <c r="J5" s="15" t="s">
        <v>2800</v>
      </c>
      <c r="K5" s="15" t="s">
        <v>754</v>
      </c>
    </row>
    <row r="6" spans="1:11" x14ac:dyDescent="0.25">
      <c r="A6" s="15" t="s">
        <v>2630</v>
      </c>
      <c r="B6" s="15" t="s">
        <v>2800</v>
      </c>
      <c r="C6" s="15" t="s">
        <v>2800</v>
      </c>
      <c r="D6" s="15" t="s">
        <v>2800</v>
      </c>
      <c r="E6" s="15" t="s">
        <v>2800</v>
      </c>
      <c r="F6" s="15" t="s">
        <v>2800</v>
      </c>
      <c r="G6" s="15" t="s">
        <v>2800</v>
      </c>
      <c r="H6" s="15" t="s">
        <v>2800</v>
      </c>
      <c r="I6" s="15" t="s">
        <v>1203</v>
      </c>
      <c r="J6" s="15" t="s">
        <v>2800</v>
      </c>
      <c r="K6" s="15" t="s">
        <v>768</v>
      </c>
    </row>
    <row r="7" spans="1:11" x14ac:dyDescent="0.25">
      <c r="A7" s="15" t="s">
        <v>2624</v>
      </c>
      <c r="B7" s="15" t="s">
        <v>2800</v>
      </c>
      <c r="C7" s="15" t="s">
        <v>2800</v>
      </c>
      <c r="D7" s="15" t="s">
        <v>2800</v>
      </c>
      <c r="E7" s="15" t="s">
        <v>2800</v>
      </c>
      <c r="F7" s="15" t="s">
        <v>2800</v>
      </c>
      <c r="G7" s="15" t="s">
        <v>2800</v>
      </c>
      <c r="H7" s="15" t="s">
        <v>2800</v>
      </c>
      <c r="I7" s="15" t="s">
        <v>1207</v>
      </c>
      <c r="J7" s="15" t="s">
        <v>2800</v>
      </c>
      <c r="K7" s="15" t="s">
        <v>777</v>
      </c>
    </row>
    <row r="8" spans="1:11" x14ac:dyDescent="0.25">
      <c r="A8" s="15" t="s">
        <v>620</v>
      </c>
      <c r="B8" s="15" t="s">
        <v>2800</v>
      </c>
      <c r="C8" s="15" t="s">
        <v>2800</v>
      </c>
      <c r="D8" s="15" t="s">
        <v>2800</v>
      </c>
      <c r="E8" s="15" t="s">
        <v>2800</v>
      </c>
      <c r="F8" s="15" t="s">
        <v>2800</v>
      </c>
      <c r="G8" s="15" t="s">
        <v>2800</v>
      </c>
      <c r="H8" s="15" t="s">
        <v>2800</v>
      </c>
      <c r="I8" s="15" t="s">
        <v>2800</v>
      </c>
      <c r="J8" s="15" t="s">
        <v>2800</v>
      </c>
      <c r="K8" s="15" t="s">
        <v>794</v>
      </c>
    </row>
    <row r="9" spans="1:11" x14ac:dyDescent="0.25">
      <c r="A9" s="15" t="s">
        <v>623</v>
      </c>
      <c r="B9" s="15" t="s">
        <v>2800</v>
      </c>
      <c r="C9" s="15" t="s">
        <v>2800</v>
      </c>
      <c r="D9" s="15" t="s">
        <v>2800</v>
      </c>
      <c r="E9" s="15" t="s">
        <v>2800</v>
      </c>
      <c r="F9" s="15" t="s">
        <v>2800</v>
      </c>
      <c r="G9" s="15" t="s">
        <v>2800</v>
      </c>
      <c r="H9" s="15" t="s">
        <v>2800</v>
      </c>
      <c r="I9" s="15" t="s">
        <v>2800</v>
      </c>
      <c r="J9" s="15" t="s">
        <v>2800</v>
      </c>
      <c r="K9" s="15" t="s">
        <v>803</v>
      </c>
    </row>
    <row r="10" spans="1:11" x14ac:dyDescent="0.25">
      <c r="A10" s="15" t="s">
        <v>624</v>
      </c>
      <c r="B10" s="15" t="s">
        <v>2800</v>
      </c>
      <c r="C10" s="15" t="s">
        <v>2800</v>
      </c>
      <c r="D10" s="15" t="s">
        <v>2800</v>
      </c>
      <c r="E10" s="15" t="s">
        <v>2800</v>
      </c>
      <c r="F10" s="15" t="s">
        <v>2800</v>
      </c>
      <c r="G10" s="15" t="s">
        <v>2800</v>
      </c>
      <c r="H10" s="15" t="s">
        <v>2800</v>
      </c>
      <c r="I10" s="15" t="s">
        <v>2800</v>
      </c>
      <c r="J10" s="15" t="s">
        <v>2800</v>
      </c>
      <c r="K10" s="15" t="s">
        <v>516</v>
      </c>
    </row>
    <row r="11" spans="1:11" x14ac:dyDescent="0.25">
      <c r="A11" s="15" t="s">
        <v>625</v>
      </c>
      <c r="B11" s="15" t="s">
        <v>2800</v>
      </c>
      <c r="C11" s="15" t="s">
        <v>2800</v>
      </c>
      <c r="D11" s="15" t="s">
        <v>2800</v>
      </c>
      <c r="E11" s="15" t="s">
        <v>2800</v>
      </c>
      <c r="F11" s="15" t="s">
        <v>2800</v>
      </c>
      <c r="G11" s="15" t="s">
        <v>2800</v>
      </c>
      <c r="H11" s="15" t="s">
        <v>2800</v>
      </c>
      <c r="I11" s="15" t="s">
        <v>2800</v>
      </c>
      <c r="J11" s="15" t="s">
        <v>2800</v>
      </c>
      <c r="K11" s="15" t="s">
        <v>718</v>
      </c>
    </row>
    <row r="12" spans="1:11" x14ac:dyDescent="0.25">
      <c r="A12" s="15" t="s">
        <v>2437</v>
      </c>
      <c r="B12" s="15" t="s">
        <v>2800</v>
      </c>
      <c r="C12" s="15" t="s">
        <v>2800</v>
      </c>
      <c r="D12" s="15" t="s">
        <v>2800</v>
      </c>
      <c r="E12" s="15" t="s">
        <v>2800</v>
      </c>
      <c r="F12" s="15" t="s">
        <v>2800</v>
      </c>
      <c r="G12" s="15" t="s">
        <v>2800</v>
      </c>
      <c r="H12" s="15" t="s">
        <v>2800</v>
      </c>
      <c r="I12" s="15" t="s">
        <v>2800</v>
      </c>
      <c r="J12" s="15" t="s">
        <v>2800</v>
      </c>
      <c r="K12" s="15" t="s">
        <v>756</v>
      </c>
    </row>
    <row r="13" spans="1:11" x14ac:dyDescent="0.25">
      <c r="A13" s="15" t="s">
        <v>2461</v>
      </c>
      <c r="B13" s="15" t="s">
        <v>2800</v>
      </c>
      <c r="C13" s="15" t="s">
        <v>2800</v>
      </c>
      <c r="D13" s="15" t="s">
        <v>2800</v>
      </c>
      <c r="E13" s="15" t="s">
        <v>2800</v>
      </c>
      <c r="F13" s="15" t="s">
        <v>2800</v>
      </c>
      <c r="G13" s="15" t="s">
        <v>2800</v>
      </c>
      <c r="H13" s="15" t="s">
        <v>2800</v>
      </c>
      <c r="I13" s="15" t="s">
        <v>2800</v>
      </c>
      <c r="J13" s="15" t="s">
        <v>2800</v>
      </c>
      <c r="K13" s="15" t="s">
        <v>920</v>
      </c>
    </row>
    <row r="14" spans="1:11" x14ac:dyDescent="0.25">
      <c r="A14" s="15" t="s">
        <v>2800</v>
      </c>
      <c r="B14" s="15" t="s">
        <v>2800</v>
      </c>
      <c r="C14" s="15" t="s">
        <v>2800</v>
      </c>
      <c r="D14" s="15" t="s">
        <v>2800</v>
      </c>
      <c r="E14" s="15" t="s">
        <v>2800</v>
      </c>
      <c r="F14" s="15" t="s">
        <v>2800</v>
      </c>
      <c r="G14" s="15" t="s">
        <v>2800</v>
      </c>
      <c r="H14" s="15" t="s">
        <v>2800</v>
      </c>
      <c r="I14" s="15" t="s">
        <v>2800</v>
      </c>
      <c r="J14" s="15" t="s">
        <v>2800</v>
      </c>
      <c r="K14" s="15" t="s">
        <v>929</v>
      </c>
    </row>
  </sheetData>
  <pageMargins left="0.7" right="0.7" top="0.75" bottom="0.75" header="0.3" footer="0.3"/>
  <pageSetup fitToHeight="999" orientation="landscape" r:id="rId1"/>
  <headerFooter>
    <oddHeader>&amp;C4K911 WHITE LABELS_A.1</oddHeader>
    <oddFooter>&amp;L&amp;D&amp;CPage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07B8F8-2E48-4873-A75E-F412057EC5CE}">
  <sheetPr>
    <pageSetUpPr fitToPage="1"/>
  </sheetPr>
  <dimension ref="A1:D11"/>
  <sheetViews>
    <sheetView showGridLines="0" workbookViewId="0"/>
  </sheetViews>
  <sheetFormatPr defaultRowHeight="15" x14ac:dyDescent="0.25"/>
  <cols>
    <col min="1" max="1" width="24.42578125" style="15" bestFit="1" customWidth="1"/>
    <col min="2" max="2" width="36" style="15" bestFit="1" customWidth="1"/>
    <col min="3" max="3" width="24.28515625" style="15" bestFit="1" customWidth="1"/>
    <col min="4" max="4" width="27.140625" style="15" bestFit="1" customWidth="1"/>
  </cols>
  <sheetData>
    <row r="1" spans="1:4" x14ac:dyDescent="0.25">
      <c r="A1" s="15" t="s">
        <v>2796</v>
      </c>
      <c r="B1" s="15" t="s">
        <v>2797</v>
      </c>
      <c r="C1" s="15" t="s">
        <v>2798</v>
      </c>
      <c r="D1" s="15" t="s">
        <v>2799</v>
      </c>
    </row>
    <row r="2" spans="1:4" x14ac:dyDescent="0.25">
      <c r="A2" s="15" t="s">
        <v>593</v>
      </c>
      <c r="B2" s="15" t="s">
        <v>607</v>
      </c>
      <c r="C2" s="15" t="s">
        <v>609</v>
      </c>
      <c r="D2" s="15" t="s">
        <v>603</v>
      </c>
    </row>
    <row r="3" spans="1:4" x14ac:dyDescent="0.25">
      <c r="A3" s="15" t="s">
        <v>596</v>
      </c>
      <c r="B3" s="15" t="s">
        <v>619</v>
      </c>
      <c r="C3" s="15" t="s">
        <v>617</v>
      </c>
      <c r="D3" s="15" t="s">
        <v>2800</v>
      </c>
    </row>
    <row r="4" spans="1:4" x14ac:dyDescent="0.25">
      <c r="A4" s="15" t="s">
        <v>597</v>
      </c>
      <c r="B4" s="15" t="s">
        <v>2800</v>
      </c>
      <c r="C4" s="15" t="s">
        <v>618</v>
      </c>
      <c r="D4" s="15" t="s">
        <v>2800</v>
      </c>
    </row>
    <row r="5" spans="1:4" x14ac:dyDescent="0.25">
      <c r="A5" s="15" t="s">
        <v>598</v>
      </c>
      <c r="B5" s="15" t="s">
        <v>2800</v>
      </c>
      <c r="C5" s="15" t="s">
        <v>2800</v>
      </c>
      <c r="D5" s="15" t="s">
        <v>2800</v>
      </c>
    </row>
    <row r="6" spans="1:4" x14ac:dyDescent="0.25">
      <c r="A6" s="15" t="s">
        <v>599</v>
      </c>
      <c r="B6" s="15" t="s">
        <v>2800</v>
      </c>
      <c r="C6" s="15" t="s">
        <v>2800</v>
      </c>
      <c r="D6" s="15" t="s">
        <v>2800</v>
      </c>
    </row>
    <row r="7" spans="1:4" x14ac:dyDescent="0.25">
      <c r="A7" s="15" t="s">
        <v>600</v>
      </c>
      <c r="B7" s="15" t="s">
        <v>2800</v>
      </c>
      <c r="C7" s="15" t="s">
        <v>2800</v>
      </c>
      <c r="D7" s="15" t="s">
        <v>2800</v>
      </c>
    </row>
    <row r="8" spans="1:4" x14ac:dyDescent="0.25">
      <c r="A8" s="15" t="s">
        <v>601</v>
      </c>
      <c r="B8" s="15" t="s">
        <v>2800</v>
      </c>
      <c r="C8" s="15" t="s">
        <v>2800</v>
      </c>
      <c r="D8" s="15" t="s">
        <v>2800</v>
      </c>
    </row>
    <row r="9" spans="1:4" x14ac:dyDescent="0.25">
      <c r="A9" s="15" t="s">
        <v>602</v>
      </c>
      <c r="B9" s="15" t="s">
        <v>2800</v>
      </c>
      <c r="C9" s="15" t="s">
        <v>2800</v>
      </c>
      <c r="D9" s="15" t="s">
        <v>2800</v>
      </c>
    </row>
    <row r="10" spans="1:4" x14ac:dyDescent="0.25">
      <c r="A10" s="15" t="s">
        <v>606</v>
      </c>
      <c r="B10" s="15" t="s">
        <v>2800</v>
      </c>
      <c r="C10" s="15" t="s">
        <v>2800</v>
      </c>
      <c r="D10" s="15" t="s">
        <v>2800</v>
      </c>
    </row>
    <row r="11" spans="1:4" x14ac:dyDescent="0.25">
      <c r="A11" s="15" t="s">
        <v>610</v>
      </c>
      <c r="B11" s="15" t="s">
        <v>2800</v>
      </c>
      <c r="C11" s="15" t="s">
        <v>2800</v>
      </c>
      <c r="D11" s="15" t="s">
        <v>2800</v>
      </c>
    </row>
  </sheetData>
  <pageMargins left="0.7" right="0.7" top="0.75" bottom="0.75" header="0.3" footer="0.3"/>
  <pageSetup fitToHeight="999" orientation="landscape" r:id="rId1"/>
  <headerFooter>
    <oddHeader>&amp;C4K911 HEAT SHRINK LABELS_A.1</oddHeader>
    <oddFooter>&amp;L&amp;D&amp;CPage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8B2DC3-C986-4FA3-899D-F2B84303B6A2}">
  <sheetPr>
    <pageSetUpPr fitToPage="1"/>
  </sheetPr>
  <dimension ref="A1:M240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13" ht="18" customHeight="1" x14ac:dyDescent="0.25">
      <c r="A1" s="37" t="s">
        <v>34</v>
      </c>
      <c r="B1" s="37"/>
      <c r="C1" s="37"/>
      <c r="D1" s="37"/>
    </row>
    <row r="2" spans="1:13" ht="12.75" customHeight="1" x14ac:dyDescent="0.25">
      <c r="A2" s="38" t="s">
        <v>2384</v>
      </c>
      <c r="B2" s="38"/>
      <c r="C2" s="38"/>
      <c r="D2" s="38"/>
    </row>
    <row r="3" spans="1:13" ht="12" customHeight="1" x14ac:dyDescent="0.25">
      <c r="A3" s="2" t="s">
        <v>2</v>
      </c>
      <c r="B3" s="39" t="s">
        <v>3</v>
      </c>
      <c r="C3" s="39"/>
      <c r="D3" s="39"/>
    </row>
    <row r="4" spans="1:13" ht="12.75" customHeight="1" x14ac:dyDescent="0.25">
      <c r="A4" s="2" t="s">
        <v>5</v>
      </c>
      <c r="B4" s="39" t="s">
        <v>6</v>
      </c>
      <c r="C4" s="39"/>
      <c r="D4" s="39"/>
    </row>
    <row r="5" spans="1:13" ht="12" customHeight="1" x14ac:dyDescent="0.25">
      <c r="A5" s="2" t="s">
        <v>7</v>
      </c>
      <c r="B5" s="39" t="s">
        <v>8</v>
      </c>
      <c r="C5" s="39"/>
      <c r="D5" s="39"/>
    </row>
    <row r="6" spans="1:13" ht="5.25" customHeight="1" x14ac:dyDescent="0.25"/>
    <row r="7" spans="1:13" ht="12" customHeight="1" x14ac:dyDescent="0.25">
      <c r="A7" s="2" t="s">
        <v>9</v>
      </c>
      <c r="B7" s="39" t="s">
        <v>10</v>
      </c>
      <c r="C7" s="39"/>
      <c r="D7" s="39"/>
    </row>
    <row r="8" spans="1:13" ht="12.75" customHeight="1" x14ac:dyDescent="0.25">
      <c r="A8" s="2" t="s">
        <v>11</v>
      </c>
      <c r="B8" s="39" t="s">
        <v>12</v>
      </c>
      <c r="C8" s="39"/>
      <c r="D8" s="39"/>
    </row>
    <row r="9" spans="1:13" ht="12" customHeight="1" x14ac:dyDescent="0.25">
      <c r="A9" s="2" t="s">
        <v>13</v>
      </c>
      <c r="B9" s="39"/>
      <c r="C9" s="39"/>
      <c r="D9" s="39"/>
    </row>
    <row r="10" spans="1:13" ht="12.75" customHeight="1" x14ac:dyDescent="0.25">
      <c r="A10" s="2" t="s">
        <v>11</v>
      </c>
      <c r="B10" s="39"/>
      <c r="C10" s="39"/>
      <c r="D10" s="39"/>
    </row>
    <row r="11" spans="1:13" ht="10.5" customHeight="1" x14ac:dyDescent="0.25"/>
    <row r="12" spans="1:13" ht="16.5" customHeight="1" x14ac:dyDescent="0.25">
      <c r="A12" s="40" t="s">
        <v>630</v>
      </c>
      <c r="B12" s="40"/>
      <c r="C12" s="40"/>
      <c r="D12" s="40"/>
      <c r="E12" s="40"/>
      <c r="F12" s="40"/>
      <c r="G12" s="41" t="s">
        <v>631</v>
      </c>
      <c r="H12" s="41"/>
      <c r="I12" s="41"/>
    </row>
    <row r="13" spans="1:13" ht="43.5" customHeight="1" x14ac:dyDescent="0.25">
      <c r="A13" s="10" t="s">
        <v>14</v>
      </c>
      <c r="B13" s="11" t="s">
        <v>632</v>
      </c>
      <c r="C13" s="11" t="s">
        <v>634</v>
      </c>
      <c r="D13" s="11" t="s">
        <v>633</v>
      </c>
      <c r="E13" s="11" t="s">
        <v>635</v>
      </c>
      <c r="F13" s="11" t="s">
        <v>636</v>
      </c>
      <c r="G13" s="11" t="s">
        <v>14</v>
      </c>
      <c r="H13" s="11" t="s">
        <v>17</v>
      </c>
      <c r="I13" s="11" t="s">
        <v>636</v>
      </c>
    </row>
    <row r="14" spans="1:13" ht="16.5" customHeight="1" x14ac:dyDescent="0.25">
      <c r="A14" s="6" t="s">
        <v>2385</v>
      </c>
      <c r="B14" s="7" t="s">
        <v>639</v>
      </c>
      <c r="C14" s="7" t="s">
        <v>640</v>
      </c>
      <c r="D14" s="7" t="s">
        <v>641</v>
      </c>
      <c r="E14" s="7" t="s">
        <v>642</v>
      </c>
      <c r="F14" s="7" t="s">
        <v>2060</v>
      </c>
      <c r="G14" s="7" t="s">
        <v>2075</v>
      </c>
      <c r="H14" s="7" t="s">
        <v>34</v>
      </c>
      <c r="I14" s="7" t="s">
        <v>2060</v>
      </c>
      <c r="M14" t="s">
        <v>2827</v>
      </c>
    </row>
    <row r="15" spans="1:13" ht="16.5" customHeight="1" x14ac:dyDescent="0.25">
      <c r="A15" s="12" t="s">
        <v>1886</v>
      </c>
      <c r="B15" s="13" t="s">
        <v>639</v>
      </c>
      <c r="C15" s="13" t="s">
        <v>640</v>
      </c>
      <c r="D15" s="13" t="s">
        <v>641</v>
      </c>
      <c r="E15" s="13" t="s">
        <v>642</v>
      </c>
      <c r="F15" s="13" t="s">
        <v>1878</v>
      </c>
      <c r="G15" s="13" t="s">
        <v>1877</v>
      </c>
      <c r="H15" s="13" t="s">
        <v>34</v>
      </c>
      <c r="I15" s="13" t="s">
        <v>1878</v>
      </c>
      <c r="M15" t="s">
        <v>2827</v>
      </c>
    </row>
    <row r="16" spans="1:13" ht="16.5" customHeight="1" x14ac:dyDescent="0.25">
      <c r="A16" s="6" t="s">
        <v>2386</v>
      </c>
      <c r="B16" s="7" t="s">
        <v>639</v>
      </c>
      <c r="C16" s="7" t="s">
        <v>640</v>
      </c>
      <c r="D16" s="7" t="s">
        <v>641</v>
      </c>
      <c r="E16" s="7" t="s">
        <v>642</v>
      </c>
      <c r="F16" s="7" t="s">
        <v>1113</v>
      </c>
      <c r="G16" s="7" t="s">
        <v>2387</v>
      </c>
      <c r="H16" s="7" t="s">
        <v>34</v>
      </c>
      <c r="I16" s="7" t="s">
        <v>1113</v>
      </c>
      <c r="M16" t="s">
        <v>2827</v>
      </c>
    </row>
    <row r="17" spans="1:13" ht="16.5" customHeight="1" x14ac:dyDescent="0.25">
      <c r="A17" s="12" t="s">
        <v>2387</v>
      </c>
      <c r="B17" s="13" t="s">
        <v>639</v>
      </c>
      <c r="C17" s="13" t="s">
        <v>640</v>
      </c>
      <c r="D17" s="13" t="s">
        <v>641</v>
      </c>
      <c r="E17" s="13" t="s">
        <v>642</v>
      </c>
      <c r="F17" s="13" t="s">
        <v>1113</v>
      </c>
      <c r="G17" s="13" t="s">
        <v>2388</v>
      </c>
      <c r="H17" s="13" t="s">
        <v>34</v>
      </c>
      <c r="I17" s="13" t="s">
        <v>2389</v>
      </c>
      <c r="M17" t="s">
        <v>2827</v>
      </c>
    </row>
    <row r="18" spans="1:13" ht="16.5" customHeight="1" x14ac:dyDescent="0.25">
      <c r="A18" s="6" t="s">
        <v>2390</v>
      </c>
      <c r="B18" s="7" t="s">
        <v>639</v>
      </c>
      <c r="C18" s="7" t="s">
        <v>2391</v>
      </c>
      <c r="D18" s="7" t="s">
        <v>641</v>
      </c>
      <c r="E18" s="7" t="s">
        <v>642</v>
      </c>
      <c r="F18" s="7" t="s">
        <v>2392</v>
      </c>
      <c r="G18" s="7" t="s">
        <v>2393</v>
      </c>
      <c r="H18" s="7" t="s">
        <v>34</v>
      </c>
      <c r="I18" s="7" t="s">
        <v>2392</v>
      </c>
      <c r="M18" t="s">
        <v>2827</v>
      </c>
    </row>
    <row r="19" spans="1:13" ht="16.5" customHeight="1" x14ac:dyDescent="0.25">
      <c r="A19" s="12" t="s">
        <v>2394</v>
      </c>
      <c r="B19" s="13" t="s">
        <v>639</v>
      </c>
      <c r="C19" s="13" t="s">
        <v>2395</v>
      </c>
      <c r="D19" s="13" t="s">
        <v>641</v>
      </c>
      <c r="E19" s="13" t="s">
        <v>642</v>
      </c>
      <c r="F19" s="13" t="s">
        <v>2392</v>
      </c>
      <c r="G19" s="13" t="s">
        <v>2396</v>
      </c>
      <c r="H19" s="13" t="s">
        <v>34</v>
      </c>
      <c r="I19" s="13" t="s">
        <v>2392</v>
      </c>
      <c r="M19" t="s">
        <v>2827</v>
      </c>
    </row>
    <row r="20" spans="1:13" ht="17.25" customHeight="1" x14ac:dyDescent="0.25">
      <c r="A20" s="6" t="s">
        <v>2397</v>
      </c>
      <c r="B20" s="7" t="s">
        <v>639</v>
      </c>
      <c r="C20" s="7" t="s">
        <v>2398</v>
      </c>
      <c r="D20" s="7" t="s">
        <v>641</v>
      </c>
      <c r="E20" s="7" t="s">
        <v>642</v>
      </c>
      <c r="F20" s="7" t="s">
        <v>2399</v>
      </c>
      <c r="G20" s="7" t="s">
        <v>2400</v>
      </c>
      <c r="H20" s="7" t="s">
        <v>34</v>
      </c>
      <c r="I20" s="7" t="s">
        <v>2399</v>
      </c>
      <c r="M20" t="s">
        <v>2827</v>
      </c>
    </row>
    <row r="21" spans="1:13" ht="16.5" customHeight="1" x14ac:dyDescent="0.25">
      <c r="A21" s="12" t="s">
        <v>2401</v>
      </c>
      <c r="B21" s="13" t="s">
        <v>639</v>
      </c>
      <c r="C21" s="13" t="s">
        <v>2402</v>
      </c>
      <c r="D21" s="13" t="s">
        <v>641</v>
      </c>
      <c r="E21" s="13" t="s">
        <v>642</v>
      </c>
      <c r="F21" s="13" t="s">
        <v>2403</v>
      </c>
      <c r="G21" s="13" t="s">
        <v>2404</v>
      </c>
      <c r="H21" s="13" t="s">
        <v>34</v>
      </c>
      <c r="I21" s="13" t="s">
        <v>2403</v>
      </c>
      <c r="M21" t="s">
        <v>2827</v>
      </c>
    </row>
    <row r="22" spans="1:13" ht="16.5" customHeight="1" x14ac:dyDescent="0.25">
      <c r="A22" s="6" t="s">
        <v>2405</v>
      </c>
      <c r="B22" s="7" t="s">
        <v>639</v>
      </c>
      <c r="C22" s="7" t="s">
        <v>2406</v>
      </c>
      <c r="D22" s="7" t="s">
        <v>641</v>
      </c>
      <c r="E22" s="7" t="s">
        <v>642</v>
      </c>
      <c r="F22" s="7" t="s">
        <v>2399</v>
      </c>
      <c r="G22" s="7" t="s">
        <v>2407</v>
      </c>
      <c r="H22" s="7" t="s">
        <v>34</v>
      </c>
      <c r="I22" s="7" t="s">
        <v>2399</v>
      </c>
      <c r="M22" t="s">
        <v>2827</v>
      </c>
    </row>
    <row r="23" spans="1:13" ht="16.5" customHeight="1" x14ac:dyDescent="0.25">
      <c r="A23" s="12" t="s">
        <v>2408</v>
      </c>
      <c r="B23" s="13" t="s">
        <v>639</v>
      </c>
      <c r="C23" s="13" t="s">
        <v>2409</v>
      </c>
      <c r="D23" s="13" t="s">
        <v>641</v>
      </c>
      <c r="E23" s="13" t="s">
        <v>642</v>
      </c>
      <c r="F23" s="13" t="s">
        <v>2399</v>
      </c>
      <c r="G23" s="13" t="s">
        <v>2410</v>
      </c>
      <c r="H23" s="13" t="s">
        <v>34</v>
      </c>
      <c r="I23" s="13" t="s">
        <v>2399</v>
      </c>
      <c r="M23" t="s">
        <v>2827</v>
      </c>
    </row>
    <row r="24" spans="1:13" ht="16.5" customHeight="1" x14ac:dyDescent="0.25">
      <c r="A24" s="6" t="s">
        <v>2411</v>
      </c>
      <c r="B24" s="7" t="s">
        <v>639</v>
      </c>
      <c r="C24" s="7" t="s">
        <v>2412</v>
      </c>
      <c r="D24" s="7" t="s">
        <v>641</v>
      </c>
      <c r="E24" s="7" t="s">
        <v>642</v>
      </c>
      <c r="F24" s="7" t="s">
        <v>2403</v>
      </c>
      <c r="G24" s="7" t="s">
        <v>2413</v>
      </c>
      <c r="H24" s="7" t="s">
        <v>34</v>
      </c>
      <c r="I24" s="7" t="s">
        <v>2403</v>
      </c>
      <c r="M24" t="s">
        <v>2827</v>
      </c>
    </row>
    <row r="25" spans="1:13" ht="16.5" customHeight="1" x14ac:dyDescent="0.25">
      <c r="A25" s="12" t="s">
        <v>2414</v>
      </c>
      <c r="B25" s="13" t="s">
        <v>639</v>
      </c>
      <c r="C25" s="13" t="s">
        <v>2415</v>
      </c>
      <c r="D25" s="13" t="s">
        <v>641</v>
      </c>
      <c r="E25" s="13" t="s">
        <v>642</v>
      </c>
      <c r="F25" s="13" t="s">
        <v>2403</v>
      </c>
      <c r="G25" s="13" t="s">
        <v>2416</v>
      </c>
      <c r="H25" s="13" t="s">
        <v>34</v>
      </c>
      <c r="I25" s="13" t="s">
        <v>2403</v>
      </c>
      <c r="M25" t="s">
        <v>2827</v>
      </c>
    </row>
    <row r="26" spans="1:13" ht="16.5" customHeight="1" x14ac:dyDescent="0.25">
      <c r="A26" s="6" t="s">
        <v>2417</v>
      </c>
      <c r="B26" s="7" t="s">
        <v>639</v>
      </c>
      <c r="C26" s="7" t="s">
        <v>2418</v>
      </c>
      <c r="D26" s="7" t="s">
        <v>641</v>
      </c>
      <c r="E26" s="7" t="s">
        <v>642</v>
      </c>
      <c r="F26" s="7" t="s">
        <v>2419</v>
      </c>
      <c r="G26" s="7" t="s">
        <v>2420</v>
      </c>
      <c r="H26" s="7" t="s">
        <v>34</v>
      </c>
      <c r="I26" s="7" t="s">
        <v>2421</v>
      </c>
      <c r="M26" t="s">
        <v>2827</v>
      </c>
    </row>
    <row r="27" spans="1:13" ht="16.5" customHeight="1" x14ac:dyDescent="0.25">
      <c r="A27" s="12" t="s">
        <v>2422</v>
      </c>
      <c r="B27" s="13" t="s">
        <v>639</v>
      </c>
      <c r="C27" s="13" t="s">
        <v>2423</v>
      </c>
      <c r="D27" s="13" t="s">
        <v>641</v>
      </c>
      <c r="E27" s="13" t="s">
        <v>642</v>
      </c>
      <c r="F27" s="13" t="s">
        <v>2419</v>
      </c>
      <c r="G27" s="13" t="s">
        <v>2424</v>
      </c>
      <c r="H27" s="13" t="s">
        <v>34</v>
      </c>
      <c r="I27" s="13" t="s">
        <v>2421</v>
      </c>
      <c r="M27" t="s">
        <v>2827</v>
      </c>
    </row>
    <row r="28" spans="1:13" ht="16.5" customHeight="1" x14ac:dyDescent="0.25">
      <c r="A28" s="6" t="s">
        <v>2425</v>
      </c>
      <c r="B28" s="7" t="s">
        <v>639</v>
      </c>
      <c r="C28" s="7" t="s">
        <v>2426</v>
      </c>
      <c r="D28" s="7" t="s">
        <v>641</v>
      </c>
      <c r="E28" s="7" t="s">
        <v>642</v>
      </c>
      <c r="F28" s="7" t="s">
        <v>2419</v>
      </c>
      <c r="G28" s="7" t="s">
        <v>2427</v>
      </c>
      <c r="H28" s="7" t="s">
        <v>34</v>
      </c>
      <c r="I28" s="7" t="s">
        <v>2421</v>
      </c>
      <c r="M28" t="s">
        <v>2827</v>
      </c>
    </row>
    <row r="29" spans="1:13" ht="16.5" customHeight="1" x14ac:dyDescent="0.25">
      <c r="A29" s="12" t="s">
        <v>2428</v>
      </c>
      <c r="B29" s="13" t="s">
        <v>660</v>
      </c>
      <c r="C29" s="13" t="s">
        <v>2429</v>
      </c>
      <c r="D29" s="13" t="s">
        <v>641</v>
      </c>
      <c r="E29" s="13" t="s">
        <v>861</v>
      </c>
      <c r="F29" s="13" t="s">
        <v>2430</v>
      </c>
      <c r="G29" s="13" t="s">
        <v>2431</v>
      </c>
      <c r="H29" s="13" t="s">
        <v>34</v>
      </c>
      <c r="I29" s="13" t="s">
        <v>2430</v>
      </c>
      <c r="M29" t="s">
        <v>2827</v>
      </c>
    </row>
    <row r="30" spans="1:13" ht="16.5" customHeight="1" x14ac:dyDescent="0.25">
      <c r="A30" s="6" t="s">
        <v>2431</v>
      </c>
      <c r="B30" s="7" t="s">
        <v>660</v>
      </c>
      <c r="C30" s="7" t="s">
        <v>2432</v>
      </c>
      <c r="D30" s="7" t="s">
        <v>641</v>
      </c>
      <c r="E30" s="7" t="s">
        <v>861</v>
      </c>
      <c r="F30" s="7" t="s">
        <v>2430</v>
      </c>
      <c r="G30" s="7" t="s">
        <v>2433</v>
      </c>
      <c r="H30" s="7" t="s">
        <v>34</v>
      </c>
      <c r="I30" s="7" t="s">
        <v>2430</v>
      </c>
      <c r="M30" t="s">
        <v>2827</v>
      </c>
    </row>
    <row r="31" spans="1:13" ht="16.5" customHeight="1" x14ac:dyDescent="0.25">
      <c r="A31" s="12" t="s">
        <v>2433</v>
      </c>
      <c r="B31" s="13" t="s">
        <v>660</v>
      </c>
      <c r="C31" s="13" t="s">
        <v>2434</v>
      </c>
      <c r="D31" s="13" t="s">
        <v>641</v>
      </c>
      <c r="E31" s="13" t="s">
        <v>861</v>
      </c>
      <c r="F31" s="13" t="s">
        <v>2430</v>
      </c>
      <c r="G31" s="13" t="s">
        <v>2435</v>
      </c>
      <c r="H31" s="13" t="s">
        <v>34</v>
      </c>
      <c r="I31" s="13" t="s">
        <v>2430</v>
      </c>
      <c r="M31" t="s">
        <v>2827</v>
      </c>
    </row>
    <row r="32" spans="1:13" ht="17.25" customHeight="1" x14ac:dyDescent="0.25">
      <c r="A32" s="6" t="s">
        <v>2436</v>
      </c>
      <c r="B32" s="7" t="s">
        <v>660</v>
      </c>
      <c r="C32" s="7" t="s">
        <v>2437</v>
      </c>
      <c r="D32" s="7" t="s">
        <v>716</v>
      </c>
      <c r="E32" s="7" t="s">
        <v>697</v>
      </c>
      <c r="F32" s="7" t="s">
        <v>2438</v>
      </c>
      <c r="G32" s="7" t="s">
        <v>2439</v>
      </c>
      <c r="H32" s="7" t="s">
        <v>34</v>
      </c>
      <c r="I32" s="7" t="s">
        <v>2440</v>
      </c>
      <c r="M32" t="s">
        <v>2827</v>
      </c>
    </row>
    <row r="33" spans="1:13" ht="16.5" customHeight="1" x14ac:dyDescent="0.25">
      <c r="A33" s="12" t="s">
        <v>2441</v>
      </c>
      <c r="B33" s="13" t="s">
        <v>660</v>
      </c>
      <c r="C33" s="13" t="s">
        <v>2437</v>
      </c>
      <c r="D33" s="13" t="s">
        <v>716</v>
      </c>
      <c r="E33" s="13" t="s">
        <v>697</v>
      </c>
      <c r="F33" s="13" t="s">
        <v>1109</v>
      </c>
      <c r="G33" s="13" t="s">
        <v>2439</v>
      </c>
      <c r="H33" s="13" t="s">
        <v>34</v>
      </c>
      <c r="I33" s="13" t="s">
        <v>2440</v>
      </c>
      <c r="M33" t="s">
        <v>2827</v>
      </c>
    </row>
    <row r="34" spans="1:13" ht="16.5" customHeight="1" x14ac:dyDescent="0.25">
      <c r="A34" s="6" t="s">
        <v>2442</v>
      </c>
      <c r="B34" s="7" t="s">
        <v>660</v>
      </c>
      <c r="C34" s="7" t="s">
        <v>640</v>
      </c>
      <c r="D34" s="7" t="s">
        <v>662</v>
      </c>
      <c r="E34" s="7" t="s">
        <v>697</v>
      </c>
      <c r="F34" s="7" t="s">
        <v>1109</v>
      </c>
      <c r="G34" s="7" t="s">
        <v>2443</v>
      </c>
      <c r="H34" s="7" t="s">
        <v>34</v>
      </c>
      <c r="I34" s="7" t="s">
        <v>2071</v>
      </c>
      <c r="M34" t="s">
        <v>2827</v>
      </c>
    </row>
    <row r="35" spans="1:13" ht="16.5" customHeight="1" x14ac:dyDescent="0.25">
      <c r="A35" s="12" t="s">
        <v>2444</v>
      </c>
      <c r="B35" s="13" t="s">
        <v>660</v>
      </c>
      <c r="C35" s="13" t="s">
        <v>2445</v>
      </c>
      <c r="D35" s="13" t="s">
        <v>662</v>
      </c>
      <c r="E35" s="13" t="s">
        <v>697</v>
      </c>
      <c r="F35" s="13" t="s">
        <v>1109</v>
      </c>
      <c r="G35" s="13" t="s">
        <v>2446</v>
      </c>
      <c r="H35" s="13" t="s">
        <v>34</v>
      </c>
      <c r="I35" s="13" t="s">
        <v>1109</v>
      </c>
      <c r="M35" t="s">
        <v>2827</v>
      </c>
    </row>
    <row r="36" spans="1:13" ht="16.5" customHeight="1" x14ac:dyDescent="0.25">
      <c r="A36" s="6" t="s">
        <v>2447</v>
      </c>
      <c r="B36" s="7" t="s">
        <v>660</v>
      </c>
      <c r="C36" s="7" t="s">
        <v>44</v>
      </c>
      <c r="D36" s="7" t="s">
        <v>662</v>
      </c>
      <c r="E36" s="7" t="s">
        <v>697</v>
      </c>
      <c r="F36" s="7" t="s">
        <v>1109</v>
      </c>
      <c r="G36" s="7" t="s">
        <v>2448</v>
      </c>
      <c r="H36" s="7" t="s">
        <v>34</v>
      </c>
      <c r="I36" s="7" t="s">
        <v>2071</v>
      </c>
      <c r="M36" t="s">
        <v>2827</v>
      </c>
    </row>
    <row r="37" spans="1:13" ht="16.5" customHeight="1" x14ac:dyDescent="0.25">
      <c r="A37" s="12" t="s">
        <v>2449</v>
      </c>
      <c r="B37" s="13" t="s">
        <v>660</v>
      </c>
      <c r="C37" s="13" t="s">
        <v>2450</v>
      </c>
      <c r="D37" s="13" t="s">
        <v>662</v>
      </c>
      <c r="E37" s="13" t="s">
        <v>697</v>
      </c>
      <c r="F37" s="13" t="s">
        <v>1109</v>
      </c>
      <c r="G37" s="13" t="s">
        <v>2451</v>
      </c>
      <c r="H37" s="13" t="s">
        <v>34</v>
      </c>
      <c r="I37" s="13" t="s">
        <v>1109</v>
      </c>
      <c r="M37" t="s">
        <v>2827</v>
      </c>
    </row>
    <row r="38" spans="1:13" ht="16.5" customHeight="1" x14ac:dyDescent="0.25">
      <c r="A38" s="6" t="s">
        <v>2452</v>
      </c>
      <c r="B38" s="7" t="s">
        <v>660</v>
      </c>
      <c r="C38" s="7" t="s">
        <v>2437</v>
      </c>
      <c r="D38" s="7" t="s">
        <v>716</v>
      </c>
      <c r="E38" s="7" t="s">
        <v>697</v>
      </c>
      <c r="F38" s="7" t="s">
        <v>1109</v>
      </c>
      <c r="G38" s="7" t="s">
        <v>2439</v>
      </c>
      <c r="H38" s="7" t="s">
        <v>34</v>
      </c>
      <c r="I38" s="7" t="s">
        <v>2440</v>
      </c>
      <c r="M38" t="s">
        <v>2827</v>
      </c>
    </row>
    <row r="39" spans="1:13" ht="16.5" customHeight="1" x14ac:dyDescent="0.25">
      <c r="A39" s="12" t="s">
        <v>2453</v>
      </c>
      <c r="B39" s="13" t="s">
        <v>660</v>
      </c>
      <c r="C39" s="13" t="s">
        <v>2454</v>
      </c>
      <c r="D39" s="13" t="s">
        <v>662</v>
      </c>
      <c r="E39" s="13" t="s">
        <v>697</v>
      </c>
      <c r="F39" s="13" t="s">
        <v>1109</v>
      </c>
      <c r="G39" s="13" t="s">
        <v>2455</v>
      </c>
      <c r="H39" s="13" t="s">
        <v>34</v>
      </c>
      <c r="I39" s="13" t="s">
        <v>2456</v>
      </c>
      <c r="M39" t="s">
        <v>2827</v>
      </c>
    </row>
    <row r="40" spans="1:13" ht="16.5" customHeight="1" x14ac:dyDescent="0.25">
      <c r="A40" s="6" t="s">
        <v>2457</v>
      </c>
      <c r="B40" s="7" t="s">
        <v>660</v>
      </c>
      <c r="C40" s="7" t="s">
        <v>2458</v>
      </c>
      <c r="D40" s="7" t="s">
        <v>662</v>
      </c>
      <c r="E40" s="7" t="s">
        <v>697</v>
      </c>
      <c r="F40" s="7" t="s">
        <v>1109</v>
      </c>
      <c r="G40" s="7" t="s">
        <v>2459</v>
      </c>
      <c r="H40" s="7" t="s">
        <v>34</v>
      </c>
      <c r="I40" s="7" t="s">
        <v>2456</v>
      </c>
      <c r="M40" t="s">
        <v>2827</v>
      </c>
    </row>
    <row r="41" spans="1:13" ht="16.5" customHeight="1" x14ac:dyDescent="0.25">
      <c r="A41" s="12" t="s">
        <v>2460</v>
      </c>
      <c r="B41" s="13" t="s">
        <v>660</v>
      </c>
      <c r="C41" s="13" t="s">
        <v>2461</v>
      </c>
      <c r="D41" s="13" t="s">
        <v>716</v>
      </c>
      <c r="E41" s="13" t="s">
        <v>697</v>
      </c>
      <c r="F41" s="13" t="s">
        <v>2456</v>
      </c>
      <c r="G41" s="13" t="s">
        <v>2462</v>
      </c>
      <c r="H41" s="13" t="s">
        <v>34</v>
      </c>
      <c r="I41" s="13" t="s">
        <v>2463</v>
      </c>
      <c r="M41" t="s">
        <v>2827</v>
      </c>
    </row>
    <row r="42" spans="1:13" ht="16.5" customHeight="1" x14ac:dyDescent="0.25">
      <c r="A42" s="6" t="s">
        <v>2464</v>
      </c>
      <c r="B42" s="7" t="s">
        <v>660</v>
      </c>
      <c r="C42" s="7" t="s">
        <v>2465</v>
      </c>
      <c r="D42" s="7" t="s">
        <v>662</v>
      </c>
      <c r="E42" s="7" t="s">
        <v>697</v>
      </c>
      <c r="F42" s="7" t="s">
        <v>2456</v>
      </c>
      <c r="G42" s="7" t="s">
        <v>2466</v>
      </c>
      <c r="H42" s="7" t="s">
        <v>34</v>
      </c>
      <c r="I42" s="7" t="s">
        <v>2082</v>
      </c>
      <c r="M42" t="s">
        <v>2827</v>
      </c>
    </row>
    <row r="43" spans="1:13" ht="16.5" customHeight="1" x14ac:dyDescent="0.25">
      <c r="A43" s="12" t="s">
        <v>2467</v>
      </c>
      <c r="B43" s="13" t="s">
        <v>660</v>
      </c>
      <c r="C43" s="13" t="s">
        <v>2468</v>
      </c>
      <c r="D43" s="13" t="s">
        <v>662</v>
      </c>
      <c r="E43" s="13" t="s">
        <v>697</v>
      </c>
      <c r="F43" s="13" t="s">
        <v>2456</v>
      </c>
      <c r="G43" s="13" t="s">
        <v>2469</v>
      </c>
      <c r="H43" s="13" t="s">
        <v>34</v>
      </c>
      <c r="I43" s="13" t="s">
        <v>2082</v>
      </c>
      <c r="M43" t="s">
        <v>2827</v>
      </c>
    </row>
    <row r="44" spans="1:13" ht="16.5" customHeight="1" x14ac:dyDescent="0.25">
      <c r="A44" s="6" t="s">
        <v>2470</v>
      </c>
      <c r="B44" s="7" t="s">
        <v>660</v>
      </c>
      <c r="C44" s="7" t="s">
        <v>2471</v>
      </c>
      <c r="D44" s="7" t="s">
        <v>662</v>
      </c>
      <c r="E44" s="7" t="s">
        <v>663</v>
      </c>
      <c r="F44" s="7" t="s">
        <v>2472</v>
      </c>
      <c r="G44" s="7" t="s">
        <v>2473</v>
      </c>
      <c r="H44" s="7" t="s">
        <v>34</v>
      </c>
      <c r="I44" s="7" t="s">
        <v>2472</v>
      </c>
      <c r="M44" t="s">
        <v>2827</v>
      </c>
    </row>
    <row r="45" spans="1:13" ht="17.25" customHeight="1" x14ac:dyDescent="0.25">
      <c r="A45" s="12" t="s">
        <v>2474</v>
      </c>
      <c r="B45" s="13" t="s">
        <v>660</v>
      </c>
      <c r="C45" s="13" t="s">
        <v>2461</v>
      </c>
      <c r="D45" s="13" t="s">
        <v>716</v>
      </c>
      <c r="E45" s="13" t="s">
        <v>697</v>
      </c>
      <c r="F45" s="13" t="s">
        <v>2082</v>
      </c>
      <c r="G45" s="13" t="s">
        <v>2462</v>
      </c>
      <c r="H45" s="13" t="s">
        <v>34</v>
      </c>
      <c r="I45" s="13" t="s">
        <v>2463</v>
      </c>
      <c r="M45" t="s">
        <v>2827</v>
      </c>
    </row>
    <row r="46" spans="1:13" ht="16.5" customHeight="1" x14ac:dyDescent="0.25">
      <c r="A46" s="6" t="s">
        <v>2475</v>
      </c>
      <c r="B46" s="7" t="s">
        <v>660</v>
      </c>
      <c r="C46" s="7" t="s">
        <v>2412</v>
      </c>
      <c r="D46" s="7" t="s">
        <v>2476</v>
      </c>
      <c r="E46" s="7" t="s">
        <v>697</v>
      </c>
      <c r="F46" s="7" t="s">
        <v>2477</v>
      </c>
      <c r="G46" s="7" t="s">
        <v>2411</v>
      </c>
      <c r="H46" s="7" t="s">
        <v>34</v>
      </c>
      <c r="I46" s="7" t="s">
        <v>2403</v>
      </c>
      <c r="M46" t="s">
        <v>2827</v>
      </c>
    </row>
    <row r="47" spans="1:13" ht="16.5" customHeight="1" x14ac:dyDescent="0.25">
      <c r="A47" s="12" t="s">
        <v>2478</v>
      </c>
      <c r="B47" s="13" t="s">
        <v>660</v>
      </c>
      <c r="C47" s="13" t="s">
        <v>2415</v>
      </c>
      <c r="D47" s="13" t="s">
        <v>2476</v>
      </c>
      <c r="E47" s="13" t="s">
        <v>697</v>
      </c>
      <c r="F47" s="13" t="s">
        <v>2477</v>
      </c>
      <c r="G47" s="13" t="s">
        <v>2414</v>
      </c>
      <c r="H47" s="13" t="s">
        <v>34</v>
      </c>
      <c r="I47" s="13" t="s">
        <v>2403</v>
      </c>
      <c r="M47" t="s">
        <v>2827</v>
      </c>
    </row>
    <row r="48" spans="1:13" ht="16.5" customHeight="1" x14ac:dyDescent="0.25">
      <c r="A48" s="6" t="s">
        <v>2479</v>
      </c>
      <c r="B48" s="7" t="s">
        <v>660</v>
      </c>
      <c r="C48" s="7" t="s">
        <v>2402</v>
      </c>
      <c r="D48" s="7" t="s">
        <v>2476</v>
      </c>
      <c r="E48" s="7" t="s">
        <v>697</v>
      </c>
      <c r="F48" s="7" t="s">
        <v>2477</v>
      </c>
      <c r="G48" s="7" t="s">
        <v>2401</v>
      </c>
      <c r="H48" s="7" t="s">
        <v>34</v>
      </c>
      <c r="I48" s="7" t="s">
        <v>2403</v>
      </c>
      <c r="M48" t="s">
        <v>2827</v>
      </c>
    </row>
    <row r="49" spans="1:13" ht="16.5" customHeight="1" x14ac:dyDescent="0.25">
      <c r="A49" s="12" t="s">
        <v>2480</v>
      </c>
      <c r="B49" s="13" t="s">
        <v>660</v>
      </c>
      <c r="C49" s="13" t="s">
        <v>2398</v>
      </c>
      <c r="D49" s="13" t="s">
        <v>2476</v>
      </c>
      <c r="E49" s="13" t="s">
        <v>697</v>
      </c>
      <c r="F49" s="13" t="s">
        <v>2481</v>
      </c>
      <c r="G49" s="13" t="s">
        <v>2400</v>
      </c>
      <c r="H49" s="13" t="s">
        <v>34</v>
      </c>
      <c r="I49" s="13" t="s">
        <v>2399</v>
      </c>
      <c r="M49" t="s">
        <v>2827</v>
      </c>
    </row>
    <row r="50" spans="1:13" ht="16.5" customHeight="1" x14ac:dyDescent="0.25">
      <c r="A50" s="6" t="s">
        <v>2482</v>
      </c>
      <c r="B50" s="7" t="s">
        <v>660</v>
      </c>
      <c r="C50" s="7" t="s">
        <v>2406</v>
      </c>
      <c r="D50" s="7" t="s">
        <v>2476</v>
      </c>
      <c r="E50" s="7" t="s">
        <v>697</v>
      </c>
      <c r="F50" s="7" t="s">
        <v>2481</v>
      </c>
      <c r="G50" s="7" t="s">
        <v>2405</v>
      </c>
      <c r="H50" s="7" t="s">
        <v>34</v>
      </c>
      <c r="I50" s="7" t="s">
        <v>2399</v>
      </c>
      <c r="M50" t="s">
        <v>2827</v>
      </c>
    </row>
    <row r="51" spans="1:13" ht="16.5" customHeight="1" x14ac:dyDescent="0.25">
      <c r="A51" s="12" t="s">
        <v>2483</v>
      </c>
      <c r="B51" s="13" t="s">
        <v>660</v>
      </c>
      <c r="C51" s="13" t="s">
        <v>2409</v>
      </c>
      <c r="D51" s="13" t="s">
        <v>2476</v>
      </c>
      <c r="E51" s="13" t="s">
        <v>697</v>
      </c>
      <c r="F51" s="13" t="s">
        <v>2481</v>
      </c>
      <c r="G51" s="13" t="s">
        <v>2408</v>
      </c>
      <c r="H51" s="13" t="s">
        <v>34</v>
      </c>
      <c r="I51" s="13" t="s">
        <v>2399</v>
      </c>
      <c r="M51" t="s">
        <v>2827</v>
      </c>
    </row>
    <row r="52" spans="1:13" ht="16.5" customHeight="1" x14ac:dyDescent="0.25">
      <c r="A52" s="6" t="s">
        <v>2484</v>
      </c>
      <c r="B52" s="7" t="s">
        <v>660</v>
      </c>
      <c r="C52" s="7" t="s">
        <v>2391</v>
      </c>
      <c r="D52" s="7" t="s">
        <v>2485</v>
      </c>
      <c r="E52" s="7" t="s">
        <v>898</v>
      </c>
      <c r="F52" s="7" t="s">
        <v>2486</v>
      </c>
      <c r="G52" s="7" t="s">
        <v>2390</v>
      </c>
      <c r="H52" s="7" t="s">
        <v>34</v>
      </c>
      <c r="I52" s="7" t="s">
        <v>2392</v>
      </c>
      <c r="M52" t="s">
        <v>2827</v>
      </c>
    </row>
    <row r="53" spans="1:13" ht="16.5" customHeight="1" x14ac:dyDescent="0.25">
      <c r="A53" s="12" t="s">
        <v>2487</v>
      </c>
      <c r="B53" s="13" t="s">
        <v>660</v>
      </c>
      <c r="C53" s="13" t="s">
        <v>2395</v>
      </c>
      <c r="D53" s="13" t="s">
        <v>2485</v>
      </c>
      <c r="E53" s="13" t="s">
        <v>898</v>
      </c>
      <c r="F53" s="13" t="s">
        <v>2486</v>
      </c>
      <c r="G53" s="13" t="s">
        <v>2394</v>
      </c>
      <c r="H53" s="13" t="s">
        <v>34</v>
      </c>
      <c r="I53" s="13" t="s">
        <v>2392</v>
      </c>
      <c r="M53" t="s">
        <v>2827</v>
      </c>
    </row>
    <row r="54" spans="1:13" ht="16.5" customHeight="1" x14ac:dyDescent="0.25">
      <c r="A54" s="6" t="s">
        <v>2490</v>
      </c>
      <c r="B54" s="7" t="s">
        <v>660</v>
      </c>
      <c r="C54" s="7" t="s">
        <v>2489</v>
      </c>
      <c r="D54" s="7" t="s">
        <v>662</v>
      </c>
      <c r="E54" s="7" t="s">
        <v>663</v>
      </c>
      <c r="F54" s="7" t="s">
        <v>1895</v>
      </c>
      <c r="G54" s="7" t="s">
        <v>2488</v>
      </c>
      <c r="H54" s="7" t="s">
        <v>34</v>
      </c>
      <c r="I54" s="7" t="s">
        <v>2491</v>
      </c>
      <c r="M54" t="s">
        <v>2827</v>
      </c>
    </row>
    <row r="55" spans="1:13" ht="16.5" customHeight="1" x14ac:dyDescent="0.25">
      <c r="A55" s="12" t="s">
        <v>2492</v>
      </c>
      <c r="B55" s="13" t="s">
        <v>660</v>
      </c>
      <c r="C55" s="13" t="s">
        <v>640</v>
      </c>
      <c r="D55" s="13" t="s">
        <v>662</v>
      </c>
      <c r="E55" s="13" t="s">
        <v>697</v>
      </c>
      <c r="F55" s="13" t="s">
        <v>2493</v>
      </c>
      <c r="G55" s="13" t="s">
        <v>2388</v>
      </c>
      <c r="H55" s="13" t="s">
        <v>34</v>
      </c>
      <c r="I55" s="13" t="s">
        <v>2389</v>
      </c>
      <c r="M55" t="s">
        <v>2827</v>
      </c>
    </row>
    <row r="56" spans="1:13" ht="16.5" customHeight="1" x14ac:dyDescent="0.25">
      <c r="A56" s="6" t="s">
        <v>2494</v>
      </c>
      <c r="B56" s="7" t="s">
        <v>660</v>
      </c>
      <c r="C56" s="7" t="s">
        <v>640</v>
      </c>
      <c r="D56" s="7" t="s">
        <v>662</v>
      </c>
      <c r="E56" s="7" t="s">
        <v>673</v>
      </c>
      <c r="F56" s="7" t="s">
        <v>1895</v>
      </c>
      <c r="G56" s="7" t="s">
        <v>2388</v>
      </c>
      <c r="H56" s="7" t="s">
        <v>34</v>
      </c>
      <c r="I56" s="7" t="s">
        <v>2389</v>
      </c>
      <c r="M56" t="s">
        <v>2827</v>
      </c>
    </row>
    <row r="57" spans="1:13" ht="17.25" customHeight="1" x14ac:dyDescent="0.25">
      <c r="A57" s="12" t="s">
        <v>2495</v>
      </c>
      <c r="B57" s="13" t="s">
        <v>660</v>
      </c>
      <c r="C57" s="13" t="s">
        <v>2391</v>
      </c>
      <c r="D57" s="13" t="s">
        <v>2485</v>
      </c>
      <c r="E57" s="13" t="s">
        <v>898</v>
      </c>
      <c r="F57" s="13" t="s">
        <v>2486</v>
      </c>
      <c r="G57" s="13" t="s">
        <v>2393</v>
      </c>
      <c r="H57" s="13" t="s">
        <v>34</v>
      </c>
      <c r="I57" s="13" t="s">
        <v>2392</v>
      </c>
      <c r="M57" t="s">
        <v>2827</v>
      </c>
    </row>
    <row r="58" spans="1:13" ht="16.5" customHeight="1" x14ac:dyDescent="0.25">
      <c r="A58" s="6" t="s">
        <v>2496</v>
      </c>
      <c r="B58" s="7" t="s">
        <v>660</v>
      </c>
      <c r="C58" s="7" t="s">
        <v>2497</v>
      </c>
      <c r="D58" s="7" t="s">
        <v>662</v>
      </c>
      <c r="E58" s="7" t="s">
        <v>697</v>
      </c>
      <c r="F58" s="7" t="s">
        <v>2486</v>
      </c>
      <c r="G58" s="7" t="s">
        <v>2498</v>
      </c>
      <c r="H58" s="7" t="s">
        <v>34</v>
      </c>
      <c r="I58" s="7" t="s">
        <v>2486</v>
      </c>
      <c r="M58" t="s">
        <v>2827</v>
      </c>
    </row>
    <row r="59" spans="1:13" ht="16.5" customHeight="1" x14ac:dyDescent="0.25">
      <c r="A59" s="12" t="s">
        <v>2499</v>
      </c>
      <c r="B59" s="13" t="s">
        <v>660</v>
      </c>
      <c r="C59" s="13" t="s">
        <v>2500</v>
      </c>
      <c r="D59" s="13" t="s">
        <v>2485</v>
      </c>
      <c r="E59" s="13" t="s">
        <v>898</v>
      </c>
      <c r="F59" s="13" t="s">
        <v>2501</v>
      </c>
      <c r="G59" s="13" t="s">
        <v>2502</v>
      </c>
      <c r="H59" s="13" t="s">
        <v>34</v>
      </c>
      <c r="I59" s="13" t="s">
        <v>2430</v>
      </c>
      <c r="M59" t="s">
        <v>2827</v>
      </c>
    </row>
    <row r="60" spans="1:13" ht="16.5" customHeight="1" x14ac:dyDescent="0.25">
      <c r="A60" s="6" t="s">
        <v>2503</v>
      </c>
      <c r="B60" s="7" t="s">
        <v>660</v>
      </c>
      <c r="C60" s="7" t="s">
        <v>2504</v>
      </c>
      <c r="D60" s="7" t="s">
        <v>2485</v>
      </c>
      <c r="E60" s="7" t="s">
        <v>898</v>
      </c>
      <c r="F60" s="7" t="s">
        <v>2501</v>
      </c>
      <c r="G60" s="7" t="s">
        <v>2433</v>
      </c>
      <c r="H60" s="7" t="s">
        <v>34</v>
      </c>
      <c r="I60" s="7" t="s">
        <v>2430</v>
      </c>
      <c r="M60" t="s">
        <v>2827</v>
      </c>
    </row>
    <row r="61" spans="1:13" ht="16.5" customHeight="1" x14ac:dyDescent="0.25">
      <c r="A61" s="12" t="s">
        <v>2505</v>
      </c>
      <c r="B61" s="13" t="s">
        <v>660</v>
      </c>
      <c r="C61" s="13" t="s">
        <v>2506</v>
      </c>
      <c r="D61" s="13" t="s">
        <v>2485</v>
      </c>
      <c r="E61" s="13" t="s">
        <v>898</v>
      </c>
      <c r="F61" s="13" t="s">
        <v>2501</v>
      </c>
      <c r="G61" s="13" t="s">
        <v>2507</v>
      </c>
      <c r="H61" s="13" t="s">
        <v>34</v>
      </c>
      <c r="I61" s="13" t="s">
        <v>2430</v>
      </c>
      <c r="M61" t="s">
        <v>2827</v>
      </c>
    </row>
    <row r="62" spans="1:13" ht="16.5" customHeight="1" x14ac:dyDescent="0.25">
      <c r="A62" s="6" t="s">
        <v>2508</v>
      </c>
      <c r="B62" s="7" t="s">
        <v>660</v>
      </c>
      <c r="C62" s="7" t="s">
        <v>2509</v>
      </c>
      <c r="D62" s="7" t="s">
        <v>2485</v>
      </c>
      <c r="E62" s="7" t="s">
        <v>898</v>
      </c>
      <c r="F62" s="7" t="s">
        <v>2501</v>
      </c>
      <c r="G62" s="7" t="s">
        <v>2431</v>
      </c>
      <c r="H62" s="7" t="s">
        <v>34</v>
      </c>
      <c r="I62" s="7" t="s">
        <v>2430</v>
      </c>
      <c r="M62" t="s">
        <v>2827</v>
      </c>
    </row>
    <row r="63" spans="1:13" ht="16.5" customHeight="1" x14ac:dyDescent="0.25">
      <c r="A63" s="12" t="s">
        <v>2512</v>
      </c>
      <c r="B63" s="13" t="s">
        <v>660</v>
      </c>
      <c r="C63" s="13" t="s">
        <v>2511</v>
      </c>
      <c r="D63" s="13" t="s">
        <v>662</v>
      </c>
      <c r="E63" s="13" t="s">
        <v>697</v>
      </c>
      <c r="F63" s="13" t="s">
        <v>2493</v>
      </c>
      <c r="G63" s="13" t="s">
        <v>2510</v>
      </c>
      <c r="H63" s="13" t="s">
        <v>34</v>
      </c>
      <c r="I63" s="13" t="s">
        <v>2491</v>
      </c>
      <c r="M63" t="s">
        <v>2827</v>
      </c>
    </row>
    <row r="64" spans="1:13" ht="16.5" customHeight="1" x14ac:dyDescent="0.25">
      <c r="A64" s="6" t="s">
        <v>2513</v>
      </c>
      <c r="B64" s="7" t="s">
        <v>660</v>
      </c>
      <c r="C64" s="7" t="s">
        <v>2514</v>
      </c>
      <c r="D64" s="7" t="s">
        <v>2485</v>
      </c>
      <c r="E64" s="7" t="s">
        <v>898</v>
      </c>
      <c r="F64" s="7" t="s">
        <v>2501</v>
      </c>
      <c r="G64" s="7" t="s">
        <v>2515</v>
      </c>
      <c r="H64" s="7" t="s">
        <v>34</v>
      </c>
      <c r="I64" s="7" t="s">
        <v>2430</v>
      </c>
      <c r="M64" t="s">
        <v>2827</v>
      </c>
    </row>
    <row r="65" spans="1:13" ht="16.5" customHeight="1" x14ac:dyDescent="0.25">
      <c r="A65" s="12" t="s">
        <v>2516</v>
      </c>
      <c r="B65" s="13" t="s">
        <v>660</v>
      </c>
      <c r="C65" s="13" t="s">
        <v>2517</v>
      </c>
      <c r="D65" s="13" t="s">
        <v>2485</v>
      </c>
      <c r="E65" s="13" t="s">
        <v>898</v>
      </c>
      <c r="F65" s="13" t="s">
        <v>2501</v>
      </c>
      <c r="G65" s="13" t="s">
        <v>2428</v>
      </c>
      <c r="H65" s="13" t="s">
        <v>34</v>
      </c>
      <c r="I65" s="13" t="s">
        <v>2430</v>
      </c>
      <c r="M65" t="s">
        <v>2827</v>
      </c>
    </row>
    <row r="66" spans="1:13" ht="16.5" customHeight="1" x14ac:dyDescent="0.25">
      <c r="A66" s="6" t="s">
        <v>2518</v>
      </c>
      <c r="B66" s="7" t="s">
        <v>660</v>
      </c>
      <c r="C66" s="7" t="s">
        <v>2395</v>
      </c>
      <c r="D66" s="7" t="s">
        <v>2485</v>
      </c>
      <c r="E66" s="7" t="s">
        <v>898</v>
      </c>
      <c r="F66" s="7" t="s">
        <v>2486</v>
      </c>
      <c r="G66" s="7" t="s">
        <v>2396</v>
      </c>
      <c r="H66" s="7" t="s">
        <v>34</v>
      </c>
      <c r="I66" s="7" t="s">
        <v>2392</v>
      </c>
      <c r="M66" t="s">
        <v>2827</v>
      </c>
    </row>
    <row r="67" spans="1:13" ht="16.5" customHeight="1" x14ac:dyDescent="0.25">
      <c r="A67" s="12" t="s">
        <v>2519</v>
      </c>
      <c r="B67" s="13" t="s">
        <v>660</v>
      </c>
      <c r="C67" s="13" t="s">
        <v>270</v>
      </c>
      <c r="D67" s="13" t="s">
        <v>662</v>
      </c>
      <c r="E67" s="13" t="s">
        <v>697</v>
      </c>
      <c r="F67" s="13" t="s">
        <v>1895</v>
      </c>
      <c r="G67" s="13" t="s">
        <v>2066</v>
      </c>
      <c r="H67" s="13" t="s">
        <v>34</v>
      </c>
      <c r="I67" s="13" t="s">
        <v>2064</v>
      </c>
      <c r="M67" t="s">
        <v>2827</v>
      </c>
    </row>
    <row r="68" spans="1:13" ht="16.5" customHeight="1" x14ac:dyDescent="0.25">
      <c r="A68" s="6" t="s">
        <v>2520</v>
      </c>
      <c r="B68" s="7" t="s">
        <v>660</v>
      </c>
      <c r="C68" s="7" t="s">
        <v>640</v>
      </c>
      <c r="D68" s="7" t="s">
        <v>662</v>
      </c>
      <c r="E68" s="7" t="s">
        <v>697</v>
      </c>
      <c r="F68" s="7" t="s">
        <v>1895</v>
      </c>
      <c r="G68" s="7" t="s">
        <v>2388</v>
      </c>
      <c r="H68" s="7" t="s">
        <v>34</v>
      </c>
      <c r="I68" s="7" t="s">
        <v>2389</v>
      </c>
      <c r="M68" t="s">
        <v>2827</v>
      </c>
    </row>
    <row r="69" spans="1:13" ht="16.5" customHeight="1" x14ac:dyDescent="0.25">
      <c r="A69" s="12" t="s">
        <v>2521</v>
      </c>
      <c r="B69" s="13" t="s">
        <v>660</v>
      </c>
      <c r="C69" s="13" t="s">
        <v>2522</v>
      </c>
      <c r="D69" s="13" t="s">
        <v>924</v>
      </c>
      <c r="E69" s="13" t="s">
        <v>898</v>
      </c>
      <c r="F69" s="13" t="s">
        <v>1895</v>
      </c>
      <c r="G69" s="13" t="s">
        <v>925</v>
      </c>
      <c r="H69" s="13" t="s">
        <v>34</v>
      </c>
      <c r="I69" s="13" t="s">
        <v>2523</v>
      </c>
      <c r="M69" t="s">
        <v>2827</v>
      </c>
    </row>
    <row r="70" spans="1:13" ht="17.25" customHeight="1" x14ac:dyDescent="0.25">
      <c r="A70" s="6" t="s">
        <v>2524</v>
      </c>
      <c r="B70" s="7" t="s">
        <v>660</v>
      </c>
      <c r="C70" s="7" t="s">
        <v>267</v>
      </c>
      <c r="D70" s="7" t="s">
        <v>662</v>
      </c>
      <c r="E70" s="7" t="s">
        <v>673</v>
      </c>
      <c r="F70" s="7" t="s">
        <v>1878</v>
      </c>
      <c r="G70" s="7" t="s">
        <v>2525</v>
      </c>
      <c r="H70" s="7" t="s">
        <v>34</v>
      </c>
      <c r="I70" s="7" t="s">
        <v>1878</v>
      </c>
      <c r="M70" t="s">
        <v>2827</v>
      </c>
    </row>
    <row r="71" spans="1:13" ht="16.5" customHeight="1" x14ac:dyDescent="0.25">
      <c r="A71" s="12" t="s">
        <v>2524</v>
      </c>
      <c r="B71" s="13" t="s">
        <v>660</v>
      </c>
      <c r="C71" s="13" t="s">
        <v>267</v>
      </c>
      <c r="D71" s="13" t="s">
        <v>662</v>
      </c>
      <c r="E71" s="13" t="s">
        <v>673</v>
      </c>
      <c r="F71" s="13" t="s">
        <v>1878</v>
      </c>
      <c r="G71" s="13" t="s">
        <v>2059</v>
      </c>
      <c r="H71" s="13" t="s">
        <v>34</v>
      </c>
      <c r="I71" s="13" t="s">
        <v>2060</v>
      </c>
      <c r="M71" t="s">
        <v>2827</v>
      </c>
    </row>
    <row r="72" spans="1:13" ht="16.5" customHeight="1" x14ac:dyDescent="0.25">
      <c r="A72" s="6" t="s">
        <v>2525</v>
      </c>
      <c r="B72" s="7" t="s">
        <v>660</v>
      </c>
      <c r="C72" s="7" t="s">
        <v>267</v>
      </c>
      <c r="D72" s="7" t="s">
        <v>662</v>
      </c>
      <c r="E72" s="7" t="s">
        <v>673</v>
      </c>
      <c r="F72" s="7" t="s">
        <v>1878</v>
      </c>
      <c r="G72" s="7" t="s">
        <v>2526</v>
      </c>
      <c r="H72" s="7" t="s">
        <v>34</v>
      </c>
      <c r="I72" s="7" t="s">
        <v>1878</v>
      </c>
      <c r="M72" t="s">
        <v>2827</v>
      </c>
    </row>
    <row r="73" spans="1:13" ht="16.5" customHeight="1" x14ac:dyDescent="0.25">
      <c r="A73" s="12" t="s">
        <v>2527</v>
      </c>
      <c r="B73" s="13" t="s">
        <v>660</v>
      </c>
      <c r="C73" s="13" t="s">
        <v>56</v>
      </c>
      <c r="D73" s="13" t="s">
        <v>924</v>
      </c>
      <c r="E73" s="13" t="s">
        <v>673</v>
      </c>
      <c r="F73" s="13" t="s">
        <v>1890</v>
      </c>
      <c r="G73" s="13" t="s">
        <v>925</v>
      </c>
      <c r="H73" s="13" t="s">
        <v>34</v>
      </c>
      <c r="I73" s="13" t="s">
        <v>1890</v>
      </c>
      <c r="M73" t="s">
        <v>2827</v>
      </c>
    </row>
    <row r="74" spans="1:13" ht="16.5" customHeight="1" x14ac:dyDescent="0.25">
      <c r="A74" s="6" t="s">
        <v>2528</v>
      </c>
      <c r="B74" s="7" t="s">
        <v>660</v>
      </c>
      <c r="C74" s="7" t="s">
        <v>59</v>
      </c>
      <c r="D74" s="7" t="s">
        <v>924</v>
      </c>
      <c r="E74" s="7" t="s">
        <v>673</v>
      </c>
      <c r="F74" s="7" t="s">
        <v>2529</v>
      </c>
      <c r="G74" s="7" t="s">
        <v>925</v>
      </c>
      <c r="H74" s="7" t="s">
        <v>34</v>
      </c>
      <c r="I74" s="7" t="s">
        <v>2529</v>
      </c>
      <c r="M74" t="s">
        <v>2827</v>
      </c>
    </row>
    <row r="75" spans="1:13" ht="16.5" customHeight="1" x14ac:dyDescent="0.25">
      <c r="A75" s="12" t="s">
        <v>2530</v>
      </c>
      <c r="B75" s="13" t="s">
        <v>660</v>
      </c>
      <c r="C75" s="13" t="s">
        <v>61</v>
      </c>
      <c r="D75" s="13" t="s">
        <v>924</v>
      </c>
      <c r="E75" s="13" t="s">
        <v>673</v>
      </c>
      <c r="F75" s="13" t="s">
        <v>2529</v>
      </c>
      <c r="G75" s="13" t="s">
        <v>925</v>
      </c>
      <c r="H75" s="13" t="s">
        <v>34</v>
      </c>
      <c r="I75" s="13" t="s">
        <v>2529</v>
      </c>
      <c r="M75" t="s">
        <v>2827</v>
      </c>
    </row>
    <row r="76" spans="1:13" ht="16.5" customHeight="1" x14ac:dyDescent="0.25">
      <c r="A76" s="6" t="s">
        <v>2531</v>
      </c>
      <c r="B76" s="7" t="s">
        <v>660</v>
      </c>
      <c r="C76" s="7" t="s">
        <v>62</v>
      </c>
      <c r="D76" s="7" t="s">
        <v>924</v>
      </c>
      <c r="E76" s="7" t="s">
        <v>673</v>
      </c>
      <c r="F76" s="7" t="s">
        <v>2529</v>
      </c>
      <c r="G76" s="7" t="s">
        <v>925</v>
      </c>
      <c r="H76" s="7" t="s">
        <v>34</v>
      </c>
      <c r="I76" s="7" t="s">
        <v>2529</v>
      </c>
      <c r="M76" t="s">
        <v>2827</v>
      </c>
    </row>
    <row r="77" spans="1:13" ht="16.5" customHeight="1" x14ac:dyDescent="0.25">
      <c r="A77" s="12" t="s">
        <v>2532</v>
      </c>
      <c r="B77" s="13" t="s">
        <v>660</v>
      </c>
      <c r="C77" s="13" t="s">
        <v>63</v>
      </c>
      <c r="D77" s="13" t="s">
        <v>924</v>
      </c>
      <c r="E77" s="13" t="s">
        <v>673</v>
      </c>
      <c r="F77" s="13" t="s">
        <v>2529</v>
      </c>
      <c r="G77" s="13" t="s">
        <v>2533</v>
      </c>
      <c r="H77" s="13" t="s">
        <v>34</v>
      </c>
      <c r="I77" s="13" t="s">
        <v>2529</v>
      </c>
      <c r="M77" t="s">
        <v>2827</v>
      </c>
    </row>
    <row r="78" spans="1:13" ht="16.5" customHeight="1" x14ac:dyDescent="0.25">
      <c r="A78" s="6" t="s">
        <v>2534</v>
      </c>
      <c r="B78" s="7" t="s">
        <v>660</v>
      </c>
      <c r="C78" s="7" t="s">
        <v>2535</v>
      </c>
      <c r="D78" s="7" t="s">
        <v>716</v>
      </c>
      <c r="E78" s="7" t="s">
        <v>673</v>
      </c>
      <c r="F78" s="7" t="s">
        <v>2440</v>
      </c>
      <c r="G78" s="7" t="s">
        <v>2536</v>
      </c>
      <c r="H78" s="7" t="s">
        <v>34</v>
      </c>
      <c r="I78" s="7" t="s">
        <v>2440</v>
      </c>
      <c r="M78" t="s">
        <v>2827</v>
      </c>
    </row>
    <row r="79" spans="1:13" ht="16.5" customHeight="1" x14ac:dyDescent="0.25">
      <c r="A79" s="12" t="s">
        <v>2537</v>
      </c>
      <c r="B79" s="13" t="s">
        <v>660</v>
      </c>
      <c r="C79" s="13" t="s">
        <v>2538</v>
      </c>
      <c r="D79" s="13" t="s">
        <v>716</v>
      </c>
      <c r="E79" s="13" t="s">
        <v>673</v>
      </c>
      <c r="F79" s="13" t="s">
        <v>2539</v>
      </c>
      <c r="G79" s="13" t="s">
        <v>2540</v>
      </c>
      <c r="H79" s="13" t="s">
        <v>34</v>
      </c>
      <c r="I79" s="13" t="s">
        <v>2541</v>
      </c>
      <c r="M79" t="s">
        <v>2827</v>
      </c>
    </row>
    <row r="80" spans="1:13" ht="16.5" customHeight="1" x14ac:dyDescent="0.25">
      <c r="A80" s="6" t="s">
        <v>2542</v>
      </c>
      <c r="B80" s="7" t="s">
        <v>660</v>
      </c>
      <c r="C80" s="7" t="s">
        <v>2543</v>
      </c>
      <c r="D80" s="7" t="s">
        <v>662</v>
      </c>
      <c r="E80" s="7" t="s">
        <v>663</v>
      </c>
      <c r="F80" s="7" t="s">
        <v>2544</v>
      </c>
      <c r="G80" s="7" t="s">
        <v>2545</v>
      </c>
      <c r="H80" s="7" t="s">
        <v>34</v>
      </c>
      <c r="I80" s="7" t="s">
        <v>2546</v>
      </c>
      <c r="M80" t="s">
        <v>2827</v>
      </c>
    </row>
    <row r="81" spans="1:13" ht="16.5" customHeight="1" x14ac:dyDescent="0.25">
      <c r="A81" s="12" t="s">
        <v>2547</v>
      </c>
      <c r="B81" s="13" t="s">
        <v>660</v>
      </c>
      <c r="C81" s="13" t="s">
        <v>268</v>
      </c>
      <c r="D81" s="13" t="s">
        <v>662</v>
      </c>
      <c r="E81" s="13" t="s">
        <v>663</v>
      </c>
      <c r="F81" s="13" t="s">
        <v>2544</v>
      </c>
      <c r="G81" s="13" t="s">
        <v>2548</v>
      </c>
      <c r="H81" s="13" t="s">
        <v>34</v>
      </c>
      <c r="I81" s="13" t="s">
        <v>2546</v>
      </c>
      <c r="M81" t="s">
        <v>2827</v>
      </c>
    </row>
    <row r="82" spans="1:13" ht="17.25" customHeight="1" x14ac:dyDescent="0.25">
      <c r="A82" s="6" t="s">
        <v>2005</v>
      </c>
      <c r="B82" s="7" t="s">
        <v>660</v>
      </c>
      <c r="C82" s="7" t="s">
        <v>2004</v>
      </c>
      <c r="D82" s="7" t="s">
        <v>662</v>
      </c>
      <c r="E82" s="7" t="s">
        <v>663</v>
      </c>
      <c r="F82" s="7" t="s">
        <v>1997</v>
      </c>
      <c r="G82" s="7" t="s">
        <v>2549</v>
      </c>
      <c r="H82" s="7" t="s">
        <v>34</v>
      </c>
      <c r="I82" s="7" t="s">
        <v>1997</v>
      </c>
      <c r="M82" t="s">
        <v>2827</v>
      </c>
    </row>
    <row r="83" spans="1:13" ht="16.5" customHeight="1" x14ac:dyDescent="0.25">
      <c r="A83" s="12" t="s">
        <v>2025</v>
      </c>
      <c r="B83" s="13" t="s">
        <v>660</v>
      </c>
      <c r="C83" s="13" t="s">
        <v>2024</v>
      </c>
      <c r="D83" s="13" t="s">
        <v>662</v>
      </c>
      <c r="E83" s="13" t="s">
        <v>663</v>
      </c>
      <c r="F83" s="13" t="s">
        <v>1997</v>
      </c>
      <c r="G83" s="13" t="s">
        <v>2550</v>
      </c>
      <c r="H83" s="13" t="s">
        <v>34</v>
      </c>
      <c r="I83" s="13" t="s">
        <v>1997</v>
      </c>
      <c r="M83" t="s">
        <v>2827</v>
      </c>
    </row>
    <row r="84" spans="1:13" ht="16.5" customHeight="1" x14ac:dyDescent="0.25">
      <c r="A84" s="6" t="s">
        <v>2551</v>
      </c>
      <c r="B84" s="7" t="s">
        <v>660</v>
      </c>
      <c r="C84" s="7" t="s">
        <v>2552</v>
      </c>
      <c r="D84" s="7" t="s">
        <v>662</v>
      </c>
      <c r="E84" s="7" t="s">
        <v>663</v>
      </c>
      <c r="F84" s="7" t="s">
        <v>2553</v>
      </c>
      <c r="G84" s="7" t="s">
        <v>2554</v>
      </c>
      <c r="H84" s="7" t="s">
        <v>34</v>
      </c>
      <c r="I84" s="7" t="s">
        <v>2553</v>
      </c>
      <c r="M84" t="s">
        <v>2827</v>
      </c>
    </row>
    <row r="85" spans="1:13" ht="16.5" customHeight="1" x14ac:dyDescent="0.25">
      <c r="A85" s="12" t="s">
        <v>2555</v>
      </c>
      <c r="B85" s="13" t="s">
        <v>660</v>
      </c>
      <c r="C85" s="13" t="s">
        <v>268</v>
      </c>
      <c r="D85" s="13" t="s">
        <v>662</v>
      </c>
      <c r="E85" s="13" t="s">
        <v>663</v>
      </c>
      <c r="F85" s="13" t="s">
        <v>2553</v>
      </c>
      <c r="G85" s="13" t="s">
        <v>2556</v>
      </c>
      <c r="H85" s="13" t="s">
        <v>34</v>
      </c>
      <c r="I85" s="13" t="s">
        <v>2553</v>
      </c>
      <c r="M85" t="s">
        <v>2827</v>
      </c>
    </row>
    <row r="86" spans="1:13" ht="16.5" customHeight="1" x14ac:dyDescent="0.25">
      <c r="A86" s="6" t="s">
        <v>2555</v>
      </c>
      <c r="B86" s="7" t="s">
        <v>660</v>
      </c>
      <c r="C86" s="7" t="s">
        <v>268</v>
      </c>
      <c r="D86" s="7" t="s">
        <v>662</v>
      </c>
      <c r="E86" s="7" t="s">
        <v>663</v>
      </c>
      <c r="F86" s="7" t="s">
        <v>2553</v>
      </c>
      <c r="G86" s="7" t="s">
        <v>2557</v>
      </c>
      <c r="H86" s="7" t="s">
        <v>34</v>
      </c>
      <c r="I86" s="7" t="s">
        <v>2558</v>
      </c>
      <c r="M86" t="s">
        <v>2827</v>
      </c>
    </row>
    <row r="87" spans="1:13" ht="16.5" customHeight="1" x14ac:dyDescent="0.25">
      <c r="A87" s="12" t="s">
        <v>2559</v>
      </c>
      <c r="B87" s="13" t="s">
        <v>660</v>
      </c>
      <c r="C87" s="13" t="s">
        <v>2560</v>
      </c>
      <c r="D87" s="13" t="s">
        <v>662</v>
      </c>
      <c r="E87" s="13" t="s">
        <v>663</v>
      </c>
      <c r="F87" s="13" t="s">
        <v>2561</v>
      </c>
      <c r="G87" s="13" t="s">
        <v>2562</v>
      </c>
      <c r="H87" s="13" t="s">
        <v>34</v>
      </c>
      <c r="I87" s="13" t="s">
        <v>2563</v>
      </c>
      <c r="M87" t="s">
        <v>2827</v>
      </c>
    </row>
    <row r="88" spans="1:13" ht="16.5" customHeight="1" x14ac:dyDescent="0.25">
      <c r="A88" s="6" t="s">
        <v>2564</v>
      </c>
      <c r="B88" s="7" t="s">
        <v>660</v>
      </c>
      <c r="C88" s="7" t="s">
        <v>2565</v>
      </c>
      <c r="D88" s="7" t="s">
        <v>662</v>
      </c>
      <c r="E88" s="7" t="s">
        <v>663</v>
      </c>
      <c r="F88" s="7" t="s">
        <v>2561</v>
      </c>
      <c r="G88" s="7" t="s">
        <v>2566</v>
      </c>
      <c r="H88" s="7" t="s">
        <v>34</v>
      </c>
      <c r="I88" s="7" t="s">
        <v>2563</v>
      </c>
      <c r="M88" t="s">
        <v>2827</v>
      </c>
    </row>
    <row r="89" spans="1:13" ht="16.5" customHeight="1" x14ac:dyDescent="0.25">
      <c r="A89" s="12" t="s">
        <v>2567</v>
      </c>
      <c r="B89" s="13" t="s">
        <v>660</v>
      </c>
      <c r="C89" s="13" t="s">
        <v>2543</v>
      </c>
      <c r="D89" s="13" t="s">
        <v>662</v>
      </c>
      <c r="E89" s="13" t="s">
        <v>663</v>
      </c>
      <c r="F89" s="13" t="s">
        <v>2546</v>
      </c>
      <c r="G89" s="13" t="s">
        <v>2545</v>
      </c>
      <c r="H89" s="13" t="s">
        <v>34</v>
      </c>
      <c r="I89" s="13" t="s">
        <v>2546</v>
      </c>
      <c r="M89" t="s">
        <v>2827</v>
      </c>
    </row>
    <row r="90" spans="1:13" ht="16.5" customHeight="1" x14ac:dyDescent="0.25">
      <c r="A90" s="6" t="s">
        <v>2568</v>
      </c>
      <c r="B90" s="7" t="s">
        <v>660</v>
      </c>
      <c r="C90" s="7" t="s">
        <v>2569</v>
      </c>
      <c r="D90" s="7" t="s">
        <v>662</v>
      </c>
      <c r="E90" s="7" t="s">
        <v>663</v>
      </c>
      <c r="F90" s="7" t="s">
        <v>2546</v>
      </c>
      <c r="G90" s="7" t="s">
        <v>2570</v>
      </c>
      <c r="H90" s="7" t="s">
        <v>34</v>
      </c>
      <c r="I90" s="7" t="s">
        <v>2546</v>
      </c>
      <c r="M90" t="s">
        <v>2827</v>
      </c>
    </row>
    <row r="91" spans="1:13" ht="16.5" customHeight="1" x14ac:dyDescent="0.25">
      <c r="A91" s="12" t="s">
        <v>2571</v>
      </c>
      <c r="B91" s="13" t="s">
        <v>660</v>
      </c>
      <c r="C91" s="13" t="s">
        <v>2572</v>
      </c>
      <c r="D91" s="13" t="s">
        <v>662</v>
      </c>
      <c r="E91" s="13" t="s">
        <v>663</v>
      </c>
      <c r="F91" s="13" t="s">
        <v>1860</v>
      </c>
      <c r="G91" s="13" t="s">
        <v>2573</v>
      </c>
      <c r="H91" s="13" t="s">
        <v>34</v>
      </c>
      <c r="I91" s="13" t="s">
        <v>1860</v>
      </c>
      <c r="M91" t="s">
        <v>2827</v>
      </c>
    </row>
    <row r="92" spans="1:13" ht="16.5" customHeight="1" x14ac:dyDescent="0.25">
      <c r="A92" s="6" t="s">
        <v>2574</v>
      </c>
      <c r="B92" s="7" t="s">
        <v>660</v>
      </c>
      <c r="C92" s="7" t="s">
        <v>2552</v>
      </c>
      <c r="D92" s="7" t="s">
        <v>662</v>
      </c>
      <c r="E92" s="7" t="s">
        <v>663</v>
      </c>
      <c r="F92" s="7" t="s">
        <v>2553</v>
      </c>
      <c r="G92" s="7" t="s">
        <v>2554</v>
      </c>
      <c r="H92" s="7" t="s">
        <v>34</v>
      </c>
      <c r="I92" s="7" t="s">
        <v>2553</v>
      </c>
      <c r="M92" t="s">
        <v>2827</v>
      </c>
    </row>
    <row r="93" spans="1:13" ht="16.5" customHeight="1" x14ac:dyDescent="0.25">
      <c r="A93" s="12" t="s">
        <v>2574</v>
      </c>
      <c r="B93" s="13" t="s">
        <v>660</v>
      </c>
      <c r="C93" s="13" t="s">
        <v>2552</v>
      </c>
      <c r="D93" s="13" t="s">
        <v>662</v>
      </c>
      <c r="E93" s="13" t="s">
        <v>663</v>
      </c>
      <c r="F93" s="13" t="s">
        <v>2553</v>
      </c>
      <c r="G93" s="13" t="s">
        <v>2575</v>
      </c>
      <c r="H93" s="13" t="s">
        <v>34</v>
      </c>
      <c r="I93" s="13" t="s">
        <v>2558</v>
      </c>
      <c r="M93" t="s">
        <v>2827</v>
      </c>
    </row>
    <row r="94" spans="1:13" ht="16.5" customHeight="1" x14ac:dyDescent="0.25">
      <c r="A94" s="6" t="s">
        <v>2576</v>
      </c>
      <c r="B94" s="7" t="s">
        <v>660</v>
      </c>
      <c r="C94" s="7" t="s">
        <v>268</v>
      </c>
      <c r="D94" s="7" t="s">
        <v>662</v>
      </c>
      <c r="E94" s="7" t="s">
        <v>663</v>
      </c>
      <c r="F94" s="7" t="s">
        <v>2553</v>
      </c>
      <c r="G94" s="7" t="s">
        <v>2556</v>
      </c>
      <c r="H94" s="7" t="s">
        <v>34</v>
      </c>
      <c r="I94" s="7" t="s">
        <v>2553</v>
      </c>
      <c r="M94" t="s">
        <v>2827</v>
      </c>
    </row>
    <row r="95" spans="1:13" ht="17.25" customHeight="1" x14ac:dyDescent="0.25">
      <c r="A95" s="12" t="s">
        <v>2577</v>
      </c>
      <c r="B95" s="13" t="s">
        <v>660</v>
      </c>
      <c r="C95" s="13" t="s">
        <v>270</v>
      </c>
      <c r="D95" s="13" t="s">
        <v>662</v>
      </c>
      <c r="E95" s="13" t="s">
        <v>663</v>
      </c>
      <c r="F95" s="13" t="s">
        <v>2491</v>
      </c>
      <c r="G95" s="13" t="s">
        <v>2578</v>
      </c>
      <c r="H95" s="13" t="s">
        <v>34</v>
      </c>
      <c r="I95" s="13" t="s">
        <v>2491</v>
      </c>
      <c r="M95" t="s">
        <v>2827</v>
      </c>
    </row>
    <row r="96" spans="1:13" ht="16.5" customHeight="1" x14ac:dyDescent="0.25">
      <c r="A96" s="6" t="s">
        <v>2577</v>
      </c>
      <c r="B96" s="7" t="s">
        <v>660</v>
      </c>
      <c r="C96" s="7" t="s">
        <v>270</v>
      </c>
      <c r="D96" s="7" t="s">
        <v>662</v>
      </c>
      <c r="E96" s="7" t="s">
        <v>663</v>
      </c>
      <c r="F96" s="7" t="s">
        <v>2491</v>
      </c>
      <c r="G96" s="7" t="s">
        <v>2066</v>
      </c>
      <c r="H96" s="7" t="s">
        <v>34</v>
      </c>
      <c r="I96" s="7" t="s">
        <v>2064</v>
      </c>
      <c r="M96" t="s">
        <v>2827</v>
      </c>
    </row>
    <row r="97" spans="1:13" ht="16.5" customHeight="1" x14ac:dyDescent="0.25">
      <c r="A97" s="12" t="s">
        <v>2579</v>
      </c>
      <c r="B97" s="13" t="s">
        <v>660</v>
      </c>
      <c r="C97" s="13" t="s">
        <v>2580</v>
      </c>
      <c r="D97" s="13" t="s">
        <v>662</v>
      </c>
      <c r="E97" s="13" t="s">
        <v>663</v>
      </c>
      <c r="F97" s="13" t="s">
        <v>2581</v>
      </c>
      <c r="G97" s="13" t="s">
        <v>2582</v>
      </c>
      <c r="H97" s="13" t="s">
        <v>34</v>
      </c>
      <c r="I97" s="13" t="s">
        <v>2558</v>
      </c>
      <c r="M97" t="s">
        <v>2827</v>
      </c>
    </row>
    <row r="98" spans="1:13" ht="16.5" customHeight="1" x14ac:dyDescent="0.25">
      <c r="A98" s="6" t="s">
        <v>2583</v>
      </c>
      <c r="B98" s="7" t="s">
        <v>660</v>
      </c>
      <c r="C98" s="7" t="s">
        <v>640</v>
      </c>
      <c r="D98" s="7" t="s">
        <v>662</v>
      </c>
      <c r="E98" s="7" t="s">
        <v>663</v>
      </c>
      <c r="F98" s="7" t="s">
        <v>2581</v>
      </c>
      <c r="G98" s="7" t="s">
        <v>2584</v>
      </c>
      <c r="H98" s="7" t="s">
        <v>34</v>
      </c>
      <c r="I98" s="7" t="s">
        <v>2581</v>
      </c>
      <c r="M98" t="s">
        <v>2827</v>
      </c>
    </row>
    <row r="99" spans="1:13" ht="16.5" customHeight="1" x14ac:dyDescent="0.25">
      <c r="A99" s="12" t="s">
        <v>2583</v>
      </c>
      <c r="B99" s="13" t="s">
        <v>660</v>
      </c>
      <c r="C99" s="13" t="s">
        <v>640</v>
      </c>
      <c r="D99" s="13" t="s">
        <v>662</v>
      </c>
      <c r="E99" s="13" t="s">
        <v>663</v>
      </c>
      <c r="F99" s="13" t="s">
        <v>2581</v>
      </c>
      <c r="G99" s="13" t="s">
        <v>2585</v>
      </c>
      <c r="H99" s="13" t="s">
        <v>34</v>
      </c>
      <c r="I99" s="13" t="s">
        <v>2586</v>
      </c>
      <c r="M99" t="s">
        <v>2827</v>
      </c>
    </row>
    <row r="100" spans="1:13" ht="16.5" customHeight="1" x14ac:dyDescent="0.25">
      <c r="A100" s="6" t="s">
        <v>2587</v>
      </c>
      <c r="B100" s="7" t="s">
        <v>660</v>
      </c>
      <c r="C100" s="7" t="s">
        <v>2588</v>
      </c>
      <c r="D100" s="7" t="s">
        <v>662</v>
      </c>
      <c r="E100" s="7" t="s">
        <v>663</v>
      </c>
      <c r="F100" s="7" t="s">
        <v>2586</v>
      </c>
      <c r="G100" s="7" t="s">
        <v>2589</v>
      </c>
      <c r="H100" s="7" t="s">
        <v>34</v>
      </c>
      <c r="I100" s="7" t="s">
        <v>2546</v>
      </c>
      <c r="M100" t="s">
        <v>2827</v>
      </c>
    </row>
    <row r="101" spans="1:13" ht="16.5" customHeight="1" x14ac:dyDescent="0.25">
      <c r="A101" s="12" t="s">
        <v>2585</v>
      </c>
      <c r="B101" s="13" t="s">
        <v>660</v>
      </c>
      <c r="C101" s="13" t="s">
        <v>640</v>
      </c>
      <c r="D101" s="13" t="s">
        <v>662</v>
      </c>
      <c r="E101" s="13" t="s">
        <v>663</v>
      </c>
      <c r="F101" s="13" t="s">
        <v>2586</v>
      </c>
      <c r="G101" s="13" t="s">
        <v>2590</v>
      </c>
      <c r="H101" s="13" t="s">
        <v>34</v>
      </c>
      <c r="I101" s="13" t="s">
        <v>2586</v>
      </c>
      <c r="M101" t="s">
        <v>2827</v>
      </c>
    </row>
    <row r="102" spans="1:13" ht="16.5" customHeight="1" x14ac:dyDescent="0.25">
      <c r="A102" s="6" t="s">
        <v>2591</v>
      </c>
      <c r="B102" s="7" t="s">
        <v>660</v>
      </c>
      <c r="C102" s="7" t="s">
        <v>2592</v>
      </c>
      <c r="D102" s="7" t="s">
        <v>662</v>
      </c>
      <c r="E102" s="7" t="s">
        <v>663</v>
      </c>
      <c r="F102" s="7" t="s">
        <v>2593</v>
      </c>
      <c r="G102" s="7" t="s">
        <v>2594</v>
      </c>
      <c r="H102" s="7" t="s">
        <v>34</v>
      </c>
      <c r="I102" s="7" t="s">
        <v>2595</v>
      </c>
      <c r="M102" t="s">
        <v>2827</v>
      </c>
    </row>
    <row r="103" spans="1:13" ht="16.5" customHeight="1" x14ac:dyDescent="0.25">
      <c r="A103" s="12" t="s">
        <v>2596</v>
      </c>
      <c r="B103" s="13" t="s">
        <v>660</v>
      </c>
      <c r="C103" s="13" t="s">
        <v>2597</v>
      </c>
      <c r="D103" s="13" t="s">
        <v>662</v>
      </c>
      <c r="E103" s="13" t="s">
        <v>663</v>
      </c>
      <c r="F103" s="13" t="s">
        <v>2593</v>
      </c>
      <c r="G103" s="13" t="s">
        <v>2598</v>
      </c>
      <c r="H103" s="13" t="s">
        <v>34</v>
      </c>
      <c r="I103" s="13" t="s">
        <v>2595</v>
      </c>
      <c r="M103" t="s">
        <v>2827</v>
      </c>
    </row>
    <row r="104" spans="1:13" ht="16.5" customHeight="1" x14ac:dyDescent="0.25">
      <c r="A104" s="6" t="s">
        <v>2599</v>
      </c>
      <c r="B104" s="7" t="s">
        <v>660</v>
      </c>
      <c r="C104" s="7" t="s">
        <v>2569</v>
      </c>
      <c r="D104" s="7" t="s">
        <v>662</v>
      </c>
      <c r="E104" s="7" t="s">
        <v>663</v>
      </c>
      <c r="F104" s="7" t="s">
        <v>2586</v>
      </c>
      <c r="G104" s="7" t="s">
        <v>2570</v>
      </c>
      <c r="H104" s="7" t="s">
        <v>34</v>
      </c>
      <c r="I104" s="7" t="s">
        <v>2546</v>
      </c>
      <c r="M104" t="s">
        <v>2827</v>
      </c>
    </row>
    <row r="105" spans="1:13" ht="16.5" customHeight="1" x14ac:dyDescent="0.25">
      <c r="A105" s="12" t="s">
        <v>2590</v>
      </c>
      <c r="B105" s="13" t="s">
        <v>660</v>
      </c>
      <c r="C105" s="13" t="s">
        <v>640</v>
      </c>
      <c r="D105" s="13" t="s">
        <v>662</v>
      </c>
      <c r="E105" s="13" t="s">
        <v>663</v>
      </c>
      <c r="F105" s="13" t="s">
        <v>2586</v>
      </c>
      <c r="G105" s="13" t="s">
        <v>2600</v>
      </c>
      <c r="H105" s="13" t="s">
        <v>34</v>
      </c>
      <c r="I105" s="13" t="s">
        <v>2601</v>
      </c>
      <c r="M105" t="s">
        <v>2827</v>
      </c>
    </row>
    <row r="106" spans="1:13" ht="16.5" customHeight="1" x14ac:dyDescent="0.25">
      <c r="A106" s="6" t="s">
        <v>2602</v>
      </c>
      <c r="B106" s="7" t="s">
        <v>660</v>
      </c>
      <c r="C106" s="7" t="s">
        <v>2603</v>
      </c>
      <c r="D106" s="7" t="s">
        <v>662</v>
      </c>
      <c r="E106" s="7" t="s">
        <v>663</v>
      </c>
      <c r="F106" s="7" t="s">
        <v>2593</v>
      </c>
      <c r="G106" s="7" t="s">
        <v>2604</v>
      </c>
      <c r="H106" s="7" t="s">
        <v>34</v>
      </c>
      <c r="I106" s="7" t="s">
        <v>2593</v>
      </c>
      <c r="M106" t="s">
        <v>2827</v>
      </c>
    </row>
    <row r="107" spans="1:13" ht="17.25" customHeight="1" x14ac:dyDescent="0.25">
      <c r="A107" s="12" t="s">
        <v>2602</v>
      </c>
      <c r="B107" s="13" t="s">
        <v>660</v>
      </c>
      <c r="C107" s="13" t="s">
        <v>2603</v>
      </c>
      <c r="D107" s="13" t="s">
        <v>662</v>
      </c>
      <c r="E107" s="13" t="s">
        <v>663</v>
      </c>
      <c r="F107" s="13" t="s">
        <v>2593</v>
      </c>
      <c r="G107" s="13" t="s">
        <v>2605</v>
      </c>
      <c r="H107" s="13" t="s">
        <v>34</v>
      </c>
      <c r="I107" s="13" t="s">
        <v>2595</v>
      </c>
      <c r="M107" t="s">
        <v>2827</v>
      </c>
    </row>
    <row r="108" spans="1:13" ht="16.5" customHeight="1" x14ac:dyDescent="0.25">
      <c r="A108" s="6" t="s">
        <v>2606</v>
      </c>
      <c r="B108" s="7" t="s">
        <v>660</v>
      </c>
      <c r="C108" s="7" t="s">
        <v>2607</v>
      </c>
      <c r="D108" s="7" t="s">
        <v>662</v>
      </c>
      <c r="E108" s="7" t="s">
        <v>663</v>
      </c>
      <c r="F108" s="7" t="s">
        <v>2593</v>
      </c>
      <c r="G108" s="7" t="s">
        <v>2608</v>
      </c>
      <c r="H108" s="7" t="s">
        <v>34</v>
      </c>
      <c r="I108" s="7" t="s">
        <v>2593</v>
      </c>
      <c r="M108" t="s">
        <v>2827</v>
      </c>
    </row>
    <row r="109" spans="1:13" ht="16.5" customHeight="1" x14ac:dyDescent="0.25">
      <c r="A109" s="12" t="s">
        <v>2606</v>
      </c>
      <c r="B109" s="13" t="s">
        <v>660</v>
      </c>
      <c r="C109" s="13" t="s">
        <v>2607</v>
      </c>
      <c r="D109" s="13" t="s">
        <v>662</v>
      </c>
      <c r="E109" s="13" t="s">
        <v>663</v>
      </c>
      <c r="F109" s="13" t="s">
        <v>2593</v>
      </c>
      <c r="G109" s="13" t="s">
        <v>2609</v>
      </c>
      <c r="H109" s="13" t="s">
        <v>34</v>
      </c>
      <c r="I109" s="13" t="s">
        <v>2595</v>
      </c>
      <c r="M109" t="s">
        <v>2827</v>
      </c>
    </row>
    <row r="110" spans="1:13" ht="16.5" customHeight="1" x14ac:dyDescent="0.25">
      <c r="A110" s="6" t="s">
        <v>2610</v>
      </c>
      <c r="B110" s="7" t="s">
        <v>660</v>
      </c>
      <c r="C110" s="7" t="s">
        <v>2552</v>
      </c>
      <c r="D110" s="7" t="s">
        <v>662</v>
      </c>
      <c r="E110" s="7" t="s">
        <v>663</v>
      </c>
      <c r="F110" s="7" t="s">
        <v>2581</v>
      </c>
      <c r="G110" s="7" t="s">
        <v>2575</v>
      </c>
      <c r="H110" s="7" t="s">
        <v>34</v>
      </c>
      <c r="I110" s="7" t="s">
        <v>2558</v>
      </c>
      <c r="M110" t="s">
        <v>2827</v>
      </c>
    </row>
    <row r="111" spans="1:13" ht="16.5" customHeight="1" x14ac:dyDescent="0.25">
      <c r="A111" s="12" t="s">
        <v>2611</v>
      </c>
      <c r="B111" s="13" t="s">
        <v>660</v>
      </c>
      <c r="C111" s="13" t="s">
        <v>967</v>
      </c>
      <c r="D111" s="13" t="s">
        <v>662</v>
      </c>
      <c r="E111" s="13" t="s">
        <v>663</v>
      </c>
      <c r="F111" s="13" t="s">
        <v>2612</v>
      </c>
      <c r="G111" s="13" t="s">
        <v>1112</v>
      </c>
      <c r="H111" s="13" t="s">
        <v>34</v>
      </c>
      <c r="I111" s="13" t="s">
        <v>1113</v>
      </c>
      <c r="M111" t="s">
        <v>2827</v>
      </c>
    </row>
    <row r="112" spans="1:13" ht="16.5" customHeight="1" x14ac:dyDescent="0.25">
      <c r="A112" s="6" t="s">
        <v>2613</v>
      </c>
      <c r="B112" s="7" t="s">
        <v>660</v>
      </c>
      <c r="C112" s="7" t="s">
        <v>640</v>
      </c>
      <c r="D112" s="7" t="s">
        <v>662</v>
      </c>
      <c r="E112" s="7" t="s">
        <v>663</v>
      </c>
      <c r="F112" s="7" t="s">
        <v>2612</v>
      </c>
      <c r="G112" s="7" t="s">
        <v>2386</v>
      </c>
      <c r="H112" s="7" t="s">
        <v>34</v>
      </c>
      <c r="I112" s="7" t="s">
        <v>1113</v>
      </c>
      <c r="M112" t="s">
        <v>2827</v>
      </c>
    </row>
    <row r="113" spans="1:13" ht="16.5" customHeight="1" x14ac:dyDescent="0.25">
      <c r="A113" s="12" t="s">
        <v>2614</v>
      </c>
      <c r="B113" s="13" t="s">
        <v>660</v>
      </c>
      <c r="C113" s="13" t="s">
        <v>2615</v>
      </c>
      <c r="D113" s="13" t="s">
        <v>662</v>
      </c>
      <c r="E113" s="13" t="s">
        <v>663</v>
      </c>
      <c r="F113" s="13" t="s">
        <v>2015</v>
      </c>
      <c r="G113" s="13" t="s">
        <v>2616</v>
      </c>
      <c r="H113" s="13" t="s">
        <v>34</v>
      </c>
      <c r="I113" s="13" t="s">
        <v>2032</v>
      </c>
      <c r="M113" t="s">
        <v>2827</v>
      </c>
    </row>
    <row r="114" spans="1:13" ht="16.5" customHeight="1" x14ac:dyDescent="0.25">
      <c r="A114" s="6" t="s">
        <v>2617</v>
      </c>
      <c r="B114" s="7" t="s">
        <v>660</v>
      </c>
      <c r="C114" s="7" t="s">
        <v>2618</v>
      </c>
      <c r="D114" s="7" t="s">
        <v>662</v>
      </c>
      <c r="E114" s="7" t="s">
        <v>663</v>
      </c>
      <c r="F114" s="7" t="s">
        <v>2002</v>
      </c>
      <c r="G114" s="7" t="s">
        <v>2619</v>
      </c>
      <c r="H114" s="7" t="s">
        <v>34</v>
      </c>
      <c r="I114" s="7" t="s">
        <v>2022</v>
      </c>
      <c r="M114" t="s">
        <v>2827</v>
      </c>
    </row>
    <row r="115" spans="1:13" ht="16.5" customHeight="1" x14ac:dyDescent="0.25">
      <c r="A115" s="12" t="s">
        <v>2620</v>
      </c>
      <c r="B115" s="13" t="s">
        <v>660</v>
      </c>
      <c r="C115" s="13" t="s">
        <v>936</v>
      </c>
      <c r="D115" s="13" t="s">
        <v>662</v>
      </c>
      <c r="E115" s="13" t="s">
        <v>673</v>
      </c>
      <c r="F115" s="13" t="s">
        <v>2621</v>
      </c>
      <c r="G115" s="13" t="s">
        <v>1744</v>
      </c>
      <c r="H115" s="13" t="s">
        <v>34</v>
      </c>
      <c r="I115" s="13" t="s">
        <v>1742</v>
      </c>
      <c r="M115" t="s">
        <v>2827</v>
      </c>
    </row>
    <row r="116" spans="1:13" ht="16.5" customHeight="1" x14ac:dyDescent="0.25">
      <c r="A116" s="6" t="s">
        <v>2622</v>
      </c>
      <c r="B116" s="7" t="s">
        <v>660</v>
      </c>
      <c r="C116" s="7" t="s">
        <v>640</v>
      </c>
      <c r="D116" s="7" t="s">
        <v>662</v>
      </c>
      <c r="E116" s="7" t="s">
        <v>673</v>
      </c>
      <c r="F116" s="7" t="s">
        <v>2621</v>
      </c>
      <c r="G116" s="7" t="s">
        <v>2386</v>
      </c>
      <c r="H116" s="7" t="s">
        <v>34</v>
      </c>
      <c r="I116" s="7" t="s">
        <v>1113</v>
      </c>
      <c r="M116" t="s">
        <v>2827</v>
      </c>
    </row>
    <row r="117" spans="1:13" ht="16.5" customHeight="1" x14ac:dyDescent="0.25">
      <c r="A117" s="12" t="s">
        <v>2623</v>
      </c>
      <c r="B117" s="13" t="s">
        <v>660</v>
      </c>
      <c r="C117" s="13" t="s">
        <v>2624</v>
      </c>
      <c r="D117" s="13" t="s">
        <v>924</v>
      </c>
      <c r="E117" s="13" t="s">
        <v>898</v>
      </c>
      <c r="F117" s="13" t="s">
        <v>2625</v>
      </c>
      <c r="G117" s="13" t="s">
        <v>2626</v>
      </c>
      <c r="H117" s="13" t="s">
        <v>34</v>
      </c>
      <c r="I117" s="13" t="s">
        <v>2625</v>
      </c>
      <c r="M117" t="s">
        <v>2827</v>
      </c>
    </row>
    <row r="118" spans="1:13" ht="16.5" customHeight="1" x14ac:dyDescent="0.25">
      <c r="A118" s="6" t="s">
        <v>2627</v>
      </c>
      <c r="B118" s="7" t="s">
        <v>660</v>
      </c>
      <c r="C118" s="7" t="s">
        <v>2426</v>
      </c>
      <c r="D118" s="7" t="s">
        <v>924</v>
      </c>
      <c r="E118" s="7" t="s">
        <v>898</v>
      </c>
      <c r="F118" s="7" t="s">
        <v>2628</v>
      </c>
      <c r="G118" s="7" t="s">
        <v>2427</v>
      </c>
      <c r="H118" s="7" t="s">
        <v>34</v>
      </c>
      <c r="I118" s="7" t="s">
        <v>2421</v>
      </c>
      <c r="M118" t="s">
        <v>2827</v>
      </c>
    </row>
    <row r="119" spans="1:13" ht="16.5" customHeight="1" x14ac:dyDescent="0.25">
      <c r="A119" s="12" t="s">
        <v>2629</v>
      </c>
      <c r="B119" s="13" t="s">
        <v>660</v>
      </c>
      <c r="C119" s="13" t="s">
        <v>2630</v>
      </c>
      <c r="D119" s="13" t="s">
        <v>924</v>
      </c>
      <c r="E119" s="13" t="s">
        <v>898</v>
      </c>
      <c r="F119" s="13" t="s">
        <v>2631</v>
      </c>
      <c r="G119" s="13" t="s">
        <v>2435</v>
      </c>
      <c r="H119" s="13" t="s">
        <v>34</v>
      </c>
      <c r="I119" s="13" t="s">
        <v>2430</v>
      </c>
      <c r="M119" t="s">
        <v>2827</v>
      </c>
    </row>
    <row r="120" spans="1:13" ht="17.25" customHeight="1" x14ac:dyDescent="0.25">
      <c r="A120" s="6" t="s">
        <v>2075</v>
      </c>
      <c r="B120" s="7" t="s">
        <v>660</v>
      </c>
      <c r="C120" s="7" t="s">
        <v>640</v>
      </c>
      <c r="D120" s="7" t="s">
        <v>662</v>
      </c>
      <c r="E120" s="7" t="s">
        <v>673</v>
      </c>
      <c r="F120" s="7" t="s">
        <v>2060</v>
      </c>
      <c r="G120" s="7" t="s">
        <v>2387</v>
      </c>
      <c r="H120" s="7" t="s">
        <v>34</v>
      </c>
      <c r="I120" s="7" t="s">
        <v>1113</v>
      </c>
      <c r="M120" t="s">
        <v>2827</v>
      </c>
    </row>
    <row r="121" spans="1:13" ht="16.5" customHeight="1" x14ac:dyDescent="0.25">
      <c r="A121" s="12" t="s">
        <v>2385</v>
      </c>
      <c r="B121" s="13" t="s">
        <v>660</v>
      </c>
      <c r="C121" s="13" t="s">
        <v>640</v>
      </c>
      <c r="D121" s="13" t="s">
        <v>662</v>
      </c>
      <c r="E121" s="13" t="s">
        <v>673</v>
      </c>
      <c r="F121" s="13" t="s">
        <v>2060</v>
      </c>
      <c r="G121" s="13" t="s">
        <v>1886</v>
      </c>
      <c r="H121" s="13" t="s">
        <v>34</v>
      </c>
      <c r="I121" s="13" t="s">
        <v>1878</v>
      </c>
      <c r="M121" t="s">
        <v>2827</v>
      </c>
    </row>
    <row r="122" spans="1:13" ht="16.5" customHeight="1" x14ac:dyDescent="0.25">
      <c r="A122" s="6" t="s">
        <v>2443</v>
      </c>
      <c r="B122" s="7" t="s">
        <v>660</v>
      </c>
      <c r="C122" s="7" t="s">
        <v>640</v>
      </c>
      <c r="D122" s="7" t="s">
        <v>662</v>
      </c>
      <c r="E122" s="7" t="s">
        <v>673</v>
      </c>
      <c r="F122" s="7" t="s">
        <v>2071</v>
      </c>
      <c r="G122" s="7" t="s">
        <v>2388</v>
      </c>
      <c r="H122" s="7" t="s">
        <v>34</v>
      </c>
      <c r="I122" s="7" t="s">
        <v>2389</v>
      </c>
      <c r="M122" t="s">
        <v>2827</v>
      </c>
    </row>
    <row r="123" spans="1:13" ht="16.5" customHeight="1" x14ac:dyDescent="0.25">
      <c r="A123" s="12" t="s">
        <v>1741</v>
      </c>
      <c r="B123" s="13" t="s">
        <v>660</v>
      </c>
      <c r="C123" s="13" t="s">
        <v>640</v>
      </c>
      <c r="D123" s="13" t="s">
        <v>662</v>
      </c>
      <c r="E123" s="13" t="s">
        <v>898</v>
      </c>
      <c r="F123" s="13" t="s">
        <v>1742</v>
      </c>
      <c r="G123" s="13" t="s">
        <v>2386</v>
      </c>
      <c r="H123" s="13" t="s">
        <v>34</v>
      </c>
      <c r="I123" s="13" t="s">
        <v>1113</v>
      </c>
      <c r="M123" t="s">
        <v>2827</v>
      </c>
    </row>
    <row r="124" spans="1:13" ht="16.5" customHeight="1" x14ac:dyDescent="0.25">
      <c r="A124" s="6" t="s">
        <v>2063</v>
      </c>
      <c r="B124" s="7" t="s">
        <v>660</v>
      </c>
      <c r="C124" s="7" t="s">
        <v>268</v>
      </c>
      <c r="D124" s="7" t="s">
        <v>662</v>
      </c>
      <c r="E124" s="7" t="s">
        <v>697</v>
      </c>
      <c r="F124" s="7" t="s">
        <v>2064</v>
      </c>
      <c r="G124" s="7" t="s">
        <v>2548</v>
      </c>
      <c r="H124" s="7" t="s">
        <v>34</v>
      </c>
      <c r="I124" s="7" t="s">
        <v>2546</v>
      </c>
      <c r="M124" t="s">
        <v>2827</v>
      </c>
    </row>
    <row r="125" spans="1:13" ht="16.5" customHeight="1" x14ac:dyDescent="0.25">
      <c r="A125" s="12" t="s">
        <v>2387</v>
      </c>
      <c r="B125" s="13" t="s">
        <v>660</v>
      </c>
      <c r="C125" s="13" t="s">
        <v>640</v>
      </c>
      <c r="D125" s="13" t="s">
        <v>662</v>
      </c>
      <c r="E125" s="13" t="s">
        <v>673</v>
      </c>
      <c r="F125" s="13" t="s">
        <v>1113</v>
      </c>
      <c r="G125" s="13" t="s">
        <v>2600</v>
      </c>
      <c r="H125" s="13" t="s">
        <v>34</v>
      </c>
      <c r="I125" s="13" t="s">
        <v>2601</v>
      </c>
      <c r="M125" t="s">
        <v>2827</v>
      </c>
    </row>
    <row r="126" spans="1:13" ht="16.5" customHeight="1" x14ac:dyDescent="0.25">
      <c r="A126" s="6" t="s">
        <v>2548</v>
      </c>
      <c r="B126" s="7" t="s">
        <v>660</v>
      </c>
      <c r="C126" s="7" t="s">
        <v>268</v>
      </c>
      <c r="D126" s="7" t="s">
        <v>662</v>
      </c>
      <c r="E126" s="7" t="s">
        <v>663</v>
      </c>
      <c r="F126" s="7" t="s">
        <v>2546</v>
      </c>
      <c r="G126" s="7" t="s">
        <v>2557</v>
      </c>
      <c r="H126" s="7" t="s">
        <v>34</v>
      </c>
      <c r="I126" s="7" t="s">
        <v>2558</v>
      </c>
      <c r="M126" t="s">
        <v>2827</v>
      </c>
    </row>
    <row r="127" spans="1:13" ht="16.5" customHeight="1" x14ac:dyDescent="0.25">
      <c r="A127" s="12" t="s">
        <v>2632</v>
      </c>
      <c r="B127" s="13" t="s">
        <v>586</v>
      </c>
      <c r="C127" s="13" t="s">
        <v>2633</v>
      </c>
      <c r="D127" s="13" t="s">
        <v>1057</v>
      </c>
      <c r="E127" s="13" t="s">
        <v>1058</v>
      </c>
      <c r="F127" s="13" t="s">
        <v>1109</v>
      </c>
      <c r="G127" s="13" t="s">
        <v>2634</v>
      </c>
      <c r="H127" s="13" t="s">
        <v>34</v>
      </c>
      <c r="I127" s="13" t="s">
        <v>1109</v>
      </c>
      <c r="M127" t="s">
        <v>2827</v>
      </c>
    </row>
    <row r="128" spans="1:13" ht="16.5" customHeight="1" x14ac:dyDescent="0.25">
      <c r="A128" s="6" t="s">
        <v>2635</v>
      </c>
      <c r="B128" s="7" t="s">
        <v>588</v>
      </c>
      <c r="C128" s="7" t="s">
        <v>2636</v>
      </c>
      <c r="D128" s="7" t="s">
        <v>1057</v>
      </c>
      <c r="E128" s="7" t="s">
        <v>1058</v>
      </c>
      <c r="F128" s="7" t="s">
        <v>1109</v>
      </c>
      <c r="G128" s="7" t="s">
        <v>2637</v>
      </c>
      <c r="H128" s="7" t="s">
        <v>34</v>
      </c>
      <c r="I128" s="7" t="s">
        <v>2456</v>
      </c>
      <c r="M128" t="s">
        <v>2827</v>
      </c>
    </row>
    <row r="129" spans="1:13" ht="16.5" customHeight="1" x14ac:dyDescent="0.25">
      <c r="A129" s="12" t="s">
        <v>2638</v>
      </c>
      <c r="B129" s="13" t="s">
        <v>589</v>
      </c>
      <c r="C129" s="13" t="s">
        <v>2639</v>
      </c>
      <c r="D129" s="13" t="s">
        <v>1057</v>
      </c>
      <c r="E129" s="13" t="s">
        <v>1058</v>
      </c>
      <c r="F129" s="13" t="s">
        <v>2456</v>
      </c>
      <c r="G129" s="13" t="s">
        <v>2640</v>
      </c>
      <c r="H129" s="13" t="s">
        <v>34</v>
      </c>
      <c r="I129" s="13" t="s">
        <v>2082</v>
      </c>
      <c r="M129" t="s">
        <v>2827</v>
      </c>
    </row>
    <row r="130" spans="1:13" ht="16.5" customHeight="1" x14ac:dyDescent="0.25">
      <c r="A130" s="6" t="s">
        <v>2641</v>
      </c>
      <c r="B130" s="7" t="s">
        <v>593</v>
      </c>
      <c r="C130" s="7" t="s">
        <v>2642</v>
      </c>
      <c r="D130" s="7" t="s">
        <v>2476</v>
      </c>
      <c r="E130" s="7" t="s">
        <v>663</v>
      </c>
      <c r="F130" s="7" t="s">
        <v>2643</v>
      </c>
      <c r="G130" s="7" t="s">
        <v>2644</v>
      </c>
      <c r="H130" s="7" t="s">
        <v>34</v>
      </c>
      <c r="I130" s="7" t="s">
        <v>2645</v>
      </c>
      <c r="M130" t="s">
        <v>2827</v>
      </c>
    </row>
    <row r="131" spans="1:13" ht="16.5" customHeight="1" x14ac:dyDescent="0.25">
      <c r="A131" s="12" t="s">
        <v>2646</v>
      </c>
      <c r="B131" s="13" t="s">
        <v>593</v>
      </c>
      <c r="C131" s="13" t="s">
        <v>2647</v>
      </c>
      <c r="D131" s="13" t="s">
        <v>1062</v>
      </c>
      <c r="E131" s="13" t="s">
        <v>663</v>
      </c>
      <c r="F131" s="13" t="s">
        <v>2643</v>
      </c>
      <c r="G131" s="13" t="s">
        <v>2648</v>
      </c>
      <c r="H131" s="13" t="s">
        <v>34</v>
      </c>
      <c r="I131" s="13" t="s">
        <v>2645</v>
      </c>
      <c r="M131" t="s">
        <v>2827</v>
      </c>
    </row>
    <row r="132" spans="1:13" ht="17.25" customHeight="1" x14ac:dyDescent="0.25">
      <c r="A132" s="6" t="s">
        <v>2649</v>
      </c>
      <c r="B132" s="7" t="s">
        <v>593</v>
      </c>
      <c r="C132" s="7" t="s">
        <v>2650</v>
      </c>
      <c r="D132" s="7" t="s">
        <v>1067</v>
      </c>
      <c r="E132" s="7" t="s">
        <v>663</v>
      </c>
      <c r="F132" s="7" t="s">
        <v>2643</v>
      </c>
      <c r="G132" s="7" t="s">
        <v>2651</v>
      </c>
      <c r="H132" s="7" t="s">
        <v>34</v>
      </c>
      <c r="I132" s="7" t="s">
        <v>2645</v>
      </c>
      <c r="M132" t="s">
        <v>2827</v>
      </c>
    </row>
    <row r="133" spans="1:13" ht="16.5" customHeight="1" x14ac:dyDescent="0.25">
      <c r="A133" s="12" t="s">
        <v>2652</v>
      </c>
      <c r="B133" s="13" t="s">
        <v>593</v>
      </c>
      <c r="C133" s="13" t="s">
        <v>2653</v>
      </c>
      <c r="D133" s="13" t="s">
        <v>1071</v>
      </c>
      <c r="E133" s="13" t="s">
        <v>663</v>
      </c>
      <c r="F133" s="13" t="s">
        <v>2643</v>
      </c>
      <c r="G133" s="13" t="s">
        <v>1072</v>
      </c>
      <c r="H133" s="13" t="s">
        <v>34</v>
      </c>
      <c r="I133" s="13" t="s">
        <v>2645</v>
      </c>
      <c r="M133" t="s">
        <v>2827</v>
      </c>
    </row>
    <row r="134" spans="1:13" ht="16.5" customHeight="1" x14ac:dyDescent="0.25">
      <c r="A134" s="6" t="s">
        <v>2654</v>
      </c>
      <c r="B134" s="7" t="s">
        <v>596</v>
      </c>
      <c r="C134" s="7" t="s">
        <v>2655</v>
      </c>
      <c r="D134" s="7" t="s">
        <v>2476</v>
      </c>
      <c r="E134" s="7" t="s">
        <v>663</v>
      </c>
      <c r="F134" s="7" t="s">
        <v>2656</v>
      </c>
      <c r="G134" s="7" t="s">
        <v>2657</v>
      </c>
      <c r="H134" s="7" t="s">
        <v>34</v>
      </c>
      <c r="I134" s="7" t="s">
        <v>2658</v>
      </c>
      <c r="M134" t="s">
        <v>2827</v>
      </c>
    </row>
    <row r="135" spans="1:13" ht="16.5" customHeight="1" x14ac:dyDescent="0.25">
      <c r="A135" s="12" t="s">
        <v>2659</v>
      </c>
      <c r="B135" s="13" t="s">
        <v>596</v>
      </c>
      <c r="C135" s="13" t="s">
        <v>2660</v>
      </c>
      <c r="D135" s="13" t="s">
        <v>1062</v>
      </c>
      <c r="E135" s="13" t="s">
        <v>663</v>
      </c>
      <c r="F135" s="13" t="s">
        <v>2656</v>
      </c>
      <c r="G135" s="13" t="s">
        <v>2661</v>
      </c>
      <c r="H135" s="13" t="s">
        <v>34</v>
      </c>
      <c r="I135" s="13" t="s">
        <v>2658</v>
      </c>
      <c r="M135" t="s">
        <v>2827</v>
      </c>
    </row>
    <row r="136" spans="1:13" ht="16.5" customHeight="1" x14ac:dyDescent="0.25">
      <c r="A136" s="6" t="s">
        <v>2662</v>
      </c>
      <c r="B136" s="7" t="s">
        <v>596</v>
      </c>
      <c r="C136" s="7" t="s">
        <v>2663</v>
      </c>
      <c r="D136" s="7" t="s">
        <v>1067</v>
      </c>
      <c r="E136" s="7" t="s">
        <v>663</v>
      </c>
      <c r="F136" s="7" t="s">
        <v>2656</v>
      </c>
      <c r="G136" s="7" t="s">
        <v>2664</v>
      </c>
      <c r="H136" s="7" t="s">
        <v>34</v>
      </c>
      <c r="I136" s="7" t="s">
        <v>2658</v>
      </c>
      <c r="M136" t="s">
        <v>2827</v>
      </c>
    </row>
    <row r="137" spans="1:13" ht="16.5" customHeight="1" x14ac:dyDescent="0.25">
      <c r="A137" s="12" t="s">
        <v>2665</v>
      </c>
      <c r="B137" s="13" t="s">
        <v>596</v>
      </c>
      <c r="C137" s="13" t="s">
        <v>2666</v>
      </c>
      <c r="D137" s="13" t="s">
        <v>1071</v>
      </c>
      <c r="E137" s="13" t="s">
        <v>663</v>
      </c>
      <c r="F137" s="13" t="s">
        <v>2656</v>
      </c>
      <c r="G137" s="13" t="s">
        <v>1072</v>
      </c>
      <c r="H137" s="13" t="s">
        <v>34</v>
      </c>
      <c r="I137" s="13" t="s">
        <v>2658</v>
      </c>
      <c r="M137" t="s">
        <v>2827</v>
      </c>
    </row>
    <row r="138" spans="1:13" ht="16.5" customHeight="1" x14ac:dyDescent="0.25">
      <c r="A138" s="6" t="s">
        <v>2667</v>
      </c>
      <c r="B138" s="7" t="s">
        <v>597</v>
      </c>
      <c r="C138" s="7" t="s">
        <v>2668</v>
      </c>
      <c r="D138" s="7" t="s">
        <v>2476</v>
      </c>
      <c r="E138" s="7" t="s">
        <v>663</v>
      </c>
      <c r="F138" s="7" t="s">
        <v>2656</v>
      </c>
      <c r="G138" s="7" t="s">
        <v>2669</v>
      </c>
      <c r="H138" s="7" t="s">
        <v>34</v>
      </c>
      <c r="I138" s="7" t="s">
        <v>2658</v>
      </c>
      <c r="M138" t="s">
        <v>2827</v>
      </c>
    </row>
    <row r="139" spans="1:13" ht="16.5" customHeight="1" x14ac:dyDescent="0.25">
      <c r="A139" s="12" t="s">
        <v>2670</v>
      </c>
      <c r="B139" s="13" t="s">
        <v>597</v>
      </c>
      <c r="C139" s="13" t="s">
        <v>2671</v>
      </c>
      <c r="D139" s="13" t="s">
        <v>1062</v>
      </c>
      <c r="E139" s="13" t="s">
        <v>663</v>
      </c>
      <c r="F139" s="13" t="s">
        <v>2656</v>
      </c>
      <c r="G139" s="13" t="s">
        <v>2672</v>
      </c>
      <c r="H139" s="13" t="s">
        <v>34</v>
      </c>
      <c r="I139" s="13" t="s">
        <v>2658</v>
      </c>
      <c r="M139" t="s">
        <v>2827</v>
      </c>
    </row>
    <row r="140" spans="1:13" ht="16.5" customHeight="1" x14ac:dyDescent="0.25">
      <c r="A140" s="6" t="s">
        <v>2673</v>
      </c>
      <c r="B140" s="7" t="s">
        <v>597</v>
      </c>
      <c r="C140" s="7" t="s">
        <v>2674</v>
      </c>
      <c r="D140" s="7" t="s">
        <v>1067</v>
      </c>
      <c r="E140" s="7" t="s">
        <v>663</v>
      </c>
      <c r="F140" s="7" t="s">
        <v>2656</v>
      </c>
      <c r="G140" s="7" t="s">
        <v>2675</v>
      </c>
      <c r="H140" s="7" t="s">
        <v>34</v>
      </c>
      <c r="I140" s="7" t="s">
        <v>2658</v>
      </c>
      <c r="M140" t="s">
        <v>2827</v>
      </c>
    </row>
    <row r="141" spans="1:13" ht="16.5" customHeight="1" x14ac:dyDescent="0.25">
      <c r="A141" s="12" t="s">
        <v>2676</v>
      </c>
      <c r="B141" s="13" t="s">
        <v>597</v>
      </c>
      <c r="C141" s="13" t="s">
        <v>2677</v>
      </c>
      <c r="D141" s="13" t="s">
        <v>1071</v>
      </c>
      <c r="E141" s="13" t="s">
        <v>663</v>
      </c>
      <c r="F141" s="13" t="s">
        <v>2656</v>
      </c>
      <c r="G141" s="13" t="s">
        <v>1072</v>
      </c>
      <c r="H141" s="13" t="s">
        <v>34</v>
      </c>
      <c r="I141" s="13" t="s">
        <v>2658</v>
      </c>
      <c r="M141" t="s">
        <v>2827</v>
      </c>
    </row>
    <row r="142" spans="1:13" ht="16.5" customHeight="1" x14ac:dyDescent="0.25">
      <c r="A142" s="6" t="s">
        <v>2678</v>
      </c>
      <c r="B142" s="7" t="s">
        <v>598</v>
      </c>
      <c r="C142" s="7" t="s">
        <v>2679</v>
      </c>
      <c r="D142" s="7" t="s">
        <v>2476</v>
      </c>
      <c r="E142" s="7" t="s">
        <v>663</v>
      </c>
      <c r="F142" s="7" t="s">
        <v>2680</v>
      </c>
      <c r="G142" s="7" t="s">
        <v>2681</v>
      </c>
      <c r="H142" s="7" t="s">
        <v>34</v>
      </c>
      <c r="I142" s="7" t="s">
        <v>2682</v>
      </c>
      <c r="M142" t="s">
        <v>2827</v>
      </c>
    </row>
    <row r="143" spans="1:13" ht="16.5" customHeight="1" x14ac:dyDescent="0.25">
      <c r="A143" s="12" t="s">
        <v>2683</v>
      </c>
      <c r="B143" s="13" t="s">
        <v>598</v>
      </c>
      <c r="C143" s="13" t="s">
        <v>2684</v>
      </c>
      <c r="D143" s="13" t="s">
        <v>1062</v>
      </c>
      <c r="E143" s="13" t="s">
        <v>663</v>
      </c>
      <c r="F143" s="13" t="s">
        <v>2680</v>
      </c>
      <c r="G143" s="13" t="s">
        <v>2685</v>
      </c>
      <c r="H143" s="13" t="s">
        <v>34</v>
      </c>
      <c r="I143" s="13" t="s">
        <v>2682</v>
      </c>
      <c r="M143" t="s">
        <v>2827</v>
      </c>
    </row>
    <row r="144" spans="1:13" ht="16.5" customHeight="1" x14ac:dyDescent="0.25">
      <c r="A144" s="6" t="s">
        <v>2686</v>
      </c>
      <c r="B144" s="7" t="s">
        <v>598</v>
      </c>
      <c r="C144" s="7" t="s">
        <v>2687</v>
      </c>
      <c r="D144" s="7" t="s">
        <v>1067</v>
      </c>
      <c r="E144" s="7" t="s">
        <v>663</v>
      </c>
      <c r="F144" s="7" t="s">
        <v>2680</v>
      </c>
      <c r="G144" s="7" t="s">
        <v>2688</v>
      </c>
      <c r="H144" s="7" t="s">
        <v>34</v>
      </c>
      <c r="I144" s="7" t="s">
        <v>2682</v>
      </c>
      <c r="M144" t="s">
        <v>2827</v>
      </c>
    </row>
    <row r="145" spans="1:13" ht="17.25" customHeight="1" x14ac:dyDescent="0.25">
      <c r="A145" s="12" t="s">
        <v>2689</v>
      </c>
      <c r="B145" s="13" t="s">
        <v>598</v>
      </c>
      <c r="C145" s="13" t="s">
        <v>2690</v>
      </c>
      <c r="D145" s="13" t="s">
        <v>1071</v>
      </c>
      <c r="E145" s="13" t="s">
        <v>663</v>
      </c>
      <c r="F145" s="13" t="s">
        <v>2680</v>
      </c>
      <c r="G145" s="13" t="s">
        <v>1072</v>
      </c>
      <c r="H145" s="13" t="s">
        <v>34</v>
      </c>
      <c r="I145" s="13" t="s">
        <v>2682</v>
      </c>
      <c r="M145" t="s">
        <v>2827</v>
      </c>
    </row>
    <row r="146" spans="1:13" ht="16.5" customHeight="1" x14ac:dyDescent="0.25">
      <c r="A146" s="6" t="s">
        <v>2691</v>
      </c>
      <c r="B146" s="7" t="s">
        <v>599</v>
      </c>
      <c r="C146" s="7" t="s">
        <v>2692</v>
      </c>
      <c r="D146" s="7" t="s">
        <v>2476</v>
      </c>
      <c r="E146" s="7" t="s">
        <v>663</v>
      </c>
      <c r="F146" s="7" t="s">
        <v>2680</v>
      </c>
      <c r="G146" s="7" t="s">
        <v>2693</v>
      </c>
      <c r="H146" s="7" t="s">
        <v>34</v>
      </c>
      <c r="I146" s="7" t="s">
        <v>2682</v>
      </c>
      <c r="M146" t="s">
        <v>2827</v>
      </c>
    </row>
    <row r="147" spans="1:13" ht="16.5" customHeight="1" x14ac:dyDescent="0.25">
      <c r="A147" s="12" t="s">
        <v>2694</v>
      </c>
      <c r="B147" s="13" t="s">
        <v>599</v>
      </c>
      <c r="C147" s="13" t="s">
        <v>2695</v>
      </c>
      <c r="D147" s="13" t="s">
        <v>1062</v>
      </c>
      <c r="E147" s="13" t="s">
        <v>663</v>
      </c>
      <c r="F147" s="13" t="s">
        <v>2680</v>
      </c>
      <c r="G147" s="13" t="s">
        <v>2696</v>
      </c>
      <c r="H147" s="13" t="s">
        <v>34</v>
      </c>
      <c r="I147" s="13" t="s">
        <v>2682</v>
      </c>
      <c r="M147" t="s">
        <v>2827</v>
      </c>
    </row>
    <row r="148" spans="1:13" ht="16.5" customHeight="1" x14ac:dyDescent="0.25">
      <c r="A148" s="6" t="s">
        <v>2697</v>
      </c>
      <c r="B148" s="7" t="s">
        <v>599</v>
      </c>
      <c r="C148" s="7" t="s">
        <v>2698</v>
      </c>
      <c r="D148" s="7" t="s">
        <v>1067</v>
      </c>
      <c r="E148" s="7" t="s">
        <v>663</v>
      </c>
      <c r="F148" s="7" t="s">
        <v>2680</v>
      </c>
      <c r="G148" s="7" t="s">
        <v>2699</v>
      </c>
      <c r="H148" s="7" t="s">
        <v>34</v>
      </c>
      <c r="I148" s="7" t="s">
        <v>2682</v>
      </c>
      <c r="M148" t="s">
        <v>2827</v>
      </c>
    </row>
    <row r="149" spans="1:13" ht="16.5" customHeight="1" x14ac:dyDescent="0.25">
      <c r="A149" s="12" t="s">
        <v>2700</v>
      </c>
      <c r="B149" s="13" t="s">
        <v>599</v>
      </c>
      <c r="C149" s="13" t="s">
        <v>2701</v>
      </c>
      <c r="D149" s="13" t="s">
        <v>1071</v>
      </c>
      <c r="E149" s="13" t="s">
        <v>663</v>
      </c>
      <c r="F149" s="13" t="s">
        <v>2680</v>
      </c>
      <c r="G149" s="13" t="s">
        <v>1072</v>
      </c>
      <c r="H149" s="13" t="s">
        <v>34</v>
      </c>
      <c r="I149" s="13" t="s">
        <v>2682</v>
      </c>
      <c r="M149" t="s">
        <v>2827</v>
      </c>
    </row>
    <row r="150" spans="1:13" ht="16.5" customHeight="1" x14ac:dyDescent="0.25">
      <c r="A150" s="6" t="s">
        <v>2702</v>
      </c>
      <c r="B150" s="7" t="s">
        <v>600</v>
      </c>
      <c r="C150" s="7" t="s">
        <v>2703</v>
      </c>
      <c r="D150" s="7" t="s">
        <v>2476</v>
      </c>
      <c r="E150" s="7" t="s">
        <v>663</v>
      </c>
      <c r="F150" s="7" t="s">
        <v>2680</v>
      </c>
      <c r="G150" s="7" t="s">
        <v>2704</v>
      </c>
      <c r="H150" s="7" t="s">
        <v>34</v>
      </c>
      <c r="I150" s="7" t="s">
        <v>2682</v>
      </c>
      <c r="M150" t="s">
        <v>2827</v>
      </c>
    </row>
    <row r="151" spans="1:13" ht="16.5" customHeight="1" x14ac:dyDescent="0.25">
      <c r="A151" s="12" t="s">
        <v>2705</v>
      </c>
      <c r="B151" s="13" t="s">
        <v>600</v>
      </c>
      <c r="C151" s="13" t="s">
        <v>2706</v>
      </c>
      <c r="D151" s="13" t="s">
        <v>1062</v>
      </c>
      <c r="E151" s="13" t="s">
        <v>663</v>
      </c>
      <c r="F151" s="13" t="s">
        <v>2680</v>
      </c>
      <c r="G151" s="13" t="s">
        <v>2707</v>
      </c>
      <c r="H151" s="13" t="s">
        <v>34</v>
      </c>
      <c r="I151" s="13" t="s">
        <v>2682</v>
      </c>
      <c r="M151" t="s">
        <v>2827</v>
      </c>
    </row>
    <row r="152" spans="1:13" ht="16.5" customHeight="1" x14ac:dyDescent="0.25">
      <c r="A152" s="6" t="s">
        <v>2708</v>
      </c>
      <c r="B152" s="7" t="s">
        <v>600</v>
      </c>
      <c r="C152" s="7" t="s">
        <v>2709</v>
      </c>
      <c r="D152" s="7" t="s">
        <v>1067</v>
      </c>
      <c r="E152" s="7" t="s">
        <v>663</v>
      </c>
      <c r="F152" s="7" t="s">
        <v>2680</v>
      </c>
      <c r="G152" s="7" t="s">
        <v>2710</v>
      </c>
      <c r="H152" s="7" t="s">
        <v>34</v>
      </c>
      <c r="I152" s="7" t="s">
        <v>2682</v>
      </c>
      <c r="M152" t="s">
        <v>2827</v>
      </c>
    </row>
    <row r="153" spans="1:13" ht="16.5" customHeight="1" x14ac:dyDescent="0.25">
      <c r="A153" s="12" t="s">
        <v>2711</v>
      </c>
      <c r="B153" s="13" t="s">
        <v>600</v>
      </c>
      <c r="C153" s="13" t="s">
        <v>2712</v>
      </c>
      <c r="D153" s="13" t="s">
        <v>1071</v>
      </c>
      <c r="E153" s="13" t="s">
        <v>663</v>
      </c>
      <c r="F153" s="13" t="s">
        <v>2680</v>
      </c>
      <c r="G153" s="13" t="s">
        <v>1072</v>
      </c>
      <c r="H153" s="13" t="s">
        <v>34</v>
      </c>
      <c r="I153" s="13" t="s">
        <v>2713</v>
      </c>
      <c r="M153" t="s">
        <v>2827</v>
      </c>
    </row>
    <row r="154" spans="1:13" ht="16.5" customHeight="1" x14ac:dyDescent="0.25">
      <c r="A154" s="6" t="s">
        <v>2714</v>
      </c>
      <c r="B154" s="7" t="s">
        <v>601</v>
      </c>
      <c r="C154" s="7" t="s">
        <v>2715</v>
      </c>
      <c r="D154" s="7" t="s">
        <v>2476</v>
      </c>
      <c r="E154" s="7" t="s">
        <v>663</v>
      </c>
      <c r="F154" s="7" t="s">
        <v>2716</v>
      </c>
      <c r="G154" s="7" t="s">
        <v>2717</v>
      </c>
      <c r="H154" s="7" t="s">
        <v>34</v>
      </c>
      <c r="I154" s="7" t="s">
        <v>2713</v>
      </c>
      <c r="M154" t="s">
        <v>2827</v>
      </c>
    </row>
    <row r="155" spans="1:13" ht="16.5" customHeight="1" x14ac:dyDescent="0.25">
      <c r="A155" s="12" t="s">
        <v>2718</v>
      </c>
      <c r="B155" s="13" t="s">
        <v>601</v>
      </c>
      <c r="C155" s="13" t="s">
        <v>2719</v>
      </c>
      <c r="D155" s="13" t="s">
        <v>1062</v>
      </c>
      <c r="E155" s="13" t="s">
        <v>663</v>
      </c>
      <c r="F155" s="13" t="s">
        <v>2716</v>
      </c>
      <c r="G155" s="13" t="s">
        <v>2720</v>
      </c>
      <c r="H155" s="13" t="s">
        <v>34</v>
      </c>
      <c r="I155" s="13" t="s">
        <v>2713</v>
      </c>
      <c r="M155" t="s">
        <v>2827</v>
      </c>
    </row>
    <row r="156" spans="1:13" ht="16.5" customHeight="1" x14ac:dyDescent="0.25">
      <c r="A156" s="6" t="s">
        <v>2721</v>
      </c>
      <c r="B156" s="7" t="s">
        <v>601</v>
      </c>
      <c r="C156" s="7" t="s">
        <v>2722</v>
      </c>
      <c r="D156" s="7" t="s">
        <v>1067</v>
      </c>
      <c r="E156" s="7" t="s">
        <v>663</v>
      </c>
      <c r="F156" s="7" t="s">
        <v>2716</v>
      </c>
      <c r="G156" s="7" t="s">
        <v>2723</v>
      </c>
      <c r="H156" s="7" t="s">
        <v>34</v>
      </c>
      <c r="I156" s="7" t="s">
        <v>2713</v>
      </c>
      <c r="M156" t="s">
        <v>2827</v>
      </c>
    </row>
    <row r="157" spans="1:13" ht="17.25" customHeight="1" x14ac:dyDescent="0.25">
      <c r="A157" s="12" t="s">
        <v>2724</v>
      </c>
      <c r="B157" s="13" t="s">
        <v>601</v>
      </c>
      <c r="C157" s="13" t="s">
        <v>2725</v>
      </c>
      <c r="D157" s="13" t="s">
        <v>1071</v>
      </c>
      <c r="E157" s="13" t="s">
        <v>663</v>
      </c>
      <c r="F157" s="13" t="s">
        <v>2716</v>
      </c>
      <c r="G157" s="13" t="s">
        <v>1072</v>
      </c>
      <c r="H157" s="13" t="s">
        <v>34</v>
      </c>
      <c r="I157" s="13" t="s">
        <v>2713</v>
      </c>
      <c r="M157" t="s">
        <v>2827</v>
      </c>
    </row>
    <row r="158" spans="1:13" ht="16.5" customHeight="1" x14ac:dyDescent="0.25">
      <c r="A158" s="6" t="s">
        <v>2726</v>
      </c>
      <c r="B158" s="7" t="s">
        <v>602</v>
      </c>
      <c r="C158" s="7" t="s">
        <v>2727</v>
      </c>
      <c r="D158" s="7" t="s">
        <v>2476</v>
      </c>
      <c r="E158" s="7" t="s">
        <v>663</v>
      </c>
      <c r="F158" s="7" t="s">
        <v>2716</v>
      </c>
      <c r="G158" s="7" t="s">
        <v>2728</v>
      </c>
      <c r="H158" s="7" t="s">
        <v>34</v>
      </c>
      <c r="I158" s="7" t="s">
        <v>2713</v>
      </c>
      <c r="M158" t="s">
        <v>2827</v>
      </c>
    </row>
    <row r="159" spans="1:13" ht="16.5" customHeight="1" x14ac:dyDescent="0.25">
      <c r="A159" s="12" t="s">
        <v>2729</v>
      </c>
      <c r="B159" s="13" t="s">
        <v>602</v>
      </c>
      <c r="C159" s="13" t="s">
        <v>2730</v>
      </c>
      <c r="D159" s="13" t="s">
        <v>1062</v>
      </c>
      <c r="E159" s="13" t="s">
        <v>663</v>
      </c>
      <c r="F159" s="13" t="s">
        <v>2716</v>
      </c>
      <c r="G159" s="13" t="s">
        <v>2731</v>
      </c>
      <c r="H159" s="13" t="s">
        <v>34</v>
      </c>
      <c r="I159" s="13" t="s">
        <v>2713</v>
      </c>
      <c r="M159" t="s">
        <v>2827</v>
      </c>
    </row>
    <row r="160" spans="1:13" ht="16.5" customHeight="1" x14ac:dyDescent="0.25">
      <c r="A160" s="6" t="s">
        <v>2732</v>
      </c>
      <c r="B160" s="7" t="s">
        <v>602</v>
      </c>
      <c r="C160" s="7" t="s">
        <v>2733</v>
      </c>
      <c r="D160" s="7" t="s">
        <v>1067</v>
      </c>
      <c r="E160" s="7" t="s">
        <v>663</v>
      </c>
      <c r="F160" s="7" t="s">
        <v>2716</v>
      </c>
      <c r="G160" s="7" t="s">
        <v>2734</v>
      </c>
      <c r="H160" s="7" t="s">
        <v>34</v>
      </c>
      <c r="I160" s="7" t="s">
        <v>2713</v>
      </c>
      <c r="M160" t="s">
        <v>2827</v>
      </c>
    </row>
    <row r="161" spans="1:13" ht="16.5" customHeight="1" x14ac:dyDescent="0.25">
      <c r="A161" s="12" t="s">
        <v>2735</v>
      </c>
      <c r="B161" s="13" t="s">
        <v>602</v>
      </c>
      <c r="C161" s="13" t="s">
        <v>2736</v>
      </c>
      <c r="D161" s="13" t="s">
        <v>1071</v>
      </c>
      <c r="E161" s="13" t="s">
        <v>663</v>
      </c>
      <c r="F161" s="13" t="s">
        <v>2716</v>
      </c>
      <c r="G161" s="13" t="s">
        <v>1072</v>
      </c>
      <c r="H161" s="13" t="s">
        <v>34</v>
      </c>
      <c r="I161" s="13" t="s">
        <v>2713</v>
      </c>
      <c r="M161" t="s">
        <v>2827</v>
      </c>
    </row>
    <row r="162" spans="1:13" ht="16.5" customHeight="1" x14ac:dyDescent="0.25">
      <c r="A162" s="6" t="s">
        <v>2737</v>
      </c>
      <c r="B162" s="7" t="s">
        <v>606</v>
      </c>
      <c r="C162" s="7" t="s">
        <v>2738</v>
      </c>
      <c r="D162" s="7" t="s">
        <v>2476</v>
      </c>
      <c r="E162" s="7" t="s">
        <v>663</v>
      </c>
      <c r="F162" s="7" t="s">
        <v>2739</v>
      </c>
      <c r="G162" s="7" t="s">
        <v>2740</v>
      </c>
      <c r="H162" s="7" t="s">
        <v>34</v>
      </c>
      <c r="I162" s="7" t="s">
        <v>2741</v>
      </c>
      <c r="M162" t="s">
        <v>2827</v>
      </c>
    </row>
    <row r="163" spans="1:13" ht="16.5" customHeight="1" x14ac:dyDescent="0.25">
      <c r="A163" s="12" t="s">
        <v>2742</v>
      </c>
      <c r="B163" s="13" t="s">
        <v>606</v>
      </c>
      <c r="C163" s="13" t="s">
        <v>2743</v>
      </c>
      <c r="D163" s="13" t="s">
        <v>1062</v>
      </c>
      <c r="E163" s="13" t="s">
        <v>663</v>
      </c>
      <c r="F163" s="13" t="s">
        <v>2739</v>
      </c>
      <c r="G163" s="13" t="s">
        <v>2744</v>
      </c>
      <c r="H163" s="13" t="s">
        <v>34</v>
      </c>
      <c r="I163" s="13" t="s">
        <v>2741</v>
      </c>
      <c r="M163" t="s">
        <v>2827</v>
      </c>
    </row>
    <row r="164" spans="1:13" ht="16.5" customHeight="1" x14ac:dyDescent="0.25">
      <c r="A164" s="6" t="s">
        <v>2745</v>
      </c>
      <c r="B164" s="7" t="s">
        <v>606</v>
      </c>
      <c r="C164" s="7" t="s">
        <v>2746</v>
      </c>
      <c r="D164" s="7" t="s">
        <v>1067</v>
      </c>
      <c r="E164" s="7" t="s">
        <v>663</v>
      </c>
      <c r="F164" s="7" t="s">
        <v>2739</v>
      </c>
      <c r="G164" s="7" t="s">
        <v>2747</v>
      </c>
      <c r="H164" s="7" t="s">
        <v>34</v>
      </c>
      <c r="I164" s="7" t="s">
        <v>2741</v>
      </c>
      <c r="M164" t="s">
        <v>2827</v>
      </c>
    </row>
    <row r="165" spans="1:13" ht="16.5" customHeight="1" x14ac:dyDescent="0.25">
      <c r="A165" s="12" t="s">
        <v>2748</v>
      </c>
      <c r="B165" s="13" t="s">
        <v>606</v>
      </c>
      <c r="C165" s="13" t="s">
        <v>2749</v>
      </c>
      <c r="D165" s="13" t="s">
        <v>1071</v>
      </c>
      <c r="E165" s="13" t="s">
        <v>663</v>
      </c>
      <c r="F165" s="13" t="s">
        <v>2739</v>
      </c>
      <c r="G165" s="13" t="s">
        <v>2750</v>
      </c>
      <c r="H165" s="13" t="s">
        <v>34</v>
      </c>
      <c r="I165" s="13" t="s">
        <v>2741</v>
      </c>
      <c r="M165" t="s">
        <v>2827</v>
      </c>
    </row>
    <row r="166" spans="1:13" ht="16.5" customHeight="1" x14ac:dyDescent="0.25">
      <c r="A166" s="6" t="s">
        <v>2751</v>
      </c>
      <c r="B166" s="7" t="s">
        <v>610</v>
      </c>
      <c r="C166" s="7" t="s">
        <v>2752</v>
      </c>
      <c r="D166" s="7" t="s">
        <v>1062</v>
      </c>
      <c r="E166" s="7" t="s">
        <v>697</v>
      </c>
      <c r="F166" s="7" t="s">
        <v>2493</v>
      </c>
      <c r="G166" s="7" t="s">
        <v>2753</v>
      </c>
      <c r="H166" s="7" t="s">
        <v>34</v>
      </c>
      <c r="I166" s="7" t="s">
        <v>2541</v>
      </c>
      <c r="M166" t="s">
        <v>2827</v>
      </c>
    </row>
    <row r="167" spans="1:13" ht="16.5" customHeight="1" x14ac:dyDescent="0.25">
      <c r="A167" s="12" t="s">
        <v>2754</v>
      </c>
      <c r="B167" s="13" t="s">
        <v>610</v>
      </c>
      <c r="C167" s="13" t="s">
        <v>2755</v>
      </c>
      <c r="D167" s="13" t="s">
        <v>1067</v>
      </c>
      <c r="E167" s="13" t="s">
        <v>697</v>
      </c>
      <c r="F167" s="13" t="s">
        <v>2493</v>
      </c>
      <c r="G167" s="13" t="s">
        <v>2756</v>
      </c>
      <c r="H167" s="13" t="s">
        <v>34</v>
      </c>
      <c r="I167" s="13" t="s">
        <v>2541</v>
      </c>
      <c r="M167" t="s">
        <v>2827</v>
      </c>
    </row>
    <row r="168" spans="1:13" ht="16.5" customHeight="1" x14ac:dyDescent="0.25">
      <c r="A168" s="6" t="s">
        <v>2757</v>
      </c>
      <c r="B168" s="7" t="s">
        <v>610</v>
      </c>
      <c r="C168" s="7" t="s">
        <v>2538</v>
      </c>
      <c r="D168" s="7" t="s">
        <v>1071</v>
      </c>
      <c r="E168" s="7" t="s">
        <v>697</v>
      </c>
      <c r="F168" s="7" t="s">
        <v>2539</v>
      </c>
      <c r="G168" s="7" t="s">
        <v>2540</v>
      </c>
      <c r="H168" s="7" t="s">
        <v>34</v>
      </c>
      <c r="I168" s="7" t="s">
        <v>2541</v>
      </c>
      <c r="M168" t="s">
        <v>2827</v>
      </c>
    </row>
    <row r="169" spans="1:13" ht="16.5" customHeight="1" x14ac:dyDescent="0.25">
      <c r="A169" s="12" t="s">
        <v>2758</v>
      </c>
      <c r="B169" s="13" t="s">
        <v>611</v>
      </c>
      <c r="C169" s="13" t="s">
        <v>2759</v>
      </c>
      <c r="D169" s="13" t="s">
        <v>1520</v>
      </c>
      <c r="E169" s="13" t="s">
        <v>1058</v>
      </c>
      <c r="F169" s="13" t="s">
        <v>2438</v>
      </c>
      <c r="G169" s="13" t="s">
        <v>2760</v>
      </c>
      <c r="H169" s="13" t="s">
        <v>34</v>
      </c>
      <c r="I169" s="13" t="s">
        <v>1109</v>
      </c>
      <c r="M169" t="s">
        <v>2827</v>
      </c>
    </row>
    <row r="170" spans="1:13" ht="17.25" customHeight="1" x14ac:dyDescent="0.25">
      <c r="A170" s="6" t="s">
        <v>2761</v>
      </c>
      <c r="B170" s="7" t="s">
        <v>614</v>
      </c>
      <c r="C170" s="7" t="s">
        <v>2762</v>
      </c>
      <c r="D170" s="7" t="s">
        <v>1520</v>
      </c>
      <c r="E170" s="7" t="s">
        <v>1058</v>
      </c>
      <c r="F170" s="7" t="s">
        <v>1109</v>
      </c>
      <c r="G170" s="7" t="s">
        <v>2763</v>
      </c>
      <c r="H170" s="7" t="s">
        <v>34</v>
      </c>
      <c r="I170" s="7" t="s">
        <v>1109</v>
      </c>
      <c r="M170" t="s">
        <v>2827</v>
      </c>
    </row>
    <row r="171" spans="1:13" ht="16.5" customHeight="1" x14ac:dyDescent="0.25">
      <c r="A171" s="12" t="s">
        <v>2764</v>
      </c>
      <c r="B171" s="13" t="s">
        <v>615</v>
      </c>
      <c r="C171" s="13" t="s">
        <v>2765</v>
      </c>
      <c r="D171" s="13" t="s">
        <v>1520</v>
      </c>
      <c r="E171" s="13" t="s">
        <v>1058</v>
      </c>
      <c r="F171" s="13" t="s">
        <v>1109</v>
      </c>
      <c r="G171" s="13" t="s">
        <v>2766</v>
      </c>
      <c r="H171" s="13" t="s">
        <v>34</v>
      </c>
      <c r="I171" s="13" t="s">
        <v>2456</v>
      </c>
      <c r="M171" t="s">
        <v>2827</v>
      </c>
    </row>
    <row r="172" spans="1:13" ht="16.5" customHeight="1" x14ac:dyDescent="0.25">
      <c r="A172" s="6" t="s">
        <v>2767</v>
      </c>
      <c r="B172" s="7" t="s">
        <v>616</v>
      </c>
      <c r="C172" s="7" t="s">
        <v>2768</v>
      </c>
      <c r="D172" s="7" t="s">
        <v>1520</v>
      </c>
      <c r="E172" s="7" t="s">
        <v>1058</v>
      </c>
      <c r="F172" s="7" t="s">
        <v>2456</v>
      </c>
      <c r="G172" s="7" t="s">
        <v>2769</v>
      </c>
      <c r="H172" s="7" t="s">
        <v>34</v>
      </c>
      <c r="I172" s="7" t="s">
        <v>2082</v>
      </c>
      <c r="M172" t="s">
        <v>2827</v>
      </c>
    </row>
    <row r="173" spans="1:13" ht="16.5" customHeight="1" x14ac:dyDescent="0.25">
      <c r="A173" s="12" t="s">
        <v>2770</v>
      </c>
      <c r="B173" s="13" t="s">
        <v>620</v>
      </c>
      <c r="C173" s="13" t="s">
        <v>2771</v>
      </c>
      <c r="D173" s="13" t="s">
        <v>662</v>
      </c>
      <c r="E173" s="13" t="s">
        <v>898</v>
      </c>
      <c r="F173" s="13" t="s">
        <v>2772</v>
      </c>
      <c r="G173" s="13" t="s">
        <v>2773</v>
      </c>
      <c r="H173" s="13" t="s">
        <v>34</v>
      </c>
      <c r="I173" s="13" t="s">
        <v>2774</v>
      </c>
      <c r="M173" t="s">
        <v>2827</v>
      </c>
    </row>
    <row r="174" spans="1:13" ht="16.5" customHeight="1" x14ac:dyDescent="0.25">
      <c r="A174" s="6" t="s">
        <v>2775</v>
      </c>
      <c r="B174" s="7" t="s">
        <v>620</v>
      </c>
      <c r="C174" s="7" t="s">
        <v>2776</v>
      </c>
      <c r="D174" s="7" t="s">
        <v>1067</v>
      </c>
      <c r="E174" s="7" t="s">
        <v>898</v>
      </c>
      <c r="F174" s="7" t="s">
        <v>2772</v>
      </c>
      <c r="G174" s="7" t="s">
        <v>2777</v>
      </c>
      <c r="H174" s="7" t="s">
        <v>34</v>
      </c>
      <c r="I174" s="7" t="s">
        <v>2774</v>
      </c>
      <c r="M174" t="s">
        <v>2827</v>
      </c>
    </row>
    <row r="175" spans="1:13" ht="16.5" customHeight="1" x14ac:dyDescent="0.25">
      <c r="A175" s="12" t="s">
        <v>2778</v>
      </c>
      <c r="B175" s="13" t="s">
        <v>620</v>
      </c>
      <c r="C175" s="13" t="s">
        <v>2624</v>
      </c>
      <c r="D175" s="13" t="s">
        <v>1071</v>
      </c>
      <c r="E175" s="13" t="s">
        <v>898</v>
      </c>
      <c r="F175" s="13" t="s">
        <v>2774</v>
      </c>
      <c r="G175" s="13" t="s">
        <v>2779</v>
      </c>
      <c r="H175" s="13" t="s">
        <v>34</v>
      </c>
      <c r="I175" s="13" t="s">
        <v>2772</v>
      </c>
      <c r="M175" t="s">
        <v>2827</v>
      </c>
    </row>
    <row r="176" spans="1:13" ht="16.5" customHeight="1" x14ac:dyDescent="0.25">
      <c r="A176" s="6" t="s">
        <v>2780</v>
      </c>
      <c r="B176" s="7" t="s">
        <v>623</v>
      </c>
      <c r="C176" s="7" t="s">
        <v>2418</v>
      </c>
      <c r="D176" s="7" t="s">
        <v>662</v>
      </c>
      <c r="E176" s="7" t="s">
        <v>898</v>
      </c>
      <c r="F176" s="7" t="s">
        <v>2781</v>
      </c>
      <c r="G176" s="7" t="s">
        <v>2420</v>
      </c>
      <c r="H176" s="7" t="s">
        <v>34</v>
      </c>
      <c r="I176" s="7" t="s">
        <v>2421</v>
      </c>
      <c r="M176" t="s">
        <v>2827</v>
      </c>
    </row>
    <row r="177" spans="1:13" ht="16.5" customHeight="1" x14ac:dyDescent="0.25">
      <c r="A177" s="12" t="s">
        <v>2782</v>
      </c>
      <c r="B177" s="13" t="s">
        <v>623</v>
      </c>
      <c r="C177" s="13" t="s">
        <v>2423</v>
      </c>
      <c r="D177" s="13" t="s">
        <v>1067</v>
      </c>
      <c r="E177" s="13" t="s">
        <v>898</v>
      </c>
      <c r="F177" s="13" t="s">
        <v>2781</v>
      </c>
      <c r="G177" s="13" t="s">
        <v>2424</v>
      </c>
      <c r="H177" s="13" t="s">
        <v>34</v>
      </c>
      <c r="I177" s="13" t="s">
        <v>2421</v>
      </c>
      <c r="M177" t="s">
        <v>2827</v>
      </c>
    </row>
    <row r="178" spans="1:13" ht="16.5" customHeight="1" x14ac:dyDescent="0.25">
      <c r="A178" s="6" t="s">
        <v>2783</v>
      </c>
      <c r="B178" s="7" t="s">
        <v>623</v>
      </c>
      <c r="C178" s="7" t="s">
        <v>2426</v>
      </c>
      <c r="D178" s="7" t="s">
        <v>1071</v>
      </c>
      <c r="E178" s="7" t="s">
        <v>898</v>
      </c>
      <c r="F178" s="7" t="s">
        <v>2628</v>
      </c>
      <c r="G178" s="7" t="s">
        <v>2427</v>
      </c>
      <c r="H178" s="7" t="s">
        <v>34</v>
      </c>
      <c r="I178" s="7" t="s">
        <v>2421</v>
      </c>
      <c r="M178" t="s">
        <v>2827</v>
      </c>
    </row>
    <row r="179" spans="1:13" ht="16.5" customHeight="1" x14ac:dyDescent="0.25">
      <c r="A179" s="12" t="s">
        <v>2785</v>
      </c>
      <c r="B179" s="13" t="s">
        <v>624</v>
      </c>
      <c r="C179" s="13" t="s">
        <v>52</v>
      </c>
      <c r="D179" s="13" t="s">
        <v>662</v>
      </c>
      <c r="E179" s="13" t="s">
        <v>898</v>
      </c>
      <c r="F179" s="13" t="s">
        <v>2772</v>
      </c>
      <c r="G179" s="13" t="s">
        <v>2784</v>
      </c>
      <c r="H179" s="13" t="s">
        <v>34</v>
      </c>
      <c r="I179" s="13" t="s">
        <v>2625</v>
      </c>
      <c r="M179" t="s">
        <v>2827</v>
      </c>
    </row>
    <row r="180" spans="1:13" ht="16.5" customHeight="1" x14ac:dyDescent="0.25">
      <c r="A180" s="6" t="s">
        <v>2787</v>
      </c>
      <c r="B180" s="7" t="s">
        <v>624</v>
      </c>
      <c r="C180" s="7" t="s">
        <v>55</v>
      </c>
      <c r="D180" s="7" t="s">
        <v>1067</v>
      </c>
      <c r="E180" s="7" t="s">
        <v>898</v>
      </c>
      <c r="F180" s="7" t="s">
        <v>2772</v>
      </c>
      <c r="G180" s="7" t="s">
        <v>2786</v>
      </c>
      <c r="H180" s="7" t="s">
        <v>34</v>
      </c>
      <c r="I180" s="7" t="s">
        <v>2625</v>
      </c>
      <c r="M180" t="s">
        <v>2827</v>
      </c>
    </row>
    <row r="181" spans="1:13" ht="16.5" customHeight="1" x14ac:dyDescent="0.25">
      <c r="A181" s="12" t="s">
        <v>2779</v>
      </c>
      <c r="B181" s="13" t="s">
        <v>624</v>
      </c>
      <c r="C181" s="13" t="s">
        <v>2624</v>
      </c>
      <c r="D181" s="13" t="s">
        <v>1071</v>
      </c>
      <c r="E181" s="13" t="s">
        <v>898</v>
      </c>
      <c r="F181" s="13" t="s">
        <v>2772</v>
      </c>
      <c r="G181" s="13" t="s">
        <v>2626</v>
      </c>
      <c r="H181" s="13" t="s">
        <v>34</v>
      </c>
      <c r="I181" s="13" t="s">
        <v>2625</v>
      </c>
      <c r="M181" t="s">
        <v>2827</v>
      </c>
    </row>
    <row r="182" spans="1:13" ht="17.25" customHeight="1" x14ac:dyDescent="0.25">
      <c r="A182" s="6" t="s">
        <v>2791</v>
      </c>
      <c r="B182" s="7" t="s">
        <v>625</v>
      </c>
      <c r="C182" s="7" t="s">
        <v>2789</v>
      </c>
      <c r="D182" s="7" t="s">
        <v>662</v>
      </c>
      <c r="E182" s="7" t="s">
        <v>898</v>
      </c>
      <c r="F182" s="7" t="s">
        <v>2790</v>
      </c>
      <c r="G182" s="7" t="s">
        <v>2788</v>
      </c>
      <c r="H182" s="7" t="s">
        <v>34</v>
      </c>
      <c r="I182" s="7" t="s">
        <v>2625</v>
      </c>
      <c r="M182" t="s">
        <v>2827</v>
      </c>
    </row>
    <row r="183" spans="1:13" ht="16.5" customHeight="1" x14ac:dyDescent="0.25">
      <c r="A183" s="12" t="s">
        <v>2794</v>
      </c>
      <c r="B183" s="13" t="s">
        <v>625</v>
      </c>
      <c r="C183" s="13" t="s">
        <v>2793</v>
      </c>
      <c r="D183" s="13" t="s">
        <v>1067</v>
      </c>
      <c r="E183" s="13" t="s">
        <v>898</v>
      </c>
      <c r="F183" s="13" t="s">
        <v>2790</v>
      </c>
      <c r="G183" s="13" t="s">
        <v>2792</v>
      </c>
      <c r="H183" s="13" t="s">
        <v>34</v>
      </c>
      <c r="I183" s="13" t="s">
        <v>2625</v>
      </c>
      <c r="M183" t="s">
        <v>2827</v>
      </c>
    </row>
    <row r="184" spans="1:13" ht="16.5" customHeight="1" x14ac:dyDescent="0.25">
      <c r="A184" s="6" t="s">
        <v>2795</v>
      </c>
      <c r="B184" s="7" t="s">
        <v>625</v>
      </c>
      <c r="C184" s="7" t="s">
        <v>2624</v>
      </c>
      <c r="D184" s="7" t="s">
        <v>1071</v>
      </c>
      <c r="E184" s="7" t="s">
        <v>898</v>
      </c>
      <c r="F184" s="7" t="s">
        <v>2625</v>
      </c>
      <c r="G184" s="7" t="s">
        <v>2626</v>
      </c>
      <c r="H184" s="7" t="s">
        <v>34</v>
      </c>
      <c r="I184" s="7" t="s">
        <v>2625</v>
      </c>
      <c r="M184" t="s">
        <v>2827</v>
      </c>
    </row>
    <row r="185" spans="1:13" ht="16.5" customHeight="1" x14ac:dyDescent="0.25">
      <c r="A185" s="12" t="s">
        <v>2070</v>
      </c>
      <c r="B185" s="13" t="s">
        <v>660</v>
      </c>
      <c r="C185" s="13" t="s">
        <v>267</v>
      </c>
      <c r="D185" s="13" t="s">
        <v>662</v>
      </c>
      <c r="E185" s="13" t="s">
        <v>673</v>
      </c>
      <c r="F185" s="13" t="s">
        <v>2071</v>
      </c>
      <c r="G185" s="13" t="s">
        <v>1991</v>
      </c>
      <c r="H185" s="13" t="s">
        <v>255</v>
      </c>
      <c r="I185" s="13" t="s">
        <v>1992</v>
      </c>
      <c r="M185" t="s">
        <v>2827</v>
      </c>
    </row>
    <row r="186" spans="1:13" ht="16.5" customHeight="1" x14ac:dyDescent="0.25">
      <c r="A186" s="6" t="s">
        <v>2074</v>
      </c>
      <c r="B186" s="7" t="s">
        <v>660</v>
      </c>
      <c r="C186" s="7" t="s">
        <v>2073</v>
      </c>
      <c r="D186" s="7" t="s">
        <v>716</v>
      </c>
      <c r="E186" s="7" t="s">
        <v>673</v>
      </c>
      <c r="F186" s="7" t="s">
        <v>1956</v>
      </c>
      <c r="G186" s="7" t="s">
        <v>2072</v>
      </c>
      <c r="H186" s="7" t="s">
        <v>255</v>
      </c>
      <c r="I186" s="7" t="s">
        <v>1949</v>
      </c>
      <c r="M186" t="s">
        <v>2827</v>
      </c>
    </row>
    <row r="187" spans="1:13" ht="16.5" customHeight="1" x14ac:dyDescent="0.25">
      <c r="A187" s="12" t="s">
        <v>2057</v>
      </c>
      <c r="B187" s="13" t="s">
        <v>660</v>
      </c>
      <c r="C187" s="13" t="s">
        <v>2056</v>
      </c>
      <c r="D187" s="13" t="s">
        <v>716</v>
      </c>
      <c r="E187" s="13" t="s">
        <v>673</v>
      </c>
      <c r="F187" s="13" t="s">
        <v>2058</v>
      </c>
      <c r="G187" s="13" t="s">
        <v>2055</v>
      </c>
      <c r="H187" s="13" t="s">
        <v>255</v>
      </c>
      <c r="I187" s="13" t="s">
        <v>1959</v>
      </c>
      <c r="M187" t="s">
        <v>2827</v>
      </c>
    </row>
    <row r="188" spans="1:13" ht="16.5" customHeight="1" x14ac:dyDescent="0.25">
      <c r="A188" s="6" t="s">
        <v>1996</v>
      </c>
      <c r="B188" s="7" t="s">
        <v>660</v>
      </c>
      <c r="C188" s="7" t="s">
        <v>1994</v>
      </c>
      <c r="D188" s="7" t="s">
        <v>662</v>
      </c>
      <c r="E188" s="7" t="s">
        <v>663</v>
      </c>
      <c r="F188" s="7" t="s">
        <v>1997</v>
      </c>
      <c r="G188" s="7" t="s">
        <v>1993</v>
      </c>
      <c r="H188" s="7" t="s">
        <v>255</v>
      </c>
      <c r="I188" s="7" t="s">
        <v>1995</v>
      </c>
      <c r="M188" t="s">
        <v>2827</v>
      </c>
    </row>
    <row r="189" spans="1:13" ht="16.5" customHeight="1" x14ac:dyDescent="0.25">
      <c r="A189" s="12" t="s">
        <v>2018</v>
      </c>
      <c r="B189" s="13" t="s">
        <v>660</v>
      </c>
      <c r="C189" s="13" t="s">
        <v>2017</v>
      </c>
      <c r="D189" s="13" t="s">
        <v>662</v>
      </c>
      <c r="E189" s="13" t="s">
        <v>663</v>
      </c>
      <c r="F189" s="13" t="s">
        <v>1997</v>
      </c>
      <c r="G189" s="13" t="s">
        <v>2016</v>
      </c>
      <c r="H189" s="13" t="s">
        <v>255</v>
      </c>
      <c r="I189" s="13" t="s">
        <v>1995</v>
      </c>
      <c r="M189" t="s">
        <v>2827</v>
      </c>
    </row>
    <row r="190" spans="1:13" ht="16.5" customHeight="1" x14ac:dyDescent="0.25">
      <c r="A190" s="6" t="s">
        <v>2005</v>
      </c>
      <c r="B190" s="7" t="s">
        <v>660</v>
      </c>
      <c r="C190" s="7" t="s">
        <v>2004</v>
      </c>
      <c r="D190" s="7" t="s">
        <v>662</v>
      </c>
      <c r="E190" s="7" t="s">
        <v>663</v>
      </c>
      <c r="F190" s="7" t="s">
        <v>1997</v>
      </c>
      <c r="G190" s="7" t="s">
        <v>2003</v>
      </c>
      <c r="H190" s="7" t="s">
        <v>255</v>
      </c>
      <c r="I190" s="7" t="s">
        <v>1995</v>
      </c>
      <c r="M190" t="s">
        <v>2827</v>
      </c>
    </row>
    <row r="191" spans="1:13" ht="16.5" customHeight="1" x14ac:dyDescent="0.25">
      <c r="A191" s="12" t="s">
        <v>2025</v>
      </c>
      <c r="B191" s="13" t="s">
        <v>660</v>
      </c>
      <c r="C191" s="13" t="s">
        <v>2024</v>
      </c>
      <c r="D191" s="13" t="s">
        <v>662</v>
      </c>
      <c r="E191" s="13" t="s">
        <v>663</v>
      </c>
      <c r="F191" s="13" t="s">
        <v>1997</v>
      </c>
      <c r="G191" s="13" t="s">
        <v>2023</v>
      </c>
      <c r="H191" s="13" t="s">
        <v>255</v>
      </c>
      <c r="I191" s="13" t="s">
        <v>1995</v>
      </c>
      <c r="M191" t="s">
        <v>2827</v>
      </c>
    </row>
    <row r="192" spans="1:13" ht="16.5" customHeight="1" x14ac:dyDescent="0.25">
      <c r="A192" s="6" t="s">
        <v>2009</v>
      </c>
      <c r="B192" s="7" t="s">
        <v>660</v>
      </c>
      <c r="C192" s="7" t="s">
        <v>2007</v>
      </c>
      <c r="D192" s="7" t="s">
        <v>662</v>
      </c>
      <c r="E192" s="7" t="s">
        <v>663</v>
      </c>
      <c r="F192" s="7" t="s">
        <v>2010</v>
      </c>
      <c r="G192" s="7" t="s">
        <v>2006</v>
      </c>
      <c r="H192" s="7" t="s">
        <v>255</v>
      </c>
      <c r="I192" s="7" t="s">
        <v>2008</v>
      </c>
      <c r="M192" t="s">
        <v>2827</v>
      </c>
    </row>
    <row r="193" spans="1:13" ht="16.5" customHeight="1" x14ac:dyDescent="0.25">
      <c r="A193" s="12" t="s">
        <v>2028</v>
      </c>
      <c r="B193" s="13" t="s">
        <v>660</v>
      </c>
      <c r="C193" s="13" t="s">
        <v>2027</v>
      </c>
      <c r="D193" s="13" t="s">
        <v>662</v>
      </c>
      <c r="E193" s="13" t="s">
        <v>663</v>
      </c>
      <c r="F193" s="13" t="s">
        <v>2010</v>
      </c>
      <c r="G193" s="13" t="s">
        <v>2026</v>
      </c>
      <c r="H193" s="13" t="s">
        <v>255</v>
      </c>
      <c r="I193" s="13" t="s">
        <v>2008</v>
      </c>
      <c r="M193" t="s">
        <v>2827</v>
      </c>
    </row>
    <row r="194" spans="1:13" ht="16.5" customHeight="1" x14ac:dyDescent="0.25">
      <c r="A194" s="6" t="s">
        <v>2044</v>
      </c>
      <c r="B194" s="7" t="s">
        <v>660</v>
      </c>
      <c r="C194" s="7" t="s">
        <v>2042</v>
      </c>
      <c r="D194" s="7" t="s">
        <v>662</v>
      </c>
      <c r="E194" s="7" t="s">
        <v>663</v>
      </c>
      <c r="F194" s="7" t="s">
        <v>2045</v>
      </c>
      <c r="G194" s="7" t="s">
        <v>2041</v>
      </c>
      <c r="H194" s="7" t="s">
        <v>255</v>
      </c>
      <c r="I194" s="7" t="s">
        <v>2043</v>
      </c>
      <c r="M194" t="s">
        <v>2827</v>
      </c>
    </row>
    <row r="195" spans="1:13" ht="17.25" customHeight="1" x14ac:dyDescent="0.25">
      <c r="A195" s="12" t="s">
        <v>2054</v>
      </c>
      <c r="B195" s="13" t="s">
        <v>660</v>
      </c>
      <c r="C195" s="13" t="s">
        <v>2053</v>
      </c>
      <c r="D195" s="13" t="s">
        <v>662</v>
      </c>
      <c r="E195" s="13" t="s">
        <v>663</v>
      </c>
      <c r="F195" s="13" t="s">
        <v>2045</v>
      </c>
      <c r="G195" s="13" t="s">
        <v>2052</v>
      </c>
      <c r="H195" s="13" t="s">
        <v>255</v>
      </c>
      <c r="I195" s="13" t="s">
        <v>2043</v>
      </c>
      <c r="M195" t="s">
        <v>2827</v>
      </c>
    </row>
    <row r="196" spans="1:13" ht="16.5" customHeight="1" x14ac:dyDescent="0.25">
      <c r="A196" s="6" t="s">
        <v>2036</v>
      </c>
      <c r="B196" s="7" t="s">
        <v>660</v>
      </c>
      <c r="C196" s="7" t="s">
        <v>2034</v>
      </c>
      <c r="D196" s="7" t="s">
        <v>662</v>
      </c>
      <c r="E196" s="7" t="s">
        <v>663</v>
      </c>
      <c r="F196" s="7" t="s">
        <v>2037</v>
      </c>
      <c r="G196" s="7" t="s">
        <v>2033</v>
      </c>
      <c r="H196" s="7" t="s">
        <v>255</v>
      </c>
      <c r="I196" s="7" t="s">
        <v>2035</v>
      </c>
      <c r="M196" t="s">
        <v>2827</v>
      </c>
    </row>
    <row r="197" spans="1:13" ht="16.5" customHeight="1" x14ac:dyDescent="0.25">
      <c r="A197" s="12" t="s">
        <v>2048</v>
      </c>
      <c r="B197" s="13" t="s">
        <v>660</v>
      </c>
      <c r="C197" s="13" t="s">
        <v>2047</v>
      </c>
      <c r="D197" s="13" t="s">
        <v>662</v>
      </c>
      <c r="E197" s="13" t="s">
        <v>663</v>
      </c>
      <c r="F197" s="13" t="s">
        <v>2037</v>
      </c>
      <c r="G197" s="13" t="s">
        <v>2046</v>
      </c>
      <c r="H197" s="13" t="s">
        <v>255</v>
      </c>
      <c r="I197" s="13" t="s">
        <v>2035</v>
      </c>
      <c r="M197" t="s">
        <v>2827</v>
      </c>
    </row>
    <row r="198" spans="1:13" ht="16.5" customHeight="1" x14ac:dyDescent="0.25">
      <c r="A198" s="6" t="s">
        <v>2040</v>
      </c>
      <c r="B198" s="7" t="s">
        <v>660</v>
      </c>
      <c r="C198" s="7" t="s">
        <v>2039</v>
      </c>
      <c r="D198" s="7" t="s">
        <v>662</v>
      </c>
      <c r="E198" s="7" t="s">
        <v>663</v>
      </c>
      <c r="F198" s="7" t="s">
        <v>2037</v>
      </c>
      <c r="G198" s="7" t="s">
        <v>2038</v>
      </c>
      <c r="H198" s="7" t="s">
        <v>255</v>
      </c>
      <c r="I198" s="7" t="s">
        <v>2035</v>
      </c>
      <c r="M198" t="s">
        <v>2827</v>
      </c>
    </row>
    <row r="199" spans="1:13" ht="16.5" customHeight="1" x14ac:dyDescent="0.25">
      <c r="A199" s="12" t="s">
        <v>2051</v>
      </c>
      <c r="B199" s="13" t="s">
        <v>660</v>
      </c>
      <c r="C199" s="13" t="s">
        <v>2050</v>
      </c>
      <c r="D199" s="13" t="s">
        <v>662</v>
      </c>
      <c r="E199" s="13" t="s">
        <v>663</v>
      </c>
      <c r="F199" s="13" t="s">
        <v>2037</v>
      </c>
      <c r="G199" s="13" t="s">
        <v>2049</v>
      </c>
      <c r="H199" s="13" t="s">
        <v>255</v>
      </c>
      <c r="I199" s="13" t="s">
        <v>2035</v>
      </c>
      <c r="M199" t="s">
        <v>2827</v>
      </c>
    </row>
    <row r="200" spans="1:13" ht="16.5" customHeight="1" x14ac:dyDescent="0.25">
      <c r="A200" s="6" t="s">
        <v>2014</v>
      </c>
      <c r="B200" s="7" t="s">
        <v>660</v>
      </c>
      <c r="C200" s="7" t="s">
        <v>2012</v>
      </c>
      <c r="D200" s="7" t="s">
        <v>662</v>
      </c>
      <c r="E200" s="7" t="s">
        <v>663</v>
      </c>
      <c r="F200" s="7" t="s">
        <v>2015</v>
      </c>
      <c r="G200" s="7" t="s">
        <v>2011</v>
      </c>
      <c r="H200" s="7" t="s">
        <v>255</v>
      </c>
      <c r="I200" s="7" t="s">
        <v>2013</v>
      </c>
      <c r="M200" t="s">
        <v>2827</v>
      </c>
    </row>
    <row r="201" spans="1:13" ht="16.5" customHeight="1" x14ac:dyDescent="0.25">
      <c r="A201" s="12" t="s">
        <v>2001</v>
      </c>
      <c r="B201" s="13" t="s">
        <v>660</v>
      </c>
      <c r="C201" s="13" t="s">
        <v>1999</v>
      </c>
      <c r="D201" s="13" t="s">
        <v>662</v>
      </c>
      <c r="E201" s="13" t="s">
        <v>663</v>
      </c>
      <c r="F201" s="13" t="s">
        <v>2002</v>
      </c>
      <c r="G201" s="13" t="s">
        <v>1998</v>
      </c>
      <c r="H201" s="13" t="s">
        <v>255</v>
      </c>
      <c r="I201" s="13" t="s">
        <v>2000</v>
      </c>
      <c r="M201" t="s">
        <v>2827</v>
      </c>
    </row>
    <row r="202" spans="1:13" ht="16.5" customHeight="1" x14ac:dyDescent="0.25">
      <c r="A202" s="6" t="s">
        <v>2031</v>
      </c>
      <c r="B202" s="7" t="s">
        <v>660</v>
      </c>
      <c r="C202" s="7" t="s">
        <v>2030</v>
      </c>
      <c r="D202" s="7" t="s">
        <v>662</v>
      </c>
      <c r="E202" s="7" t="s">
        <v>663</v>
      </c>
      <c r="F202" s="7" t="s">
        <v>2032</v>
      </c>
      <c r="G202" s="7" t="s">
        <v>2029</v>
      </c>
      <c r="H202" s="7" t="s">
        <v>255</v>
      </c>
      <c r="I202" s="7" t="s">
        <v>2013</v>
      </c>
      <c r="M202" t="s">
        <v>2827</v>
      </c>
    </row>
    <row r="203" spans="1:13" ht="16.5" customHeight="1" x14ac:dyDescent="0.25">
      <c r="A203" s="12" t="s">
        <v>2021</v>
      </c>
      <c r="B203" s="13" t="s">
        <v>660</v>
      </c>
      <c r="C203" s="13" t="s">
        <v>2020</v>
      </c>
      <c r="D203" s="13" t="s">
        <v>662</v>
      </c>
      <c r="E203" s="13" t="s">
        <v>663</v>
      </c>
      <c r="F203" s="13" t="s">
        <v>2022</v>
      </c>
      <c r="G203" s="13" t="s">
        <v>2019</v>
      </c>
      <c r="H203" s="13" t="s">
        <v>255</v>
      </c>
      <c r="I203" s="13" t="s">
        <v>2000</v>
      </c>
      <c r="M203" t="s">
        <v>2827</v>
      </c>
    </row>
    <row r="204" spans="1:13" ht="16.5" customHeight="1" x14ac:dyDescent="0.25">
      <c r="A204" s="6" t="s">
        <v>2059</v>
      </c>
      <c r="B204" s="7" t="s">
        <v>660</v>
      </c>
      <c r="C204" s="7" t="s">
        <v>267</v>
      </c>
      <c r="D204" s="7" t="s">
        <v>662</v>
      </c>
      <c r="E204" s="7" t="s">
        <v>673</v>
      </c>
      <c r="F204" s="7" t="s">
        <v>2060</v>
      </c>
      <c r="G204" s="7" t="s">
        <v>1985</v>
      </c>
      <c r="H204" s="7" t="s">
        <v>255</v>
      </c>
      <c r="I204" s="7" t="s">
        <v>1949</v>
      </c>
      <c r="M204" t="s">
        <v>2827</v>
      </c>
    </row>
    <row r="205" spans="1:13" ht="16.5" customHeight="1" x14ac:dyDescent="0.25">
      <c r="A205" s="12" t="s">
        <v>2059</v>
      </c>
      <c r="B205" s="13" t="s">
        <v>660</v>
      </c>
      <c r="C205" s="13" t="s">
        <v>267</v>
      </c>
      <c r="D205" s="13" t="s">
        <v>662</v>
      </c>
      <c r="E205" s="13" t="s">
        <v>673</v>
      </c>
      <c r="F205" s="13" t="s">
        <v>2060</v>
      </c>
      <c r="G205" s="13" t="s">
        <v>1987</v>
      </c>
      <c r="H205" s="13" t="s">
        <v>255</v>
      </c>
      <c r="I205" s="13" t="s">
        <v>1988</v>
      </c>
      <c r="M205" t="s">
        <v>2827</v>
      </c>
    </row>
    <row r="206" spans="1:13" ht="16.5" customHeight="1" x14ac:dyDescent="0.25">
      <c r="A206" s="6" t="s">
        <v>2075</v>
      </c>
      <c r="B206" s="7" t="s">
        <v>660</v>
      </c>
      <c r="C206" s="7" t="s">
        <v>640</v>
      </c>
      <c r="D206" s="7" t="s">
        <v>662</v>
      </c>
      <c r="E206" s="7" t="s">
        <v>673</v>
      </c>
      <c r="F206" s="7" t="s">
        <v>2060</v>
      </c>
      <c r="G206" s="7" t="s">
        <v>1948</v>
      </c>
      <c r="H206" s="7" t="s">
        <v>255</v>
      </c>
      <c r="I206" s="7" t="s">
        <v>1949</v>
      </c>
      <c r="M206" t="s">
        <v>2827</v>
      </c>
    </row>
    <row r="207" spans="1:13" ht="17.25" customHeight="1" x14ac:dyDescent="0.25">
      <c r="A207" s="12" t="s">
        <v>1746</v>
      </c>
      <c r="B207" s="13" t="s">
        <v>660</v>
      </c>
      <c r="C207" s="13" t="s">
        <v>388</v>
      </c>
      <c r="D207" s="13" t="s">
        <v>662</v>
      </c>
      <c r="E207" s="13" t="s">
        <v>898</v>
      </c>
      <c r="F207" s="13" t="s">
        <v>1747</v>
      </c>
      <c r="G207" s="13" t="s">
        <v>2061</v>
      </c>
      <c r="H207" s="13" t="s">
        <v>255</v>
      </c>
      <c r="I207" s="13" t="s">
        <v>1988</v>
      </c>
      <c r="M207" t="s">
        <v>2827</v>
      </c>
    </row>
    <row r="208" spans="1:13" ht="16.5" customHeight="1" x14ac:dyDescent="0.25">
      <c r="A208" s="6" t="s">
        <v>2063</v>
      </c>
      <c r="B208" s="7" t="s">
        <v>660</v>
      </c>
      <c r="C208" s="7" t="s">
        <v>268</v>
      </c>
      <c r="D208" s="7" t="s">
        <v>662</v>
      </c>
      <c r="E208" s="7" t="s">
        <v>697</v>
      </c>
      <c r="F208" s="7" t="s">
        <v>2064</v>
      </c>
      <c r="G208" s="7" t="s">
        <v>2062</v>
      </c>
      <c r="H208" s="7" t="s">
        <v>255</v>
      </c>
      <c r="I208" s="7" t="s">
        <v>1988</v>
      </c>
      <c r="M208" t="s">
        <v>2827</v>
      </c>
    </row>
    <row r="209" spans="1:13" ht="16.5" customHeight="1" x14ac:dyDescent="0.25">
      <c r="A209" s="12" t="s">
        <v>2066</v>
      </c>
      <c r="B209" s="13" t="s">
        <v>660</v>
      </c>
      <c r="C209" s="13" t="s">
        <v>270</v>
      </c>
      <c r="D209" s="13" t="s">
        <v>662</v>
      </c>
      <c r="E209" s="13" t="s">
        <v>673</v>
      </c>
      <c r="F209" s="13" t="s">
        <v>2064</v>
      </c>
      <c r="G209" s="13" t="s">
        <v>2065</v>
      </c>
      <c r="H209" s="13" t="s">
        <v>255</v>
      </c>
      <c r="I209" s="13" t="s">
        <v>1988</v>
      </c>
      <c r="M209" t="s">
        <v>2827</v>
      </c>
    </row>
    <row r="210" spans="1:13" ht="16.5" customHeight="1" x14ac:dyDescent="0.25">
      <c r="A210" s="6" t="s">
        <v>2068</v>
      </c>
      <c r="B210" s="7" t="s">
        <v>660</v>
      </c>
      <c r="C210" s="7" t="s">
        <v>271</v>
      </c>
      <c r="D210" s="7" t="s">
        <v>662</v>
      </c>
      <c r="E210" s="7" t="s">
        <v>673</v>
      </c>
      <c r="F210" s="7" t="s">
        <v>2069</v>
      </c>
      <c r="G210" s="7" t="s">
        <v>2067</v>
      </c>
      <c r="H210" s="7" t="s">
        <v>255</v>
      </c>
      <c r="I210" s="7" t="s">
        <v>1992</v>
      </c>
      <c r="M210" t="s">
        <v>2827</v>
      </c>
    </row>
    <row r="211" spans="1:13" ht="16.5" customHeight="1" x14ac:dyDescent="0.25">
      <c r="A211" s="12" t="s">
        <v>2078</v>
      </c>
      <c r="B211" s="13" t="s">
        <v>584</v>
      </c>
      <c r="C211" s="13" t="s">
        <v>2077</v>
      </c>
      <c r="D211" s="13" t="s">
        <v>1057</v>
      </c>
      <c r="E211" s="13" t="s">
        <v>1058</v>
      </c>
      <c r="F211" s="13" t="s">
        <v>1895</v>
      </c>
      <c r="G211" s="13" t="s">
        <v>2076</v>
      </c>
      <c r="H211" s="13" t="s">
        <v>255</v>
      </c>
      <c r="I211" s="13" t="s">
        <v>1962</v>
      </c>
      <c r="M211" t="s">
        <v>2827</v>
      </c>
    </row>
    <row r="212" spans="1:13" ht="16.5" customHeight="1" x14ac:dyDescent="0.25">
      <c r="A212" s="6" t="s">
        <v>2081</v>
      </c>
      <c r="B212" s="7" t="s">
        <v>590</v>
      </c>
      <c r="C212" s="7" t="s">
        <v>2080</v>
      </c>
      <c r="D212" s="7" t="s">
        <v>1057</v>
      </c>
      <c r="E212" s="7" t="s">
        <v>1058</v>
      </c>
      <c r="F212" s="7" t="s">
        <v>2082</v>
      </c>
      <c r="G212" s="7" t="s">
        <v>2079</v>
      </c>
      <c r="H212" s="7" t="s">
        <v>255</v>
      </c>
      <c r="I212" s="7" t="s">
        <v>1962</v>
      </c>
      <c r="M212" t="s">
        <v>2827</v>
      </c>
    </row>
    <row r="213" spans="1:13" ht="16.5" customHeight="1" x14ac:dyDescent="0.25">
      <c r="A213" s="12" t="s">
        <v>1888</v>
      </c>
      <c r="B213" s="13" t="s">
        <v>660</v>
      </c>
      <c r="C213" s="13" t="s">
        <v>47</v>
      </c>
      <c r="D213" s="13" t="s">
        <v>662</v>
      </c>
      <c r="E213" s="13" t="s">
        <v>697</v>
      </c>
      <c r="F213" s="13" t="s">
        <v>1878</v>
      </c>
      <c r="G213" s="13" t="s">
        <v>1887</v>
      </c>
      <c r="H213" s="13" t="s">
        <v>348</v>
      </c>
      <c r="I213" s="13" t="s">
        <v>1855</v>
      </c>
      <c r="M213" t="s">
        <v>2827</v>
      </c>
    </row>
    <row r="214" spans="1:13" ht="16.5" customHeight="1" x14ac:dyDescent="0.25">
      <c r="A214" s="6" t="s">
        <v>1880</v>
      </c>
      <c r="B214" s="7" t="s">
        <v>660</v>
      </c>
      <c r="C214" s="7" t="s">
        <v>50</v>
      </c>
      <c r="D214" s="7" t="s">
        <v>662</v>
      </c>
      <c r="E214" s="7" t="s">
        <v>697</v>
      </c>
      <c r="F214" s="7" t="s">
        <v>1878</v>
      </c>
      <c r="G214" s="7" t="s">
        <v>1879</v>
      </c>
      <c r="H214" s="7" t="s">
        <v>348</v>
      </c>
      <c r="I214" s="7" t="s">
        <v>1833</v>
      </c>
      <c r="M214" t="s">
        <v>2827</v>
      </c>
    </row>
    <row r="215" spans="1:13" ht="16.5" customHeight="1" x14ac:dyDescent="0.25">
      <c r="A215" s="12" t="s">
        <v>1881</v>
      </c>
      <c r="B215" s="13" t="s">
        <v>660</v>
      </c>
      <c r="C215" s="13" t="s">
        <v>51</v>
      </c>
      <c r="D215" s="13" t="s">
        <v>662</v>
      </c>
      <c r="E215" s="13" t="s">
        <v>697</v>
      </c>
      <c r="F215" s="13" t="s">
        <v>1878</v>
      </c>
      <c r="G215" s="13" t="s">
        <v>1842</v>
      </c>
      <c r="H215" s="13" t="s">
        <v>348</v>
      </c>
      <c r="I215" s="13" t="s">
        <v>1835</v>
      </c>
      <c r="M215" t="s">
        <v>2827</v>
      </c>
    </row>
    <row r="216" spans="1:13" ht="16.5" customHeight="1" x14ac:dyDescent="0.25">
      <c r="A216" s="6" t="s">
        <v>1891</v>
      </c>
      <c r="B216" s="7" t="s">
        <v>660</v>
      </c>
      <c r="C216" s="7" t="s">
        <v>356</v>
      </c>
      <c r="D216" s="7" t="s">
        <v>716</v>
      </c>
      <c r="E216" s="7" t="s">
        <v>673</v>
      </c>
      <c r="F216" s="7" t="s">
        <v>1890</v>
      </c>
      <c r="G216" s="7" t="s">
        <v>1889</v>
      </c>
      <c r="H216" s="7" t="s">
        <v>348</v>
      </c>
      <c r="I216" s="7" t="s">
        <v>1890</v>
      </c>
      <c r="M216" t="s">
        <v>2827</v>
      </c>
    </row>
    <row r="217" spans="1:13" ht="16.5" customHeight="1" x14ac:dyDescent="0.25">
      <c r="A217" s="12" t="s">
        <v>1883</v>
      </c>
      <c r="B217" s="13" t="s">
        <v>660</v>
      </c>
      <c r="C217" s="13" t="s">
        <v>1882</v>
      </c>
      <c r="D217" s="13" t="s">
        <v>716</v>
      </c>
      <c r="E217" s="13" t="s">
        <v>673</v>
      </c>
      <c r="F217" s="13" t="s">
        <v>1884</v>
      </c>
      <c r="G217" s="13" t="s">
        <v>1852</v>
      </c>
      <c r="H217" s="13" t="s">
        <v>348</v>
      </c>
      <c r="I217" s="13" t="s">
        <v>1847</v>
      </c>
      <c r="M217" t="s">
        <v>2827</v>
      </c>
    </row>
    <row r="218" spans="1:13" ht="16.5" customHeight="1" x14ac:dyDescent="0.25">
      <c r="A218" s="6" t="s">
        <v>1859</v>
      </c>
      <c r="B218" s="7" t="s">
        <v>660</v>
      </c>
      <c r="C218" s="7" t="s">
        <v>1857</v>
      </c>
      <c r="D218" s="7" t="s">
        <v>662</v>
      </c>
      <c r="E218" s="7" t="s">
        <v>663</v>
      </c>
      <c r="F218" s="7" t="s">
        <v>1860</v>
      </c>
      <c r="G218" s="7" t="s">
        <v>1856</v>
      </c>
      <c r="H218" s="7" t="s">
        <v>348</v>
      </c>
      <c r="I218" s="7" t="s">
        <v>1858</v>
      </c>
      <c r="M218" t="s">
        <v>2827</v>
      </c>
    </row>
    <row r="219" spans="1:13" ht="16.5" customHeight="1" x14ac:dyDescent="0.25">
      <c r="A219" s="12" t="s">
        <v>1869</v>
      </c>
      <c r="B219" s="13" t="s">
        <v>660</v>
      </c>
      <c r="C219" s="13" t="s">
        <v>1868</v>
      </c>
      <c r="D219" s="13" t="s">
        <v>662</v>
      </c>
      <c r="E219" s="13" t="s">
        <v>663</v>
      </c>
      <c r="F219" s="13" t="s">
        <v>1860</v>
      </c>
      <c r="G219" s="13" t="s">
        <v>1867</v>
      </c>
      <c r="H219" s="13" t="s">
        <v>348</v>
      </c>
      <c r="I219" s="13" t="s">
        <v>1858</v>
      </c>
      <c r="M219" t="s">
        <v>2827</v>
      </c>
    </row>
    <row r="220" spans="1:13" ht="17.25" customHeight="1" x14ac:dyDescent="0.25">
      <c r="A220" s="6" t="s">
        <v>1863</v>
      </c>
      <c r="B220" s="7" t="s">
        <v>660</v>
      </c>
      <c r="C220" s="7" t="s">
        <v>1862</v>
      </c>
      <c r="D220" s="7" t="s">
        <v>662</v>
      </c>
      <c r="E220" s="7" t="s">
        <v>663</v>
      </c>
      <c r="F220" s="7" t="s">
        <v>1093</v>
      </c>
      <c r="G220" s="7" t="s">
        <v>1861</v>
      </c>
      <c r="H220" s="7" t="s">
        <v>348</v>
      </c>
      <c r="I220" s="7" t="s">
        <v>1091</v>
      </c>
      <c r="M220" t="s">
        <v>2827</v>
      </c>
    </row>
    <row r="221" spans="1:13" ht="16.5" customHeight="1" x14ac:dyDescent="0.25">
      <c r="A221" s="12" t="s">
        <v>1872</v>
      </c>
      <c r="B221" s="13" t="s">
        <v>660</v>
      </c>
      <c r="C221" s="13" t="s">
        <v>1871</v>
      </c>
      <c r="D221" s="13" t="s">
        <v>662</v>
      </c>
      <c r="E221" s="13" t="s">
        <v>663</v>
      </c>
      <c r="F221" s="13" t="s">
        <v>1093</v>
      </c>
      <c r="G221" s="13" t="s">
        <v>1870</v>
      </c>
      <c r="H221" s="13" t="s">
        <v>348</v>
      </c>
      <c r="I221" s="13" t="s">
        <v>1091</v>
      </c>
      <c r="M221" t="s">
        <v>2827</v>
      </c>
    </row>
    <row r="222" spans="1:13" ht="16.5" customHeight="1" x14ac:dyDescent="0.25">
      <c r="A222" s="6" t="s">
        <v>1866</v>
      </c>
      <c r="B222" s="7" t="s">
        <v>660</v>
      </c>
      <c r="C222" s="7" t="s">
        <v>1865</v>
      </c>
      <c r="D222" s="7" t="s">
        <v>662</v>
      </c>
      <c r="E222" s="7" t="s">
        <v>663</v>
      </c>
      <c r="F222" s="7" t="s">
        <v>1860</v>
      </c>
      <c r="G222" s="7" t="s">
        <v>1864</v>
      </c>
      <c r="H222" s="7" t="s">
        <v>348</v>
      </c>
      <c r="I222" s="7" t="s">
        <v>1858</v>
      </c>
      <c r="M222" t="s">
        <v>2827</v>
      </c>
    </row>
    <row r="223" spans="1:13" ht="16.5" customHeight="1" x14ac:dyDescent="0.25">
      <c r="A223" s="12" t="s">
        <v>1886</v>
      </c>
      <c r="B223" s="13" t="s">
        <v>660</v>
      </c>
      <c r="C223" s="13" t="s">
        <v>640</v>
      </c>
      <c r="D223" s="13" t="s">
        <v>662</v>
      </c>
      <c r="E223" s="13" t="s">
        <v>697</v>
      </c>
      <c r="F223" s="13" t="s">
        <v>1878</v>
      </c>
      <c r="G223" s="13" t="s">
        <v>1885</v>
      </c>
      <c r="H223" s="13" t="s">
        <v>348</v>
      </c>
      <c r="I223" s="13" t="s">
        <v>1855</v>
      </c>
      <c r="M223" t="s">
        <v>2827</v>
      </c>
    </row>
    <row r="224" spans="1:13" ht="16.5" customHeight="1" x14ac:dyDescent="0.25">
      <c r="A224" s="6" t="s">
        <v>1877</v>
      </c>
      <c r="B224" s="7" t="s">
        <v>660</v>
      </c>
      <c r="C224" s="7" t="s">
        <v>640</v>
      </c>
      <c r="D224" s="7" t="s">
        <v>662</v>
      </c>
      <c r="E224" s="7" t="s">
        <v>697</v>
      </c>
      <c r="F224" s="7" t="s">
        <v>1878</v>
      </c>
      <c r="G224" s="7" t="s">
        <v>1836</v>
      </c>
      <c r="H224" s="7" t="s">
        <v>348</v>
      </c>
      <c r="I224" s="7" t="s">
        <v>1835</v>
      </c>
      <c r="M224" t="s">
        <v>2827</v>
      </c>
    </row>
    <row r="225" spans="1:13" ht="16.5" customHeight="1" x14ac:dyDescent="0.25">
      <c r="A225" s="12" t="s">
        <v>1877</v>
      </c>
      <c r="B225" s="13" t="s">
        <v>660</v>
      </c>
      <c r="C225" s="13" t="s">
        <v>640</v>
      </c>
      <c r="D225" s="13" t="s">
        <v>662</v>
      </c>
      <c r="E225" s="13" t="s">
        <v>697</v>
      </c>
      <c r="F225" s="13" t="s">
        <v>1878</v>
      </c>
      <c r="G225" s="13" t="s">
        <v>1876</v>
      </c>
      <c r="H225" s="13" t="s">
        <v>348</v>
      </c>
      <c r="I225" s="13" t="s">
        <v>1833</v>
      </c>
      <c r="M225" t="s">
        <v>2827</v>
      </c>
    </row>
    <row r="226" spans="1:13" ht="16.5" customHeight="1" x14ac:dyDescent="0.25">
      <c r="A226" s="6" t="s">
        <v>1875</v>
      </c>
      <c r="B226" s="7" t="s">
        <v>660</v>
      </c>
      <c r="C226" s="7" t="s">
        <v>1874</v>
      </c>
      <c r="D226" s="7" t="s">
        <v>662</v>
      </c>
      <c r="E226" s="7" t="s">
        <v>663</v>
      </c>
      <c r="F226" s="7" t="s">
        <v>1860</v>
      </c>
      <c r="G226" s="7" t="s">
        <v>1873</v>
      </c>
      <c r="H226" s="7" t="s">
        <v>348</v>
      </c>
      <c r="I226" s="7" t="s">
        <v>1858</v>
      </c>
      <c r="M226" t="s">
        <v>2827</v>
      </c>
    </row>
    <row r="227" spans="1:13" ht="16.5" customHeight="1" x14ac:dyDescent="0.25">
      <c r="A227" s="12" t="s">
        <v>1894</v>
      </c>
      <c r="B227" s="13" t="s">
        <v>585</v>
      </c>
      <c r="C227" s="13" t="s">
        <v>1893</v>
      </c>
      <c r="D227" s="13" t="s">
        <v>1057</v>
      </c>
      <c r="E227" s="13" t="s">
        <v>1058</v>
      </c>
      <c r="F227" s="13" t="s">
        <v>1895</v>
      </c>
      <c r="G227" s="13" t="s">
        <v>1892</v>
      </c>
      <c r="H227" s="13" t="s">
        <v>348</v>
      </c>
      <c r="I227" s="13" t="s">
        <v>1855</v>
      </c>
      <c r="M227" t="s">
        <v>2827</v>
      </c>
    </row>
    <row r="228" spans="1:13" ht="16.5" customHeight="1" x14ac:dyDescent="0.25">
      <c r="A228" s="6" t="s">
        <v>1746</v>
      </c>
      <c r="B228" s="7" t="s">
        <v>1110</v>
      </c>
      <c r="C228" s="7" t="s">
        <v>388</v>
      </c>
      <c r="D228" s="7" t="s">
        <v>1745</v>
      </c>
      <c r="E228" s="7" t="s">
        <v>898</v>
      </c>
      <c r="F228" s="7" t="s">
        <v>1747</v>
      </c>
      <c r="G228" s="7" t="s">
        <v>1299</v>
      </c>
      <c r="H228" s="7" t="s">
        <v>358</v>
      </c>
      <c r="I228" s="7" t="s">
        <v>1285</v>
      </c>
      <c r="M228" t="s">
        <v>2827</v>
      </c>
    </row>
    <row r="229" spans="1:13" ht="16.5" customHeight="1" x14ac:dyDescent="0.25">
      <c r="A229" s="12" t="s">
        <v>1741</v>
      </c>
      <c r="B229" s="13" t="s">
        <v>1110</v>
      </c>
      <c r="C229" s="13" t="s">
        <v>640</v>
      </c>
      <c r="D229" s="13" t="s">
        <v>1740</v>
      </c>
      <c r="E229" s="13" t="s">
        <v>898</v>
      </c>
      <c r="F229" s="13" t="s">
        <v>1742</v>
      </c>
      <c r="G229" s="13" t="s">
        <v>1300</v>
      </c>
      <c r="H229" s="13" t="s">
        <v>358</v>
      </c>
      <c r="I229" s="13" t="s">
        <v>1199</v>
      </c>
      <c r="M229" t="s">
        <v>2827</v>
      </c>
    </row>
    <row r="230" spans="1:13" ht="16.5" customHeight="1" x14ac:dyDescent="0.25">
      <c r="A230" s="6" t="s">
        <v>1744</v>
      </c>
      <c r="B230" s="7" t="s">
        <v>1110</v>
      </c>
      <c r="C230" s="7" t="s">
        <v>936</v>
      </c>
      <c r="D230" s="7" t="s">
        <v>1743</v>
      </c>
      <c r="E230" s="7" t="s">
        <v>898</v>
      </c>
      <c r="F230" s="7" t="s">
        <v>1742</v>
      </c>
      <c r="G230" s="7" t="s">
        <v>1243</v>
      </c>
      <c r="H230" s="7" t="s">
        <v>358</v>
      </c>
      <c r="I230" s="7" t="s">
        <v>1244</v>
      </c>
      <c r="M230" t="s">
        <v>2827</v>
      </c>
    </row>
    <row r="231" spans="1:13" ht="16.5" customHeight="1" x14ac:dyDescent="0.25">
      <c r="A231" s="12" t="s">
        <v>1092</v>
      </c>
      <c r="B231" s="13" t="s">
        <v>660</v>
      </c>
      <c r="C231" s="13" t="s">
        <v>1090</v>
      </c>
      <c r="D231" s="13" t="s">
        <v>662</v>
      </c>
      <c r="E231" s="13" t="s">
        <v>663</v>
      </c>
      <c r="F231" s="13" t="s">
        <v>1093</v>
      </c>
      <c r="G231" s="13" t="s">
        <v>1089</v>
      </c>
      <c r="H231" s="13" t="s">
        <v>469</v>
      </c>
      <c r="I231" s="13" t="s">
        <v>1091</v>
      </c>
      <c r="M231" t="s">
        <v>2827</v>
      </c>
    </row>
    <row r="232" spans="1:13" ht="17.25" customHeight="1" x14ac:dyDescent="0.25">
      <c r="A232" s="6" t="s">
        <v>1101</v>
      </c>
      <c r="B232" s="7" t="s">
        <v>660</v>
      </c>
      <c r="C232" s="7" t="s">
        <v>1100</v>
      </c>
      <c r="D232" s="7" t="s">
        <v>662</v>
      </c>
      <c r="E232" s="7" t="s">
        <v>663</v>
      </c>
      <c r="F232" s="7" t="s">
        <v>1093</v>
      </c>
      <c r="G232" s="7" t="s">
        <v>1099</v>
      </c>
      <c r="H232" s="7" t="s">
        <v>469</v>
      </c>
      <c r="I232" s="7" t="s">
        <v>1091</v>
      </c>
      <c r="M232" t="s">
        <v>2827</v>
      </c>
    </row>
    <row r="233" spans="1:13" ht="16.5" customHeight="1" x14ac:dyDescent="0.25">
      <c r="A233" s="12" t="s">
        <v>1097</v>
      </c>
      <c r="B233" s="13" t="s">
        <v>660</v>
      </c>
      <c r="C233" s="13" t="s">
        <v>1095</v>
      </c>
      <c r="D233" s="13" t="s">
        <v>662</v>
      </c>
      <c r="E233" s="13" t="s">
        <v>663</v>
      </c>
      <c r="F233" s="13" t="s">
        <v>1098</v>
      </c>
      <c r="G233" s="13" t="s">
        <v>1094</v>
      </c>
      <c r="H233" s="13" t="s">
        <v>469</v>
      </c>
      <c r="I233" s="13" t="s">
        <v>1096</v>
      </c>
      <c r="M233" t="s">
        <v>2827</v>
      </c>
    </row>
    <row r="234" spans="1:13" ht="16.5" customHeight="1" x14ac:dyDescent="0.25">
      <c r="A234" s="6" t="s">
        <v>1104</v>
      </c>
      <c r="B234" s="7" t="s">
        <v>660</v>
      </c>
      <c r="C234" s="7" t="s">
        <v>1103</v>
      </c>
      <c r="D234" s="7" t="s">
        <v>662</v>
      </c>
      <c r="E234" s="7" t="s">
        <v>663</v>
      </c>
      <c r="F234" s="7" t="s">
        <v>1098</v>
      </c>
      <c r="G234" s="7" t="s">
        <v>1102</v>
      </c>
      <c r="H234" s="7" t="s">
        <v>469</v>
      </c>
      <c r="I234" s="7" t="s">
        <v>1096</v>
      </c>
      <c r="M234" t="s">
        <v>2827</v>
      </c>
    </row>
    <row r="235" spans="1:13" ht="16.5" customHeight="1" x14ac:dyDescent="0.25">
      <c r="A235" s="12" t="s">
        <v>1108</v>
      </c>
      <c r="B235" s="13" t="s">
        <v>1106</v>
      </c>
      <c r="C235" s="13" t="s">
        <v>1107</v>
      </c>
      <c r="D235" s="13" t="s">
        <v>1057</v>
      </c>
      <c r="E235" s="13" t="s">
        <v>1058</v>
      </c>
      <c r="F235" s="13" t="s">
        <v>1109</v>
      </c>
      <c r="G235" s="13" t="s">
        <v>1105</v>
      </c>
      <c r="H235" s="13" t="s">
        <v>469</v>
      </c>
      <c r="I235" s="13" t="s">
        <v>674</v>
      </c>
      <c r="M235" t="s">
        <v>2827</v>
      </c>
    </row>
    <row r="236" spans="1:13" ht="16.5" customHeight="1" x14ac:dyDescent="0.25">
      <c r="A236" s="6" t="s">
        <v>1112</v>
      </c>
      <c r="B236" s="7" t="s">
        <v>1110</v>
      </c>
      <c r="C236" s="7" t="s">
        <v>967</v>
      </c>
      <c r="D236" s="7" t="s">
        <v>1111</v>
      </c>
      <c r="E236" s="7" t="s">
        <v>898</v>
      </c>
      <c r="F236" s="7" t="s">
        <v>1113</v>
      </c>
      <c r="G236" s="7" t="s">
        <v>1053</v>
      </c>
      <c r="H236" s="7" t="s">
        <v>469</v>
      </c>
      <c r="I236" s="7" t="s">
        <v>1054</v>
      </c>
      <c r="M236" t="s">
        <v>2827</v>
      </c>
    </row>
    <row r="237" spans="1:13" ht="6" customHeight="1" x14ac:dyDescent="0.25"/>
    <row r="238" spans="1:13" ht="0.75" customHeight="1" x14ac:dyDescent="0.25">
      <c r="F238" s="35" t="s">
        <v>1</v>
      </c>
      <c r="G238" s="35"/>
      <c r="H238" s="35"/>
    </row>
    <row r="239" spans="1:13" ht="12" customHeight="1" x14ac:dyDescent="0.25">
      <c r="A239" s="36" t="s">
        <v>637</v>
      </c>
      <c r="B239" s="36"/>
      <c r="C239" s="36"/>
      <c r="D239" s="36"/>
      <c r="F239" s="35"/>
      <c r="G239" s="35"/>
      <c r="H239" s="35"/>
    </row>
    <row r="240" spans="1:13" ht="0.75" customHeight="1" x14ac:dyDescent="0.25">
      <c r="A240" s="36"/>
      <c r="B240" s="36"/>
      <c r="C240" s="36"/>
      <c r="D240" s="36"/>
    </row>
  </sheetData>
  <mergeCells count="13">
    <mergeCell ref="F238:H239"/>
    <mergeCell ref="A239:D240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&amp;C4K911 GENERATOR PANEL_A.1</oddHeader>
    <oddFooter>&amp;L&amp;D&amp;CPage 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F85C5E-369C-4363-8A89-2D2B79A5DE83}">
  <sheetPr>
    <pageSetUpPr fitToPage="1"/>
  </sheetPr>
  <dimension ref="A1:M78"/>
  <sheetViews>
    <sheetView showGridLines="0" topLeftCell="A43" workbookViewId="0">
      <selection activeCell="A72" sqref="A72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13" ht="18" customHeight="1" x14ac:dyDescent="0.25">
      <c r="A1" s="37" t="s">
        <v>157</v>
      </c>
      <c r="B1" s="37"/>
      <c r="C1" s="37"/>
      <c r="D1" s="37"/>
    </row>
    <row r="2" spans="1:13" ht="12" customHeight="1" x14ac:dyDescent="0.25">
      <c r="A2" s="38"/>
      <c r="B2" s="38"/>
      <c r="C2" s="38"/>
      <c r="D2" s="38"/>
    </row>
    <row r="3" spans="1:13" ht="12.75" customHeight="1" x14ac:dyDescent="0.25">
      <c r="A3" s="2" t="s">
        <v>2</v>
      </c>
      <c r="B3" s="39" t="s">
        <v>3</v>
      </c>
      <c r="C3" s="39"/>
      <c r="D3" s="39"/>
    </row>
    <row r="4" spans="1:13" ht="12" customHeight="1" x14ac:dyDescent="0.25">
      <c r="A4" s="2" t="s">
        <v>5</v>
      </c>
      <c r="B4" s="39" t="s">
        <v>6</v>
      </c>
      <c r="C4" s="39"/>
      <c r="D4" s="39"/>
    </row>
    <row r="5" spans="1:13" ht="12.75" customHeight="1" x14ac:dyDescent="0.25">
      <c r="A5" s="2" t="s">
        <v>7</v>
      </c>
      <c r="B5" s="39" t="s">
        <v>8</v>
      </c>
      <c r="C5" s="39"/>
      <c r="D5" s="39"/>
    </row>
    <row r="6" spans="1:13" ht="5.25" customHeight="1" x14ac:dyDescent="0.25"/>
    <row r="7" spans="1:13" ht="12" customHeight="1" x14ac:dyDescent="0.25">
      <c r="A7" s="2" t="s">
        <v>9</v>
      </c>
      <c r="B7" s="39" t="s">
        <v>10</v>
      </c>
      <c r="C7" s="39"/>
      <c r="D7" s="39"/>
    </row>
    <row r="8" spans="1:13" ht="12.75" customHeight="1" x14ac:dyDescent="0.25">
      <c r="A8" s="2" t="s">
        <v>11</v>
      </c>
      <c r="B8" s="39" t="s">
        <v>12</v>
      </c>
      <c r="C8" s="39"/>
      <c r="D8" s="39"/>
    </row>
    <row r="9" spans="1:13" ht="12" customHeight="1" x14ac:dyDescent="0.25">
      <c r="A9" s="2" t="s">
        <v>13</v>
      </c>
      <c r="B9" s="39"/>
      <c r="C9" s="39"/>
      <c r="D9" s="39"/>
    </row>
    <row r="10" spans="1:13" ht="12.75" customHeight="1" x14ac:dyDescent="0.25">
      <c r="A10" s="2" t="s">
        <v>11</v>
      </c>
      <c r="B10" s="39"/>
      <c r="C10" s="39"/>
      <c r="D10" s="39"/>
    </row>
    <row r="11" spans="1:13" ht="10.5" customHeight="1" x14ac:dyDescent="0.25"/>
    <row r="12" spans="1:13" ht="16.5" customHeight="1" x14ac:dyDescent="0.25">
      <c r="A12" s="40" t="s">
        <v>630</v>
      </c>
      <c r="B12" s="40"/>
      <c r="C12" s="40"/>
      <c r="D12" s="40"/>
      <c r="E12" s="40"/>
      <c r="F12" s="40"/>
      <c r="G12" s="41" t="s">
        <v>631</v>
      </c>
      <c r="H12" s="41"/>
      <c r="I12" s="41"/>
    </row>
    <row r="13" spans="1:13" ht="43.5" customHeight="1" x14ac:dyDescent="0.25">
      <c r="A13" s="10" t="s">
        <v>14</v>
      </c>
      <c r="B13" s="11" t="s">
        <v>632</v>
      </c>
      <c r="C13" s="11" t="s">
        <v>634</v>
      </c>
      <c r="D13" s="11" t="s">
        <v>633</v>
      </c>
      <c r="E13" s="11" t="s">
        <v>635</v>
      </c>
      <c r="F13" s="11" t="s">
        <v>636</v>
      </c>
      <c r="G13" s="11" t="s">
        <v>14</v>
      </c>
      <c r="H13" s="11" t="s">
        <v>17</v>
      </c>
      <c r="I13" s="11" t="s">
        <v>636</v>
      </c>
    </row>
    <row r="14" spans="1:13" ht="16.5" customHeight="1" x14ac:dyDescent="0.25">
      <c r="A14" s="12" t="s">
        <v>2366</v>
      </c>
      <c r="B14" s="13" t="s">
        <v>660</v>
      </c>
      <c r="C14" s="13" t="s">
        <v>2367</v>
      </c>
      <c r="D14" s="13" t="s">
        <v>662</v>
      </c>
      <c r="E14" s="13" t="s">
        <v>673</v>
      </c>
      <c r="F14" s="13" t="s">
        <v>1124</v>
      </c>
      <c r="G14" s="13" t="s">
        <v>2368</v>
      </c>
      <c r="H14" s="13" t="s">
        <v>157</v>
      </c>
      <c r="I14" s="13" t="s">
        <v>2278</v>
      </c>
      <c r="M14" t="s">
        <v>2827</v>
      </c>
    </row>
    <row r="15" spans="1:13" ht="16.5" customHeight="1" x14ac:dyDescent="0.25">
      <c r="A15" s="6" t="s">
        <v>2369</v>
      </c>
      <c r="B15" s="7" t="s">
        <v>660</v>
      </c>
      <c r="C15" s="7" t="s">
        <v>2370</v>
      </c>
      <c r="D15" s="7" t="s">
        <v>662</v>
      </c>
      <c r="E15" s="7" t="s">
        <v>673</v>
      </c>
      <c r="F15" s="7" t="s">
        <v>1124</v>
      </c>
      <c r="G15" s="7" t="s">
        <v>2371</v>
      </c>
      <c r="H15" s="7" t="s">
        <v>157</v>
      </c>
      <c r="I15" s="7" t="s">
        <v>2278</v>
      </c>
      <c r="M15" t="s">
        <v>2827</v>
      </c>
    </row>
    <row r="16" spans="1:13" ht="16.5" customHeight="1" x14ac:dyDescent="0.25">
      <c r="A16" s="12" t="s">
        <v>2372</v>
      </c>
      <c r="B16" s="13" t="s">
        <v>660</v>
      </c>
      <c r="C16" s="13" t="s">
        <v>2373</v>
      </c>
      <c r="D16" s="13" t="s">
        <v>662</v>
      </c>
      <c r="E16" s="13" t="s">
        <v>673</v>
      </c>
      <c r="F16" s="13" t="s">
        <v>1124</v>
      </c>
      <c r="G16" s="13" t="s">
        <v>2374</v>
      </c>
      <c r="H16" s="13" t="s">
        <v>157</v>
      </c>
      <c r="I16" s="13" t="s">
        <v>2278</v>
      </c>
      <c r="M16" t="s">
        <v>2827</v>
      </c>
    </row>
    <row r="17" spans="1:13" ht="16.5" customHeight="1" x14ac:dyDescent="0.25">
      <c r="A17" s="6" t="s">
        <v>2375</v>
      </c>
      <c r="B17" s="7" t="s">
        <v>660</v>
      </c>
      <c r="C17" s="7" t="s">
        <v>2376</v>
      </c>
      <c r="D17" s="7" t="s">
        <v>662</v>
      </c>
      <c r="E17" s="7" t="s">
        <v>673</v>
      </c>
      <c r="F17" s="7" t="s">
        <v>1124</v>
      </c>
      <c r="G17" s="7" t="s">
        <v>2377</v>
      </c>
      <c r="H17" s="7" t="s">
        <v>157</v>
      </c>
      <c r="I17" s="7" t="s">
        <v>2278</v>
      </c>
      <c r="M17" t="s">
        <v>2827</v>
      </c>
    </row>
    <row r="18" spans="1:13" ht="16.5" customHeight="1" x14ac:dyDescent="0.25">
      <c r="A18" s="12" t="s">
        <v>2378</v>
      </c>
      <c r="B18" s="13" t="s">
        <v>660</v>
      </c>
      <c r="C18" s="13" t="s">
        <v>2379</v>
      </c>
      <c r="D18" s="13" t="s">
        <v>924</v>
      </c>
      <c r="E18" s="13" t="s">
        <v>673</v>
      </c>
      <c r="F18" s="13" t="s">
        <v>1124</v>
      </c>
      <c r="G18" s="13" t="s">
        <v>925</v>
      </c>
      <c r="H18" s="13" t="s">
        <v>157</v>
      </c>
      <c r="I18" s="13" t="s">
        <v>2380</v>
      </c>
      <c r="M18" t="s">
        <v>2827</v>
      </c>
    </row>
    <row r="19" spans="1:13" ht="16.5" customHeight="1" x14ac:dyDescent="0.25">
      <c r="A19" s="6" t="s">
        <v>2381</v>
      </c>
      <c r="B19" s="7" t="s">
        <v>660</v>
      </c>
      <c r="C19" s="7" t="s">
        <v>2382</v>
      </c>
      <c r="D19" s="7" t="s">
        <v>924</v>
      </c>
      <c r="E19" s="7" t="s">
        <v>673</v>
      </c>
      <c r="F19" s="7" t="s">
        <v>2278</v>
      </c>
      <c r="G19" s="7" t="s">
        <v>925</v>
      </c>
      <c r="H19" s="7" t="s">
        <v>157</v>
      </c>
      <c r="I19" s="7" t="s">
        <v>2383</v>
      </c>
      <c r="M19" t="s">
        <v>2827</v>
      </c>
    </row>
    <row r="20" spans="1:13" ht="16.5" customHeight="1" x14ac:dyDescent="0.25">
      <c r="A20" s="12" t="s">
        <v>2302</v>
      </c>
      <c r="B20" s="13" t="s">
        <v>660</v>
      </c>
      <c r="C20" s="13" t="s">
        <v>2300</v>
      </c>
      <c r="D20" s="13" t="s">
        <v>662</v>
      </c>
      <c r="E20" s="13" t="s">
        <v>663</v>
      </c>
      <c r="F20" s="13" t="s">
        <v>2301</v>
      </c>
      <c r="G20" s="13" t="s">
        <v>2299</v>
      </c>
      <c r="H20" s="13" t="s">
        <v>209</v>
      </c>
      <c r="I20" s="13" t="s">
        <v>2301</v>
      </c>
      <c r="M20" t="s">
        <v>2827</v>
      </c>
    </row>
    <row r="21" spans="1:13" ht="16.5" customHeight="1" x14ac:dyDescent="0.25">
      <c r="A21" s="6" t="s">
        <v>2306</v>
      </c>
      <c r="B21" s="7" t="s">
        <v>660</v>
      </c>
      <c r="C21" s="7" t="s">
        <v>2305</v>
      </c>
      <c r="D21" s="7" t="s">
        <v>662</v>
      </c>
      <c r="E21" s="7" t="s">
        <v>663</v>
      </c>
      <c r="F21" s="7" t="s">
        <v>2301</v>
      </c>
      <c r="G21" s="7" t="s">
        <v>2304</v>
      </c>
      <c r="H21" s="7" t="s">
        <v>209</v>
      </c>
      <c r="I21" s="7" t="s">
        <v>2301</v>
      </c>
      <c r="M21" t="s">
        <v>2827</v>
      </c>
    </row>
    <row r="22" spans="1:13" ht="17.25" customHeight="1" x14ac:dyDescent="0.25">
      <c r="A22" s="12" t="s">
        <v>2294</v>
      </c>
      <c r="B22" s="13" t="s">
        <v>660</v>
      </c>
      <c r="C22" s="13" t="s">
        <v>2293</v>
      </c>
      <c r="D22" s="13" t="s">
        <v>662</v>
      </c>
      <c r="E22" s="13" t="s">
        <v>663</v>
      </c>
      <c r="F22" s="13" t="s">
        <v>1117</v>
      </c>
      <c r="G22" s="13" t="s">
        <v>2292</v>
      </c>
      <c r="H22" s="13" t="s">
        <v>209</v>
      </c>
      <c r="I22" s="13" t="s">
        <v>2183</v>
      </c>
      <c r="M22" t="s">
        <v>2827</v>
      </c>
    </row>
    <row r="23" spans="1:13" ht="16.5" customHeight="1" x14ac:dyDescent="0.25">
      <c r="A23" s="6" t="s">
        <v>2297</v>
      </c>
      <c r="B23" s="7" t="s">
        <v>660</v>
      </c>
      <c r="C23" s="7" t="s">
        <v>2296</v>
      </c>
      <c r="D23" s="7" t="s">
        <v>662</v>
      </c>
      <c r="E23" s="7" t="s">
        <v>663</v>
      </c>
      <c r="F23" s="7" t="s">
        <v>1115</v>
      </c>
      <c r="G23" s="7" t="s">
        <v>2295</v>
      </c>
      <c r="H23" s="7" t="s">
        <v>209</v>
      </c>
      <c r="I23" s="7" t="s">
        <v>2185</v>
      </c>
      <c r="M23" t="s">
        <v>2827</v>
      </c>
    </row>
    <row r="24" spans="1:13" ht="16.5" customHeight="1" x14ac:dyDescent="0.25">
      <c r="A24" s="12" t="s">
        <v>2329</v>
      </c>
      <c r="B24" s="13" t="s">
        <v>660</v>
      </c>
      <c r="C24" s="13" t="s">
        <v>2328</v>
      </c>
      <c r="D24" s="13" t="s">
        <v>662</v>
      </c>
      <c r="E24" s="13" t="s">
        <v>663</v>
      </c>
      <c r="F24" s="13" t="s">
        <v>2176</v>
      </c>
      <c r="G24" s="13" t="s">
        <v>2327</v>
      </c>
      <c r="H24" s="13" t="s">
        <v>209</v>
      </c>
      <c r="I24" s="13" t="s">
        <v>2178</v>
      </c>
      <c r="M24" t="s">
        <v>2827</v>
      </c>
    </row>
    <row r="25" spans="1:13" ht="16.5" customHeight="1" x14ac:dyDescent="0.25">
      <c r="A25" s="6" t="s">
        <v>2332</v>
      </c>
      <c r="B25" s="7" t="s">
        <v>660</v>
      </c>
      <c r="C25" s="7" t="s">
        <v>2331</v>
      </c>
      <c r="D25" s="7" t="s">
        <v>662</v>
      </c>
      <c r="E25" s="7" t="s">
        <v>663</v>
      </c>
      <c r="F25" s="7" t="s">
        <v>2176</v>
      </c>
      <c r="G25" s="7" t="s">
        <v>2330</v>
      </c>
      <c r="H25" s="7" t="s">
        <v>209</v>
      </c>
      <c r="I25" s="7" t="s">
        <v>2178</v>
      </c>
      <c r="M25" t="s">
        <v>2827</v>
      </c>
    </row>
    <row r="26" spans="1:13" ht="16.5" customHeight="1" x14ac:dyDescent="0.25">
      <c r="A26" s="12" t="s">
        <v>2342</v>
      </c>
      <c r="B26" s="13" t="s">
        <v>660</v>
      </c>
      <c r="C26" s="13" t="s">
        <v>2098</v>
      </c>
      <c r="D26" s="13" t="s">
        <v>662</v>
      </c>
      <c r="E26" s="13" t="s">
        <v>663</v>
      </c>
      <c r="F26" s="13" t="s">
        <v>2339</v>
      </c>
      <c r="G26" s="13" t="s">
        <v>2099</v>
      </c>
      <c r="H26" s="13" t="s">
        <v>209</v>
      </c>
      <c r="I26" s="13" t="s">
        <v>2095</v>
      </c>
      <c r="M26" t="s">
        <v>2827</v>
      </c>
    </row>
    <row r="27" spans="1:13" ht="16.5" customHeight="1" x14ac:dyDescent="0.25">
      <c r="A27" s="6" t="s">
        <v>2341</v>
      </c>
      <c r="B27" s="7" t="s">
        <v>660</v>
      </c>
      <c r="C27" s="7" t="s">
        <v>2213</v>
      </c>
      <c r="D27" s="7" t="s">
        <v>662</v>
      </c>
      <c r="E27" s="7" t="s">
        <v>663</v>
      </c>
      <c r="F27" s="7" t="s">
        <v>2339</v>
      </c>
      <c r="G27" s="7" t="s">
        <v>2215</v>
      </c>
      <c r="H27" s="7" t="s">
        <v>209</v>
      </c>
      <c r="I27" s="7" t="s">
        <v>2214</v>
      </c>
      <c r="M27" t="s">
        <v>2827</v>
      </c>
    </row>
    <row r="28" spans="1:13" ht="16.5" customHeight="1" x14ac:dyDescent="0.25">
      <c r="A28" s="12" t="s">
        <v>2335</v>
      </c>
      <c r="B28" s="13" t="s">
        <v>660</v>
      </c>
      <c r="C28" s="13" t="s">
        <v>2107</v>
      </c>
      <c r="D28" s="13" t="s">
        <v>662</v>
      </c>
      <c r="E28" s="13" t="s">
        <v>663</v>
      </c>
      <c r="F28" s="13" t="s">
        <v>2334</v>
      </c>
      <c r="G28" s="13" t="s">
        <v>2108</v>
      </c>
      <c r="H28" s="13" t="s">
        <v>209</v>
      </c>
      <c r="I28" s="13" t="s">
        <v>2104</v>
      </c>
      <c r="M28" t="s">
        <v>2827</v>
      </c>
    </row>
    <row r="29" spans="1:13" ht="16.5" customHeight="1" x14ac:dyDescent="0.25">
      <c r="A29" s="6" t="s">
        <v>2333</v>
      </c>
      <c r="B29" s="7" t="s">
        <v>660</v>
      </c>
      <c r="C29" s="7" t="s">
        <v>2223</v>
      </c>
      <c r="D29" s="7" t="s">
        <v>662</v>
      </c>
      <c r="E29" s="7" t="s">
        <v>663</v>
      </c>
      <c r="F29" s="7" t="s">
        <v>2334</v>
      </c>
      <c r="G29" s="7" t="s">
        <v>2224</v>
      </c>
      <c r="H29" s="7" t="s">
        <v>209</v>
      </c>
      <c r="I29" s="7" t="s">
        <v>2219</v>
      </c>
      <c r="M29" t="s">
        <v>2827</v>
      </c>
    </row>
    <row r="30" spans="1:13" ht="16.5" customHeight="1" x14ac:dyDescent="0.25">
      <c r="A30" s="12" t="s">
        <v>2337</v>
      </c>
      <c r="B30" s="13" t="s">
        <v>660</v>
      </c>
      <c r="C30" s="13" t="s">
        <v>2112</v>
      </c>
      <c r="D30" s="13" t="s">
        <v>662</v>
      </c>
      <c r="E30" s="13" t="s">
        <v>663</v>
      </c>
      <c r="F30" s="13" t="s">
        <v>2334</v>
      </c>
      <c r="G30" s="13" t="s">
        <v>2113</v>
      </c>
      <c r="H30" s="13" t="s">
        <v>209</v>
      </c>
      <c r="I30" s="13" t="s">
        <v>2104</v>
      </c>
      <c r="M30" t="s">
        <v>2827</v>
      </c>
    </row>
    <row r="31" spans="1:13" ht="16.5" customHeight="1" x14ac:dyDescent="0.25">
      <c r="A31" s="6" t="s">
        <v>2336</v>
      </c>
      <c r="B31" s="7" t="s">
        <v>660</v>
      </c>
      <c r="C31" s="7" t="s">
        <v>2218</v>
      </c>
      <c r="D31" s="7" t="s">
        <v>662</v>
      </c>
      <c r="E31" s="7" t="s">
        <v>663</v>
      </c>
      <c r="F31" s="7" t="s">
        <v>2334</v>
      </c>
      <c r="G31" s="7" t="s">
        <v>2220</v>
      </c>
      <c r="H31" s="7" t="s">
        <v>209</v>
      </c>
      <c r="I31" s="7" t="s">
        <v>2219</v>
      </c>
      <c r="M31" t="s">
        <v>2827</v>
      </c>
    </row>
    <row r="32" spans="1:13" ht="16.5" customHeight="1" x14ac:dyDescent="0.25">
      <c r="A32" s="12" t="s">
        <v>2303</v>
      </c>
      <c r="B32" s="13" t="s">
        <v>660</v>
      </c>
      <c r="C32" s="13" t="s">
        <v>2300</v>
      </c>
      <c r="D32" s="13" t="s">
        <v>662</v>
      </c>
      <c r="E32" s="13" t="s">
        <v>663</v>
      </c>
      <c r="F32" s="13" t="s">
        <v>2285</v>
      </c>
      <c r="G32" s="13" t="s">
        <v>2299</v>
      </c>
      <c r="H32" s="13" t="s">
        <v>209</v>
      </c>
      <c r="I32" s="13" t="s">
        <v>2301</v>
      </c>
      <c r="M32" t="s">
        <v>2827</v>
      </c>
    </row>
    <row r="33" spans="1:13" ht="16.5" customHeight="1" x14ac:dyDescent="0.25">
      <c r="A33" s="6" t="s">
        <v>2307</v>
      </c>
      <c r="B33" s="7" t="s">
        <v>660</v>
      </c>
      <c r="C33" s="7" t="s">
        <v>2305</v>
      </c>
      <c r="D33" s="7" t="s">
        <v>662</v>
      </c>
      <c r="E33" s="7" t="s">
        <v>663</v>
      </c>
      <c r="F33" s="7" t="s">
        <v>2285</v>
      </c>
      <c r="G33" s="7" t="s">
        <v>2304</v>
      </c>
      <c r="H33" s="7" t="s">
        <v>209</v>
      </c>
      <c r="I33" s="7" t="s">
        <v>2301</v>
      </c>
      <c r="M33" t="s">
        <v>2827</v>
      </c>
    </row>
    <row r="34" spans="1:13" ht="16.5" customHeight="1" x14ac:dyDescent="0.25">
      <c r="A34" s="12" t="s">
        <v>2284</v>
      </c>
      <c r="B34" s="13" t="s">
        <v>660</v>
      </c>
      <c r="C34" s="13" t="s">
        <v>2283</v>
      </c>
      <c r="D34" s="13" t="s">
        <v>662</v>
      </c>
      <c r="E34" s="13" t="s">
        <v>663</v>
      </c>
      <c r="F34" s="13" t="s">
        <v>2285</v>
      </c>
      <c r="G34" s="13" t="s">
        <v>2282</v>
      </c>
      <c r="H34" s="13" t="s">
        <v>209</v>
      </c>
      <c r="I34" s="13" t="s">
        <v>2119</v>
      </c>
      <c r="M34" t="s">
        <v>2827</v>
      </c>
    </row>
    <row r="35" spans="1:13" ht="17.25" customHeight="1" x14ac:dyDescent="0.25">
      <c r="A35" s="6" t="s">
        <v>2298</v>
      </c>
      <c r="B35" s="7" t="s">
        <v>660</v>
      </c>
      <c r="C35" s="7" t="s">
        <v>2204</v>
      </c>
      <c r="D35" s="7" t="s">
        <v>662</v>
      </c>
      <c r="E35" s="7" t="s">
        <v>663</v>
      </c>
      <c r="F35" s="7" t="s">
        <v>2285</v>
      </c>
      <c r="G35" s="7" t="s">
        <v>2203</v>
      </c>
      <c r="H35" s="7" t="s">
        <v>209</v>
      </c>
      <c r="I35" s="7" t="s">
        <v>2121</v>
      </c>
      <c r="M35" t="s">
        <v>2827</v>
      </c>
    </row>
    <row r="36" spans="1:13" ht="16.5" customHeight="1" x14ac:dyDescent="0.25">
      <c r="A36" s="12" t="s">
        <v>2338</v>
      </c>
      <c r="B36" s="13" t="s">
        <v>660</v>
      </c>
      <c r="C36" s="13" t="s">
        <v>2101</v>
      </c>
      <c r="D36" s="13" t="s">
        <v>662</v>
      </c>
      <c r="E36" s="13" t="s">
        <v>663</v>
      </c>
      <c r="F36" s="13" t="s">
        <v>2339</v>
      </c>
      <c r="G36" s="13" t="s">
        <v>2102</v>
      </c>
      <c r="H36" s="13" t="s">
        <v>209</v>
      </c>
      <c r="I36" s="13" t="s">
        <v>2095</v>
      </c>
      <c r="M36" t="s">
        <v>2827</v>
      </c>
    </row>
    <row r="37" spans="1:13" ht="16.5" customHeight="1" x14ac:dyDescent="0.25">
      <c r="A37" s="6" t="s">
        <v>2340</v>
      </c>
      <c r="B37" s="7" t="s">
        <v>660</v>
      </c>
      <c r="C37" s="7" t="s">
        <v>2115</v>
      </c>
      <c r="D37" s="7" t="s">
        <v>662</v>
      </c>
      <c r="E37" s="7" t="s">
        <v>663</v>
      </c>
      <c r="F37" s="7" t="s">
        <v>2339</v>
      </c>
      <c r="G37" s="7" t="s">
        <v>2116</v>
      </c>
      <c r="H37" s="7" t="s">
        <v>209</v>
      </c>
      <c r="I37" s="7" t="s">
        <v>2095</v>
      </c>
      <c r="M37" t="s">
        <v>2827</v>
      </c>
    </row>
    <row r="38" spans="1:13" ht="16.5" customHeight="1" x14ac:dyDescent="0.25">
      <c r="A38" s="12" t="s">
        <v>2317</v>
      </c>
      <c r="B38" s="13" t="s">
        <v>660</v>
      </c>
      <c r="C38" s="13" t="s">
        <v>212</v>
      </c>
      <c r="D38" s="13" t="s">
        <v>662</v>
      </c>
      <c r="E38" s="13" t="s">
        <v>673</v>
      </c>
      <c r="F38" s="13" t="s">
        <v>2278</v>
      </c>
      <c r="G38" s="13" t="s">
        <v>1136</v>
      </c>
      <c r="H38" s="13" t="s">
        <v>209</v>
      </c>
      <c r="I38" s="13" t="s">
        <v>1137</v>
      </c>
      <c r="M38" t="s">
        <v>2827</v>
      </c>
    </row>
    <row r="39" spans="1:13" ht="16.5" customHeight="1" x14ac:dyDescent="0.25">
      <c r="A39" s="6" t="s">
        <v>2281</v>
      </c>
      <c r="B39" s="7" t="s">
        <v>660</v>
      </c>
      <c r="C39" s="7" t="s">
        <v>2280</v>
      </c>
      <c r="D39" s="7" t="s">
        <v>662</v>
      </c>
      <c r="E39" s="7" t="s">
        <v>673</v>
      </c>
      <c r="F39" s="7" t="s">
        <v>2278</v>
      </c>
      <c r="G39" s="7" t="s">
        <v>2279</v>
      </c>
      <c r="H39" s="7" t="s">
        <v>209</v>
      </c>
      <c r="I39" s="7" t="s">
        <v>2119</v>
      </c>
      <c r="M39" t="s">
        <v>2827</v>
      </c>
    </row>
    <row r="40" spans="1:13" ht="16.5" customHeight="1" x14ac:dyDescent="0.25">
      <c r="A40" s="12" t="s">
        <v>2288</v>
      </c>
      <c r="B40" s="13" t="s">
        <v>660</v>
      </c>
      <c r="C40" s="13" t="s">
        <v>2287</v>
      </c>
      <c r="D40" s="13" t="s">
        <v>662</v>
      </c>
      <c r="E40" s="13" t="s">
        <v>673</v>
      </c>
      <c r="F40" s="13" t="s">
        <v>2278</v>
      </c>
      <c r="G40" s="13" t="s">
        <v>2286</v>
      </c>
      <c r="H40" s="13" t="s">
        <v>209</v>
      </c>
      <c r="I40" s="13" t="s">
        <v>2148</v>
      </c>
      <c r="M40" t="s">
        <v>2827</v>
      </c>
    </row>
    <row r="41" spans="1:13" ht="16.5" customHeight="1" x14ac:dyDescent="0.25">
      <c r="A41" s="6" t="s">
        <v>2291</v>
      </c>
      <c r="B41" s="7" t="s">
        <v>660</v>
      </c>
      <c r="C41" s="7" t="s">
        <v>2290</v>
      </c>
      <c r="D41" s="7" t="s">
        <v>662</v>
      </c>
      <c r="E41" s="7" t="s">
        <v>673</v>
      </c>
      <c r="F41" s="7" t="s">
        <v>2278</v>
      </c>
      <c r="G41" s="7" t="s">
        <v>2289</v>
      </c>
      <c r="H41" s="7" t="s">
        <v>209</v>
      </c>
      <c r="I41" s="7" t="s">
        <v>2148</v>
      </c>
      <c r="M41" t="s">
        <v>2827</v>
      </c>
    </row>
    <row r="42" spans="1:13" ht="16.5" customHeight="1" x14ac:dyDescent="0.25">
      <c r="A42" s="12" t="s">
        <v>2311</v>
      </c>
      <c r="B42" s="13" t="s">
        <v>660</v>
      </c>
      <c r="C42" s="13" t="s">
        <v>2309</v>
      </c>
      <c r="D42" s="13" t="s">
        <v>662</v>
      </c>
      <c r="E42" s="13" t="s">
        <v>673</v>
      </c>
      <c r="F42" s="13" t="s">
        <v>2312</v>
      </c>
      <c r="G42" s="13" t="s">
        <v>2308</v>
      </c>
      <c r="H42" s="13" t="s">
        <v>209</v>
      </c>
      <c r="I42" s="13" t="s">
        <v>2310</v>
      </c>
      <c r="M42" t="s">
        <v>2827</v>
      </c>
    </row>
    <row r="43" spans="1:13" ht="16.5" customHeight="1" x14ac:dyDescent="0.25">
      <c r="A43" s="6" t="s">
        <v>2315</v>
      </c>
      <c r="B43" s="7" t="s">
        <v>660</v>
      </c>
      <c r="C43" s="7" t="s">
        <v>2314</v>
      </c>
      <c r="D43" s="7" t="s">
        <v>662</v>
      </c>
      <c r="E43" s="7" t="s">
        <v>673</v>
      </c>
      <c r="F43" s="7" t="s">
        <v>2312</v>
      </c>
      <c r="G43" s="7" t="s">
        <v>2313</v>
      </c>
      <c r="H43" s="7" t="s">
        <v>209</v>
      </c>
      <c r="I43" s="7" t="s">
        <v>2310</v>
      </c>
      <c r="M43" t="s">
        <v>2827</v>
      </c>
    </row>
    <row r="44" spans="1:13" ht="16.5" customHeight="1" x14ac:dyDescent="0.25">
      <c r="A44" s="12" t="s">
        <v>2321</v>
      </c>
      <c r="B44" s="13" t="s">
        <v>660</v>
      </c>
      <c r="C44" s="13" t="s">
        <v>2319</v>
      </c>
      <c r="D44" s="13" t="s">
        <v>662</v>
      </c>
      <c r="E44" s="13" t="s">
        <v>673</v>
      </c>
      <c r="F44" s="13" t="s">
        <v>2312</v>
      </c>
      <c r="G44" s="13" t="s">
        <v>2318</v>
      </c>
      <c r="H44" s="13" t="s">
        <v>209</v>
      </c>
      <c r="I44" s="13" t="s">
        <v>2320</v>
      </c>
      <c r="M44" t="s">
        <v>2827</v>
      </c>
    </row>
    <row r="45" spans="1:13" ht="16.5" customHeight="1" x14ac:dyDescent="0.25">
      <c r="A45" s="6" t="s">
        <v>2324</v>
      </c>
      <c r="B45" s="7" t="s">
        <v>660</v>
      </c>
      <c r="C45" s="7" t="s">
        <v>2323</v>
      </c>
      <c r="D45" s="7" t="s">
        <v>662</v>
      </c>
      <c r="E45" s="7" t="s">
        <v>673</v>
      </c>
      <c r="F45" s="7" t="s">
        <v>2312</v>
      </c>
      <c r="G45" s="7" t="s">
        <v>2322</v>
      </c>
      <c r="H45" s="7" t="s">
        <v>209</v>
      </c>
      <c r="I45" s="7" t="s">
        <v>2320</v>
      </c>
      <c r="M45" t="s">
        <v>2827</v>
      </c>
    </row>
    <row r="46" spans="1:13" ht="16.5" customHeight="1" x14ac:dyDescent="0.25">
      <c r="A46" s="12" t="s">
        <v>2326</v>
      </c>
      <c r="B46" s="13" t="s">
        <v>660</v>
      </c>
      <c r="C46" s="13" t="s">
        <v>640</v>
      </c>
      <c r="D46" s="13" t="s">
        <v>662</v>
      </c>
      <c r="E46" s="13" t="s">
        <v>673</v>
      </c>
      <c r="F46" s="13" t="s">
        <v>2278</v>
      </c>
      <c r="G46" s="13" t="s">
        <v>1802</v>
      </c>
      <c r="H46" s="13" t="s">
        <v>209</v>
      </c>
      <c r="I46" s="13" t="s">
        <v>1137</v>
      </c>
      <c r="M46" t="s">
        <v>2827</v>
      </c>
    </row>
    <row r="47" spans="1:13" ht="17.25" customHeight="1" x14ac:dyDescent="0.25">
      <c r="A47" s="6" t="s">
        <v>2316</v>
      </c>
      <c r="B47" s="7" t="s">
        <v>660</v>
      </c>
      <c r="C47" s="7" t="s">
        <v>212</v>
      </c>
      <c r="D47" s="7" t="s">
        <v>662</v>
      </c>
      <c r="E47" s="7" t="s">
        <v>673</v>
      </c>
      <c r="F47" s="7" t="s">
        <v>2278</v>
      </c>
      <c r="G47" s="7" t="s">
        <v>1136</v>
      </c>
      <c r="H47" s="7" t="s">
        <v>209</v>
      </c>
      <c r="I47" s="7" t="s">
        <v>1137</v>
      </c>
      <c r="M47" t="s">
        <v>2827</v>
      </c>
    </row>
    <row r="48" spans="1:13" ht="16.5" customHeight="1" x14ac:dyDescent="0.25">
      <c r="A48" s="12" t="s">
        <v>2325</v>
      </c>
      <c r="B48" s="13" t="s">
        <v>660</v>
      </c>
      <c r="C48" s="13" t="s">
        <v>640</v>
      </c>
      <c r="D48" s="13" t="s">
        <v>662</v>
      </c>
      <c r="E48" s="13" t="s">
        <v>673</v>
      </c>
      <c r="F48" s="13" t="s">
        <v>2278</v>
      </c>
      <c r="G48" s="13" t="s">
        <v>1802</v>
      </c>
      <c r="H48" s="13" t="s">
        <v>209</v>
      </c>
      <c r="I48" s="13" t="s">
        <v>1137</v>
      </c>
      <c r="M48" t="s">
        <v>2827</v>
      </c>
    </row>
    <row r="49" spans="1:13" ht="16.5" customHeight="1" x14ac:dyDescent="0.25">
      <c r="A49" s="6" t="s">
        <v>2277</v>
      </c>
      <c r="B49" s="7" t="s">
        <v>660</v>
      </c>
      <c r="C49" s="7" t="s">
        <v>2276</v>
      </c>
      <c r="D49" s="7" t="s">
        <v>662</v>
      </c>
      <c r="E49" s="7" t="s">
        <v>673</v>
      </c>
      <c r="F49" s="7" t="s">
        <v>2278</v>
      </c>
      <c r="G49" s="7" t="s">
        <v>2275</v>
      </c>
      <c r="H49" s="7" t="s">
        <v>209</v>
      </c>
      <c r="I49" s="7" t="s">
        <v>2119</v>
      </c>
      <c r="M49" t="s">
        <v>2827</v>
      </c>
    </row>
    <row r="50" spans="1:13" ht="16.5" customHeight="1" x14ac:dyDescent="0.25">
      <c r="A50" s="12" t="s">
        <v>2345</v>
      </c>
      <c r="B50" s="13" t="s">
        <v>607</v>
      </c>
      <c r="C50" s="13" t="s">
        <v>2344</v>
      </c>
      <c r="D50" s="13" t="s">
        <v>1062</v>
      </c>
      <c r="E50" s="13" t="s">
        <v>697</v>
      </c>
      <c r="F50" s="13" t="s">
        <v>2320</v>
      </c>
      <c r="G50" s="13" t="s">
        <v>2343</v>
      </c>
      <c r="H50" s="13" t="s">
        <v>209</v>
      </c>
      <c r="I50" s="13" t="s">
        <v>2320</v>
      </c>
      <c r="M50" t="s">
        <v>2827</v>
      </c>
    </row>
    <row r="51" spans="1:13" ht="16.5" customHeight="1" x14ac:dyDescent="0.25">
      <c r="A51" s="6" t="s">
        <v>2348</v>
      </c>
      <c r="B51" s="7" t="s">
        <v>607</v>
      </c>
      <c r="C51" s="7" t="s">
        <v>2347</v>
      </c>
      <c r="D51" s="7" t="s">
        <v>1067</v>
      </c>
      <c r="E51" s="7" t="s">
        <v>697</v>
      </c>
      <c r="F51" s="7" t="s">
        <v>2320</v>
      </c>
      <c r="G51" s="7" t="s">
        <v>2346</v>
      </c>
      <c r="H51" s="7" t="s">
        <v>209</v>
      </c>
      <c r="I51" s="7" t="s">
        <v>2320</v>
      </c>
      <c r="M51" t="s">
        <v>2827</v>
      </c>
    </row>
    <row r="52" spans="1:13" ht="16.5" customHeight="1" x14ac:dyDescent="0.25">
      <c r="A52" s="12" t="s">
        <v>2351</v>
      </c>
      <c r="B52" s="13" t="s">
        <v>607</v>
      </c>
      <c r="C52" s="13" t="s">
        <v>2350</v>
      </c>
      <c r="D52" s="13" t="s">
        <v>1071</v>
      </c>
      <c r="E52" s="13" t="s">
        <v>697</v>
      </c>
      <c r="F52" s="13" t="s">
        <v>2320</v>
      </c>
      <c r="G52" s="13" t="s">
        <v>2349</v>
      </c>
      <c r="H52" s="13" t="s">
        <v>209</v>
      </c>
      <c r="I52" s="13" t="s">
        <v>2320</v>
      </c>
      <c r="M52" t="s">
        <v>2827</v>
      </c>
    </row>
    <row r="53" spans="1:13" ht="16.5" customHeight="1" x14ac:dyDescent="0.25">
      <c r="A53" s="6" t="s">
        <v>2353</v>
      </c>
      <c r="B53" s="7" t="s">
        <v>573</v>
      </c>
      <c r="C53" s="7" t="s">
        <v>640</v>
      </c>
      <c r="D53" s="7" t="s">
        <v>1111</v>
      </c>
      <c r="E53" s="7" t="s">
        <v>2352</v>
      </c>
      <c r="F53" s="7" t="s">
        <v>2354</v>
      </c>
      <c r="G53" s="7" t="s">
        <v>2232</v>
      </c>
      <c r="H53" s="7" t="s">
        <v>209</v>
      </c>
      <c r="I53" s="7" t="s">
        <v>1132</v>
      </c>
      <c r="M53" t="s">
        <v>2827</v>
      </c>
    </row>
    <row r="54" spans="1:13" ht="16.5" customHeight="1" x14ac:dyDescent="0.25">
      <c r="A54" s="12" t="s">
        <v>2355</v>
      </c>
      <c r="B54" s="13" t="s">
        <v>573</v>
      </c>
      <c r="C54" s="13" t="s">
        <v>2200</v>
      </c>
      <c r="D54" s="13" t="s">
        <v>1740</v>
      </c>
      <c r="E54" s="13" t="s">
        <v>2352</v>
      </c>
      <c r="F54" s="13" t="s">
        <v>2354</v>
      </c>
      <c r="G54" s="13" t="s">
        <v>2202</v>
      </c>
      <c r="H54" s="13" t="s">
        <v>209</v>
      </c>
      <c r="I54" s="13" t="s">
        <v>1132</v>
      </c>
      <c r="M54" t="s">
        <v>2827</v>
      </c>
    </row>
    <row r="55" spans="1:13" ht="16.5" customHeight="1" x14ac:dyDescent="0.25">
      <c r="A55" s="6" t="s">
        <v>2359</v>
      </c>
      <c r="B55" s="7" t="s">
        <v>619</v>
      </c>
      <c r="C55" s="7" t="s">
        <v>2357</v>
      </c>
      <c r="D55" s="7" t="s">
        <v>1062</v>
      </c>
      <c r="E55" s="7" t="s">
        <v>697</v>
      </c>
      <c r="F55" s="7" t="s">
        <v>2358</v>
      </c>
      <c r="G55" s="7" t="s">
        <v>2356</v>
      </c>
      <c r="H55" s="7" t="s">
        <v>209</v>
      </c>
      <c r="I55" s="7" t="s">
        <v>2358</v>
      </c>
      <c r="M55" t="s">
        <v>2827</v>
      </c>
    </row>
    <row r="56" spans="1:13" ht="16.5" customHeight="1" x14ac:dyDescent="0.25">
      <c r="A56" s="12" t="s">
        <v>2362</v>
      </c>
      <c r="B56" s="13" t="s">
        <v>619</v>
      </c>
      <c r="C56" s="13" t="s">
        <v>2361</v>
      </c>
      <c r="D56" s="13" t="s">
        <v>1067</v>
      </c>
      <c r="E56" s="13" t="s">
        <v>697</v>
      </c>
      <c r="F56" s="13" t="s">
        <v>2358</v>
      </c>
      <c r="G56" s="13" t="s">
        <v>2360</v>
      </c>
      <c r="H56" s="13" t="s">
        <v>209</v>
      </c>
      <c r="I56" s="13" t="s">
        <v>2358</v>
      </c>
      <c r="M56" t="s">
        <v>2827</v>
      </c>
    </row>
    <row r="57" spans="1:13" ht="16.5" customHeight="1" x14ac:dyDescent="0.25">
      <c r="A57" s="6" t="s">
        <v>2365</v>
      </c>
      <c r="B57" s="7" t="s">
        <v>619</v>
      </c>
      <c r="C57" s="7" t="s">
        <v>2364</v>
      </c>
      <c r="D57" s="7" t="s">
        <v>1071</v>
      </c>
      <c r="E57" s="7" t="s">
        <v>697</v>
      </c>
      <c r="F57" s="7" t="s">
        <v>2358</v>
      </c>
      <c r="G57" s="7" t="s">
        <v>2363</v>
      </c>
      <c r="H57" s="7" t="s">
        <v>209</v>
      </c>
      <c r="I57" s="7" t="s">
        <v>2358</v>
      </c>
      <c r="M57" t="s">
        <v>2827</v>
      </c>
    </row>
    <row r="58" spans="1:13" ht="16.5" customHeight="1" x14ac:dyDescent="0.25">
      <c r="A58" s="12" t="s">
        <v>1928</v>
      </c>
      <c r="B58" s="13" t="s">
        <v>627</v>
      </c>
      <c r="C58" s="13" t="s">
        <v>1927</v>
      </c>
      <c r="D58" s="13" t="s">
        <v>1057</v>
      </c>
      <c r="E58" s="13" t="s">
        <v>1058</v>
      </c>
      <c r="F58" s="13" t="s">
        <v>1124</v>
      </c>
      <c r="G58" s="13" t="s">
        <v>1926</v>
      </c>
      <c r="H58" s="13" t="s">
        <v>309</v>
      </c>
      <c r="I58" s="13" t="s">
        <v>1819</v>
      </c>
      <c r="M58" t="s">
        <v>2827</v>
      </c>
    </row>
    <row r="59" spans="1:13" ht="16.5" customHeight="1" x14ac:dyDescent="0.25">
      <c r="A59" s="6" t="s">
        <v>1779</v>
      </c>
      <c r="B59" s="7" t="s">
        <v>660</v>
      </c>
      <c r="C59" s="7" t="s">
        <v>1777</v>
      </c>
      <c r="D59" s="7" t="s">
        <v>924</v>
      </c>
      <c r="E59" s="7" t="s">
        <v>673</v>
      </c>
      <c r="F59" s="7" t="s">
        <v>1088</v>
      </c>
      <c r="G59" s="7" t="s">
        <v>1776</v>
      </c>
      <c r="H59" s="7" t="s">
        <v>358</v>
      </c>
      <c r="I59" s="7" t="s">
        <v>1778</v>
      </c>
      <c r="M59" t="s">
        <v>2827</v>
      </c>
    </row>
    <row r="60" spans="1:13" ht="17.25" customHeight="1" x14ac:dyDescent="0.25">
      <c r="A60" s="12" t="s">
        <v>1775</v>
      </c>
      <c r="B60" s="13" t="s">
        <v>660</v>
      </c>
      <c r="C60" s="13" t="s">
        <v>1774</v>
      </c>
      <c r="D60" s="13" t="s">
        <v>662</v>
      </c>
      <c r="E60" s="13" t="s">
        <v>663</v>
      </c>
      <c r="F60" s="13" t="s">
        <v>1766</v>
      </c>
      <c r="G60" s="13" t="s">
        <v>1773</v>
      </c>
      <c r="H60" s="13" t="s">
        <v>358</v>
      </c>
      <c r="I60" s="13" t="s">
        <v>1764</v>
      </c>
      <c r="M60" t="s">
        <v>2827</v>
      </c>
    </row>
    <row r="61" spans="1:13" ht="16.5" customHeight="1" x14ac:dyDescent="0.25">
      <c r="A61" s="6" t="s">
        <v>1769</v>
      </c>
      <c r="B61" s="7" t="s">
        <v>660</v>
      </c>
      <c r="C61" s="7" t="s">
        <v>1768</v>
      </c>
      <c r="D61" s="7" t="s">
        <v>662</v>
      </c>
      <c r="E61" s="7" t="s">
        <v>663</v>
      </c>
      <c r="F61" s="7" t="s">
        <v>1766</v>
      </c>
      <c r="G61" s="7" t="s">
        <v>1767</v>
      </c>
      <c r="H61" s="7" t="s">
        <v>358</v>
      </c>
      <c r="I61" s="7" t="s">
        <v>1764</v>
      </c>
      <c r="M61" t="s">
        <v>2827</v>
      </c>
    </row>
    <row r="62" spans="1:13" ht="16.5" customHeight="1" x14ac:dyDescent="0.25">
      <c r="A62" s="12" t="s">
        <v>1772</v>
      </c>
      <c r="B62" s="13" t="s">
        <v>660</v>
      </c>
      <c r="C62" s="13" t="s">
        <v>1771</v>
      </c>
      <c r="D62" s="13" t="s">
        <v>662</v>
      </c>
      <c r="E62" s="13" t="s">
        <v>663</v>
      </c>
      <c r="F62" s="13" t="s">
        <v>1766</v>
      </c>
      <c r="G62" s="13" t="s">
        <v>1770</v>
      </c>
      <c r="H62" s="13" t="s">
        <v>358</v>
      </c>
      <c r="I62" s="13" t="s">
        <v>1764</v>
      </c>
      <c r="M62" t="s">
        <v>2827</v>
      </c>
    </row>
    <row r="63" spans="1:13" ht="16.5" customHeight="1" x14ac:dyDescent="0.25">
      <c r="A63" s="6" t="s">
        <v>1765</v>
      </c>
      <c r="B63" s="7" t="s">
        <v>660</v>
      </c>
      <c r="C63" s="7" t="s">
        <v>1763</v>
      </c>
      <c r="D63" s="7" t="s">
        <v>662</v>
      </c>
      <c r="E63" s="7" t="s">
        <v>663</v>
      </c>
      <c r="F63" s="7" t="s">
        <v>1766</v>
      </c>
      <c r="G63" s="7" t="s">
        <v>1762</v>
      </c>
      <c r="H63" s="7" t="s">
        <v>358</v>
      </c>
      <c r="I63" s="7" t="s">
        <v>1764</v>
      </c>
      <c r="M63" t="s">
        <v>2827</v>
      </c>
    </row>
    <row r="64" spans="1:13" ht="16.5" customHeight="1" x14ac:dyDescent="0.25">
      <c r="A64" s="12" t="s">
        <v>1758</v>
      </c>
      <c r="B64" s="13" t="s">
        <v>660</v>
      </c>
      <c r="C64" s="13" t="s">
        <v>1757</v>
      </c>
      <c r="D64" s="13" t="s">
        <v>662</v>
      </c>
      <c r="E64" s="13" t="s">
        <v>663</v>
      </c>
      <c r="F64" s="13" t="s">
        <v>1752</v>
      </c>
      <c r="G64" s="13" t="s">
        <v>1756</v>
      </c>
      <c r="H64" s="13" t="s">
        <v>358</v>
      </c>
      <c r="I64" s="13" t="s">
        <v>1750</v>
      </c>
      <c r="M64" t="s">
        <v>2827</v>
      </c>
    </row>
    <row r="65" spans="1:13" ht="16.5" customHeight="1" x14ac:dyDescent="0.25">
      <c r="A65" s="6" t="s">
        <v>1751</v>
      </c>
      <c r="B65" s="7" t="s">
        <v>660</v>
      </c>
      <c r="C65" s="7" t="s">
        <v>1749</v>
      </c>
      <c r="D65" s="7" t="s">
        <v>662</v>
      </c>
      <c r="E65" s="7" t="s">
        <v>663</v>
      </c>
      <c r="F65" s="7" t="s">
        <v>1752</v>
      </c>
      <c r="G65" s="7" t="s">
        <v>1748</v>
      </c>
      <c r="H65" s="7" t="s">
        <v>358</v>
      </c>
      <c r="I65" s="7" t="s">
        <v>1750</v>
      </c>
      <c r="M65" t="s">
        <v>2827</v>
      </c>
    </row>
    <row r="66" spans="1:13" ht="16.5" customHeight="1" x14ac:dyDescent="0.25">
      <c r="A66" s="12" t="s">
        <v>1761</v>
      </c>
      <c r="B66" s="13" t="s">
        <v>660</v>
      </c>
      <c r="C66" s="13" t="s">
        <v>1760</v>
      </c>
      <c r="D66" s="13" t="s">
        <v>662</v>
      </c>
      <c r="E66" s="13" t="s">
        <v>663</v>
      </c>
      <c r="F66" s="13" t="s">
        <v>1752</v>
      </c>
      <c r="G66" s="13" t="s">
        <v>1759</v>
      </c>
      <c r="H66" s="13" t="s">
        <v>358</v>
      </c>
      <c r="I66" s="13" t="s">
        <v>1750</v>
      </c>
      <c r="M66" t="s">
        <v>2827</v>
      </c>
    </row>
    <row r="67" spans="1:13" ht="16.5" customHeight="1" x14ac:dyDescent="0.25">
      <c r="A67" s="6" t="s">
        <v>1755</v>
      </c>
      <c r="B67" s="7" t="s">
        <v>660</v>
      </c>
      <c r="C67" s="7" t="s">
        <v>1754</v>
      </c>
      <c r="D67" s="7" t="s">
        <v>662</v>
      </c>
      <c r="E67" s="7" t="s">
        <v>663</v>
      </c>
      <c r="F67" s="7" t="s">
        <v>1752</v>
      </c>
      <c r="G67" s="7" t="s">
        <v>1753</v>
      </c>
      <c r="H67" s="7" t="s">
        <v>358</v>
      </c>
      <c r="I67" s="7" t="s">
        <v>1750</v>
      </c>
      <c r="M67" t="s">
        <v>2827</v>
      </c>
    </row>
    <row r="68" spans="1:13" ht="16.5" customHeight="1" x14ac:dyDescent="0.25">
      <c r="A68" s="12" t="s">
        <v>1116</v>
      </c>
      <c r="B68" s="13" t="s">
        <v>660</v>
      </c>
      <c r="C68" s="13" t="s">
        <v>392</v>
      </c>
      <c r="D68" s="13" t="s">
        <v>662</v>
      </c>
      <c r="E68" s="13" t="s">
        <v>663</v>
      </c>
      <c r="F68" s="13" t="s">
        <v>1117</v>
      </c>
      <c r="G68" s="13" t="s">
        <v>655</v>
      </c>
      <c r="H68" s="13" t="s">
        <v>469</v>
      </c>
      <c r="I68" s="13" t="s">
        <v>654</v>
      </c>
      <c r="M68" t="s">
        <v>2827</v>
      </c>
    </row>
    <row r="69" spans="1:13" ht="16.5" customHeight="1" x14ac:dyDescent="0.25">
      <c r="A69" s="6" t="s">
        <v>1118</v>
      </c>
      <c r="B69" s="7" t="s">
        <v>660</v>
      </c>
      <c r="C69" s="7" t="s">
        <v>1013</v>
      </c>
      <c r="D69" s="7" t="s">
        <v>662</v>
      </c>
      <c r="E69" s="7" t="s">
        <v>663</v>
      </c>
      <c r="F69" s="7" t="s">
        <v>1117</v>
      </c>
      <c r="G69" s="7" t="s">
        <v>1016</v>
      </c>
      <c r="H69" s="7" t="s">
        <v>469</v>
      </c>
      <c r="I69" s="7" t="s">
        <v>996</v>
      </c>
      <c r="M69" t="s">
        <v>2827</v>
      </c>
    </row>
    <row r="70" spans="1:13" ht="16.5" customHeight="1" x14ac:dyDescent="0.25">
      <c r="A70" s="12" t="s">
        <v>1114</v>
      </c>
      <c r="B70" s="13" t="s">
        <v>660</v>
      </c>
      <c r="C70" s="13" t="s">
        <v>392</v>
      </c>
      <c r="D70" s="13" t="s">
        <v>662</v>
      </c>
      <c r="E70" s="13" t="s">
        <v>663</v>
      </c>
      <c r="F70" s="13" t="s">
        <v>1115</v>
      </c>
      <c r="G70" s="13" t="s">
        <v>655</v>
      </c>
      <c r="H70" s="13" t="s">
        <v>469</v>
      </c>
      <c r="I70" s="13" t="s">
        <v>654</v>
      </c>
      <c r="M70" t="s">
        <v>2827</v>
      </c>
    </row>
    <row r="71" spans="1:13" ht="16.5" customHeight="1" x14ac:dyDescent="0.25">
      <c r="A71" s="6" t="s">
        <v>1119</v>
      </c>
      <c r="B71" s="7" t="s">
        <v>660</v>
      </c>
      <c r="C71" s="7" t="s">
        <v>1021</v>
      </c>
      <c r="D71" s="7" t="s">
        <v>662</v>
      </c>
      <c r="E71" s="7" t="s">
        <v>663</v>
      </c>
      <c r="F71" s="7" t="s">
        <v>1115</v>
      </c>
      <c r="G71" s="7" t="s">
        <v>1023</v>
      </c>
      <c r="H71" s="7" t="s">
        <v>469</v>
      </c>
      <c r="I71" s="7" t="s">
        <v>657</v>
      </c>
      <c r="M71" t="s">
        <v>2827</v>
      </c>
    </row>
    <row r="72" spans="1:13" ht="17.25" customHeight="1" x14ac:dyDescent="0.25">
      <c r="A72" s="12" t="s">
        <v>1120</v>
      </c>
      <c r="B72" s="13" t="s">
        <v>660</v>
      </c>
      <c r="C72" s="13" t="s">
        <v>640</v>
      </c>
      <c r="D72" s="13" t="s">
        <v>662</v>
      </c>
      <c r="E72" s="13" t="s">
        <v>673</v>
      </c>
      <c r="F72" s="13" t="s">
        <v>1088</v>
      </c>
      <c r="G72" s="13" t="s">
        <v>1046</v>
      </c>
      <c r="H72" s="13" t="s">
        <v>469</v>
      </c>
      <c r="I72" s="13" t="s">
        <v>915</v>
      </c>
      <c r="M72" t="s">
        <v>2827</v>
      </c>
    </row>
    <row r="73" spans="1:13" ht="16.5" customHeight="1" x14ac:dyDescent="0.25">
      <c r="A73" s="6" t="s">
        <v>1123</v>
      </c>
      <c r="B73" s="7" t="s">
        <v>583</v>
      </c>
      <c r="C73" s="7" t="s">
        <v>1122</v>
      </c>
      <c r="D73" s="7" t="s">
        <v>1057</v>
      </c>
      <c r="E73" s="7" t="s">
        <v>1058</v>
      </c>
      <c r="F73" s="7" t="s">
        <v>1124</v>
      </c>
      <c r="G73" s="7" t="s">
        <v>1121</v>
      </c>
      <c r="H73" s="7" t="s">
        <v>469</v>
      </c>
      <c r="I73" s="7" t="s">
        <v>881</v>
      </c>
      <c r="M73" t="s">
        <v>2827</v>
      </c>
    </row>
    <row r="74" spans="1:13" ht="24.75" customHeight="1" x14ac:dyDescent="0.25">
      <c r="A74" s="12" t="s">
        <v>1127</v>
      </c>
      <c r="B74" s="13" t="s">
        <v>591</v>
      </c>
      <c r="C74" s="13" t="s">
        <v>1126</v>
      </c>
      <c r="D74" s="13" t="s">
        <v>1057</v>
      </c>
      <c r="E74" s="13" t="s">
        <v>1058</v>
      </c>
      <c r="F74" s="13" t="s">
        <v>1088</v>
      </c>
      <c r="G74" s="13" t="s">
        <v>1125</v>
      </c>
      <c r="H74" s="13" t="s">
        <v>469</v>
      </c>
      <c r="I74" s="13" t="s">
        <v>881</v>
      </c>
      <c r="M74" t="s">
        <v>2827</v>
      </c>
    </row>
    <row r="75" spans="1:13" ht="6.75" customHeight="1" x14ac:dyDescent="0.25"/>
    <row r="76" spans="1:13" ht="0.75" customHeight="1" x14ac:dyDescent="0.25">
      <c r="F76" s="35" t="s">
        <v>1</v>
      </c>
      <c r="G76" s="35"/>
      <c r="H76" s="35"/>
    </row>
    <row r="77" spans="1:13" ht="12" customHeight="1" x14ac:dyDescent="0.25">
      <c r="A77" s="36" t="s">
        <v>637</v>
      </c>
      <c r="B77" s="36"/>
      <c r="C77" s="36"/>
      <c r="D77" s="36"/>
      <c r="F77" s="35"/>
      <c r="G77" s="35"/>
      <c r="H77" s="35"/>
    </row>
    <row r="78" spans="1:13" ht="0.75" customHeight="1" x14ac:dyDescent="0.25">
      <c r="A78" s="36"/>
      <c r="B78" s="36"/>
      <c r="C78" s="36"/>
      <c r="D78" s="36"/>
    </row>
  </sheetData>
  <mergeCells count="13">
    <mergeCell ref="F76:H77"/>
    <mergeCell ref="A77:D78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&amp;C4K911 JB70_A.1</oddHeader>
    <oddFooter>&amp;L&amp;D&amp;CPage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403349-7597-4B0C-8198-F15307A2BCEF}">
  <sheetPr>
    <pageSetUpPr fitToPage="1"/>
  </sheetPr>
  <dimension ref="A1:M157"/>
  <sheetViews>
    <sheetView showGridLines="0" topLeftCell="A116" workbookViewId="0">
      <selection activeCell="E162" sqref="E162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13" ht="18" customHeight="1" x14ac:dyDescent="0.25">
      <c r="A1" s="37" t="s">
        <v>209</v>
      </c>
      <c r="B1" s="37"/>
      <c r="C1" s="37"/>
      <c r="D1" s="37"/>
    </row>
    <row r="2" spans="1:13" ht="12" customHeight="1" x14ac:dyDescent="0.25">
      <c r="A2" s="38"/>
      <c r="B2" s="38"/>
      <c r="C2" s="38"/>
      <c r="D2" s="38"/>
    </row>
    <row r="3" spans="1:13" ht="12.75" customHeight="1" x14ac:dyDescent="0.25">
      <c r="A3" s="2" t="s">
        <v>2</v>
      </c>
      <c r="B3" s="39" t="s">
        <v>3</v>
      </c>
      <c r="C3" s="39"/>
      <c r="D3" s="39"/>
    </row>
    <row r="4" spans="1:13" ht="12" customHeight="1" x14ac:dyDescent="0.25">
      <c r="A4" s="2" t="s">
        <v>5</v>
      </c>
      <c r="B4" s="39" t="s">
        <v>6</v>
      </c>
      <c r="C4" s="39"/>
      <c r="D4" s="39"/>
    </row>
    <row r="5" spans="1:13" ht="12.75" customHeight="1" x14ac:dyDescent="0.25">
      <c r="A5" s="2" t="s">
        <v>7</v>
      </c>
      <c r="B5" s="39" t="s">
        <v>8</v>
      </c>
      <c r="C5" s="39"/>
      <c r="D5" s="39"/>
    </row>
    <row r="6" spans="1:13" ht="5.25" customHeight="1" x14ac:dyDescent="0.25"/>
    <row r="7" spans="1:13" ht="12" customHeight="1" x14ac:dyDescent="0.25">
      <c r="A7" s="2" t="s">
        <v>9</v>
      </c>
      <c r="B7" s="39" t="s">
        <v>10</v>
      </c>
      <c r="C7" s="39"/>
      <c r="D7" s="39"/>
    </row>
    <row r="8" spans="1:13" ht="12.75" customHeight="1" x14ac:dyDescent="0.25">
      <c r="A8" s="2" t="s">
        <v>11</v>
      </c>
      <c r="B8" s="39" t="s">
        <v>12</v>
      </c>
      <c r="C8" s="39"/>
      <c r="D8" s="39"/>
    </row>
    <row r="9" spans="1:13" ht="12" customHeight="1" x14ac:dyDescent="0.25">
      <c r="A9" s="2" t="s">
        <v>13</v>
      </c>
      <c r="B9" s="39"/>
      <c r="C9" s="39"/>
      <c r="D9" s="39"/>
    </row>
    <row r="10" spans="1:13" ht="12.75" customHeight="1" x14ac:dyDescent="0.25">
      <c r="A10" s="2" t="s">
        <v>11</v>
      </c>
      <c r="B10" s="39"/>
      <c r="C10" s="39"/>
      <c r="D10" s="39"/>
    </row>
    <row r="11" spans="1:13" ht="10.5" customHeight="1" x14ac:dyDescent="0.25"/>
    <row r="12" spans="1:13" ht="16.5" customHeight="1" x14ac:dyDescent="0.25">
      <c r="A12" s="40" t="s">
        <v>630</v>
      </c>
      <c r="B12" s="40"/>
      <c r="C12" s="40"/>
      <c r="D12" s="40"/>
      <c r="E12" s="40"/>
      <c r="F12" s="40"/>
      <c r="G12" s="41" t="s">
        <v>631</v>
      </c>
      <c r="H12" s="41"/>
      <c r="I12" s="41"/>
    </row>
    <row r="13" spans="1:13" ht="43.5" customHeight="1" x14ac:dyDescent="0.25">
      <c r="A13" s="10" t="s">
        <v>14</v>
      </c>
      <c r="B13" s="11" t="s">
        <v>632</v>
      </c>
      <c r="C13" s="11" t="s">
        <v>634</v>
      </c>
      <c r="D13" s="11" t="s">
        <v>633</v>
      </c>
      <c r="E13" s="11" t="s">
        <v>635</v>
      </c>
      <c r="F13" s="11" t="s">
        <v>636</v>
      </c>
      <c r="G13" s="11" t="s">
        <v>14</v>
      </c>
      <c r="H13" s="11" t="s">
        <v>17</v>
      </c>
      <c r="I13" s="11" t="s">
        <v>636</v>
      </c>
    </row>
    <row r="14" spans="1:13" ht="16.5" customHeight="1" x14ac:dyDescent="0.25">
      <c r="A14" s="12" t="s">
        <v>2083</v>
      </c>
      <c r="B14" s="13" t="s">
        <v>639</v>
      </c>
      <c r="C14" s="13" t="s">
        <v>212</v>
      </c>
      <c r="D14" s="13" t="s">
        <v>641</v>
      </c>
      <c r="E14" s="13" t="s">
        <v>642</v>
      </c>
      <c r="F14" s="13" t="s">
        <v>1137</v>
      </c>
      <c r="G14" s="13" t="s">
        <v>1136</v>
      </c>
      <c r="H14" s="13" t="s">
        <v>209</v>
      </c>
      <c r="I14" s="13" t="s">
        <v>1137</v>
      </c>
      <c r="M14" t="s">
        <v>2827</v>
      </c>
    </row>
    <row r="15" spans="1:13" ht="16.5" customHeight="1" x14ac:dyDescent="0.25">
      <c r="A15" s="6" t="s">
        <v>1802</v>
      </c>
      <c r="B15" s="7" t="s">
        <v>639</v>
      </c>
      <c r="C15" s="7" t="s">
        <v>640</v>
      </c>
      <c r="D15" s="7" t="s">
        <v>641</v>
      </c>
      <c r="E15" s="7" t="s">
        <v>642</v>
      </c>
      <c r="F15" s="7" t="s">
        <v>1137</v>
      </c>
      <c r="G15" s="7" t="s">
        <v>2084</v>
      </c>
      <c r="H15" s="7" t="s">
        <v>209</v>
      </c>
      <c r="I15" s="7" t="s">
        <v>1137</v>
      </c>
      <c r="M15" t="s">
        <v>2827</v>
      </c>
    </row>
    <row r="16" spans="1:13" ht="16.5" customHeight="1" x14ac:dyDescent="0.25">
      <c r="A16" s="12" t="s">
        <v>2088</v>
      </c>
      <c r="B16" s="13" t="s">
        <v>660</v>
      </c>
      <c r="C16" s="13" t="s">
        <v>2086</v>
      </c>
      <c r="D16" s="13" t="s">
        <v>662</v>
      </c>
      <c r="E16" s="13" t="s">
        <v>663</v>
      </c>
      <c r="F16" s="13" t="s">
        <v>2087</v>
      </c>
      <c r="G16" s="13" t="s">
        <v>2085</v>
      </c>
      <c r="H16" s="13" t="s">
        <v>209</v>
      </c>
      <c r="I16" s="13" t="s">
        <v>2087</v>
      </c>
      <c r="M16" t="s">
        <v>2827</v>
      </c>
    </row>
    <row r="17" spans="1:13" ht="16.5" customHeight="1" x14ac:dyDescent="0.25">
      <c r="A17" s="6" t="s">
        <v>2089</v>
      </c>
      <c r="B17" s="7" t="s">
        <v>660</v>
      </c>
      <c r="C17" s="7" t="s">
        <v>2090</v>
      </c>
      <c r="D17" s="7" t="s">
        <v>1030</v>
      </c>
      <c r="E17" s="7" t="s">
        <v>642</v>
      </c>
      <c r="F17" s="7" t="s">
        <v>2087</v>
      </c>
      <c r="G17" s="7" t="s">
        <v>2091</v>
      </c>
      <c r="H17" s="7" t="s">
        <v>209</v>
      </c>
      <c r="I17" s="7" t="s">
        <v>2087</v>
      </c>
      <c r="M17" t="s">
        <v>2827</v>
      </c>
    </row>
    <row r="18" spans="1:13" ht="16.5" customHeight="1" x14ac:dyDescent="0.25">
      <c r="A18" s="12" t="s">
        <v>2092</v>
      </c>
      <c r="B18" s="13" t="s">
        <v>660</v>
      </c>
      <c r="C18" s="13" t="s">
        <v>2093</v>
      </c>
      <c r="D18" s="13" t="s">
        <v>1030</v>
      </c>
      <c r="E18" s="13" t="s">
        <v>642</v>
      </c>
      <c r="F18" s="13" t="s">
        <v>2087</v>
      </c>
      <c r="G18" s="13" t="s">
        <v>2091</v>
      </c>
      <c r="H18" s="13" t="s">
        <v>209</v>
      </c>
      <c r="I18" s="13" t="s">
        <v>2087</v>
      </c>
      <c r="M18" t="s">
        <v>2827</v>
      </c>
    </row>
    <row r="19" spans="1:13" ht="16.5" customHeight="1" x14ac:dyDescent="0.25">
      <c r="A19" s="6" t="s">
        <v>2094</v>
      </c>
      <c r="B19" s="7" t="s">
        <v>660</v>
      </c>
      <c r="C19" s="7" t="s">
        <v>240</v>
      </c>
      <c r="D19" s="7" t="s">
        <v>662</v>
      </c>
      <c r="E19" s="7" t="s">
        <v>663</v>
      </c>
      <c r="F19" s="7" t="s">
        <v>2095</v>
      </c>
      <c r="G19" s="7" t="s">
        <v>2096</v>
      </c>
      <c r="H19" s="7" t="s">
        <v>209</v>
      </c>
      <c r="I19" s="7" t="s">
        <v>2095</v>
      </c>
      <c r="M19" t="s">
        <v>2827</v>
      </c>
    </row>
    <row r="20" spans="1:13" ht="16.5" customHeight="1" x14ac:dyDescent="0.25">
      <c r="A20" s="12" t="s">
        <v>2097</v>
      </c>
      <c r="B20" s="13" t="s">
        <v>660</v>
      </c>
      <c r="C20" s="13" t="s">
        <v>2098</v>
      </c>
      <c r="D20" s="13" t="s">
        <v>662</v>
      </c>
      <c r="E20" s="13" t="s">
        <v>663</v>
      </c>
      <c r="F20" s="13" t="s">
        <v>2095</v>
      </c>
      <c r="G20" s="13" t="s">
        <v>2099</v>
      </c>
      <c r="H20" s="13" t="s">
        <v>209</v>
      </c>
      <c r="I20" s="13" t="s">
        <v>2095</v>
      </c>
      <c r="M20" t="s">
        <v>2827</v>
      </c>
    </row>
    <row r="21" spans="1:13" ht="16.5" customHeight="1" x14ac:dyDescent="0.25">
      <c r="A21" s="6" t="s">
        <v>2100</v>
      </c>
      <c r="B21" s="7" t="s">
        <v>660</v>
      </c>
      <c r="C21" s="7" t="s">
        <v>2101</v>
      </c>
      <c r="D21" s="7" t="s">
        <v>662</v>
      </c>
      <c r="E21" s="7" t="s">
        <v>663</v>
      </c>
      <c r="F21" s="7" t="s">
        <v>2095</v>
      </c>
      <c r="G21" s="7" t="s">
        <v>2102</v>
      </c>
      <c r="H21" s="7" t="s">
        <v>209</v>
      </c>
      <c r="I21" s="7" t="s">
        <v>2095</v>
      </c>
      <c r="M21" t="s">
        <v>2827</v>
      </c>
    </row>
    <row r="22" spans="1:13" ht="17.25" customHeight="1" x14ac:dyDescent="0.25">
      <c r="A22" s="12" t="s">
        <v>2103</v>
      </c>
      <c r="B22" s="13" t="s">
        <v>660</v>
      </c>
      <c r="C22" s="13" t="s">
        <v>244</v>
      </c>
      <c r="D22" s="13" t="s">
        <v>662</v>
      </c>
      <c r="E22" s="13" t="s">
        <v>663</v>
      </c>
      <c r="F22" s="13" t="s">
        <v>2104</v>
      </c>
      <c r="G22" s="13" t="s">
        <v>2105</v>
      </c>
      <c r="H22" s="13" t="s">
        <v>209</v>
      </c>
      <c r="I22" s="13" t="s">
        <v>2104</v>
      </c>
      <c r="M22" t="s">
        <v>2827</v>
      </c>
    </row>
    <row r="23" spans="1:13" ht="16.5" customHeight="1" x14ac:dyDescent="0.25">
      <c r="A23" s="6" t="s">
        <v>2106</v>
      </c>
      <c r="B23" s="7" t="s">
        <v>660</v>
      </c>
      <c r="C23" s="7" t="s">
        <v>2107</v>
      </c>
      <c r="D23" s="7" t="s">
        <v>662</v>
      </c>
      <c r="E23" s="7" t="s">
        <v>663</v>
      </c>
      <c r="F23" s="7" t="s">
        <v>2104</v>
      </c>
      <c r="G23" s="7" t="s">
        <v>2108</v>
      </c>
      <c r="H23" s="7" t="s">
        <v>209</v>
      </c>
      <c r="I23" s="7" t="s">
        <v>2104</v>
      </c>
      <c r="M23" t="s">
        <v>2827</v>
      </c>
    </row>
    <row r="24" spans="1:13" ht="16.5" customHeight="1" x14ac:dyDescent="0.25">
      <c r="A24" s="12" t="s">
        <v>2109</v>
      </c>
      <c r="B24" s="13" t="s">
        <v>660</v>
      </c>
      <c r="C24" s="13" t="s">
        <v>243</v>
      </c>
      <c r="D24" s="13" t="s">
        <v>662</v>
      </c>
      <c r="E24" s="13" t="s">
        <v>663</v>
      </c>
      <c r="F24" s="13" t="s">
        <v>2104</v>
      </c>
      <c r="G24" s="13" t="s">
        <v>2110</v>
      </c>
      <c r="H24" s="13" t="s">
        <v>209</v>
      </c>
      <c r="I24" s="13" t="s">
        <v>2104</v>
      </c>
      <c r="M24" t="s">
        <v>2827</v>
      </c>
    </row>
    <row r="25" spans="1:13" ht="16.5" customHeight="1" x14ac:dyDescent="0.25">
      <c r="A25" s="6" t="s">
        <v>2111</v>
      </c>
      <c r="B25" s="7" t="s">
        <v>660</v>
      </c>
      <c r="C25" s="7" t="s">
        <v>2112</v>
      </c>
      <c r="D25" s="7" t="s">
        <v>662</v>
      </c>
      <c r="E25" s="7" t="s">
        <v>663</v>
      </c>
      <c r="F25" s="7" t="s">
        <v>2104</v>
      </c>
      <c r="G25" s="7" t="s">
        <v>2113</v>
      </c>
      <c r="H25" s="7" t="s">
        <v>209</v>
      </c>
      <c r="I25" s="7" t="s">
        <v>2104</v>
      </c>
      <c r="M25" t="s">
        <v>2827</v>
      </c>
    </row>
    <row r="26" spans="1:13" ht="16.5" customHeight="1" x14ac:dyDescent="0.25">
      <c r="A26" s="12" t="s">
        <v>2114</v>
      </c>
      <c r="B26" s="13" t="s">
        <v>660</v>
      </c>
      <c r="C26" s="13" t="s">
        <v>2115</v>
      </c>
      <c r="D26" s="13" t="s">
        <v>662</v>
      </c>
      <c r="E26" s="13" t="s">
        <v>663</v>
      </c>
      <c r="F26" s="13" t="s">
        <v>2095</v>
      </c>
      <c r="G26" s="13" t="s">
        <v>2116</v>
      </c>
      <c r="H26" s="13" t="s">
        <v>209</v>
      </c>
      <c r="I26" s="13" t="s">
        <v>2095</v>
      </c>
      <c r="M26" t="s">
        <v>2827</v>
      </c>
    </row>
    <row r="27" spans="1:13" ht="16.5" customHeight="1" x14ac:dyDescent="0.25">
      <c r="A27" s="6" t="s">
        <v>2120</v>
      </c>
      <c r="B27" s="7" t="s">
        <v>660</v>
      </c>
      <c r="C27" s="7" t="s">
        <v>2118</v>
      </c>
      <c r="D27" s="7" t="s">
        <v>662</v>
      </c>
      <c r="E27" s="7" t="s">
        <v>663</v>
      </c>
      <c r="F27" s="7" t="s">
        <v>2119</v>
      </c>
      <c r="G27" s="7" t="s">
        <v>2117</v>
      </c>
      <c r="H27" s="7" t="s">
        <v>209</v>
      </c>
      <c r="I27" s="7" t="s">
        <v>2121</v>
      </c>
      <c r="M27" t="s">
        <v>2827</v>
      </c>
    </row>
    <row r="28" spans="1:13" ht="16.5" customHeight="1" x14ac:dyDescent="0.25">
      <c r="A28" s="12" t="s">
        <v>2122</v>
      </c>
      <c r="B28" s="13" t="s">
        <v>660</v>
      </c>
      <c r="C28" s="13" t="s">
        <v>2123</v>
      </c>
      <c r="D28" s="13" t="s">
        <v>924</v>
      </c>
      <c r="E28" s="13" t="s">
        <v>673</v>
      </c>
      <c r="F28" s="13" t="s">
        <v>2119</v>
      </c>
      <c r="G28" s="13" t="s">
        <v>925</v>
      </c>
      <c r="H28" s="13" t="s">
        <v>209</v>
      </c>
      <c r="I28" s="13" t="s">
        <v>2124</v>
      </c>
      <c r="M28" t="s">
        <v>2827</v>
      </c>
    </row>
    <row r="29" spans="1:13" ht="16.5" customHeight="1" x14ac:dyDescent="0.25">
      <c r="A29" s="6" t="s">
        <v>2125</v>
      </c>
      <c r="B29" s="7" t="s">
        <v>660</v>
      </c>
      <c r="C29" s="7" t="s">
        <v>2126</v>
      </c>
      <c r="D29" s="7" t="s">
        <v>1030</v>
      </c>
      <c r="E29" s="7" t="s">
        <v>642</v>
      </c>
      <c r="F29" s="7" t="s">
        <v>2127</v>
      </c>
      <c r="G29" s="7" t="s">
        <v>2128</v>
      </c>
      <c r="H29" s="7" t="s">
        <v>209</v>
      </c>
      <c r="I29" s="7" t="s">
        <v>2127</v>
      </c>
      <c r="M29" t="s">
        <v>2827</v>
      </c>
    </row>
    <row r="30" spans="1:13" ht="16.5" customHeight="1" x14ac:dyDescent="0.25">
      <c r="A30" s="12" t="s">
        <v>2129</v>
      </c>
      <c r="B30" s="13" t="s">
        <v>660</v>
      </c>
      <c r="C30" s="13" t="s">
        <v>2130</v>
      </c>
      <c r="D30" s="13" t="s">
        <v>1030</v>
      </c>
      <c r="E30" s="13" t="s">
        <v>642</v>
      </c>
      <c r="F30" s="13" t="s">
        <v>2127</v>
      </c>
      <c r="G30" s="13" t="s">
        <v>2128</v>
      </c>
      <c r="H30" s="13" t="s">
        <v>209</v>
      </c>
      <c r="I30" s="13" t="s">
        <v>2127</v>
      </c>
      <c r="M30" t="s">
        <v>2827</v>
      </c>
    </row>
    <row r="31" spans="1:13" ht="16.5" customHeight="1" x14ac:dyDescent="0.25">
      <c r="A31" s="6" t="s">
        <v>2131</v>
      </c>
      <c r="B31" s="7" t="s">
        <v>660</v>
      </c>
      <c r="C31" s="7" t="s">
        <v>2132</v>
      </c>
      <c r="D31" s="7" t="s">
        <v>1030</v>
      </c>
      <c r="E31" s="7" t="s">
        <v>642</v>
      </c>
      <c r="F31" s="7" t="s">
        <v>2133</v>
      </c>
      <c r="G31" s="7" t="s">
        <v>2134</v>
      </c>
      <c r="H31" s="7" t="s">
        <v>209</v>
      </c>
      <c r="I31" s="7" t="s">
        <v>2133</v>
      </c>
      <c r="M31" t="s">
        <v>2827</v>
      </c>
    </row>
    <row r="32" spans="1:13" ht="16.5" customHeight="1" x14ac:dyDescent="0.25">
      <c r="A32" s="12" t="s">
        <v>2135</v>
      </c>
      <c r="B32" s="13" t="s">
        <v>660</v>
      </c>
      <c r="C32" s="13" t="s">
        <v>2136</v>
      </c>
      <c r="D32" s="13" t="s">
        <v>1030</v>
      </c>
      <c r="E32" s="13" t="s">
        <v>642</v>
      </c>
      <c r="F32" s="13" t="s">
        <v>2133</v>
      </c>
      <c r="G32" s="13" t="s">
        <v>2134</v>
      </c>
      <c r="H32" s="13" t="s">
        <v>209</v>
      </c>
      <c r="I32" s="13" t="s">
        <v>2133</v>
      </c>
      <c r="M32" t="s">
        <v>2827</v>
      </c>
    </row>
    <row r="33" spans="1:13" ht="16.5" customHeight="1" x14ac:dyDescent="0.25">
      <c r="A33" s="6" t="s">
        <v>2140</v>
      </c>
      <c r="B33" s="7" t="s">
        <v>660</v>
      </c>
      <c r="C33" s="7" t="s">
        <v>2138</v>
      </c>
      <c r="D33" s="7" t="s">
        <v>662</v>
      </c>
      <c r="E33" s="7" t="s">
        <v>663</v>
      </c>
      <c r="F33" s="7" t="s">
        <v>2139</v>
      </c>
      <c r="G33" s="7" t="s">
        <v>2137</v>
      </c>
      <c r="H33" s="7" t="s">
        <v>209</v>
      </c>
      <c r="I33" s="7" t="s">
        <v>2139</v>
      </c>
      <c r="M33" t="s">
        <v>2827</v>
      </c>
    </row>
    <row r="34" spans="1:13" ht="16.5" customHeight="1" x14ac:dyDescent="0.25">
      <c r="A34" s="12" t="s">
        <v>2141</v>
      </c>
      <c r="B34" s="13" t="s">
        <v>660</v>
      </c>
      <c r="C34" s="13" t="s">
        <v>2142</v>
      </c>
      <c r="D34" s="13" t="s">
        <v>1030</v>
      </c>
      <c r="E34" s="13" t="s">
        <v>642</v>
      </c>
      <c r="F34" s="13" t="s">
        <v>2139</v>
      </c>
      <c r="G34" s="13" t="s">
        <v>2143</v>
      </c>
      <c r="H34" s="13" t="s">
        <v>209</v>
      </c>
      <c r="I34" s="13" t="s">
        <v>2139</v>
      </c>
      <c r="M34" t="s">
        <v>2827</v>
      </c>
    </row>
    <row r="35" spans="1:13" ht="17.25" customHeight="1" x14ac:dyDescent="0.25">
      <c r="A35" s="6" t="s">
        <v>2144</v>
      </c>
      <c r="B35" s="7" t="s">
        <v>660</v>
      </c>
      <c r="C35" s="7" t="s">
        <v>2145</v>
      </c>
      <c r="D35" s="7" t="s">
        <v>1030</v>
      </c>
      <c r="E35" s="7" t="s">
        <v>642</v>
      </c>
      <c r="F35" s="7" t="s">
        <v>2139</v>
      </c>
      <c r="G35" s="7" t="s">
        <v>2143</v>
      </c>
      <c r="H35" s="7" t="s">
        <v>209</v>
      </c>
      <c r="I35" s="7" t="s">
        <v>2139</v>
      </c>
      <c r="M35" t="s">
        <v>2827</v>
      </c>
    </row>
    <row r="36" spans="1:13" ht="16.5" customHeight="1" x14ac:dyDescent="0.25">
      <c r="A36" s="12" t="s">
        <v>2146</v>
      </c>
      <c r="B36" s="13" t="s">
        <v>660</v>
      </c>
      <c r="C36" s="13" t="s">
        <v>2147</v>
      </c>
      <c r="D36" s="13" t="s">
        <v>662</v>
      </c>
      <c r="E36" s="13" t="s">
        <v>673</v>
      </c>
      <c r="F36" s="13" t="s">
        <v>2148</v>
      </c>
      <c r="G36" s="13" t="s">
        <v>2149</v>
      </c>
      <c r="H36" s="13" t="s">
        <v>209</v>
      </c>
      <c r="I36" s="13" t="s">
        <v>2150</v>
      </c>
      <c r="M36" t="s">
        <v>2827</v>
      </c>
    </row>
    <row r="37" spans="1:13" ht="16.5" customHeight="1" x14ac:dyDescent="0.25">
      <c r="A37" s="6" t="s">
        <v>2151</v>
      </c>
      <c r="B37" s="7" t="s">
        <v>660</v>
      </c>
      <c r="C37" s="7" t="s">
        <v>2152</v>
      </c>
      <c r="D37" s="7" t="s">
        <v>662</v>
      </c>
      <c r="E37" s="7" t="s">
        <v>673</v>
      </c>
      <c r="F37" s="7" t="s">
        <v>2148</v>
      </c>
      <c r="G37" s="7" t="s">
        <v>2153</v>
      </c>
      <c r="H37" s="7" t="s">
        <v>209</v>
      </c>
      <c r="I37" s="7" t="s">
        <v>2150</v>
      </c>
      <c r="M37" t="s">
        <v>2827</v>
      </c>
    </row>
    <row r="38" spans="1:13" ht="16.5" customHeight="1" x14ac:dyDescent="0.25">
      <c r="A38" s="12" t="s">
        <v>2154</v>
      </c>
      <c r="B38" s="13" t="s">
        <v>660</v>
      </c>
      <c r="C38" s="13" t="s">
        <v>2155</v>
      </c>
      <c r="D38" s="13" t="s">
        <v>924</v>
      </c>
      <c r="E38" s="13" t="s">
        <v>673</v>
      </c>
      <c r="F38" s="13" t="s">
        <v>2148</v>
      </c>
      <c r="G38" s="13" t="s">
        <v>925</v>
      </c>
      <c r="H38" s="13" t="s">
        <v>209</v>
      </c>
      <c r="I38" s="13" t="s">
        <v>2124</v>
      </c>
      <c r="M38" t="s">
        <v>2827</v>
      </c>
    </row>
    <row r="39" spans="1:13" ht="16.5" customHeight="1" x14ac:dyDescent="0.25">
      <c r="A39" s="6" t="s">
        <v>2156</v>
      </c>
      <c r="B39" s="7" t="s">
        <v>660</v>
      </c>
      <c r="C39" s="7" t="s">
        <v>2157</v>
      </c>
      <c r="D39" s="7" t="s">
        <v>662</v>
      </c>
      <c r="E39" s="7" t="s">
        <v>663</v>
      </c>
      <c r="F39" s="7" t="s">
        <v>2158</v>
      </c>
      <c r="G39" s="7" t="s">
        <v>2159</v>
      </c>
      <c r="H39" s="7" t="s">
        <v>209</v>
      </c>
      <c r="I39" s="7" t="s">
        <v>2158</v>
      </c>
      <c r="M39" t="s">
        <v>2827</v>
      </c>
    </row>
    <row r="40" spans="1:13" ht="16.5" customHeight="1" x14ac:dyDescent="0.25">
      <c r="A40" s="12" t="s">
        <v>2160</v>
      </c>
      <c r="B40" s="13" t="s">
        <v>660</v>
      </c>
      <c r="C40" s="13" t="s">
        <v>2161</v>
      </c>
      <c r="D40" s="13" t="s">
        <v>662</v>
      </c>
      <c r="E40" s="13" t="s">
        <v>663</v>
      </c>
      <c r="F40" s="13" t="s">
        <v>2158</v>
      </c>
      <c r="G40" s="13" t="s">
        <v>2162</v>
      </c>
      <c r="H40" s="13" t="s">
        <v>209</v>
      </c>
      <c r="I40" s="13" t="s">
        <v>2158</v>
      </c>
      <c r="M40" t="s">
        <v>2827</v>
      </c>
    </row>
    <row r="41" spans="1:13" ht="16.5" customHeight="1" x14ac:dyDescent="0.25">
      <c r="A41" s="6" t="s">
        <v>2163</v>
      </c>
      <c r="B41" s="7" t="s">
        <v>660</v>
      </c>
      <c r="C41" s="7" t="s">
        <v>245</v>
      </c>
      <c r="D41" s="7" t="s">
        <v>662</v>
      </c>
      <c r="E41" s="7" t="s">
        <v>663</v>
      </c>
      <c r="F41" s="7" t="s">
        <v>1130</v>
      </c>
      <c r="G41" s="7" t="s">
        <v>2164</v>
      </c>
      <c r="H41" s="7" t="s">
        <v>209</v>
      </c>
      <c r="I41" s="7" t="s">
        <v>1130</v>
      </c>
      <c r="M41" t="s">
        <v>2827</v>
      </c>
    </row>
    <row r="42" spans="1:13" ht="16.5" customHeight="1" x14ac:dyDescent="0.25">
      <c r="A42" s="12" t="s">
        <v>2165</v>
      </c>
      <c r="B42" s="13" t="s">
        <v>660</v>
      </c>
      <c r="C42" s="13" t="s">
        <v>2166</v>
      </c>
      <c r="D42" s="13" t="s">
        <v>662</v>
      </c>
      <c r="E42" s="13" t="s">
        <v>663</v>
      </c>
      <c r="F42" s="13" t="s">
        <v>1130</v>
      </c>
      <c r="G42" s="13" t="s">
        <v>2167</v>
      </c>
      <c r="H42" s="13" t="s">
        <v>209</v>
      </c>
      <c r="I42" s="13" t="s">
        <v>1130</v>
      </c>
      <c r="M42" t="s">
        <v>2827</v>
      </c>
    </row>
    <row r="43" spans="1:13" ht="16.5" customHeight="1" x14ac:dyDescent="0.25">
      <c r="A43" s="6" t="s">
        <v>2168</v>
      </c>
      <c r="B43" s="7" t="s">
        <v>660</v>
      </c>
      <c r="C43" s="7" t="s">
        <v>2169</v>
      </c>
      <c r="D43" s="7" t="s">
        <v>924</v>
      </c>
      <c r="E43" s="7" t="s">
        <v>673</v>
      </c>
      <c r="F43" s="7" t="s">
        <v>2150</v>
      </c>
      <c r="G43" s="7" t="s">
        <v>925</v>
      </c>
      <c r="H43" s="7" t="s">
        <v>209</v>
      </c>
      <c r="I43" s="7" t="s">
        <v>2170</v>
      </c>
      <c r="M43" t="s">
        <v>2827</v>
      </c>
    </row>
    <row r="44" spans="1:13" ht="16.5" customHeight="1" x14ac:dyDescent="0.25">
      <c r="A44" s="12" t="s">
        <v>2171</v>
      </c>
      <c r="B44" s="13" t="s">
        <v>660</v>
      </c>
      <c r="C44" s="13" t="s">
        <v>212</v>
      </c>
      <c r="D44" s="13" t="s">
        <v>662</v>
      </c>
      <c r="E44" s="13" t="s">
        <v>673</v>
      </c>
      <c r="F44" s="13" t="s">
        <v>1137</v>
      </c>
      <c r="G44" s="13" t="s">
        <v>1136</v>
      </c>
      <c r="H44" s="13" t="s">
        <v>209</v>
      </c>
      <c r="I44" s="13" t="s">
        <v>1137</v>
      </c>
      <c r="M44" t="s">
        <v>2827</v>
      </c>
    </row>
    <row r="45" spans="1:13" ht="16.5" customHeight="1" x14ac:dyDescent="0.25">
      <c r="A45" s="6" t="s">
        <v>2172</v>
      </c>
      <c r="B45" s="7" t="s">
        <v>660</v>
      </c>
      <c r="C45" s="7" t="s">
        <v>215</v>
      </c>
      <c r="D45" s="7" t="s">
        <v>924</v>
      </c>
      <c r="E45" s="7" t="s">
        <v>673</v>
      </c>
      <c r="F45" s="7" t="s">
        <v>1124</v>
      </c>
      <c r="G45" s="7" t="s">
        <v>925</v>
      </c>
      <c r="H45" s="7" t="s">
        <v>209</v>
      </c>
      <c r="I45" s="7" t="s">
        <v>2173</v>
      </c>
      <c r="M45" t="s">
        <v>2827</v>
      </c>
    </row>
    <row r="46" spans="1:13" ht="16.5" customHeight="1" x14ac:dyDescent="0.25">
      <c r="A46" s="12" t="s">
        <v>2174</v>
      </c>
      <c r="B46" s="13" t="s">
        <v>660</v>
      </c>
      <c r="C46" s="13" t="s">
        <v>2175</v>
      </c>
      <c r="D46" s="13" t="s">
        <v>662</v>
      </c>
      <c r="E46" s="13" t="s">
        <v>663</v>
      </c>
      <c r="F46" s="13" t="s">
        <v>2176</v>
      </c>
      <c r="G46" s="13" t="s">
        <v>2177</v>
      </c>
      <c r="H46" s="13" t="s">
        <v>209</v>
      </c>
      <c r="I46" s="13" t="s">
        <v>2178</v>
      </c>
      <c r="M46" t="s">
        <v>2827</v>
      </c>
    </row>
    <row r="47" spans="1:13" ht="17.25" customHeight="1" x14ac:dyDescent="0.25">
      <c r="A47" s="6" t="s">
        <v>2179</v>
      </c>
      <c r="B47" s="7" t="s">
        <v>660</v>
      </c>
      <c r="C47" s="7" t="s">
        <v>2180</v>
      </c>
      <c r="D47" s="7" t="s">
        <v>662</v>
      </c>
      <c r="E47" s="7" t="s">
        <v>663</v>
      </c>
      <c r="F47" s="7" t="s">
        <v>2176</v>
      </c>
      <c r="G47" s="7" t="s">
        <v>2181</v>
      </c>
      <c r="H47" s="7" t="s">
        <v>209</v>
      </c>
      <c r="I47" s="7" t="s">
        <v>2178</v>
      </c>
      <c r="M47" t="s">
        <v>2827</v>
      </c>
    </row>
    <row r="48" spans="1:13" ht="16.5" customHeight="1" x14ac:dyDescent="0.25">
      <c r="A48" s="12" t="s">
        <v>2182</v>
      </c>
      <c r="B48" s="13" t="s">
        <v>660</v>
      </c>
      <c r="C48" s="13" t="s">
        <v>640</v>
      </c>
      <c r="D48" s="13" t="s">
        <v>662</v>
      </c>
      <c r="E48" s="13" t="s">
        <v>663</v>
      </c>
      <c r="F48" s="13" t="s">
        <v>2183</v>
      </c>
      <c r="G48" s="13" t="s">
        <v>2184</v>
      </c>
      <c r="H48" s="13" t="s">
        <v>209</v>
      </c>
      <c r="I48" s="13" t="s">
        <v>2185</v>
      </c>
      <c r="M48" t="s">
        <v>2827</v>
      </c>
    </row>
    <row r="49" spans="1:13" ht="16.5" customHeight="1" x14ac:dyDescent="0.25">
      <c r="A49" s="6" t="s">
        <v>2182</v>
      </c>
      <c r="B49" s="7" t="s">
        <v>660</v>
      </c>
      <c r="C49" s="7" t="s">
        <v>640</v>
      </c>
      <c r="D49" s="7" t="s">
        <v>662</v>
      </c>
      <c r="E49" s="7" t="s">
        <v>663</v>
      </c>
      <c r="F49" s="7" t="s">
        <v>2183</v>
      </c>
      <c r="G49" s="7" t="s">
        <v>2084</v>
      </c>
      <c r="H49" s="7" t="s">
        <v>209</v>
      </c>
      <c r="I49" s="7" t="s">
        <v>1137</v>
      </c>
      <c r="M49" t="s">
        <v>2827</v>
      </c>
    </row>
    <row r="50" spans="1:13" ht="16.5" customHeight="1" x14ac:dyDescent="0.25">
      <c r="A50" s="12" t="s">
        <v>2186</v>
      </c>
      <c r="B50" s="13" t="s">
        <v>660</v>
      </c>
      <c r="C50" s="13" t="s">
        <v>2187</v>
      </c>
      <c r="D50" s="13" t="s">
        <v>662</v>
      </c>
      <c r="E50" s="13" t="s">
        <v>663</v>
      </c>
      <c r="F50" s="13" t="s">
        <v>2176</v>
      </c>
      <c r="G50" s="13" t="s">
        <v>2188</v>
      </c>
      <c r="H50" s="13" t="s">
        <v>209</v>
      </c>
      <c r="I50" s="13" t="s">
        <v>2178</v>
      </c>
      <c r="M50" t="s">
        <v>2827</v>
      </c>
    </row>
    <row r="51" spans="1:13" ht="16.5" customHeight="1" x14ac:dyDescent="0.25">
      <c r="A51" s="6" t="s">
        <v>2189</v>
      </c>
      <c r="B51" s="7" t="s">
        <v>660</v>
      </c>
      <c r="C51" s="7" t="s">
        <v>2190</v>
      </c>
      <c r="D51" s="7" t="s">
        <v>662</v>
      </c>
      <c r="E51" s="7" t="s">
        <v>663</v>
      </c>
      <c r="F51" s="7" t="s">
        <v>2176</v>
      </c>
      <c r="G51" s="7" t="s">
        <v>2191</v>
      </c>
      <c r="H51" s="7" t="s">
        <v>209</v>
      </c>
      <c r="I51" s="7" t="s">
        <v>2178</v>
      </c>
      <c r="M51" t="s">
        <v>2827</v>
      </c>
    </row>
    <row r="52" spans="1:13" ht="16.5" customHeight="1" x14ac:dyDescent="0.25">
      <c r="A52" s="12" t="s">
        <v>2192</v>
      </c>
      <c r="B52" s="13" t="s">
        <v>660</v>
      </c>
      <c r="C52" s="13" t="s">
        <v>1143</v>
      </c>
      <c r="D52" s="13" t="s">
        <v>662</v>
      </c>
      <c r="E52" s="13" t="s">
        <v>663</v>
      </c>
      <c r="F52" s="13" t="s">
        <v>951</v>
      </c>
      <c r="G52" s="13" t="s">
        <v>1145</v>
      </c>
      <c r="H52" s="13" t="s">
        <v>209</v>
      </c>
      <c r="I52" s="13" t="s">
        <v>1144</v>
      </c>
      <c r="M52" t="s">
        <v>2827</v>
      </c>
    </row>
    <row r="53" spans="1:13" ht="16.5" customHeight="1" x14ac:dyDescent="0.25">
      <c r="A53" s="6" t="s">
        <v>2193</v>
      </c>
      <c r="B53" s="7" t="s">
        <v>660</v>
      </c>
      <c r="C53" s="7" t="s">
        <v>1139</v>
      </c>
      <c r="D53" s="7" t="s">
        <v>662</v>
      </c>
      <c r="E53" s="7" t="s">
        <v>663</v>
      </c>
      <c r="F53" s="7" t="s">
        <v>1260</v>
      </c>
      <c r="G53" s="7" t="s">
        <v>1141</v>
      </c>
      <c r="H53" s="7" t="s">
        <v>209</v>
      </c>
      <c r="I53" s="7" t="s">
        <v>1140</v>
      </c>
      <c r="M53" t="s">
        <v>2827</v>
      </c>
    </row>
    <row r="54" spans="1:13" ht="16.5" customHeight="1" x14ac:dyDescent="0.25">
      <c r="A54" s="12" t="s">
        <v>2194</v>
      </c>
      <c r="B54" s="13" t="s">
        <v>660</v>
      </c>
      <c r="C54" s="13" t="s">
        <v>640</v>
      </c>
      <c r="D54" s="13" t="s">
        <v>662</v>
      </c>
      <c r="E54" s="13" t="s">
        <v>663</v>
      </c>
      <c r="F54" s="13" t="s">
        <v>1801</v>
      </c>
      <c r="G54" s="13" t="s">
        <v>1802</v>
      </c>
      <c r="H54" s="13" t="s">
        <v>209</v>
      </c>
      <c r="I54" s="13" t="s">
        <v>1137</v>
      </c>
      <c r="M54" t="s">
        <v>2827</v>
      </c>
    </row>
    <row r="55" spans="1:13" ht="16.5" customHeight="1" x14ac:dyDescent="0.25">
      <c r="A55" s="6" t="s">
        <v>2195</v>
      </c>
      <c r="B55" s="7" t="s">
        <v>660</v>
      </c>
      <c r="C55" s="7" t="s">
        <v>2196</v>
      </c>
      <c r="D55" s="7" t="s">
        <v>662</v>
      </c>
      <c r="E55" s="7" t="s">
        <v>663</v>
      </c>
      <c r="F55" s="7" t="s">
        <v>1132</v>
      </c>
      <c r="G55" s="7" t="s">
        <v>2197</v>
      </c>
      <c r="H55" s="7" t="s">
        <v>209</v>
      </c>
      <c r="I55" s="7" t="s">
        <v>1132</v>
      </c>
      <c r="M55" t="s">
        <v>2827</v>
      </c>
    </row>
    <row r="56" spans="1:13" ht="16.5" customHeight="1" x14ac:dyDescent="0.25">
      <c r="A56" s="12" t="s">
        <v>2198</v>
      </c>
      <c r="B56" s="13" t="s">
        <v>660</v>
      </c>
      <c r="C56" s="13" t="s">
        <v>2166</v>
      </c>
      <c r="D56" s="13" t="s">
        <v>662</v>
      </c>
      <c r="E56" s="13" t="s">
        <v>663</v>
      </c>
      <c r="F56" s="13" t="s">
        <v>1132</v>
      </c>
      <c r="G56" s="13" t="s">
        <v>2167</v>
      </c>
      <c r="H56" s="13" t="s">
        <v>209</v>
      </c>
      <c r="I56" s="13" t="s">
        <v>1130</v>
      </c>
      <c r="M56" t="s">
        <v>2827</v>
      </c>
    </row>
    <row r="57" spans="1:13" ht="16.5" customHeight="1" x14ac:dyDescent="0.25">
      <c r="A57" s="6" t="s">
        <v>2199</v>
      </c>
      <c r="B57" s="7" t="s">
        <v>660</v>
      </c>
      <c r="C57" s="7" t="s">
        <v>2200</v>
      </c>
      <c r="D57" s="7" t="s">
        <v>662</v>
      </c>
      <c r="E57" s="7" t="s">
        <v>663</v>
      </c>
      <c r="F57" s="7" t="s">
        <v>1130</v>
      </c>
      <c r="G57" s="7" t="s">
        <v>2201</v>
      </c>
      <c r="H57" s="7" t="s">
        <v>209</v>
      </c>
      <c r="I57" s="7" t="s">
        <v>1132</v>
      </c>
      <c r="M57" t="s">
        <v>2827</v>
      </c>
    </row>
    <row r="58" spans="1:13" ht="16.5" customHeight="1" x14ac:dyDescent="0.25">
      <c r="A58" s="12" t="s">
        <v>2199</v>
      </c>
      <c r="B58" s="13" t="s">
        <v>660</v>
      </c>
      <c r="C58" s="13" t="s">
        <v>2200</v>
      </c>
      <c r="D58" s="13" t="s">
        <v>662</v>
      </c>
      <c r="E58" s="13" t="s">
        <v>663</v>
      </c>
      <c r="F58" s="13" t="s">
        <v>1130</v>
      </c>
      <c r="G58" s="13" t="s">
        <v>2202</v>
      </c>
      <c r="H58" s="13" t="s">
        <v>209</v>
      </c>
      <c r="I58" s="13" t="s">
        <v>1132</v>
      </c>
      <c r="M58" t="s">
        <v>2827</v>
      </c>
    </row>
    <row r="59" spans="1:13" ht="16.5" customHeight="1" x14ac:dyDescent="0.25">
      <c r="A59" s="6" t="s">
        <v>1134</v>
      </c>
      <c r="B59" s="7" t="s">
        <v>660</v>
      </c>
      <c r="C59" s="7" t="s">
        <v>212</v>
      </c>
      <c r="D59" s="7" t="s">
        <v>662</v>
      </c>
      <c r="E59" s="7" t="s">
        <v>663</v>
      </c>
      <c r="F59" s="7" t="s">
        <v>1130</v>
      </c>
      <c r="G59" s="7" t="s">
        <v>2083</v>
      </c>
      <c r="H59" s="7" t="s">
        <v>209</v>
      </c>
      <c r="I59" s="7" t="s">
        <v>1137</v>
      </c>
      <c r="M59" t="s">
        <v>2827</v>
      </c>
    </row>
    <row r="60" spans="1:13" ht="17.25" customHeight="1" x14ac:dyDescent="0.25">
      <c r="A60" s="12" t="s">
        <v>2203</v>
      </c>
      <c r="B60" s="13" t="s">
        <v>660</v>
      </c>
      <c r="C60" s="13" t="s">
        <v>2204</v>
      </c>
      <c r="D60" s="13" t="s">
        <v>662</v>
      </c>
      <c r="E60" s="13" t="s">
        <v>663</v>
      </c>
      <c r="F60" s="13" t="s">
        <v>2121</v>
      </c>
      <c r="G60" s="13" t="s">
        <v>2205</v>
      </c>
      <c r="H60" s="13" t="s">
        <v>209</v>
      </c>
      <c r="I60" s="13" t="s">
        <v>2121</v>
      </c>
      <c r="M60" t="s">
        <v>2827</v>
      </c>
    </row>
    <row r="61" spans="1:13" ht="16.5" customHeight="1" x14ac:dyDescent="0.25">
      <c r="A61" s="6" t="s">
        <v>2120</v>
      </c>
      <c r="B61" s="7" t="s">
        <v>660</v>
      </c>
      <c r="C61" s="7" t="s">
        <v>2118</v>
      </c>
      <c r="D61" s="7" t="s">
        <v>662</v>
      </c>
      <c r="E61" s="7" t="s">
        <v>663</v>
      </c>
      <c r="F61" s="7" t="s">
        <v>2121</v>
      </c>
      <c r="G61" s="7" t="s">
        <v>2206</v>
      </c>
      <c r="H61" s="7" t="s">
        <v>209</v>
      </c>
      <c r="I61" s="7" t="s">
        <v>2121</v>
      </c>
      <c r="M61" t="s">
        <v>2827</v>
      </c>
    </row>
    <row r="62" spans="1:13" ht="16.5" customHeight="1" x14ac:dyDescent="0.25">
      <c r="A62" s="12" t="s">
        <v>2207</v>
      </c>
      <c r="B62" s="13" t="s">
        <v>660</v>
      </c>
      <c r="C62" s="13" t="s">
        <v>240</v>
      </c>
      <c r="D62" s="13" t="s">
        <v>1030</v>
      </c>
      <c r="E62" s="13" t="s">
        <v>642</v>
      </c>
      <c r="F62" s="13" t="s">
        <v>2095</v>
      </c>
      <c r="G62" s="13" t="s">
        <v>2096</v>
      </c>
      <c r="H62" s="13" t="s">
        <v>209</v>
      </c>
      <c r="I62" s="13" t="s">
        <v>2095</v>
      </c>
      <c r="M62" t="s">
        <v>2827</v>
      </c>
    </row>
    <row r="63" spans="1:13" ht="16.5" customHeight="1" x14ac:dyDescent="0.25">
      <c r="A63" s="6" t="s">
        <v>2207</v>
      </c>
      <c r="B63" s="7" t="s">
        <v>660</v>
      </c>
      <c r="C63" s="7" t="s">
        <v>2098</v>
      </c>
      <c r="D63" s="7" t="s">
        <v>1030</v>
      </c>
      <c r="E63" s="7" t="s">
        <v>642</v>
      </c>
      <c r="F63" s="7" t="s">
        <v>2095</v>
      </c>
      <c r="G63" s="7" t="s">
        <v>2099</v>
      </c>
      <c r="H63" s="7" t="s">
        <v>209</v>
      </c>
      <c r="I63" s="7" t="s">
        <v>2095</v>
      </c>
      <c r="M63" t="s">
        <v>2827</v>
      </c>
    </row>
    <row r="64" spans="1:13" ht="16.5" customHeight="1" x14ac:dyDescent="0.25">
      <c r="A64" s="12" t="s">
        <v>2208</v>
      </c>
      <c r="B64" s="13" t="s">
        <v>660</v>
      </c>
      <c r="C64" s="13" t="s">
        <v>243</v>
      </c>
      <c r="D64" s="13" t="s">
        <v>1030</v>
      </c>
      <c r="E64" s="13" t="s">
        <v>642</v>
      </c>
      <c r="F64" s="13" t="s">
        <v>2104</v>
      </c>
      <c r="G64" s="13" t="s">
        <v>2110</v>
      </c>
      <c r="H64" s="13" t="s">
        <v>209</v>
      </c>
      <c r="I64" s="13" t="s">
        <v>2104</v>
      </c>
      <c r="M64" t="s">
        <v>2827</v>
      </c>
    </row>
    <row r="65" spans="1:13" ht="16.5" customHeight="1" x14ac:dyDescent="0.25">
      <c r="A65" s="6" t="s">
        <v>2208</v>
      </c>
      <c r="B65" s="7" t="s">
        <v>660</v>
      </c>
      <c r="C65" s="7" t="s">
        <v>2112</v>
      </c>
      <c r="D65" s="7" t="s">
        <v>1030</v>
      </c>
      <c r="E65" s="7" t="s">
        <v>642</v>
      </c>
      <c r="F65" s="7" t="s">
        <v>2104</v>
      </c>
      <c r="G65" s="7" t="s">
        <v>2113</v>
      </c>
      <c r="H65" s="7" t="s">
        <v>209</v>
      </c>
      <c r="I65" s="7" t="s">
        <v>2104</v>
      </c>
      <c r="M65" t="s">
        <v>2827</v>
      </c>
    </row>
    <row r="66" spans="1:13" ht="16.5" customHeight="1" x14ac:dyDescent="0.25">
      <c r="A66" s="12" t="s">
        <v>2209</v>
      </c>
      <c r="B66" s="13" t="s">
        <v>660</v>
      </c>
      <c r="C66" s="13" t="s">
        <v>244</v>
      </c>
      <c r="D66" s="13" t="s">
        <v>1030</v>
      </c>
      <c r="E66" s="13" t="s">
        <v>642</v>
      </c>
      <c r="F66" s="13" t="s">
        <v>2104</v>
      </c>
      <c r="G66" s="13" t="s">
        <v>2105</v>
      </c>
      <c r="H66" s="13" t="s">
        <v>209</v>
      </c>
      <c r="I66" s="13" t="s">
        <v>2104</v>
      </c>
      <c r="M66" t="s">
        <v>2827</v>
      </c>
    </row>
    <row r="67" spans="1:13" ht="16.5" customHeight="1" x14ac:dyDescent="0.25">
      <c r="A67" s="6" t="s">
        <v>2209</v>
      </c>
      <c r="B67" s="7" t="s">
        <v>660</v>
      </c>
      <c r="C67" s="7" t="s">
        <v>2107</v>
      </c>
      <c r="D67" s="7" t="s">
        <v>1030</v>
      </c>
      <c r="E67" s="7" t="s">
        <v>642</v>
      </c>
      <c r="F67" s="7" t="s">
        <v>2104</v>
      </c>
      <c r="G67" s="7" t="s">
        <v>2108</v>
      </c>
      <c r="H67" s="7" t="s">
        <v>209</v>
      </c>
      <c r="I67" s="7" t="s">
        <v>2104</v>
      </c>
      <c r="M67" t="s">
        <v>2827</v>
      </c>
    </row>
    <row r="68" spans="1:13" ht="16.5" customHeight="1" x14ac:dyDescent="0.25">
      <c r="A68" s="12" t="s">
        <v>2210</v>
      </c>
      <c r="B68" s="13" t="s">
        <v>660</v>
      </c>
      <c r="C68" s="13" t="s">
        <v>2101</v>
      </c>
      <c r="D68" s="13" t="s">
        <v>1030</v>
      </c>
      <c r="E68" s="13" t="s">
        <v>642</v>
      </c>
      <c r="F68" s="13" t="s">
        <v>2095</v>
      </c>
      <c r="G68" s="13" t="s">
        <v>2102</v>
      </c>
      <c r="H68" s="13" t="s">
        <v>209</v>
      </c>
      <c r="I68" s="13" t="s">
        <v>2095</v>
      </c>
      <c r="M68" t="s">
        <v>2827</v>
      </c>
    </row>
    <row r="69" spans="1:13" ht="16.5" customHeight="1" x14ac:dyDescent="0.25">
      <c r="A69" s="6" t="s">
        <v>2210</v>
      </c>
      <c r="B69" s="7" t="s">
        <v>660</v>
      </c>
      <c r="C69" s="7" t="s">
        <v>2115</v>
      </c>
      <c r="D69" s="7" t="s">
        <v>1030</v>
      </c>
      <c r="E69" s="7" t="s">
        <v>642</v>
      </c>
      <c r="F69" s="7" t="s">
        <v>2095</v>
      </c>
      <c r="G69" s="7" t="s">
        <v>2116</v>
      </c>
      <c r="H69" s="7" t="s">
        <v>209</v>
      </c>
      <c r="I69" s="7" t="s">
        <v>2095</v>
      </c>
      <c r="M69" t="s">
        <v>2827</v>
      </c>
    </row>
    <row r="70" spans="1:13" ht="16.5" customHeight="1" x14ac:dyDescent="0.25">
      <c r="A70" s="12" t="s">
        <v>2211</v>
      </c>
      <c r="B70" s="13" t="s">
        <v>660</v>
      </c>
      <c r="C70" s="13" t="s">
        <v>245</v>
      </c>
      <c r="D70" s="13" t="s">
        <v>1030</v>
      </c>
      <c r="E70" s="13" t="s">
        <v>642</v>
      </c>
      <c r="F70" s="13" t="s">
        <v>1130</v>
      </c>
      <c r="G70" s="13" t="s">
        <v>2164</v>
      </c>
      <c r="H70" s="13" t="s">
        <v>209</v>
      </c>
      <c r="I70" s="13" t="s">
        <v>1130</v>
      </c>
      <c r="M70" t="s">
        <v>2827</v>
      </c>
    </row>
    <row r="71" spans="1:13" ht="16.5" customHeight="1" x14ac:dyDescent="0.25">
      <c r="A71" s="6" t="s">
        <v>2211</v>
      </c>
      <c r="B71" s="7" t="s">
        <v>660</v>
      </c>
      <c r="C71" s="7" t="s">
        <v>2166</v>
      </c>
      <c r="D71" s="7" t="s">
        <v>1030</v>
      </c>
      <c r="E71" s="7" t="s">
        <v>642</v>
      </c>
      <c r="F71" s="7" t="s">
        <v>1130</v>
      </c>
      <c r="G71" s="7" t="s">
        <v>2167</v>
      </c>
      <c r="H71" s="7" t="s">
        <v>209</v>
      </c>
      <c r="I71" s="7" t="s">
        <v>1130</v>
      </c>
      <c r="M71" t="s">
        <v>2827</v>
      </c>
    </row>
    <row r="72" spans="1:13" ht="17.25" customHeight="1" x14ac:dyDescent="0.25">
      <c r="A72" s="12" t="s">
        <v>2212</v>
      </c>
      <c r="B72" s="13" t="s">
        <v>660</v>
      </c>
      <c r="C72" s="13" t="s">
        <v>2213</v>
      </c>
      <c r="D72" s="13" t="s">
        <v>1030</v>
      </c>
      <c r="E72" s="13" t="s">
        <v>642</v>
      </c>
      <c r="F72" s="13" t="s">
        <v>2214</v>
      </c>
      <c r="G72" s="13" t="s">
        <v>2215</v>
      </c>
      <c r="H72" s="13" t="s">
        <v>209</v>
      </c>
      <c r="I72" s="13" t="s">
        <v>2214</v>
      </c>
      <c r="M72" t="s">
        <v>2827</v>
      </c>
    </row>
    <row r="73" spans="1:13" ht="16.5" customHeight="1" x14ac:dyDescent="0.25">
      <c r="A73" s="6" t="s">
        <v>2216</v>
      </c>
      <c r="B73" s="7" t="s">
        <v>660</v>
      </c>
      <c r="C73" s="7" t="s">
        <v>240</v>
      </c>
      <c r="D73" s="7" t="s">
        <v>1030</v>
      </c>
      <c r="E73" s="7" t="s">
        <v>642</v>
      </c>
      <c r="F73" s="7" t="s">
        <v>2214</v>
      </c>
      <c r="G73" s="7" t="s">
        <v>2096</v>
      </c>
      <c r="H73" s="7" t="s">
        <v>209</v>
      </c>
      <c r="I73" s="7" t="s">
        <v>2095</v>
      </c>
      <c r="M73" t="s">
        <v>2827</v>
      </c>
    </row>
    <row r="74" spans="1:13" ht="16.5" customHeight="1" x14ac:dyDescent="0.25">
      <c r="A74" s="12" t="s">
        <v>2217</v>
      </c>
      <c r="B74" s="13" t="s">
        <v>660</v>
      </c>
      <c r="C74" s="13" t="s">
        <v>2218</v>
      </c>
      <c r="D74" s="13" t="s">
        <v>1030</v>
      </c>
      <c r="E74" s="13" t="s">
        <v>642</v>
      </c>
      <c r="F74" s="13" t="s">
        <v>2219</v>
      </c>
      <c r="G74" s="13" t="s">
        <v>2220</v>
      </c>
      <c r="H74" s="13" t="s">
        <v>209</v>
      </c>
      <c r="I74" s="13" t="s">
        <v>2219</v>
      </c>
      <c r="M74" t="s">
        <v>2827</v>
      </c>
    </row>
    <row r="75" spans="1:13" ht="16.5" customHeight="1" x14ac:dyDescent="0.25">
      <c r="A75" s="6" t="s">
        <v>2221</v>
      </c>
      <c r="B75" s="7" t="s">
        <v>660</v>
      </c>
      <c r="C75" s="7" t="s">
        <v>243</v>
      </c>
      <c r="D75" s="7" t="s">
        <v>1030</v>
      </c>
      <c r="E75" s="7" t="s">
        <v>642</v>
      </c>
      <c r="F75" s="7" t="s">
        <v>2219</v>
      </c>
      <c r="G75" s="7" t="s">
        <v>2110</v>
      </c>
      <c r="H75" s="7" t="s">
        <v>209</v>
      </c>
      <c r="I75" s="7" t="s">
        <v>2104</v>
      </c>
      <c r="M75" t="s">
        <v>2827</v>
      </c>
    </row>
    <row r="76" spans="1:13" ht="16.5" customHeight="1" x14ac:dyDescent="0.25">
      <c r="A76" s="12" t="s">
        <v>2222</v>
      </c>
      <c r="B76" s="13" t="s">
        <v>660</v>
      </c>
      <c r="C76" s="13" t="s">
        <v>2223</v>
      </c>
      <c r="D76" s="13" t="s">
        <v>1030</v>
      </c>
      <c r="E76" s="13" t="s">
        <v>642</v>
      </c>
      <c r="F76" s="13" t="s">
        <v>2219</v>
      </c>
      <c r="G76" s="13" t="s">
        <v>2224</v>
      </c>
      <c r="H76" s="13" t="s">
        <v>209</v>
      </c>
      <c r="I76" s="13" t="s">
        <v>2219</v>
      </c>
      <c r="M76" t="s">
        <v>2827</v>
      </c>
    </row>
    <row r="77" spans="1:13" ht="16.5" customHeight="1" x14ac:dyDescent="0.25">
      <c r="A77" s="6" t="s">
        <v>2225</v>
      </c>
      <c r="B77" s="7" t="s">
        <v>660</v>
      </c>
      <c r="C77" s="7" t="s">
        <v>244</v>
      </c>
      <c r="D77" s="7" t="s">
        <v>1030</v>
      </c>
      <c r="E77" s="7" t="s">
        <v>642</v>
      </c>
      <c r="F77" s="7" t="s">
        <v>2219</v>
      </c>
      <c r="G77" s="7" t="s">
        <v>2105</v>
      </c>
      <c r="H77" s="7" t="s">
        <v>209</v>
      </c>
      <c r="I77" s="7" t="s">
        <v>2104</v>
      </c>
      <c r="M77" t="s">
        <v>2827</v>
      </c>
    </row>
    <row r="78" spans="1:13" ht="16.5" customHeight="1" x14ac:dyDescent="0.25">
      <c r="A78" s="12" t="s">
        <v>2226</v>
      </c>
      <c r="B78" s="13" t="s">
        <v>660</v>
      </c>
      <c r="C78" s="13" t="s">
        <v>2196</v>
      </c>
      <c r="D78" s="13" t="s">
        <v>1030</v>
      </c>
      <c r="E78" s="13" t="s">
        <v>642</v>
      </c>
      <c r="F78" s="13" t="s">
        <v>1130</v>
      </c>
      <c r="G78" s="13" t="s">
        <v>2197</v>
      </c>
      <c r="H78" s="13" t="s">
        <v>209</v>
      </c>
      <c r="I78" s="13" t="s">
        <v>1132</v>
      </c>
      <c r="M78" t="s">
        <v>2827</v>
      </c>
    </row>
    <row r="79" spans="1:13" ht="16.5" customHeight="1" x14ac:dyDescent="0.25">
      <c r="A79" s="6" t="s">
        <v>2227</v>
      </c>
      <c r="B79" s="7" t="s">
        <v>660</v>
      </c>
      <c r="C79" s="7" t="s">
        <v>245</v>
      </c>
      <c r="D79" s="7" t="s">
        <v>1030</v>
      </c>
      <c r="E79" s="7" t="s">
        <v>642</v>
      </c>
      <c r="F79" s="7" t="s">
        <v>1130</v>
      </c>
      <c r="G79" s="7" t="s">
        <v>2164</v>
      </c>
      <c r="H79" s="7" t="s">
        <v>209</v>
      </c>
      <c r="I79" s="7" t="s">
        <v>1130</v>
      </c>
      <c r="M79" t="s">
        <v>2827</v>
      </c>
    </row>
    <row r="80" spans="1:13" ht="16.5" customHeight="1" x14ac:dyDescent="0.25">
      <c r="A80" s="12" t="s">
        <v>2228</v>
      </c>
      <c r="B80" s="13" t="s">
        <v>660</v>
      </c>
      <c r="C80" s="13" t="s">
        <v>1143</v>
      </c>
      <c r="D80" s="13" t="s">
        <v>1030</v>
      </c>
      <c r="E80" s="13" t="s">
        <v>642</v>
      </c>
      <c r="F80" s="13" t="s">
        <v>1144</v>
      </c>
      <c r="G80" s="13" t="s">
        <v>1145</v>
      </c>
      <c r="H80" s="13" t="s">
        <v>209</v>
      </c>
      <c r="I80" s="13" t="s">
        <v>1144</v>
      </c>
      <c r="M80" t="s">
        <v>2827</v>
      </c>
    </row>
    <row r="81" spans="1:13" ht="16.5" customHeight="1" x14ac:dyDescent="0.25">
      <c r="A81" s="6" t="s">
        <v>2229</v>
      </c>
      <c r="B81" s="7" t="s">
        <v>660</v>
      </c>
      <c r="C81" s="7" t="s">
        <v>1789</v>
      </c>
      <c r="D81" s="7" t="s">
        <v>1030</v>
      </c>
      <c r="E81" s="7" t="s">
        <v>642</v>
      </c>
      <c r="F81" s="7" t="s">
        <v>1144</v>
      </c>
      <c r="G81" s="7" t="s">
        <v>1790</v>
      </c>
      <c r="H81" s="7" t="s">
        <v>209</v>
      </c>
      <c r="I81" s="7" t="s">
        <v>951</v>
      </c>
      <c r="M81" t="s">
        <v>2827</v>
      </c>
    </row>
    <row r="82" spans="1:13" ht="16.5" customHeight="1" x14ac:dyDescent="0.25">
      <c r="A82" s="12" t="s">
        <v>2230</v>
      </c>
      <c r="B82" s="13" t="s">
        <v>660</v>
      </c>
      <c r="C82" s="13" t="s">
        <v>1139</v>
      </c>
      <c r="D82" s="13" t="s">
        <v>1030</v>
      </c>
      <c r="E82" s="13" t="s">
        <v>642</v>
      </c>
      <c r="F82" s="13" t="s">
        <v>1140</v>
      </c>
      <c r="G82" s="13" t="s">
        <v>1141</v>
      </c>
      <c r="H82" s="13" t="s">
        <v>209</v>
      </c>
      <c r="I82" s="13" t="s">
        <v>1140</v>
      </c>
      <c r="M82" t="s">
        <v>2827</v>
      </c>
    </row>
    <row r="83" spans="1:13" ht="16.5" customHeight="1" x14ac:dyDescent="0.25">
      <c r="A83" s="6" t="s">
        <v>2231</v>
      </c>
      <c r="B83" s="7" t="s">
        <v>660</v>
      </c>
      <c r="C83" s="7" t="s">
        <v>1792</v>
      </c>
      <c r="D83" s="7" t="s">
        <v>1030</v>
      </c>
      <c r="E83" s="7" t="s">
        <v>642</v>
      </c>
      <c r="F83" s="7" t="s">
        <v>1140</v>
      </c>
      <c r="G83" s="7" t="s">
        <v>1793</v>
      </c>
      <c r="H83" s="7" t="s">
        <v>209</v>
      </c>
      <c r="I83" s="7" t="s">
        <v>1140</v>
      </c>
      <c r="M83" t="s">
        <v>2827</v>
      </c>
    </row>
    <row r="84" spans="1:13" ht="16.5" customHeight="1" x14ac:dyDescent="0.25">
      <c r="A84" s="12" t="s">
        <v>2232</v>
      </c>
      <c r="B84" s="13" t="s">
        <v>660</v>
      </c>
      <c r="C84" s="13" t="s">
        <v>640</v>
      </c>
      <c r="D84" s="13" t="s">
        <v>662</v>
      </c>
      <c r="E84" s="13" t="s">
        <v>663</v>
      </c>
      <c r="F84" s="13" t="s">
        <v>1132</v>
      </c>
      <c r="G84" s="13" t="s">
        <v>2084</v>
      </c>
      <c r="H84" s="13" t="s">
        <v>209</v>
      </c>
      <c r="I84" s="13" t="s">
        <v>1137</v>
      </c>
      <c r="M84" t="s">
        <v>2827</v>
      </c>
    </row>
    <row r="85" spans="1:13" ht="17.25" customHeight="1" x14ac:dyDescent="0.25">
      <c r="A85" s="6" t="s">
        <v>2084</v>
      </c>
      <c r="B85" s="7" t="s">
        <v>660</v>
      </c>
      <c r="C85" s="7" t="s">
        <v>640</v>
      </c>
      <c r="D85" s="7" t="s">
        <v>662</v>
      </c>
      <c r="E85" s="7" t="s">
        <v>663</v>
      </c>
      <c r="F85" s="7" t="s">
        <v>1137</v>
      </c>
      <c r="G85" s="7" t="s">
        <v>2233</v>
      </c>
      <c r="H85" s="7" t="s">
        <v>209</v>
      </c>
      <c r="I85" s="7" t="s">
        <v>2234</v>
      </c>
      <c r="M85" t="s">
        <v>2827</v>
      </c>
    </row>
    <row r="86" spans="1:13" ht="16.5" customHeight="1" x14ac:dyDescent="0.25">
      <c r="A86" s="12" t="s">
        <v>2235</v>
      </c>
      <c r="B86" s="13" t="s">
        <v>660</v>
      </c>
      <c r="C86" s="13" t="s">
        <v>212</v>
      </c>
      <c r="D86" s="13" t="s">
        <v>662</v>
      </c>
      <c r="E86" s="13" t="s">
        <v>673</v>
      </c>
      <c r="F86" s="13" t="s">
        <v>2236</v>
      </c>
      <c r="G86" s="13" t="s">
        <v>2237</v>
      </c>
      <c r="H86" s="13" t="s">
        <v>209</v>
      </c>
      <c r="I86" s="13" t="s">
        <v>2238</v>
      </c>
      <c r="M86" t="s">
        <v>2827</v>
      </c>
    </row>
    <row r="87" spans="1:13" ht="16.5" customHeight="1" x14ac:dyDescent="0.25">
      <c r="A87" s="6" t="s">
        <v>2239</v>
      </c>
      <c r="B87" s="7" t="s">
        <v>660</v>
      </c>
      <c r="C87" s="7" t="s">
        <v>640</v>
      </c>
      <c r="D87" s="7" t="s">
        <v>662</v>
      </c>
      <c r="E87" s="7" t="s">
        <v>673</v>
      </c>
      <c r="F87" s="7" t="s">
        <v>2236</v>
      </c>
      <c r="G87" s="7" t="s">
        <v>2240</v>
      </c>
      <c r="H87" s="7" t="s">
        <v>209</v>
      </c>
      <c r="I87" s="7" t="s">
        <v>2238</v>
      </c>
      <c r="M87" t="s">
        <v>2827</v>
      </c>
    </row>
    <row r="88" spans="1:13" ht="16.5" customHeight="1" x14ac:dyDescent="0.25">
      <c r="A88" s="12" t="s">
        <v>2241</v>
      </c>
      <c r="B88" s="13" t="s">
        <v>660</v>
      </c>
      <c r="C88" s="13" t="s">
        <v>2242</v>
      </c>
      <c r="D88" s="13" t="s">
        <v>662</v>
      </c>
      <c r="E88" s="13" t="s">
        <v>673</v>
      </c>
      <c r="F88" s="13" t="s">
        <v>2236</v>
      </c>
      <c r="G88" s="13" t="s">
        <v>2243</v>
      </c>
      <c r="H88" s="13" t="s">
        <v>209</v>
      </c>
      <c r="I88" s="13" t="s">
        <v>2238</v>
      </c>
      <c r="M88" t="s">
        <v>2827</v>
      </c>
    </row>
    <row r="89" spans="1:13" ht="16.5" customHeight="1" x14ac:dyDescent="0.25">
      <c r="A89" s="6" t="s">
        <v>2244</v>
      </c>
      <c r="B89" s="7" t="s">
        <v>660</v>
      </c>
      <c r="C89" s="7" t="s">
        <v>212</v>
      </c>
      <c r="D89" s="7" t="s">
        <v>662</v>
      </c>
      <c r="E89" s="7" t="s">
        <v>673</v>
      </c>
      <c r="F89" s="7" t="s">
        <v>2234</v>
      </c>
      <c r="G89" s="7" t="s">
        <v>2083</v>
      </c>
      <c r="H89" s="7" t="s">
        <v>209</v>
      </c>
      <c r="I89" s="7" t="s">
        <v>1137</v>
      </c>
      <c r="M89" t="s">
        <v>2827</v>
      </c>
    </row>
    <row r="90" spans="1:13" ht="16.5" customHeight="1" x14ac:dyDescent="0.25">
      <c r="A90" s="12" t="s">
        <v>2244</v>
      </c>
      <c r="B90" s="13" t="s">
        <v>660</v>
      </c>
      <c r="C90" s="13" t="s">
        <v>212</v>
      </c>
      <c r="D90" s="13" t="s">
        <v>662</v>
      </c>
      <c r="E90" s="13" t="s">
        <v>673</v>
      </c>
      <c r="F90" s="13" t="s">
        <v>2234</v>
      </c>
      <c r="G90" s="13" t="s">
        <v>2235</v>
      </c>
      <c r="H90" s="13" t="s">
        <v>209</v>
      </c>
      <c r="I90" s="13" t="s">
        <v>2236</v>
      </c>
      <c r="M90" t="s">
        <v>2827</v>
      </c>
    </row>
    <row r="91" spans="1:13" ht="16.5" customHeight="1" x14ac:dyDescent="0.25">
      <c r="A91" s="6" t="s">
        <v>2233</v>
      </c>
      <c r="B91" s="7" t="s">
        <v>660</v>
      </c>
      <c r="C91" s="7" t="s">
        <v>640</v>
      </c>
      <c r="D91" s="7" t="s">
        <v>662</v>
      </c>
      <c r="E91" s="7" t="s">
        <v>673</v>
      </c>
      <c r="F91" s="7" t="s">
        <v>2234</v>
      </c>
      <c r="G91" s="7" t="s">
        <v>2239</v>
      </c>
      <c r="H91" s="7" t="s">
        <v>209</v>
      </c>
      <c r="I91" s="7" t="s">
        <v>2236</v>
      </c>
      <c r="M91" t="s">
        <v>2827</v>
      </c>
    </row>
    <row r="92" spans="1:13" ht="16.5" customHeight="1" x14ac:dyDescent="0.25">
      <c r="A92" s="12" t="s">
        <v>2245</v>
      </c>
      <c r="B92" s="13" t="s">
        <v>660</v>
      </c>
      <c r="C92" s="13" t="s">
        <v>2242</v>
      </c>
      <c r="D92" s="13" t="s">
        <v>662</v>
      </c>
      <c r="E92" s="13" t="s">
        <v>697</v>
      </c>
      <c r="F92" s="13" t="s">
        <v>2234</v>
      </c>
      <c r="G92" s="13" t="s">
        <v>2241</v>
      </c>
      <c r="H92" s="13" t="s">
        <v>209</v>
      </c>
      <c r="I92" s="13" t="s">
        <v>2236</v>
      </c>
      <c r="M92" t="s">
        <v>2827</v>
      </c>
    </row>
    <row r="93" spans="1:13" ht="16.5" customHeight="1" x14ac:dyDescent="0.25">
      <c r="A93" s="6" t="s">
        <v>2246</v>
      </c>
      <c r="B93" s="7" t="s">
        <v>609</v>
      </c>
      <c r="C93" s="7" t="s">
        <v>2247</v>
      </c>
      <c r="D93" s="7" t="s">
        <v>1062</v>
      </c>
      <c r="E93" s="7" t="s">
        <v>697</v>
      </c>
      <c r="F93" s="7" t="s">
        <v>2234</v>
      </c>
      <c r="G93" s="7" t="s">
        <v>2248</v>
      </c>
      <c r="H93" s="7" t="s">
        <v>209</v>
      </c>
      <c r="I93" s="7" t="s">
        <v>2234</v>
      </c>
      <c r="M93" t="s">
        <v>2827</v>
      </c>
    </row>
    <row r="94" spans="1:13" ht="16.5" customHeight="1" x14ac:dyDescent="0.25">
      <c r="A94" s="12" t="s">
        <v>2249</v>
      </c>
      <c r="B94" s="13" t="s">
        <v>609</v>
      </c>
      <c r="C94" s="13" t="s">
        <v>2250</v>
      </c>
      <c r="D94" s="13" t="s">
        <v>1067</v>
      </c>
      <c r="E94" s="13" t="s">
        <v>697</v>
      </c>
      <c r="F94" s="13" t="s">
        <v>2234</v>
      </c>
      <c r="G94" s="13" t="s">
        <v>2251</v>
      </c>
      <c r="H94" s="13" t="s">
        <v>209</v>
      </c>
      <c r="I94" s="13" t="s">
        <v>2234</v>
      </c>
      <c r="M94" t="s">
        <v>2827</v>
      </c>
    </row>
    <row r="95" spans="1:13" ht="16.5" customHeight="1" x14ac:dyDescent="0.25">
      <c r="A95" s="6" t="s">
        <v>2252</v>
      </c>
      <c r="B95" s="7" t="s">
        <v>609</v>
      </c>
      <c r="C95" s="7" t="s">
        <v>2253</v>
      </c>
      <c r="D95" s="7" t="s">
        <v>1071</v>
      </c>
      <c r="E95" s="7" t="s">
        <v>697</v>
      </c>
      <c r="F95" s="7" t="s">
        <v>2234</v>
      </c>
      <c r="G95" s="7" t="s">
        <v>2254</v>
      </c>
      <c r="H95" s="7" t="s">
        <v>209</v>
      </c>
      <c r="I95" s="7" t="s">
        <v>2234</v>
      </c>
      <c r="M95" t="s">
        <v>2827</v>
      </c>
    </row>
    <row r="96" spans="1:13" ht="16.5" customHeight="1" x14ac:dyDescent="0.25">
      <c r="A96" s="12" t="s">
        <v>2255</v>
      </c>
      <c r="B96" s="13" t="s">
        <v>617</v>
      </c>
      <c r="C96" s="13" t="s">
        <v>2256</v>
      </c>
      <c r="D96" s="13" t="s">
        <v>1062</v>
      </c>
      <c r="E96" s="13" t="s">
        <v>697</v>
      </c>
      <c r="F96" s="13" t="s">
        <v>2257</v>
      </c>
      <c r="G96" s="13" t="s">
        <v>2258</v>
      </c>
      <c r="H96" s="13" t="s">
        <v>209</v>
      </c>
      <c r="I96" s="13" t="s">
        <v>2257</v>
      </c>
      <c r="M96" t="s">
        <v>2827</v>
      </c>
    </row>
    <row r="97" spans="1:13" ht="17.25" customHeight="1" x14ac:dyDescent="0.25">
      <c r="A97" s="6" t="s">
        <v>2259</v>
      </c>
      <c r="B97" s="7" t="s">
        <v>617</v>
      </c>
      <c r="C97" s="7" t="s">
        <v>2260</v>
      </c>
      <c r="D97" s="7" t="s">
        <v>1067</v>
      </c>
      <c r="E97" s="7" t="s">
        <v>697</v>
      </c>
      <c r="F97" s="7" t="s">
        <v>2257</v>
      </c>
      <c r="G97" s="7" t="s">
        <v>2261</v>
      </c>
      <c r="H97" s="7" t="s">
        <v>209</v>
      </c>
      <c r="I97" s="7" t="s">
        <v>2257</v>
      </c>
      <c r="M97" t="s">
        <v>2827</v>
      </c>
    </row>
    <row r="98" spans="1:13" ht="16.5" customHeight="1" x14ac:dyDescent="0.25">
      <c r="A98" s="12" t="s">
        <v>2262</v>
      </c>
      <c r="B98" s="13" t="s">
        <v>617</v>
      </c>
      <c r="C98" s="13" t="s">
        <v>2263</v>
      </c>
      <c r="D98" s="13" t="s">
        <v>1071</v>
      </c>
      <c r="E98" s="13" t="s">
        <v>697</v>
      </c>
      <c r="F98" s="13" t="s">
        <v>2257</v>
      </c>
      <c r="G98" s="13" t="s">
        <v>2264</v>
      </c>
      <c r="H98" s="13" t="s">
        <v>209</v>
      </c>
      <c r="I98" s="13" t="s">
        <v>2257</v>
      </c>
      <c r="M98" t="s">
        <v>2827</v>
      </c>
    </row>
    <row r="99" spans="1:13" ht="16.5" customHeight="1" x14ac:dyDescent="0.25">
      <c r="A99" s="6" t="s">
        <v>2265</v>
      </c>
      <c r="B99" s="7" t="s">
        <v>618</v>
      </c>
      <c r="C99" s="7" t="s">
        <v>2266</v>
      </c>
      <c r="D99" s="7" t="s">
        <v>1062</v>
      </c>
      <c r="E99" s="7" t="s">
        <v>697</v>
      </c>
      <c r="F99" s="7" t="s">
        <v>2267</v>
      </c>
      <c r="G99" s="7" t="s">
        <v>2268</v>
      </c>
      <c r="H99" s="7" t="s">
        <v>209</v>
      </c>
      <c r="I99" s="7" t="s">
        <v>2267</v>
      </c>
      <c r="M99" t="s">
        <v>2827</v>
      </c>
    </row>
    <row r="100" spans="1:13" ht="16.5" customHeight="1" x14ac:dyDescent="0.25">
      <c r="A100" s="12" t="s">
        <v>2269</v>
      </c>
      <c r="B100" s="13" t="s">
        <v>618</v>
      </c>
      <c r="C100" s="13" t="s">
        <v>2270</v>
      </c>
      <c r="D100" s="13" t="s">
        <v>1067</v>
      </c>
      <c r="E100" s="13" t="s">
        <v>697</v>
      </c>
      <c r="F100" s="13" t="s">
        <v>2267</v>
      </c>
      <c r="G100" s="13" t="s">
        <v>2271</v>
      </c>
      <c r="H100" s="13" t="s">
        <v>209</v>
      </c>
      <c r="I100" s="13" t="s">
        <v>2267</v>
      </c>
      <c r="M100" t="s">
        <v>2827</v>
      </c>
    </row>
    <row r="101" spans="1:13" ht="16.5" customHeight="1" x14ac:dyDescent="0.25">
      <c r="A101" s="6" t="s">
        <v>2272</v>
      </c>
      <c r="B101" s="7" t="s">
        <v>618</v>
      </c>
      <c r="C101" s="7" t="s">
        <v>2273</v>
      </c>
      <c r="D101" s="7" t="s">
        <v>1071</v>
      </c>
      <c r="E101" s="7" t="s">
        <v>697</v>
      </c>
      <c r="F101" s="7" t="s">
        <v>2267</v>
      </c>
      <c r="G101" s="7" t="s">
        <v>2274</v>
      </c>
      <c r="H101" s="7" t="s">
        <v>209</v>
      </c>
      <c r="I101" s="7" t="s">
        <v>2267</v>
      </c>
      <c r="M101" t="s">
        <v>2827</v>
      </c>
    </row>
    <row r="102" spans="1:13" ht="16.5" customHeight="1" x14ac:dyDescent="0.25">
      <c r="A102" s="12" t="s">
        <v>2275</v>
      </c>
      <c r="B102" s="13" t="s">
        <v>660</v>
      </c>
      <c r="C102" s="13" t="s">
        <v>2276</v>
      </c>
      <c r="D102" s="13" t="s">
        <v>662</v>
      </c>
      <c r="E102" s="13" t="s">
        <v>673</v>
      </c>
      <c r="F102" s="13" t="s">
        <v>2119</v>
      </c>
      <c r="G102" s="13" t="s">
        <v>2277</v>
      </c>
      <c r="H102" s="13" t="s">
        <v>157</v>
      </c>
      <c r="I102" s="13" t="s">
        <v>2278</v>
      </c>
      <c r="M102" t="s">
        <v>2827</v>
      </c>
    </row>
    <row r="103" spans="1:13" ht="16.5" customHeight="1" x14ac:dyDescent="0.25">
      <c r="A103" s="6" t="s">
        <v>2279</v>
      </c>
      <c r="B103" s="7" t="s">
        <v>660</v>
      </c>
      <c r="C103" s="7" t="s">
        <v>2280</v>
      </c>
      <c r="D103" s="7" t="s">
        <v>662</v>
      </c>
      <c r="E103" s="7" t="s">
        <v>673</v>
      </c>
      <c r="F103" s="7" t="s">
        <v>2119</v>
      </c>
      <c r="G103" s="7" t="s">
        <v>2281</v>
      </c>
      <c r="H103" s="7" t="s">
        <v>157</v>
      </c>
      <c r="I103" s="7" t="s">
        <v>2278</v>
      </c>
      <c r="M103" t="s">
        <v>2827</v>
      </c>
    </row>
    <row r="104" spans="1:13" ht="16.5" customHeight="1" x14ac:dyDescent="0.25">
      <c r="A104" s="12" t="s">
        <v>2282</v>
      </c>
      <c r="B104" s="13" t="s">
        <v>660</v>
      </c>
      <c r="C104" s="13" t="s">
        <v>2283</v>
      </c>
      <c r="D104" s="13" t="s">
        <v>662</v>
      </c>
      <c r="E104" s="13" t="s">
        <v>663</v>
      </c>
      <c r="F104" s="13" t="s">
        <v>2119</v>
      </c>
      <c r="G104" s="13" t="s">
        <v>2284</v>
      </c>
      <c r="H104" s="13" t="s">
        <v>157</v>
      </c>
      <c r="I104" s="13" t="s">
        <v>2285</v>
      </c>
      <c r="M104" t="s">
        <v>2827</v>
      </c>
    </row>
    <row r="105" spans="1:13" ht="16.5" customHeight="1" x14ac:dyDescent="0.25">
      <c r="A105" s="6" t="s">
        <v>2286</v>
      </c>
      <c r="B105" s="7" t="s">
        <v>660</v>
      </c>
      <c r="C105" s="7" t="s">
        <v>2287</v>
      </c>
      <c r="D105" s="7" t="s">
        <v>662</v>
      </c>
      <c r="E105" s="7" t="s">
        <v>673</v>
      </c>
      <c r="F105" s="7" t="s">
        <v>2148</v>
      </c>
      <c r="G105" s="7" t="s">
        <v>2288</v>
      </c>
      <c r="H105" s="7" t="s">
        <v>157</v>
      </c>
      <c r="I105" s="7" t="s">
        <v>2278</v>
      </c>
      <c r="M105" t="s">
        <v>2827</v>
      </c>
    </row>
    <row r="106" spans="1:13" ht="16.5" customHeight="1" x14ac:dyDescent="0.25">
      <c r="A106" s="12" t="s">
        <v>2289</v>
      </c>
      <c r="B106" s="13" t="s">
        <v>660</v>
      </c>
      <c r="C106" s="13" t="s">
        <v>2290</v>
      </c>
      <c r="D106" s="13" t="s">
        <v>662</v>
      </c>
      <c r="E106" s="13" t="s">
        <v>673</v>
      </c>
      <c r="F106" s="13" t="s">
        <v>2148</v>
      </c>
      <c r="G106" s="13" t="s">
        <v>2291</v>
      </c>
      <c r="H106" s="13" t="s">
        <v>157</v>
      </c>
      <c r="I106" s="13" t="s">
        <v>2278</v>
      </c>
      <c r="M106" t="s">
        <v>2827</v>
      </c>
    </row>
    <row r="107" spans="1:13" ht="16.5" customHeight="1" x14ac:dyDescent="0.25">
      <c r="A107" s="6" t="s">
        <v>2292</v>
      </c>
      <c r="B107" s="7" t="s">
        <v>660</v>
      </c>
      <c r="C107" s="7" t="s">
        <v>2293</v>
      </c>
      <c r="D107" s="7" t="s">
        <v>662</v>
      </c>
      <c r="E107" s="7" t="s">
        <v>663</v>
      </c>
      <c r="F107" s="7" t="s">
        <v>2183</v>
      </c>
      <c r="G107" s="7" t="s">
        <v>2294</v>
      </c>
      <c r="H107" s="7" t="s">
        <v>157</v>
      </c>
      <c r="I107" s="7" t="s">
        <v>1117</v>
      </c>
      <c r="M107" t="s">
        <v>2827</v>
      </c>
    </row>
    <row r="108" spans="1:13" ht="16.5" customHeight="1" x14ac:dyDescent="0.25">
      <c r="A108" s="12" t="s">
        <v>2295</v>
      </c>
      <c r="B108" s="13" t="s">
        <v>660</v>
      </c>
      <c r="C108" s="13" t="s">
        <v>2296</v>
      </c>
      <c r="D108" s="13" t="s">
        <v>662</v>
      </c>
      <c r="E108" s="13" t="s">
        <v>663</v>
      </c>
      <c r="F108" s="13" t="s">
        <v>2185</v>
      </c>
      <c r="G108" s="13" t="s">
        <v>2297</v>
      </c>
      <c r="H108" s="13" t="s">
        <v>157</v>
      </c>
      <c r="I108" s="13" t="s">
        <v>1115</v>
      </c>
      <c r="M108" t="s">
        <v>2827</v>
      </c>
    </row>
    <row r="109" spans="1:13" ht="16.5" customHeight="1" x14ac:dyDescent="0.25">
      <c r="A109" s="6" t="s">
        <v>2203</v>
      </c>
      <c r="B109" s="7" t="s">
        <v>660</v>
      </c>
      <c r="C109" s="7" t="s">
        <v>2204</v>
      </c>
      <c r="D109" s="7" t="s">
        <v>662</v>
      </c>
      <c r="E109" s="7" t="s">
        <v>663</v>
      </c>
      <c r="F109" s="7" t="s">
        <v>2121</v>
      </c>
      <c r="G109" s="7" t="s">
        <v>2298</v>
      </c>
      <c r="H109" s="7" t="s">
        <v>157</v>
      </c>
      <c r="I109" s="7" t="s">
        <v>2285</v>
      </c>
      <c r="M109" t="s">
        <v>2827</v>
      </c>
    </row>
    <row r="110" spans="1:13" ht="17.25" customHeight="1" x14ac:dyDescent="0.25">
      <c r="A110" s="12" t="s">
        <v>2299</v>
      </c>
      <c r="B110" s="13" t="s">
        <v>660</v>
      </c>
      <c r="C110" s="13" t="s">
        <v>2300</v>
      </c>
      <c r="D110" s="13" t="s">
        <v>662</v>
      </c>
      <c r="E110" s="13" t="s">
        <v>663</v>
      </c>
      <c r="F110" s="13" t="s">
        <v>2301</v>
      </c>
      <c r="G110" s="13" t="s">
        <v>2302</v>
      </c>
      <c r="H110" s="13" t="s">
        <v>157</v>
      </c>
      <c r="I110" s="13" t="s">
        <v>2301</v>
      </c>
      <c r="M110" t="s">
        <v>2827</v>
      </c>
    </row>
    <row r="111" spans="1:13" ht="16.5" customHeight="1" x14ac:dyDescent="0.25">
      <c r="A111" s="6" t="s">
        <v>2299</v>
      </c>
      <c r="B111" s="7" t="s">
        <v>660</v>
      </c>
      <c r="C111" s="7" t="s">
        <v>2300</v>
      </c>
      <c r="D111" s="7" t="s">
        <v>662</v>
      </c>
      <c r="E111" s="7" t="s">
        <v>663</v>
      </c>
      <c r="F111" s="7" t="s">
        <v>2301</v>
      </c>
      <c r="G111" s="7" t="s">
        <v>2303</v>
      </c>
      <c r="H111" s="7" t="s">
        <v>157</v>
      </c>
      <c r="I111" s="7" t="s">
        <v>2285</v>
      </c>
      <c r="M111" t="s">
        <v>2827</v>
      </c>
    </row>
    <row r="112" spans="1:13" ht="16.5" customHeight="1" x14ac:dyDescent="0.25">
      <c r="A112" s="12" t="s">
        <v>2304</v>
      </c>
      <c r="B112" s="13" t="s">
        <v>660</v>
      </c>
      <c r="C112" s="13" t="s">
        <v>2305</v>
      </c>
      <c r="D112" s="13" t="s">
        <v>662</v>
      </c>
      <c r="E112" s="13" t="s">
        <v>663</v>
      </c>
      <c r="F112" s="13" t="s">
        <v>2301</v>
      </c>
      <c r="G112" s="13" t="s">
        <v>2306</v>
      </c>
      <c r="H112" s="13" t="s">
        <v>157</v>
      </c>
      <c r="I112" s="13" t="s">
        <v>2301</v>
      </c>
      <c r="M112" t="s">
        <v>2827</v>
      </c>
    </row>
    <row r="113" spans="1:13" ht="16.5" customHeight="1" x14ac:dyDescent="0.25">
      <c r="A113" s="6" t="s">
        <v>2304</v>
      </c>
      <c r="B113" s="7" t="s">
        <v>660</v>
      </c>
      <c r="C113" s="7" t="s">
        <v>2305</v>
      </c>
      <c r="D113" s="7" t="s">
        <v>662</v>
      </c>
      <c r="E113" s="7" t="s">
        <v>663</v>
      </c>
      <c r="F113" s="7" t="s">
        <v>2301</v>
      </c>
      <c r="G113" s="7" t="s">
        <v>2307</v>
      </c>
      <c r="H113" s="7" t="s">
        <v>157</v>
      </c>
      <c r="I113" s="7" t="s">
        <v>2285</v>
      </c>
      <c r="M113" t="s">
        <v>2827</v>
      </c>
    </row>
    <row r="114" spans="1:13" ht="16.5" customHeight="1" x14ac:dyDescent="0.25">
      <c r="A114" s="12" t="s">
        <v>2308</v>
      </c>
      <c r="B114" s="13" t="s">
        <v>660</v>
      </c>
      <c r="C114" s="13" t="s">
        <v>2309</v>
      </c>
      <c r="D114" s="13" t="s">
        <v>662</v>
      </c>
      <c r="E114" s="13" t="s">
        <v>673</v>
      </c>
      <c r="F114" s="13" t="s">
        <v>2310</v>
      </c>
      <c r="G114" s="13" t="s">
        <v>2311</v>
      </c>
      <c r="H114" s="13" t="s">
        <v>157</v>
      </c>
      <c r="I114" s="13" t="s">
        <v>2312</v>
      </c>
      <c r="M114" t="s">
        <v>2827</v>
      </c>
    </row>
    <row r="115" spans="1:13" ht="16.5" customHeight="1" x14ac:dyDescent="0.25">
      <c r="A115" s="6" t="s">
        <v>2313</v>
      </c>
      <c r="B115" s="7" t="s">
        <v>660</v>
      </c>
      <c r="C115" s="7" t="s">
        <v>2314</v>
      </c>
      <c r="D115" s="7" t="s">
        <v>662</v>
      </c>
      <c r="E115" s="7" t="s">
        <v>673</v>
      </c>
      <c r="F115" s="7" t="s">
        <v>2310</v>
      </c>
      <c r="G115" s="7" t="s">
        <v>2315</v>
      </c>
      <c r="H115" s="7" t="s">
        <v>157</v>
      </c>
      <c r="I115" s="7" t="s">
        <v>2312</v>
      </c>
      <c r="M115" t="s">
        <v>2827</v>
      </c>
    </row>
    <row r="116" spans="1:13" ht="16.5" customHeight="1" x14ac:dyDescent="0.25">
      <c r="A116" s="12" t="s">
        <v>1136</v>
      </c>
      <c r="B116" s="13" t="s">
        <v>660</v>
      </c>
      <c r="C116" s="13" t="s">
        <v>212</v>
      </c>
      <c r="D116" s="13" t="s">
        <v>662</v>
      </c>
      <c r="E116" s="13" t="s">
        <v>673</v>
      </c>
      <c r="F116" s="13" t="s">
        <v>1137</v>
      </c>
      <c r="G116" s="13" t="s">
        <v>2316</v>
      </c>
      <c r="H116" s="13" t="s">
        <v>157</v>
      </c>
      <c r="I116" s="13" t="s">
        <v>2278</v>
      </c>
      <c r="M116" t="s">
        <v>2827</v>
      </c>
    </row>
    <row r="117" spans="1:13" ht="16.5" customHeight="1" x14ac:dyDescent="0.25">
      <c r="A117" s="6" t="s">
        <v>1136</v>
      </c>
      <c r="B117" s="7" t="s">
        <v>660</v>
      </c>
      <c r="C117" s="7" t="s">
        <v>212</v>
      </c>
      <c r="D117" s="7" t="s">
        <v>662</v>
      </c>
      <c r="E117" s="7" t="s">
        <v>673</v>
      </c>
      <c r="F117" s="7" t="s">
        <v>1137</v>
      </c>
      <c r="G117" s="7" t="s">
        <v>2317</v>
      </c>
      <c r="H117" s="7" t="s">
        <v>157</v>
      </c>
      <c r="I117" s="7" t="s">
        <v>2278</v>
      </c>
      <c r="M117" t="s">
        <v>2827</v>
      </c>
    </row>
    <row r="118" spans="1:13" ht="16.5" customHeight="1" x14ac:dyDescent="0.25">
      <c r="A118" s="12" t="s">
        <v>2318</v>
      </c>
      <c r="B118" s="13" t="s">
        <v>660</v>
      </c>
      <c r="C118" s="13" t="s">
        <v>2319</v>
      </c>
      <c r="D118" s="13" t="s">
        <v>662</v>
      </c>
      <c r="E118" s="13" t="s">
        <v>673</v>
      </c>
      <c r="F118" s="13" t="s">
        <v>2320</v>
      </c>
      <c r="G118" s="13" t="s">
        <v>2321</v>
      </c>
      <c r="H118" s="13" t="s">
        <v>157</v>
      </c>
      <c r="I118" s="13" t="s">
        <v>2312</v>
      </c>
      <c r="M118" t="s">
        <v>2827</v>
      </c>
    </row>
    <row r="119" spans="1:13" ht="16.5" customHeight="1" x14ac:dyDescent="0.25">
      <c r="A119" s="6" t="s">
        <v>2322</v>
      </c>
      <c r="B119" s="7" t="s">
        <v>660</v>
      </c>
      <c r="C119" s="7" t="s">
        <v>2323</v>
      </c>
      <c r="D119" s="7" t="s">
        <v>662</v>
      </c>
      <c r="E119" s="7" t="s">
        <v>673</v>
      </c>
      <c r="F119" s="7" t="s">
        <v>2320</v>
      </c>
      <c r="G119" s="7" t="s">
        <v>2324</v>
      </c>
      <c r="H119" s="7" t="s">
        <v>157</v>
      </c>
      <c r="I119" s="7" t="s">
        <v>2312</v>
      </c>
      <c r="M119" t="s">
        <v>2827</v>
      </c>
    </row>
    <row r="120" spans="1:13" ht="16.5" customHeight="1" x14ac:dyDescent="0.25">
      <c r="A120" s="12" t="s">
        <v>1802</v>
      </c>
      <c r="B120" s="13" t="s">
        <v>660</v>
      </c>
      <c r="C120" s="13" t="s">
        <v>640</v>
      </c>
      <c r="D120" s="13" t="s">
        <v>662</v>
      </c>
      <c r="E120" s="13" t="s">
        <v>673</v>
      </c>
      <c r="F120" s="13" t="s">
        <v>1137</v>
      </c>
      <c r="G120" s="13" t="s">
        <v>2325</v>
      </c>
      <c r="H120" s="13" t="s">
        <v>157</v>
      </c>
      <c r="I120" s="13" t="s">
        <v>2278</v>
      </c>
      <c r="M120" t="s">
        <v>2827</v>
      </c>
    </row>
    <row r="121" spans="1:13" ht="16.5" customHeight="1" x14ac:dyDescent="0.25">
      <c r="A121" s="6" t="s">
        <v>1802</v>
      </c>
      <c r="B121" s="7" t="s">
        <v>660</v>
      </c>
      <c r="C121" s="7" t="s">
        <v>640</v>
      </c>
      <c r="D121" s="7" t="s">
        <v>662</v>
      </c>
      <c r="E121" s="7" t="s">
        <v>673</v>
      </c>
      <c r="F121" s="7" t="s">
        <v>1137</v>
      </c>
      <c r="G121" s="7" t="s">
        <v>2326</v>
      </c>
      <c r="H121" s="7" t="s">
        <v>157</v>
      </c>
      <c r="I121" s="7" t="s">
        <v>2278</v>
      </c>
      <c r="M121" t="s">
        <v>2827</v>
      </c>
    </row>
    <row r="122" spans="1:13" ht="17.25" customHeight="1" x14ac:dyDescent="0.25">
      <c r="A122" s="12" t="s">
        <v>2327</v>
      </c>
      <c r="B122" s="13" t="s">
        <v>660</v>
      </c>
      <c r="C122" s="13" t="s">
        <v>2328</v>
      </c>
      <c r="D122" s="13" t="s">
        <v>662</v>
      </c>
      <c r="E122" s="13" t="s">
        <v>663</v>
      </c>
      <c r="F122" s="13" t="s">
        <v>2178</v>
      </c>
      <c r="G122" s="13" t="s">
        <v>2329</v>
      </c>
      <c r="H122" s="13" t="s">
        <v>157</v>
      </c>
      <c r="I122" s="13" t="s">
        <v>2176</v>
      </c>
      <c r="M122" t="s">
        <v>2827</v>
      </c>
    </row>
    <row r="123" spans="1:13" ht="16.5" customHeight="1" x14ac:dyDescent="0.25">
      <c r="A123" s="6" t="s">
        <v>2330</v>
      </c>
      <c r="B123" s="7" t="s">
        <v>660</v>
      </c>
      <c r="C123" s="7" t="s">
        <v>2331</v>
      </c>
      <c r="D123" s="7" t="s">
        <v>662</v>
      </c>
      <c r="E123" s="7" t="s">
        <v>663</v>
      </c>
      <c r="F123" s="7" t="s">
        <v>2178</v>
      </c>
      <c r="G123" s="7" t="s">
        <v>2332</v>
      </c>
      <c r="H123" s="7" t="s">
        <v>157</v>
      </c>
      <c r="I123" s="7" t="s">
        <v>2176</v>
      </c>
      <c r="M123" t="s">
        <v>2827</v>
      </c>
    </row>
    <row r="124" spans="1:13" ht="16.5" customHeight="1" x14ac:dyDescent="0.25">
      <c r="A124" s="12" t="s">
        <v>2224</v>
      </c>
      <c r="B124" s="13" t="s">
        <v>660</v>
      </c>
      <c r="C124" s="13" t="s">
        <v>2223</v>
      </c>
      <c r="D124" s="13" t="s">
        <v>662</v>
      </c>
      <c r="E124" s="13" t="s">
        <v>663</v>
      </c>
      <c r="F124" s="13" t="s">
        <v>2219</v>
      </c>
      <c r="G124" s="13" t="s">
        <v>2333</v>
      </c>
      <c r="H124" s="13" t="s">
        <v>157</v>
      </c>
      <c r="I124" s="13" t="s">
        <v>2334</v>
      </c>
      <c r="M124" t="s">
        <v>2827</v>
      </c>
    </row>
    <row r="125" spans="1:13" ht="16.5" customHeight="1" x14ac:dyDescent="0.25">
      <c r="A125" s="6" t="s">
        <v>2108</v>
      </c>
      <c r="B125" s="7" t="s">
        <v>660</v>
      </c>
      <c r="C125" s="7" t="s">
        <v>2107</v>
      </c>
      <c r="D125" s="7" t="s">
        <v>662</v>
      </c>
      <c r="E125" s="7" t="s">
        <v>663</v>
      </c>
      <c r="F125" s="7" t="s">
        <v>2104</v>
      </c>
      <c r="G125" s="7" t="s">
        <v>2335</v>
      </c>
      <c r="H125" s="7" t="s">
        <v>157</v>
      </c>
      <c r="I125" s="7" t="s">
        <v>2334</v>
      </c>
      <c r="M125" t="s">
        <v>2827</v>
      </c>
    </row>
    <row r="126" spans="1:13" ht="16.5" customHeight="1" x14ac:dyDescent="0.25">
      <c r="A126" s="12" t="s">
        <v>2220</v>
      </c>
      <c r="B126" s="13" t="s">
        <v>660</v>
      </c>
      <c r="C126" s="13" t="s">
        <v>2218</v>
      </c>
      <c r="D126" s="13" t="s">
        <v>662</v>
      </c>
      <c r="E126" s="13" t="s">
        <v>663</v>
      </c>
      <c r="F126" s="13" t="s">
        <v>2219</v>
      </c>
      <c r="G126" s="13" t="s">
        <v>2336</v>
      </c>
      <c r="H126" s="13" t="s">
        <v>157</v>
      </c>
      <c r="I126" s="13" t="s">
        <v>2334</v>
      </c>
      <c r="M126" t="s">
        <v>2827</v>
      </c>
    </row>
    <row r="127" spans="1:13" ht="16.5" customHeight="1" x14ac:dyDescent="0.25">
      <c r="A127" s="6" t="s">
        <v>2113</v>
      </c>
      <c r="B127" s="7" t="s">
        <v>660</v>
      </c>
      <c r="C127" s="7" t="s">
        <v>2112</v>
      </c>
      <c r="D127" s="7" t="s">
        <v>662</v>
      </c>
      <c r="E127" s="7" t="s">
        <v>663</v>
      </c>
      <c r="F127" s="7" t="s">
        <v>2104</v>
      </c>
      <c r="G127" s="7" t="s">
        <v>2337</v>
      </c>
      <c r="H127" s="7" t="s">
        <v>157</v>
      </c>
      <c r="I127" s="7" t="s">
        <v>2334</v>
      </c>
      <c r="M127" t="s">
        <v>2827</v>
      </c>
    </row>
    <row r="128" spans="1:13" ht="16.5" customHeight="1" x14ac:dyDescent="0.25">
      <c r="A128" s="12" t="s">
        <v>2102</v>
      </c>
      <c r="B128" s="13" t="s">
        <v>660</v>
      </c>
      <c r="C128" s="13" t="s">
        <v>2101</v>
      </c>
      <c r="D128" s="13" t="s">
        <v>662</v>
      </c>
      <c r="E128" s="13" t="s">
        <v>663</v>
      </c>
      <c r="F128" s="13" t="s">
        <v>2095</v>
      </c>
      <c r="G128" s="13" t="s">
        <v>2338</v>
      </c>
      <c r="H128" s="13" t="s">
        <v>157</v>
      </c>
      <c r="I128" s="13" t="s">
        <v>2339</v>
      </c>
      <c r="M128" t="s">
        <v>2827</v>
      </c>
    </row>
    <row r="129" spans="1:13" ht="16.5" customHeight="1" x14ac:dyDescent="0.25">
      <c r="A129" s="6" t="s">
        <v>2116</v>
      </c>
      <c r="B129" s="7" t="s">
        <v>660</v>
      </c>
      <c r="C129" s="7" t="s">
        <v>2115</v>
      </c>
      <c r="D129" s="7" t="s">
        <v>662</v>
      </c>
      <c r="E129" s="7" t="s">
        <v>663</v>
      </c>
      <c r="F129" s="7" t="s">
        <v>2095</v>
      </c>
      <c r="G129" s="7" t="s">
        <v>2340</v>
      </c>
      <c r="H129" s="7" t="s">
        <v>157</v>
      </c>
      <c r="I129" s="7" t="s">
        <v>2339</v>
      </c>
      <c r="M129" t="s">
        <v>2827</v>
      </c>
    </row>
    <row r="130" spans="1:13" ht="16.5" customHeight="1" x14ac:dyDescent="0.25">
      <c r="A130" s="12" t="s">
        <v>2215</v>
      </c>
      <c r="B130" s="13" t="s">
        <v>660</v>
      </c>
      <c r="C130" s="13" t="s">
        <v>2213</v>
      </c>
      <c r="D130" s="13" t="s">
        <v>662</v>
      </c>
      <c r="E130" s="13" t="s">
        <v>663</v>
      </c>
      <c r="F130" s="13" t="s">
        <v>2214</v>
      </c>
      <c r="G130" s="13" t="s">
        <v>2341</v>
      </c>
      <c r="H130" s="13" t="s">
        <v>157</v>
      </c>
      <c r="I130" s="13" t="s">
        <v>2339</v>
      </c>
      <c r="M130" t="s">
        <v>2827</v>
      </c>
    </row>
    <row r="131" spans="1:13" ht="16.5" customHeight="1" x14ac:dyDescent="0.25">
      <c r="A131" s="6" t="s">
        <v>2099</v>
      </c>
      <c r="B131" s="7" t="s">
        <v>660</v>
      </c>
      <c r="C131" s="7" t="s">
        <v>2098</v>
      </c>
      <c r="D131" s="7" t="s">
        <v>662</v>
      </c>
      <c r="E131" s="7" t="s">
        <v>663</v>
      </c>
      <c r="F131" s="7" t="s">
        <v>2095</v>
      </c>
      <c r="G131" s="7" t="s">
        <v>2342</v>
      </c>
      <c r="H131" s="7" t="s">
        <v>157</v>
      </c>
      <c r="I131" s="7" t="s">
        <v>2339</v>
      </c>
      <c r="M131" t="s">
        <v>2827</v>
      </c>
    </row>
    <row r="132" spans="1:13" ht="16.5" customHeight="1" x14ac:dyDescent="0.25">
      <c r="A132" s="12" t="s">
        <v>2343</v>
      </c>
      <c r="B132" s="13" t="s">
        <v>607</v>
      </c>
      <c r="C132" s="13" t="s">
        <v>2344</v>
      </c>
      <c r="D132" s="13" t="s">
        <v>1062</v>
      </c>
      <c r="E132" s="13" t="s">
        <v>697</v>
      </c>
      <c r="F132" s="13" t="s">
        <v>2320</v>
      </c>
      <c r="G132" s="13" t="s">
        <v>2345</v>
      </c>
      <c r="H132" s="13" t="s">
        <v>157</v>
      </c>
      <c r="I132" s="13" t="s">
        <v>2320</v>
      </c>
      <c r="M132" t="s">
        <v>2827</v>
      </c>
    </row>
    <row r="133" spans="1:13" ht="16.5" customHeight="1" x14ac:dyDescent="0.25">
      <c r="A133" s="6" t="s">
        <v>2346</v>
      </c>
      <c r="B133" s="7" t="s">
        <v>607</v>
      </c>
      <c r="C133" s="7" t="s">
        <v>2347</v>
      </c>
      <c r="D133" s="7" t="s">
        <v>1067</v>
      </c>
      <c r="E133" s="7" t="s">
        <v>697</v>
      </c>
      <c r="F133" s="7" t="s">
        <v>2320</v>
      </c>
      <c r="G133" s="7" t="s">
        <v>2348</v>
      </c>
      <c r="H133" s="7" t="s">
        <v>157</v>
      </c>
      <c r="I133" s="7" t="s">
        <v>2320</v>
      </c>
      <c r="M133" t="s">
        <v>2827</v>
      </c>
    </row>
    <row r="134" spans="1:13" ht="16.5" customHeight="1" x14ac:dyDescent="0.25">
      <c r="A134" s="12" t="s">
        <v>2349</v>
      </c>
      <c r="B134" s="13" t="s">
        <v>607</v>
      </c>
      <c r="C134" s="13" t="s">
        <v>2350</v>
      </c>
      <c r="D134" s="13" t="s">
        <v>1071</v>
      </c>
      <c r="E134" s="13" t="s">
        <v>697</v>
      </c>
      <c r="F134" s="13" t="s">
        <v>2320</v>
      </c>
      <c r="G134" s="13" t="s">
        <v>2351</v>
      </c>
      <c r="H134" s="13" t="s">
        <v>157</v>
      </c>
      <c r="I134" s="13" t="s">
        <v>2320</v>
      </c>
      <c r="M134" t="s">
        <v>2827</v>
      </c>
    </row>
    <row r="135" spans="1:13" ht="17.25" customHeight="1" x14ac:dyDescent="0.25">
      <c r="A135" s="6" t="s">
        <v>2232</v>
      </c>
      <c r="B135" s="7" t="s">
        <v>573</v>
      </c>
      <c r="C135" s="7" t="s">
        <v>640</v>
      </c>
      <c r="D135" s="7" t="s">
        <v>1111</v>
      </c>
      <c r="E135" s="7" t="s">
        <v>2352</v>
      </c>
      <c r="F135" s="7" t="s">
        <v>1132</v>
      </c>
      <c r="G135" s="7" t="s">
        <v>2353</v>
      </c>
      <c r="H135" s="7" t="s">
        <v>157</v>
      </c>
      <c r="I135" s="7" t="s">
        <v>2354</v>
      </c>
      <c r="M135" t="s">
        <v>2827</v>
      </c>
    </row>
    <row r="136" spans="1:13" ht="16.5" customHeight="1" x14ac:dyDescent="0.25">
      <c r="A136" s="12" t="s">
        <v>2202</v>
      </c>
      <c r="B136" s="13" t="s">
        <v>573</v>
      </c>
      <c r="C136" s="13" t="s">
        <v>2200</v>
      </c>
      <c r="D136" s="13" t="s">
        <v>1740</v>
      </c>
      <c r="E136" s="13" t="s">
        <v>2352</v>
      </c>
      <c r="F136" s="13" t="s">
        <v>1132</v>
      </c>
      <c r="G136" s="13" t="s">
        <v>2355</v>
      </c>
      <c r="H136" s="13" t="s">
        <v>157</v>
      </c>
      <c r="I136" s="13" t="s">
        <v>2354</v>
      </c>
      <c r="M136" t="s">
        <v>2827</v>
      </c>
    </row>
    <row r="137" spans="1:13" ht="16.5" customHeight="1" x14ac:dyDescent="0.25">
      <c r="A137" s="6" t="s">
        <v>2356</v>
      </c>
      <c r="B137" s="7" t="s">
        <v>619</v>
      </c>
      <c r="C137" s="7" t="s">
        <v>2357</v>
      </c>
      <c r="D137" s="7" t="s">
        <v>1062</v>
      </c>
      <c r="E137" s="7" t="s">
        <v>697</v>
      </c>
      <c r="F137" s="7" t="s">
        <v>2358</v>
      </c>
      <c r="G137" s="7" t="s">
        <v>2359</v>
      </c>
      <c r="H137" s="7" t="s">
        <v>157</v>
      </c>
      <c r="I137" s="7" t="s">
        <v>2358</v>
      </c>
      <c r="M137" t="s">
        <v>2827</v>
      </c>
    </row>
    <row r="138" spans="1:13" ht="16.5" customHeight="1" x14ac:dyDescent="0.25">
      <c r="A138" s="12" t="s">
        <v>2360</v>
      </c>
      <c r="B138" s="13" t="s">
        <v>619</v>
      </c>
      <c r="C138" s="13" t="s">
        <v>2361</v>
      </c>
      <c r="D138" s="13" t="s">
        <v>1067</v>
      </c>
      <c r="E138" s="13" t="s">
        <v>697</v>
      </c>
      <c r="F138" s="13" t="s">
        <v>2358</v>
      </c>
      <c r="G138" s="13" t="s">
        <v>2362</v>
      </c>
      <c r="H138" s="13" t="s">
        <v>157</v>
      </c>
      <c r="I138" s="13" t="s">
        <v>2358</v>
      </c>
      <c r="M138" t="s">
        <v>2827</v>
      </c>
    </row>
    <row r="139" spans="1:13" ht="16.5" customHeight="1" x14ac:dyDescent="0.25">
      <c r="A139" s="6" t="s">
        <v>2363</v>
      </c>
      <c r="B139" s="7" t="s">
        <v>619</v>
      </c>
      <c r="C139" s="7" t="s">
        <v>2364</v>
      </c>
      <c r="D139" s="7" t="s">
        <v>1071</v>
      </c>
      <c r="E139" s="7" t="s">
        <v>697</v>
      </c>
      <c r="F139" s="7" t="s">
        <v>2358</v>
      </c>
      <c r="G139" s="7" t="s">
        <v>2365</v>
      </c>
      <c r="H139" s="7" t="s">
        <v>157</v>
      </c>
      <c r="I139" s="7" t="s">
        <v>2358</v>
      </c>
      <c r="M139" t="s">
        <v>2827</v>
      </c>
    </row>
    <row r="140" spans="1:13" ht="16.5" customHeight="1" x14ac:dyDescent="0.25">
      <c r="A140" s="12" t="s">
        <v>1803</v>
      </c>
      <c r="B140" s="13" t="s">
        <v>660</v>
      </c>
      <c r="C140" s="13" t="s">
        <v>388</v>
      </c>
      <c r="D140" s="13" t="s">
        <v>662</v>
      </c>
      <c r="E140" s="13" t="s">
        <v>898</v>
      </c>
      <c r="F140" s="13" t="s">
        <v>1137</v>
      </c>
      <c r="G140" s="13" t="s">
        <v>1284</v>
      </c>
      <c r="H140" s="13" t="s">
        <v>358</v>
      </c>
      <c r="I140" s="13" t="s">
        <v>1285</v>
      </c>
      <c r="M140" t="s">
        <v>2827</v>
      </c>
    </row>
    <row r="141" spans="1:13" ht="16.5" customHeight="1" x14ac:dyDescent="0.25">
      <c r="A141" s="6" t="s">
        <v>1796</v>
      </c>
      <c r="B141" s="7" t="s">
        <v>660</v>
      </c>
      <c r="C141" s="7" t="s">
        <v>1795</v>
      </c>
      <c r="D141" s="7" t="s">
        <v>662</v>
      </c>
      <c r="E141" s="7" t="s">
        <v>663</v>
      </c>
      <c r="F141" s="7" t="s">
        <v>951</v>
      </c>
      <c r="G141" s="7" t="s">
        <v>1794</v>
      </c>
      <c r="H141" s="7" t="s">
        <v>358</v>
      </c>
      <c r="I141" s="7" t="s">
        <v>1474</v>
      </c>
      <c r="M141" t="s">
        <v>2827</v>
      </c>
    </row>
    <row r="142" spans="1:13" ht="16.5" customHeight="1" x14ac:dyDescent="0.25">
      <c r="A142" s="12" t="s">
        <v>1799</v>
      </c>
      <c r="B142" s="13" t="s">
        <v>660</v>
      </c>
      <c r="C142" s="13" t="s">
        <v>1798</v>
      </c>
      <c r="D142" s="13" t="s">
        <v>662</v>
      </c>
      <c r="E142" s="13" t="s">
        <v>663</v>
      </c>
      <c r="F142" s="13" t="s">
        <v>1260</v>
      </c>
      <c r="G142" s="13" t="s">
        <v>1797</v>
      </c>
      <c r="H142" s="13" t="s">
        <v>358</v>
      </c>
      <c r="I142" s="13" t="s">
        <v>1478</v>
      </c>
      <c r="M142" t="s">
        <v>2827</v>
      </c>
    </row>
    <row r="143" spans="1:13" ht="16.5" customHeight="1" x14ac:dyDescent="0.25">
      <c r="A143" s="6" t="s">
        <v>1800</v>
      </c>
      <c r="B143" s="7" t="s">
        <v>660</v>
      </c>
      <c r="C143" s="7" t="s">
        <v>1271</v>
      </c>
      <c r="D143" s="7" t="s">
        <v>662</v>
      </c>
      <c r="E143" s="7" t="s">
        <v>663</v>
      </c>
      <c r="F143" s="7" t="s">
        <v>1801</v>
      </c>
      <c r="G143" s="7" t="s">
        <v>1272</v>
      </c>
      <c r="H143" s="7" t="s">
        <v>358</v>
      </c>
      <c r="I143" s="7" t="s">
        <v>951</v>
      </c>
      <c r="M143" t="s">
        <v>2827</v>
      </c>
    </row>
    <row r="144" spans="1:13" ht="16.5" customHeight="1" x14ac:dyDescent="0.25">
      <c r="A144" s="12" t="s">
        <v>1783</v>
      </c>
      <c r="B144" s="13" t="s">
        <v>660</v>
      </c>
      <c r="C144" s="13" t="s">
        <v>1781</v>
      </c>
      <c r="D144" s="13" t="s">
        <v>662</v>
      </c>
      <c r="E144" s="13" t="s">
        <v>663</v>
      </c>
      <c r="F144" s="13" t="s">
        <v>1784</v>
      </c>
      <c r="G144" s="13" t="s">
        <v>1780</v>
      </c>
      <c r="H144" s="13" t="s">
        <v>358</v>
      </c>
      <c r="I144" s="13" t="s">
        <v>1782</v>
      </c>
      <c r="M144" t="s">
        <v>2827</v>
      </c>
    </row>
    <row r="145" spans="1:13" ht="16.5" customHeight="1" x14ac:dyDescent="0.25">
      <c r="A145" s="6" t="s">
        <v>1787</v>
      </c>
      <c r="B145" s="7" t="s">
        <v>660</v>
      </c>
      <c r="C145" s="7" t="s">
        <v>1786</v>
      </c>
      <c r="D145" s="7" t="s">
        <v>662</v>
      </c>
      <c r="E145" s="7" t="s">
        <v>663</v>
      </c>
      <c r="F145" s="7" t="s">
        <v>1784</v>
      </c>
      <c r="G145" s="7" t="s">
        <v>1785</v>
      </c>
      <c r="H145" s="7" t="s">
        <v>358</v>
      </c>
      <c r="I145" s="7" t="s">
        <v>1782</v>
      </c>
      <c r="M145" t="s">
        <v>2827</v>
      </c>
    </row>
    <row r="146" spans="1:13" ht="16.5" customHeight="1" x14ac:dyDescent="0.25">
      <c r="A146" s="12" t="s">
        <v>1802</v>
      </c>
      <c r="B146" s="13" t="s">
        <v>660</v>
      </c>
      <c r="C146" s="13" t="s">
        <v>640</v>
      </c>
      <c r="D146" s="13" t="s">
        <v>662</v>
      </c>
      <c r="E146" s="13" t="s">
        <v>898</v>
      </c>
      <c r="F146" s="13" t="s">
        <v>1137</v>
      </c>
      <c r="G146" s="13" t="s">
        <v>1286</v>
      </c>
      <c r="H146" s="13" t="s">
        <v>358</v>
      </c>
      <c r="I146" s="13" t="s">
        <v>1199</v>
      </c>
      <c r="M146" t="s">
        <v>2827</v>
      </c>
    </row>
    <row r="147" spans="1:13" ht="17.25" customHeight="1" x14ac:dyDescent="0.25">
      <c r="A147" s="6" t="s">
        <v>1790</v>
      </c>
      <c r="B147" s="7" t="s">
        <v>660</v>
      </c>
      <c r="C147" s="7" t="s">
        <v>1789</v>
      </c>
      <c r="D147" s="7" t="s">
        <v>662</v>
      </c>
      <c r="E147" s="7" t="s">
        <v>663</v>
      </c>
      <c r="F147" s="7" t="s">
        <v>951</v>
      </c>
      <c r="G147" s="7" t="s">
        <v>1788</v>
      </c>
      <c r="H147" s="7" t="s">
        <v>358</v>
      </c>
      <c r="I147" s="7" t="s">
        <v>1474</v>
      </c>
      <c r="M147" t="s">
        <v>2827</v>
      </c>
    </row>
    <row r="148" spans="1:13" ht="16.5" customHeight="1" x14ac:dyDescent="0.25">
      <c r="A148" s="12" t="s">
        <v>1793</v>
      </c>
      <c r="B148" s="13" t="s">
        <v>660</v>
      </c>
      <c r="C148" s="13" t="s">
        <v>1792</v>
      </c>
      <c r="D148" s="13" t="s">
        <v>662</v>
      </c>
      <c r="E148" s="13" t="s">
        <v>663</v>
      </c>
      <c r="F148" s="13" t="s">
        <v>1140</v>
      </c>
      <c r="G148" s="13" t="s">
        <v>1791</v>
      </c>
      <c r="H148" s="13" t="s">
        <v>358</v>
      </c>
      <c r="I148" s="13" t="s">
        <v>1478</v>
      </c>
      <c r="M148" t="s">
        <v>2827</v>
      </c>
    </row>
    <row r="149" spans="1:13" ht="16.5" customHeight="1" x14ac:dyDescent="0.25">
      <c r="A149" s="6" t="s">
        <v>1131</v>
      </c>
      <c r="B149" s="7" t="s">
        <v>660</v>
      </c>
      <c r="C149" s="7" t="s">
        <v>1129</v>
      </c>
      <c r="D149" s="7" t="s">
        <v>662</v>
      </c>
      <c r="E149" s="7" t="s">
        <v>663</v>
      </c>
      <c r="F149" s="7" t="s">
        <v>1132</v>
      </c>
      <c r="G149" s="7" t="s">
        <v>1128</v>
      </c>
      <c r="H149" s="7" t="s">
        <v>469</v>
      </c>
      <c r="I149" s="7" t="s">
        <v>1130</v>
      </c>
      <c r="M149" t="s">
        <v>2827</v>
      </c>
    </row>
    <row r="150" spans="1:13" ht="16.5" customHeight="1" x14ac:dyDescent="0.25">
      <c r="A150" s="12" t="s">
        <v>1134</v>
      </c>
      <c r="B150" s="13" t="s">
        <v>660</v>
      </c>
      <c r="C150" s="13" t="s">
        <v>212</v>
      </c>
      <c r="D150" s="13" t="s">
        <v>662</v>
      </c>
      <c r="E150" s="13" t="s">
        <v>663</v>
      </c>
      <c r="F150" s="13" t="s">
        <v>1130</v>
      </c>
      <c r="G150" s="13" t="s">
        <v>1133</v>
      </c>
      <c r="H150" s="13" t="s">
        <v>469</v>
      </c>
      <c r="I150" s="13" t="s">
        <v>1130</v>
      </c>
      <c r="M150" t="s">
        <v>2827</v>
      </c>
    </row>
    <row r="151" spans="1:13" ht="16.5" customHeight="1" x14ac:dyDescent="0.25">
      <c r="A151" s="6" t="s">
        <v>1136</v>
      </c>
      <c r="B151" s="7" t="s">
        <v>660</v>
      </c>
      <c r="C151" s="7" t="s">
        <v>212</v>
      </c>
      <c r="D151" s="7" t="s">
        <v>662</v>
      </c>
      <c r="E151" s="7" t="s">
        <v>663</v>
      </c>
      <c r="F151" s="7" t="s">
        <v>1137</v>
      </c>
      <c r="G151" s="7" t="s">
        <v>1135</v>
      </c>
      <c r="H151" s="7" t="s">
        <v>469</v>
      </c>
      <c r="I151" s="7" t="s">
        <v>951</v>
      </c>
      <c r="M151" t="s">
        <v>2827</v>
      </c>
    </row>
    <row r="152" spans="1:13" ht="16.5" customHeight="1" x14ac:dyDescent="0.25">
      <c r="A152" s="12" t="s">
        <v>1145</v>
      </c>
      <c r="B152" s="13" t="s">
        <v>660</v>
      </c>
      <c r="C152" s="13" t="s">
        <v>1143</v>
      </c>
      <c r="D152" s="13" t="s">
        <v>662</v>
      </c>
      <c r="E152" s="13" t="s">
        <v>663</v>
      </c>
      <c r="F152" s="13" t="s">
        <v>1144</v>
      </c>
      <c r="G152" s="13" t="s">
        <v>1142</v>
      </c>
      <c r="H152" s="13" t="s">
        <v>469</v>
      </c>
      <c r="I152" s="13" t="s">
        <v>1144</v>
      </c>
      <c r="M152" t="s">
        <v>2827</v>
      </c>
    </row>
    <row r="153" spans="1:13" ht="16.5" customHeight="1" x14ac:dyDescent="0.25">
      <c r="A153" s="6" t="s">
        <v>1141</v>
      </c>
      <c r="B153" s="7" t="s">
        <v>660</v>
      </c>
      <c r="C153" s="7" t="s">
        <v>1139</v>
      </c>
      <c r="D153" s="7" t="s">
        <v>662</v>
      </c>
      <c r="E153" s="7" t="s">
        <v>663</v>
      </c>
      <c r="F153" s="7" t="s">
        <v>1140</v>
      </c>
      <c r="G153" s="7" t="s">
        <v>1138</v>
      </c>
      <c r="H153" s="7" t="s">
        <v>469</v>
      </c>
      <c r="I153" s="7" t="s">
        <v>1140</v>
      </c>
      <c r="M153" t="s">
        <v>2827</v>
      </c>
    </row>
    <row r="154" spans="1:13" ht="6.75" customHeight="1" x14ac:dyDescent="0.25"/>
    <row r="155" spans="1:13" ht="0.75" customHeight="1" x14ac:dyDescent="0.25">
      <c r="F155" s="35" t="s">
        <v>1</v>
      </c>
      <c r="G155" s="35"/>
      <c r="H155" s="35"/>
    </row>
    <row r="156" spans="1:13" ht="11.25" customHeight="1" x14ac:dyDescent="0.25">
      <c r="A156" s="36" t="s">
        <v>637</v>
      </c>
      <c r="B156" s="36"/>
      <c r="C156" s="36"/>
      <c r="D156" s="36"/>
      <c r="F156" s="35"/>
      <c r="G156" s="35"/>
      <c r="H156" s="35"/>
    </row>
    <row r="157" spans="1:13" ht="0.75" customHeight="1" x14ac:dyDescent="0.25">
      <c r="A157" s="36"/>
      <c r="B157" s="36"/>
      <c r="C157" s="36"/>
      <c r="D157" s="36"/>
    </row>
  </sheetData>
  <mergeCells count="13">
    <mergeCell ref="F155:H156"/>
    <mergeCell ref="A156:D157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&amp;C4K911 LEFT SIDE RAIL^JB70_A.1</oddHeader>
    <oddFooter>&amp;L&amp;D&amp;CPage &amp;P of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D507AE-F9FC-4F16-856F-0661AE04D2AC}">
  <sheetPr>
    <pageSetUpPr fitToPage="1"/>
  </sheetPr>
  <dimension ref="A1:M66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13" ht="18" customHeight="1" x14ac:dyDescent="0.25">
      <c r="A1" s="37" t="s">
        <v>255</v>
      </c>
      <c r="B1" s="37"/>
      <c r="C1" s="37"/>
      <c r="D1" s="37"/>
    </row>
    <row r="2" spans="1:13" ht="12" customHeight="1" x14ac:dyDescent="0.25">
      <c r="A2" s="38"/>
      <c r="B2" s="38"/>
      <c r="C2" s="38"/>
      <c r="D2" s="38"/>
    </row>
    <row r="3" spans="1:13" ht="12.75" customHeight="1" x14ac:dyDescent="0.25">
      <c r="A3" s="2" t="s">
        <v>2</v>
      </c>
      <c r="B3" s="39" t="s">
        <v>3</v>
      </c>
      <c r="C3" s="39"/>
      <c r="D3" s="39"/>
    </row>
    <row r="4" spans="1:13" ht="12" customHeight="1" x14ac:dyDescent="0.25">
      <c r="A4" s="2" t="s">
        <v>5</v>
      </c>
      <c r="B4" s="39" t="s">
        <v>6</v>
      </c>
      <c r="C4" s="39"/>
      <c r="D4" s="39"/>
    </row>
    <row r="5" spans="1:13" ht="12.75" customHeight="1" x14ac:dyDescent="0.25">
      <c r="A5" s="2" t="s">
        <v>7</v>
      </c>
      <c r="B5" s="39" t="s">
        <v>8</v>
      </c>
      <c r="C5" s="39"/>
      <c r="D5" s="39"/>
    </row>
    <row r="6" spans="1:13" ht="5.25" customHeight="1" x14ac:dyDescent="0.25"/>
    <row r="7" spans="1:13" ht="12" customHeight="1" x14ac:dyDescent="0.25">
      <c r="A7" s="2" t="s">
        <v>9</v>
      </c>
      <c r="B7" s="39" t="s">
        <v>10</v>
      </c>
      <c r="C7" s="39"/>
      <c r="D7" s="39"/>
    </row>
    <row r="8" spans="1:13" ht="12.75" customHeight="1" x14ac:dyDescent="0.25">
      <c r="A8" s="2" t="s">
        <v>11</v>
      </c>
      <c r="B8" s="39" t="s">
        <v>12</v>
      </c>
      <c r="C8" s="39"/>
      <c r="D8" s="39"/>
    </row>
    <row r="9" spans="1:13" ht="12" customHeight="1" x14ac:dyDescent="0.25">
      <c r="A9" s="2" t="s">
        <v>13</v>
      </c>
      <c r="B9" s="39"/>
      <c r="C9" s="39"/>
      <c r="D9" s="39"/>
    </row>
    <row r="10" spans="1:13" ht="12.75" customHeight="1" x14ac:dyDescent="0.25">
      <c r="A10" s="2" t="s">
        <v>11</v>
      </c>
      <c r="B10" s="39"/>
      <c r="C10" s="39"/>
      <c r="D10" s="39"/>
    </row>
    <row r="11" spans="1:13" ht="10.5" customHeight="1" x14ac:dyDescent="0.25"/>
    <row r="12" spans="1:13" ht="16.5" customHeight="1" x14ac:dyDescent="0.25">
      <c r="A12" s="40" t="s">
        <v>630</v>
      </c>
      <c r="B12" s="40"/>
      <c r="C12" s="40"/>
      <c r="D12" s="40"/>
      <c r="E12" s="40"/>
      <c r="F12" s="40"/>
      <c r="G12" s="41" t="s">
        <v>631</v>
      </c>
      <c r="H12" s="41"/>
      <c r="I12" s="41"/>
    </row>
    <row r="13" spans="1:13" ht="43.5" customHeight="1" x14ac:dyDescent="0.25">
      <c r="A13" s="10" t="s">
        <v>14</v>
      </c>
      <c r="B13" s="11" t="s">
        <v>632</v>
      </c>
      <c r="C13" s="11" t="s">
        <v>634</v>
      </c>
      <c r="D13" s="11" t="s">
        <v>633</v>
      </c>
      <c r="E13" s="11" t="s">
        <v>635</v>
      </c>
      <c r="F13" s="11" t="s">
        <v>636</v>
      </c>
      <c r="G13" s="11" t="s">
        <v>14</v>
      </c>
      <c r="H13" s="11" t="s">
        <v>17</v>
      </c>
      <c r="I13" s="11" t="s">
        <v>636</v>
      </c>
    </row>
    <row r="14" spans="1:13" ht="16.5" customHeight="1" x14ac:dyDescent="0.25">
      <c r="A14" s="6" t="s">
        <v>1948</v>
      </c>
      <c r="B14" s="7" t="s">
        <v>639</v>
      </c>
      <c r="C14" s="7" t="s">
        <v>640</v>
      </c>
      <c r="D14" s="7" t="s">
        <v>641</v>
      </c>
      <c r="E14" s="7" t="s">
        <v>642</v>
      </c>
      <c r="F14" s="7" t="s">
        <v>1949</v>
      </c>
      <c r="G14" s="7" t="s">
        <v>1950</v>
      </c>
      <c r="H14" s="7" t="s">
        <v>255</v>
      </c>
      <c r="I14" s="7" t="s">
        <v>1949</v>
      </c>
      <c r="M14" t="s">
        <v>2827</v>
      </c>
    </row>
    <row r="15" spans="1:13" ht="16.5" customHeight="1" x14ac:dyDescent="0.25">
      <c r="A15" s="12" t="s">
        <v>1951</v>
      </c>
      <c r="B15" s="13" t="s">
        <v>660</v>
      </c>
      <c r="C15" s="13" t="s">
        <v>1952</v>
      </c>
      <c r="D15" s="13" t="s">
        <v>865</v>
      </c>
      <c r="E15" s="13" t="s">
        <v>663</v>
      </c>
      <c r="F15" s="13" t="s">
        <v>1953</v>
      </c>
      <c r="G15" s="13" t="s">
        <v>1954</v>
      </c>
      <c r="H15" s="13" t="s">
        <v>255</v>
      </c>
      <c r="I15" s="13" t="s">
        <v>1953</v>
      </c>
      <c r="M15" t="s">
        <v>2827</v>
      </c>
    </row>
    <row r="16" spans="1:13" ht="16.5" customHeight="1" x14ac:dyDescent="0.25">
      <c r="A16" s="6" t="s">
        <v>1955</v>
      </c>
      <c r="B16" s="7" t="s">
        <v>660</v>
      </c>
      <c r="C16" s="7" t="s">
        <v>640</v>
      </c>
      <c r="D16" s="7" t="s">
        <v>662</v>
      </c>
      <c r="E16" s="7" t="s">
        <v>673</v>
      </c>
      <c r="F16" s="7" t="s">
        <v>1956</v>
      </c>
      <c r="G16" s="7" t="s">
        <v>1950</v>
      </c>
      <c r="H16" s="7" t="s">
        <v>255</v>
      </c>
      <c r="I16" s="7" t="s">
        <v>1949</v>
      </c>
      <c r="M16" t="s">
        <v>2827</v>
      </c>
    </row>
    <row r="17" spans="1:13" ht="16.5" customHeight="1" x14ac:dyDescent="0.25">
      <c r="A17" s="12" t="s">
        <v>1957</v>
      </c>
      <c r="B17" s="13" t="s">
        <v>660</v>
      </c>
      <c r="C17" s="13" t="s">
        <v>676</v>
      </c>
      <c r="D17" s="14"/>
      <c r="E17" s="14"/>
      <c r="F17" s="13" t="s">
        <v>1956</v>
      </c>
      <c r="G17" s="13" t="s">
        <v>1958</v>
      </c>
      <c r="H17" s="13" t="s">
        <v>255</v>
      </c>
      <c r="I17" s="13" t="s">
        <v>1959</v>
      </c>
      <c r="M17" t="s">
        <v>2827</v>
      </c>
    </row>
    <row r="18" spans="1:13" ht="16.5" customHeight="1" x14ac:dyDescent="0.25">
      <c r="A18" s="6" t="s">
        <v>1960</v>
      </c>
      <c r="B18" s="7" t="s">
        <v>660</v>
      </c>
      <c r="C18" s="7" t="s">
        <v>676</v>
      </c>
      <c r="D18" s="5"/>
      <c r="E18" s="5"/>
      <c r="F18" s="7" t="s">
        <v>1956</v>
      </c>
      <c r="G18" s="7" t="s">
        <v>1961</v>
      </c>
      <c r="H18" s="7" t="s">
        <v>255</v>
      </c>
      <c r="I18" s="7" t="s">
        <v>1962</v>
      </c>
      <c r="M18" t="s">
        <v>2827</v>
      </c>
    </row>
    <row r="19" spans="1:13" ht="16.5" customHeight="1" x14ac:dyDescent="0.25">
      <c r="A19" s="12" t="s">
        <v>1963</v>
      </c>
      <c r="B19" s="13" t="s">
        <v>660</v>
      </c>
      <c r="C19" s="13" t="s">
        <v>266</v>
      </c>
      <c r="D19" s="13" t="s">
        <v>662</v>
      </c>
      <c r="E19" s="13" t="s">
        <v>673</v>
      </c>
      <c r="F19" s="13" t="s">
        <v>1956</v>
      </c>
      <c r="G19" s="13" t="s">
        <v>1964</v>
      </c>
      <c r="H19" s="13" t="s">
        <v>255</v>
      </c>
      <c r="I19" s="13" t="s">
        <v>1949</v>
      </c>
      <c r="M19" t="s">
        <v>2827</v>
      </c>
    </row>
    <row r="20" spans="1:13" ht="16.5" customHeight="1" x14ac:dyDescent="0.25">
      <c r="A20" s="6" t="s">
        <v>1965</v>
      </c>
      <c r="B20" s="7" t="s">
        <v>660</v>
      </c>
      <c r="C20" s="7" t="s">
        <v>1966</v>
      </c>
      <c r="D20" s="7" t="s">
        <v>662</v>
      </c>
      <c r="E20" s="7" t="s">
        <v>663</v>
      </c>
      <c r="F20" s="7" t="s">
        <v>1967</v>
      </c>
      <c r="G20" s="7" t="s">
        <v>1968</v>
      </c>
      <c r="H20" s="7" t="s">
        <v>255</v>
      </c>
      <c r="I20" s="7" t="s">
        <v>1967</v>
      </c>
      <c r="M20" t="s">
        <v>2827</v>
      </c>
    </row>
    <row r="21" spans="1:13" ht="16.5" customHeight="1" x14ac:dyDescent="0.25">
      <c r="A21" s="12" t="s">
        <v>1969</v>
      </c>
      <c r="B21" s="13" t="s">
        <v>660</v>
      </c>
      <c r="C21" s="13" t="s">
        <v>1970</v>
      </c>
      <c r="D21" s="13" t="s">
        <v>662</v>
      </c>
      <c r="E21" s="13" t="s">
        <v>663</v>
      </c>
      <c r="F21" s="13" t="s">
        <v>1967</v>
      </c>
      <c r="G21" s="13" t="s">
        <v>1971</v>
      </c>
      <c r="H21" s="13" t="s">
        <v>255</v>
      </c>
      <c r="I21" s="13" t="s">
        <v>1967</v>
      </c>
      <c r="M21" t="s">
        <v>2827</v>
      </c>
    </row>
    <row r="22" spans="1:13" ht="17.25" customHeight="1" x14ac:dyDescent="0.25">
      <c r="A22" s="6" t="s">
        <v>1972</v>
      </c>
      <c r="B22" s="7" t="s">
        <v>660</v>
      </c>
      <c r="C22" s="7" t="s">
        <v>1973</v>
      </c>
      <c r="D22" s="7" t="s">
        <v>662</v>
      </c>
      <c r="E22" s="7" t="s">
        <v>663</v>
      </c>
      <c r="F22" s="7" t="s">
        <v>1959</v>
      </c>
      <c r="G22" s="7" t="s">
        <v>1974</v>
      </c>
      <c r="H22" s="7" t="s">
        <v>255</v>
      </c>
      <c r="I22" s="7" t="s">
        <v>1959</v>
      </c>
      <c r="M22" t="s">
        <v>2827</v>
      </c>
    </row>
    <row r="23" spans="1:13" ht="16.5" customHeight="1" x14ac:dyDescent="0.25">
      <c r="A23" s="12" t="s">
        <v>1972</v>
      </c>
      <c r="B23" s="13" t="s">
        <v>660</v>
      </c>
      <c r="C23" s="13" t="s">
        <v>1975</v>
      </c>
      <c r="D23" s="13" t="s">
        <v>662</v>
      </c>
      <c r="E23" s="13" t="s">
        <v>663</v>
      </c>
      <c r="F23" s="13" t="s">
        <v>1959</v>
      </c>
      <c r="G23" s="13" t="s">
        <v>1976</v>
      </c>
      <c r="H23" s="13" t="s">
        <v>255</v>
      </c>
      <c r="I23" s="13" t="s">
        <v>1962</v>
      </c>
      <c r="M23" t="s">
        <v>2827</v>
      </c>
    </row>
    <row r="24" spans="1:13" ht="16.5" customHeight="1" x14ac:dyDescent="0.25">
      <c r="A24" s="6" t="s">
        <v>1977</v>
      </c>
      <c r="B24" s="7" t="s">
        <v>660</v>
      </c>
      <c r="C24" s="7" t="s">
        <v>676</v>
      </c>
      <c r="D24" s="5"/>
      <c r="E24" s="5"/>
      <c r="F24" s="7" t="s">
        <v>1959</v>
      </c>
      <c r="G24" s="7" t="s">
        <v>1978</v>
      </c>
      <c r="H24" s="7" t="s">
        <v>255</v>
      </c>
      <c r="I24" s="7" t="s">
        <v>1959</v>
      </c>
      <c r="M24" t="s">
        <v>2827</v>
      </c>
    </row>
    <row r="25" spans="1:13" ht="16.5" customHeight="1" x14ac:dyDescent="0.25">
      <c r="A25" s="12" t="s">
        <v>1979</v>
      </c>
      <c r="B25" s="13" t="s">
        <v>660</v>
      </c>
      <c r="C25" s="13" t="s">
        <v>1980</v>
      </c>
      <c r="D25" s="13" t="s">
        <v>662</v>
      </c>
      <c r="E25" s="13" t="s">
        <v>663</v>
      </c>
      <c r="F25" s="13" t="s">
        <v>1959</v>
      </c>
      <c r="G25" s="13" t="s">
        <v>1981</v>
      </c>
      <c r="H25" s="13" t="s">
        <v>255</v>
      </c>
      <c r="I25" s="13" t="s">
        <v>1959</v>
      </c>
      <c r="M25" t="s">
        <v>2827</v>
      </c>
    </row>
    <row r="26" spans="1:13" ht="16.5" customHeight="1" x14ac:dyDescent="0.25">
      <c r="A26" s="6" t="s">
        <v>1979</v>
      </c>
      <c r="B26" s="7" t="s">
        <v>660</v>
      </c>
      <c r="C26" s="7" t="s">
        <v>1982</v>
      </c>
      <c r="D26" s="7" t="s">
        <v>662</v>
      </c>
      <c r="E26" s="7" t="s">
        <v>663</v>
      </c>
      <c r="F26" s="7" t="s">
        <v>1959</v>
      </c>
      <c r="G26" s="7" t="s">
        <v>1983</v>
      </c>
      <c r="H26" s="7" t="s">
        <v>255</v>
      </c>
      <c r="I26" s="7" t="s">
        <v>1962</v>
      </c>
      <c r="M26" t="s">
        <v>2827</v>
      </c>
    </row>
    <row r="27" spans="1:13" ht="16.5" customHeight="1" x14ac:dyDescent="0.25">
      <c r="A27" s="12" t="s">
        <v>1976</v>
      </c>
      <c r="B27" s="13" t="s">
        <v>660</v>
      </c>
      <c r="C27" s="13" t="s">
        <v>640</v>
      </c>
      <c r="D27" s="13" t="s">
        <v>662</v>
      </c>
      <c r="E27" s="13" t="s">
        <v>673</v>
      </c>
      <c r="F27" s="13" t="s">
        <v>1962</v>
      </c>
      <c r="G27" s="13" t="s">
        <v>1948</v>
      </c>
      <c r="H27" s="13" t="s">
        <v>255</v>
      </c>
      <c r="I27" s="13" t="s">
        <v>1949</v>
      </c>
      <c r="M27" t="s">
        <v>2827</v>
      </c>
    </row>
    <row r="28" spans="1:13" ht="16.5" customHeight="1" x14ac:dyDescent="0.25">
      <c r="A28" s="6" t="s">
        <v>1983</v>
      </c>
      <c r="B28" s="7" t="s">
        <v>660</v>
      </c>
      <c r="C28" s="7" t="s">
        <v>265</v>
      </c>
      <c r="D28" s="7" t="s">
        <v>662</v>
      </c>
      <c r="E28" s="7" t="s">
        <v>673</v>
      </c>
      <c r="F28" s="7" t="s">
        <v>1962</v>
      </c>
      <c r="G28" s="7" t="s">
        <v>1984</v>
      </c>
      <c r="H28" s="7" t="s">
        <v>255</v>
      </c>
      <c r="I28" s="7" t="s">
        <v>1949</v>
      </c>
      <c r="M28" t="s">
        <v>2827</v>
      </c>
    </row>
    <row r="29" spans="1:13" ht="16.5" customHeight="1" x14ac:dyDescent="0.25">
      <c r="A29" s="12" t="s">
        <v>1985</v>
      </c>
      <c r="B29" s="13" t="s">
        <v>660</v>
      </c>
      <c r="C29" s="13" t="s">
        <v>267</v>
      </c>
      <c r="D29" s="13" t="s">
        <v>662</v>
      </c>
      <c r="E29" s="13" t="s">
        <v>673</v>
      </c>
      <c r="F29" s="13" t="s">
        <v>1949</v>
      </c>
      <c r="G29" s="13" t="s">
        <v>1986</v>
      </c>
      <c r="H29" s="13" t="s">
        <v>255</v>
      </c>
      <c r="I29" s="13" t="s">
        <v>1949</v>
      </c>
      <c r="M29" t="s">
        <v>2827</v>
      </c>
    </row>
    <row r="30" spans="1:13" ht="16.5" customHeight="1" x14ac:dyDescent="0.25">
      <c r="A30" s="6" t="s">
        <v>1987</v>
      </c>
      <c r="B30" s="7" t="s">
        <v>660</v>
      </c>
      <c r="C30" s="7" t="s">
        <v>267</v>
      </c>
      <c r="D30" s="7" t="s">
        <v>662</v>
      </c>
      <c r="E30" s="7" t="s">
        <v>673</v>
      </c>
      <c r="F30" s="7" t="s">
        <v>1988</v>
      </c>
      <c r="G30" s="7" t="s">
        <v>1989</v>
      </c>
      <c r="H30" s="7" t="s">
        <v>255</v>
      </c>
      <c r="I30" s="7" t="s">
        <v>1988</v>
      </c>
      <c r="M30" t="s">
        <v>2827</v>
      </c>
    </row>
    <row r="31" spans="1:13" ht="16.5" customHeight="1" x14ac:dyDescent="0.25">
      <c r="A31" s="12" t="s">
        <v>1989</v>
      </c>
      <c r="B31" s="13" t="s">
        <v>660</v>
      </c>
      <c r="C31" s="13" t="s">
        <v>267</v>
      </c>
      <c r="D31" s="13" t="s">
        <v>662</v>
      </c>
      <c r="E31" s="13" t="s">
        <v>673</v>
      </c>
      <c r="F31" s="13" t="s">
        <v>1988</v>
      </c>
      <c r="G31" s="13" t="s">
        <v>1990</v>
      </c>
      <c r="H31" s="13" t="s">
        <v>255</v>
      </c>
      <c r="I31" s="13" t="s">
        <v>1988</v>
      </c>
      <c r="M31" t="s">
        <v>2827</v>
      </c>
    </row>
    <row r="32" spans="1:13" ht="16.5" customHeight="1" x14ac:dyDescent="0.25">
      <c r="A32" s="6" t="s">
        <v>1990</v>
      </c>
      <c r="B32" s="7" t="s">
        <v>660</v>
      </c>
      <c r="C32" s="7" t="s">
        <v>267</v>
      </c>
      <c r="D32" s="7" t="s">
        <v>662</v>
      </c>
      <c r="E32" s="7" t="s">
        <v>673</v>
      </c>
      <c r="F32" s="7" t="s">
        <v>1988</v>
      </c>
      <c r="G32" s="7" t="s">
        <v>1991</v>
      </c>
      <c r="H32" s="7" t="s">
        <v>255</v>
      </c>
      <c r="I32" s="7" t="s">
        <v>1992</v>
      </c>
      <c r="M32" t="s">
        <v>2827</v>
      </c>
    </row>
    <row r="33" spans="1:13" ht="16.5" customHeight="1" x14ac:dyDescent="0.25">
      <c r="A33" s="12" t="s">
        <v>1993</v>
      </c>
      <c r="B33" s="13" t="s">
        <v>660</v>
      </c>
      <c r="C33" s="13" t="s">
        <v>1994</v>
      </c>
      <c r="D33" s="13" t="s">
        <v>662</v>
      </c>
      <c r="E33" s="13" t="s">
        <v>663</v>
      </c>
      <c r="F33" s="13" t="s">
        <v>1995</v>
      </c>
      <c r="G33" s="13" t="s">
        <v>1996</v>
      </c>
      <c r="H33" s="13" t="s">
        <v>34</v>
      </c>
      <c r="I33" s="13" t="s">
        <v>1997</v>
      </c>
      <c r="M33" t="s">
        <v>2827</v>
      </c>
    </row>
    <row r="34" spans="1:13" ht="16.5" customHeight="1" x14ac:dyDescent="0.25">
      <c r="A34" s="6" t="s">
        <v>1998</v>
      </c>
      <c r="B34" s="7" t="s">
        <v>660</v>
      </c>
      <c r="C34" s="7" t="s">
        <v>1999</v>
      </c>
      <c r="D34" s="7" t="s">
        <v>662</v>
      </c>
      <c r="E34" s="7" t="s">
        <v>663</v>
      </c>
      <c r="F34" s="7" t="s">
        <v>2000</v>
      </c>
      <c r="G34" s="7" t="s">
        <v>2001</v>
      </c>
      <c r="H34" s="7" t="s">
        <v>34</v>
      </c>
      <c r="I34" s="7" t="s">
        <v>2002</v>
      </c>
      <c r="M34" t="s">
        <v>2827</v>
      </c>
    </row>
    <row r="35" spans="1:13" ht="17.25" customHeight="1" x14ac:dyDescent="0.25">
      <c r="A35" s="12" t="s">
        <v>2003</v>
      </c>
      <c r="B35" s="13" t="s">
        <v>660</v>
      </c>
      <c r="C35" s="13" t="s">
        <v>2004</v>
      </c>
      <c r="D35" s="13" t="s">
        <v>662</v>
      </c>
      <c r="E35" s="13" t="s">
        <v>663</v>
      </c>
      <c r="F35" s="13" t="s">
        <v>1995</v>
      </c>
      <c r="G35" s="13" t="s">
        <v>2005</v>
      </c>
      <c r="H35" s="13" t="s">
        <v>34</v>
      </c>
      <c r="I35" s="13" t="s">
        <v>1997</v>
      </c>
      <c r="M35" t="s">
        <v>2827</v>
      </c>
    </row>
    <row r="36" spans="1:13" ht="16.5" customHeight="1" x14ac:dyDescent="0.25">
      <c r="A36" s="6" t="s">
        <v>2006</v>
      </c>
      <c r="B36" s="7" t="s">
        <v>660</v>
      </c>
      <c r="C36" s="7" t="s">
        <v>2007</v>
      </c>
      <c r="D36" s="7" t="s">
        <v>662</v>
      </c>
      <c r="E36" s="7" t="s">
        <v>663</v>
      </c>
      <c r="F36" s="7" t="s">
        <v>2008</v>
      </c>
      <c r="G36" s="7" t="s">
        <v>2009</v>
      </c>
      <c r="H36" s="7" t="s">
        <v>34</v>
      </c>
      <c r="I36" s="7" t="s">
        <v>2010</v>
      </c>
      <c r="M36" t="s">
        <v>2827</v>
      </c>
    </row>
    <row r="37" spans="1:13" ht="16.5" customHeight="1" x14ac:dyDescent="0.25">
      <c r="A37" s="12" t="s">
        <v>2011</v>
      </c>
      <c r="B37" s="13" t="s">
        <v>660</v>
      </c>
      <c r="C37" s="13" t="s">
        <v>2012</v>
      </c>
      <c r="D37" s="13" t="s">
        <v>662</v>
      </c>
      <c r="E37" s="13" t="s">
        <v>663</v>
      </c>
      <c r="F37" s="13" t="s">
        <v>2013</v>
      </c>
      <c r="G37" s="13" t="s">
        <v>2014</v>
      </c>
      <c r="H37" s="13" t="s">
        <v>34</v>
      </c>
      <c r="I37" s="13" t="s">
        <v>2015</v>
      </c>
      <c r="M37" t="s">
        <v>2827</v>
      </c>
    </row>
    <row r="38" spans="1:13" ht="16.5" customHeight="1" x14ac:dyDescent="0.25">
      <c r="A38" s="6" t="s">
        <v>2016</v>
      </c>
      <c r="B38" s="7" t="s">
        <v>660</v>
      </c>
      <c r="C38" s="7" t="s">
        <v>2017</v>
      </c>
      <c r="D38" s="7" t="s">
        <v>662</v>
      </c>
      <c r="E38" s="7" t="s">
        <v>663</v>
      </c>
      <c r="F38" s="7" t="s">
        <v>1995</v>
      </c>
      <c r="G38" s="7" t="s">
        <v>2018</v>
      </c>
      <c r="H38" s="7" t="s">
        <v>34</v>
      </c>
      <c r="I38" s="7" t="s">
        <v>1997</v>
      </c>
      <c r="M38" t="s">
        <v>2827</v>
      </c>
    </row>
    <row r="39" spans="1:13" ht="16.5" customHeight="1" x14ac:dyDescent="0.25">
      <c r="A39" s="12" t="s">
        <v>2019</v>
      </c>
      <c r="B39" s="13" t="s">
        <v>660</v>
      </c>
      <c r="C39" s="13" t="s">
        <v>2020</v>
      </c>
      <c r="D39" s="13" t="s">
        <v>662</v>
      </c>
      <c r="E39" s="13" t="s">
        <v>663</v>
      </c>
      <c r="F39" s="13" t="s">
        <v>2000</v>
      </c>
      <c r="G39" s="13" t="s">
        <v>2021</v>
      </c>
      <c r="H39" s="13" t="s">
        <v>34</v>
      </c>
      <c r="I39" s="13" t="s">
        <v>2022</v>
      </c>
      <c r="M39" t="s">
        <v>2827</v>
      </c>
    </row>
    <row r="40" spans="1:13" ht="16.5" customHeight="1" x14ac:dyDescent="0.25">
      <c r="A40" s="6" t="s">
        <v>2023</v>
      </c>
      <c r="B40" s="7" t="s">
        <v>660</v>
      </c>
      <c r="C40" s="7" t="s">
        <v>2024</v>
      </c>
      <c r="D40" s="7" t="s">
        <v>662</v>
      </c>
      <c r="E40" s="7" t="s">
        <v>663</v>
      </c>
      <c r="F40" s="7" t="s">
        <v>1995</v>
      </c>
      <c r="G40" s="7" t="s">
        <v>2025</v>
      </c>
      <c r="H40" s="7" t="s">
        <v>34</v>
      </c>
      <c r="I40" s="7" t="s">
        <v>1997</v>
      </c>
      <c r="M40" t="s">
        <v>2827</v>
      </c>
    </row>
    <row r="41" spans="1:13" ht="16.5" customHeight="1" x14ac:dyDescent="0.25">
      <c r="A41" s="12" t="s">
        <v>2026</v>
      </c>
      <c r="B41" s="13" t="s">
        <v>660</v>
      </c>
      <c r="C41" s="13" t="s">
        <v>2027</v>
      </c>
      <c r="D41" s="13" t="s">
        <v>662</v>
      </c>
      <c r="E41" s="13" t="s">
        <v>663</v>
      </c>
      <c r="F41" s="13" t="s">
        <v>2008</v>
      </c>
      <c r="G41" s="13" t="s">
        <v>2028</v>
      </c>
      <c r="H41" s="13" t="s">
        <v>34</v>
      </c>
      <c r="I41" s="13" t="s">
        <v>2010</v>
      </c>
      <c r="M41" t="s">
        <v>2827</v>
      </c>
    </row>
    <row r="42" spans="1:13" ht="16.5" customHeight="1" x14ac:dyDescent="0.25">
      <c r="A42" s="6" t="s">
        <v>2029</v>
      </c>
      <c r="B42" s="7" t="s">
        <v>660</v>
      </c>
      <c r="C42" s="7" t="s">
        <v>2030</v>
      </c>
      <c r="D42" s="7" t="s">
        <v>662</v>
      </c>
      <c r="E42" s="7" t="s">
        <v>663</v>
      </c>
      <c r="F42" s="7" t="s">
        <v>2013</v>
      </c>
      <c r="G42" s="7" t="s">
        <v>2031</v>
      </c>
      <c r="H42" s="7" t="s">
        <v>34</v>
      </c>
      <c r="I42" s="7" t="s">
        <v>2032</v>
      </c>
      <c r="M42" t="s">
        <v>2827</v>
      </c>
    </row>
    <row r="43" spans="1:13" ht="16.5" customHeight="1" x14ac:dyDescent="0.25">
      <c r="A43" s="12" t="s">
        <v>2033</v>
      </c>
      <c r="B43" s="13" t="s">
        <v>660</v>
      </c>
      <c r="C43" s="13" t="s">
        <v>2034</v>
      </c>
      <c r="D43" s="13" t="s">
        <v>662</v>
      </c>
      <c r="E43" s="13" t="s">
        <v>663</v>
      </c>
      <c r="F43" s="13" t="s">
        <v>2035</v>
      </c>
      <c r="G43" s="13" t="s">
        <v>2036</v>
      </c>
      <c r="H43" s="13" t="s">
        <v>34</v>
      </c>
      <c r="I43" s="13" t="s">
        <v>2037</v>
      </c>
      <c r="M43" t="s">
        <v>2827</v>
      </c>
    </row>
    <row r="44" spans="1:13" ht="16.5" customHeight="1" x14ac:dyDescent="0.25">
      <c r="A44" s="6" t="s">
        <v>2038</v>
      </c>
      <c r="B44" s="7" t="s">
        <v>660</v>
      </c>
      <c r="C44" s="7" t="s">
        <v>2039</v>
      </c>
      <c r="D44" s="7" t="s">
        <v>662</v>
      </c>
      <c r="E44" s="7" t="s">
        <v>663</v>
      </c>
      <c r="F44" s="7" t="s">
        <v>2035</v>
      </c>
      <c r="G44" s="7" t="s">
        <v>2040</v>
      </c>
      <c r="H44" s="7" t="s">
        <v>34</v>
      </c>
      <c r="I44" s="7" t="s">
        <v>2037</v>
      </c>
      <c r="M44" t="s">
        <v>2827</v>
      </c>
    </row>
    <row r="45" spans="1:13" ht="16.5" customHeight="1" x14ac:dyDescent="0.25">
      <c r="A45" s="12" t="s">
        <v>2041</v>
      </c>
      <c r="B45" s="13" t="s">
        <v>660</v>
      </c>
      <c r="C45" s="13" t="s">
        <v>2042</v>
      </c>
      <c r="D45" s="13" t="s">
        <v>662</v>
      </c>
      <c r="E45" s="13" t="s">
        <v>663</v>
      </c>
      <c r="F45" s="13" t="s">
        <v>2043</v>
      </c>
      <c r="G45" s="13" t="s">
        <v>2044</v>
      </c>
      <c r="H45" s="13" t="s">
        <v>34</v>
      </c>
      <c r="I45" s="13" t="s">
        <v>2045</v>
      </c>
      <c r="M45" t="s">
        <v>2827</v>
      </c>
    </row>
    <row r="46" spans="1:13" ht="16.5" customHeight="1" x14ac:dyDescent="0.25">
      <c r="A46" s="6" t="s">
        <v>2046</v>
      </c>
      <c r="B46" s="7" t="s">
        <v>660</v>
      </c>
      <c r="C46" s="7" t="s">
        <v>2047</v>
      </c>
      <c r="D46" s="7" t="s">
        <v>662</v>
      </c>
      <c r="E46" s="7" t="s">
        <v>663</v>
      </c>
      <c r="F46" s="7" t="s">
        <v>2035</v>
      </c>
      <c r="G46" s="7" t="s">
        <v>2048</v>
      </c>
      <c r="H46" s="7" t="s">
        <v>34</v>
      </c>
      <c r="I46" s="7" t="s">
        <v>2037</v>
      </c>
      <c r="M46" t="s">
        <v>2827</v>
      </c>
    </row>
    <row r="47" spans="1:13" ht="17.25" customHeight="1" x14ac:dyDescent="0.25">
      <c r="A47" s="12" t="s">
        <v>2049</v>
      </c>
      <c r="B47" s="13" t="s">
        <v>660</v>
      </c>
      <c r="C47" s="13" t="s">
        <v>2050</v>
      </c>
      <c r="D47" s="13" t="s">
        <v>662</v>
      </c>
      <c r="E47" s="13" t="s">
        <v>663</v>
      </c>
      <c r="F47" s="13" t="s">
        <v>2035</v>
      </c>
      <c r="G47" s="13" t="s">
        <v>2051</v>
      </c>
      <c r="H47" s="13" t="s">
        <v>34</v>
      </c>
      <c r="I47" s="13" t="s">
        <v>2037</v>
      </c>
      <c r="M47" t="s">
        <v>2827</v>
      </c>
    </row>
    <row r="48" spans="1:13" ht="16.5" customHeight="1" x14ac:dyDescent="0.25">
      <c r="A48" s="6" t="s">
        <v>2052</v>
      </c>
      <c r="B48" s="7" t="s">
        <v>660</v>
      </c>
      <c r="C48" s="7" t="s">
        <v>2053</v>
      </c>
      <c r="D48" s="7" t="s">
        <v>662</v>
      </c>
      <c r="E48" s="7" t="s">
        <v>663</v>
      </c>
      <c r="F48" s="7" t="s">
        <v>2043</v>
      </c>
      <c r="G48" s="7" t="s">
        <v>2054</v>
      </c>
      <c r="H48" s="7" t="s">
        <v>34</v>
      </c>
      <c r="I48" s="7" t="s">
        <v>2045</v>
      </c>
      <c r="M48" t="s">
        <v>2827</v>
      </c>
    </row>
    <row r="49" spans="1:13" ht="16.5" customHeight="1" x14ac:dyDescent="0.25">
      <c r="A49" s="12" t="s">
        <v>2055</v>
      </c>
      <c r="B49" s="13" t="s">
        <v>660</v>
      </c>
      <c r="C49" s="13" t="s">
        <v>2056</v>
      </c>
      <c r="D49" s="13" t="s">
        <v>716</v>
      </c>
      <c r="E49" s="13" t="s">
        <v>673</v>
      </c>
      <c r="F49" s="13" t="s">
        <v>1959</v>
      </c>
      <c r="G49" s="13" t="s">
        <v>2057</v>
      </c>
      <c r="H49" s="13" t="s">
        <v>34</v>
      </c>
      <c r="I49" s="13" t="s">
        <v>2058</v>
      </c>
      <c r="M49" t="s">
        <v>2827</v>
      </c>
    </row>
    <row r="50" spans="1:13" ht="16.5" customHeight="1" x14ac:dyDescent="0.25">
      <c r="A50" s="6" t="s">
        <v>1985</v>
      </c>
      <c r="B50" s="7" t="s">
        <v>660</v>
      </c>
      <c r="C50" s="7" t="s">
        <v>267</v>
      </c>
      <c r="D50" s="7" t="s">
        <v>662</v>
      </c>
      <c r="E50" s="7" t="s">
        <v>673</v>
      </c>
      <c r="F50" s="7" t="s">
        <v>1949</v>
      </c>
      <c r="G50" s="7" t="s">
        <v>2059</v>
      </c>
      <c r="H50" s="7" t="s">
        <v>34</v>
      </c>
      <c r="I50" s="7" t="s">
        <v>2060</v>
      </c>
      <c r="M50" t="s">
        <v>2827</v>
      </c>
    </row>
    <row r="51" spans="1:13" ht="16.5" customHeight="1" x14ac:dyDescent="0.25">
      <c r="A51" s="12" t="s">
        <v>1987</v>
      </c>
      <c r="B51" s="13" t="s">
        <v>660</v>
      </c>
      <c r="C51" s="13" t="s">
        <v>267</v>
      </c>
      <c r="D51" s="13" t="s">
        <v>662</v>
      </c>
      <c r="E51" s="13" t="s">
        <v>673</v>
      </c>
      <c r="F51" s="13" t="s">
        <v>1988</v>
      </c>
      <c r="G51" s="13" t="s">
        <v>2059</v>
      </c>
      <c r="H51" s="13" t="s">
        <v>34</v>
      </c>
      <c r="I51" s="13" t="s">
        <v>2060</v>
      </c>
      <c r="M51" t="s">
        <v>2827</v>
      </c>
    </row>
    <row r="52" spans="1:13" ht="16.5" customHeight="1" x14ac:dyDescent="0.25">
      <c r="A52" s="6" t="s">
        <v>2061</v>
      </c>
      <c r="B52" s="7" t="s">
        <v>660</v>
      </c>
      <c r="C52" s="7" t="s">
        <v>388</v>
      </c>
      <c r="D52" s="7" t="s">
        <v>662</v>
      </c>
      <c r="E52" s="7" t="s">
        <v>898</v>
      </c>
      <c r="F52" s="7" t="s">
        <v>1988</v>
      </c>
      <c r="G52" s="7" t="s">
        <v>1746</v>
      </c>
      <c r="H52" s="7" t="s">
        <v>34</v>
      </c>
      <c r="I52" s="7" t="s">
        <v>1747</v>
      </c>
      <c r="M52" t="s">
        <v>2827</v>
      </c>
    </row>
    <row r="53" spans="1:13" ht="16.5" customHeight="1" x14ac:dyDescent="0.25">
      <c r="A53" s="12" t="s">
        <v>2062</v>
      </c>
      <c r="B53" s="13" t="s">
        <v>660</v>
      </c>
      <c r="C53" s="13" t="s">
        <v>268</v>
      </c>
      <c r="D53" s="13" t="s">
        <v>662</v>
      </c>
      <c r="E53" s="13" t="s">
        <v>697</v>
      </c>
      <c r="F53" s="13" t="s">
        <v>1988</v>
      </c>
      <c r="G53" s="13" t="s">
        <v>2063</v>
      </c>
      <c r="H53" s="13" t="s">
        <v>34</v>
      </c>
      <c r="I53" s="13" t="s">
        <v>2064</v>
      </c>
      <c r="M53" t="s">
        <v>2827</v>
      </c>
    </row>
    <row r="54" spans="1:13" ht="16.5" customHeight="1" x14ac:dyDescent="0.25">
      <c r="A54" s="6" t="s">
        <v>2065</v>
      </c>
      <c r="B54" s="7" t="s">
        <v>660</v>
      </c>
      <c r="C54" s="7" t="s">
        <v>270</v>
      </c>
      <c r="D54" s="7" t="s">
        <v>662</v>
      </c>
      <c r="E54" s="7" t="s">
        <v>673</v>
      </c>
      <c r="F54" s="7" t="s">
        <v>1988</v>
      </c>
      <c r="G54" s="7" t="s">
        <v>2066</v>
      </c>
      <c r="H54" s="7" t="s">
        <v>34</v>
      </c>
      <c r="I54" s="7" t="s">
        <v>2064</v>
      </c>
      <c r="M54" t="s">
        <v>2827</v>
      </c>
    </row>
    <row r="55" spans="1:13" ht="16.5" customHeight="1" x14ac:dyDescent="0.25">
      <c r="A55" s="12" t="s">
        <v>2067</v>
      </c>
      <c r="B55" s="13" t="s">
        <v>660</v>
      </c>
      <c r="C55" s="13" t="s">
        <v>271</v>
      </c>
      <c r="D55" s="13" t="s">
        <v>662</v>
      </c>
      <c r="E55" s="13" t="s">
        <v>673</v>
      </c>
      <c r="F55" s="13" t="s">
        <v>1992</v>
      </c>
      <c r="G55" s="13" t="s">
        <v>2068</v>
      </c>
      <c r="H55" s="13" t="s">
        <v>34</v>
      </c>
      <c r="I55" s="13" t="s">
        <v>2069</v>
      </c>
      <c r="M55" t="s">
        <v>2827</v>
      </c>
    </row>
    <row r="56" spans="1:13" ht="16.5" customHeight="1" x14ac:dyDescent="0.25">
      <c r="A56" s="6" t="s">
        <v>1991</v>
      </c>
      <c r="B56" s="7" t="s">
        <v>660</v>
      </c>
      <c r="C56" s="7" t="s">
        <v>267</v>
      </c>
      <c r="D56" s="7" t="s">
        <v>662</v>
      </c>
      <c r="E56" s="7" t="s">
        <v>673</v>
      </c>
      <c r="F56" s="7" t="s">
        <v>1992</v>
      </c>
      <c r="G56" s="7" t="s">
        <v>2070</v>
      </c>
      <c r="H56" s="7" t="s">
        <v>34</v>
      </c>
      <c r="I56" s="7" t="s">
        <v>2071</v>
      </c>
      <c r="M56" t="s">
        <v>2827</v>
      </c>
    </row>
    <row r="57" spans="1:13" ht="16.5" customHeight="1" x14ac:dyDescent="0.25">
      <c r="A57" s="12" t="s">
        <v>2072</v>
      </c>
      <c r="B57" s="13" t="s">
        <v>660</v>
      </c>
      <c r="C57" s="13" t="s">
        <v>2073</v>
      </c>
      <c r="D57" s="13" t="s">
        <v>716</v>
      </c>
      <c r="E57" s="13" t="s">
        <v>673</v>
      </c>
      <c r="F57" s="13" t="s">
        <v>1949</v>
      </c>
      <c r="G57" s="13" t="s">
        <v>2074</v>
      </c>
      <c r="H57" s="13" t="s">
        <v>34</v>
      </c>
      <c r="I57" s="13" t="s">
        <v>1956</v>
      </c>
      <c r="M57" t="s">
        <v>2827</v>
      </c>
    </row>
    <row r="58" spans="1:13" ht="16.5" customHeight="1" x14ac:dyDescent="0.25">
      <c r="A58" s="6" t="s">
        <v>1948</v>
      </c>
      <c r="B58" s="7" t="s">
        <v>660</v>
      </c>
      <c r="C58" s="7" t="s">
        <v>640</v>
      </c>
      <c r="D58" s="7" t="s">
        <v>662</v>
      </c>
      <c r="E58" s="7" t="s">
        <v>673</v>
      </c>
      <c r="F58" s="7" t="s">
        <v>1949</v>
      </c>
      <c r="G58" s="7" t="s">
        <v>2075</v>
      </c>
      <c r="H58" s="7" t="s">
        <v>34</v>
      </c>
      <c r="I58" s="7" t="s">
        <v>2060</v>
      </c>
      <c r="M58" t="s">
        <v>2827</v>
      </c>
    </row>
    <row r="59" spans="1:13" ht="16.5" customHeight="1" x14ac:dyDescent="0.25">
      <c r="A59" s="12" t="s">
        <v>2076</v>
      </c>
      <c r="B59" s="13" t="s">
        <v>584</v>
      </c>
      <c r="C59" s="13" t="s">
        <v>2077</v>
      </c>
      <c r="D59" s="13" t="s">
        <v>1057</v>
      </c>
      <c r="E59" s="13" t="s">
        <v>1058</v>
      </c>
      <c r="F59" s="13" t="s">
        <v>1962</v>
      </c>
      <c r="G59" s="13" t="s">
        <v>2078</v>
      </c>
      <c r="H59" s="13" t="s">
        <v>34</v>
      </c>
      <c r="I59" s="13" t="s">
        <v>1895</v>
      </c>
      <c r="M59" t="s">
        <v>2827</v>
      </c>
    </row>
    <row r="60" spans="1:13" ht="17.25" customHeight="1" x14ac:dyDescent="0.25">
      <c r="A60" s="6" t="s">
        <v>2079</v>
      </c>
      <c r="B60" s="7" t="s">
        <v>590</v>
      </c>
      <c r="C60" s="7" t="s">
        <v>2080</v>
      </c>
      <c r="D60" s="7" t="s">
        <v>1057</v>
      </c>
      <c r="E60" s="7" t="s">
        <v>1058</v>
      </c>
      <c r="F60" s="7" t="s">
        <v>1962</v>
      </c>
      <c r="G60" s="7" t="s">
        <v>2081</v>
      </c>
      <c r="H60" s="7" t="s">
        <v>34</v>
      </c>
      <c r="I60" s="7" t="s">
        <v>2082</v>
      </c>
      <c r="M60" t="s">
        <v>2827</v>
      </c>
    </row>
    <row r="61" spans="1:13" ht="16.5" customHeight="1" x14ac:dyDescent="0.25">
      <c r="A61" s="12" t="s">
        <v>1807</v>
      </c>
      <c r="B61" s="13" t="s">
        <v>660</v>
      </c>
      <c r="C61" s="13" t="s">
        <v>1805</v>
      </c>
      <c r="D61" s="13" t="s">
        <v>662</v>
      </c>
      <c r="E61" s="13" t="s">
        <v>663</v>
      </c>
      <c r="F61" s="13" t="s">
        <v>1808</v>
      </c>
      <c r="G61" s="13" t="s">
        <v>1804</v>
      </c>
      <c r="H61" s="13" t="s">
        <v>358</v>
      </c>
      <c r="I61" s="13" t="s">
        <v>1806</v>
      </c>
      <c r="M61" t="s">
        <v>2827</v>
      </c>
    </row>
    <row r="62" spans="1:13" ht="16.5" customHeight="1" x14ac:dyDescent="0.25">
      <c r="A62" s="6" t="s">
        <v>1811</v>
      </c>
      <c r="B62" s="7" t="s">
        <v>660</v>
      </c>
      <c r="C62" s="7" t="s">
        <v>1810</v>
      </c>
      <c r="D62" s="7" t="s">
        <v>662</v>
      </c>
      <c r="E62" s="7" t="s">
        <v>663</v>
      </c>
      <c r="F62" s="7" t="s">
        <v>1808</v>
      </c>
      <c r="G62" s="7" t="s">
        <v>1809</v>
      </c>
      <c r="H62" s="7" t="s">
        <v>358</v>
      </c>
      <c r="I62" s="7" t="s">
        <v>1806</v>
      </c>
      <c r="M62" t="s">
        <v>2827</v>
      </c>
    </row>
    <row r="63" spans="1:13" ht="6" customHeight="1" x14ac:dyDescent="0.25"/>
    <row r="64" spans="1:13" ht="0.75" customHeight="1" x14ac:dyDescent="0.25">
      <c r="F64" s="35" t="s">
        <v>1</v>
      </c>
      <c r="G64" s="35"/>
      <c r="H64" s="35"/>
    </row>
    <row r="65" spans="1:8" ht="12" customHeight="1" x14ac:dyDescent="0.25">
      <c r="A65" s="36" t="s">
        <v>637</v>
      </c>
      <c r="B65" s="36"/>
      <c r="C65" s="36"/>
      <c r="D65" s="36"/>
      <c r="F65" s="35"/>
      <c r="G65" s="35"/>
      <c r="H65" s="35"/>
    </row>
    <row r="66" spans="1:8" ht="0.75" customHeight="1" x14ac:dyDescent="0.25">
      <c r="A66" s="36"/>
      <c r="B66" s="36"/>
      <c r="C66" s="36"/>
      <c r="D66" s="36"/>
    </row>
  </sheetData>
  <mergeCells count="13">
    <mergeCell ref="F64:H65"/>
    <mergeCell ref="A65:D66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&amp;C4K911 LEFT SIDE RAIL^JB72_A.1</oddHeader>
    <oddFooter>&amp;L&amp;D&amp;CPage &amp;P of 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84288A-C629-4187-A879-8E71BA154BAF}">
  <sheetPr>
    <pageSetUpPr fitToPage="1"/>
  </sheetPr>
  <dimension ref="A1:M23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13" ht="18" x14ac:dyDescent="0.25">
      <c r="A1" s="37" t="s">
        <v>279</v>
      </c>
      <c r="B1" s="37"/>
      <c r="C1" s="37"/>
      <c r="D1" s="37"/>
    </row>
    <row r="2" spans="1:13" ht="12" customHeight="1" x14ac:dyDescent="0.25">
      <c r="A2" s="38"/>
      <c r="B2" s="38"/>
      <c r="C2" s="38"/>
      <c r="D2" s="38"/>
    </row>
    <row r="3" spans="1:13" ht="12.75" customHeight="1" x14ac:dyDescent="0.25">
      <c r="A3" s="2" t="s">
        <v>2</v>
      </c>
      <c r="B3" s="39" t="s">
        <v>3</v>
      </c>
      <c r="C3" s="39"/>
      <c r="D3" s="39"/>
    </row>
    <row r="4" spans="1:13" x14ac:dyDescent="0.25">
      <c r="A4" s="2" t="s">
        <v>5</v>
      </c>
      <c r="B4" s="39" t="s">
        <v>6</v>
      </c>
      <c r="C4" s="39"/>
      <c r="D4" s="39"/>
    </row>
    <row r="5" spans="1:13" ht="12.75" customHeight="1" x14ac:dyDescent="0.25">
      <c r="A5" s="2" t="s">
        <v>7</v>
      </c>
      <c r="B5" s="39" t="s">
        <v>8</v>
      </c>
      <c r="C5" s="39"/>
      <c r="D5" s="39"/>
    </row>
    <row r="6" spans="1:13" ht="5.25" customHeight="1" x14ac:dyDescent="0.25"/>
    <row r="7" spans="1:13" x14ac:dyDescent="0.25">
      <c r="A7" s="2" t="s">
        <v>9</v>
      </c>
      <c r="B7" s="39" t="s">
        <v>10</v>
      </c>
      <c r="C7" s="39"/>
      <c r="D7" s="39"/>
    </row>
    <row r="8" spans="1:13" ht="12.75" customHeight="1" x14ac:dyDescent="0.25">
      <c r="A8" s="2" t="s">
        <v>11</v>
      </c>
      <c r="B8" s="39" t="s">
        <v>12</v>
      </c>
      <c r="C8" s="39"/>
      <c r="D8" s="39"/>
    </row>
    <row r="9" spans="1:13" x14ac:dyDescent="0.25">
      <c r="A9" s="2" t="s">
        <v>13</v>
      </c>
      <c r="B9" s="39"/>
      <c r="C9" s="39"/>
      <c r="D9" s="39"/>
    </row>
    <row r="10" spans="1:13" ht="12.75" customHeight="1" x14ac:dyDescent="0.25">
      <c r="A10" s="2" t="s">
        <v>11</v>
      </c>
      <c r="B10" s="39"/>
      <c r="C10" s="39"/>
      <c r="D10" s="39"/>
    </row>
    <row r="11" spans="1:13" ht="10.5" customHeight="1" x14ac:dyDescent="0.25"/>
    <row r="12" spans="1:13" ht="16.5" customHeight="1" x14ac:dyDescent="0.25">
      <c r="A12" s="40" t="s">
        <v>630</v>
      </c>
      <c r="B12" s="40"/>
      <c r="C12" s="40"/>
      <c r="D12" s="40"/>
      <c r="E12" s="40"/>
      <c r="F12" s="40"/>
      <c r="G12" s="41" t="s">
        <v>631</v>
      </c>
      <c r="H12" s="41"/>
      <c r="I12" s="41"/>
    </row>
    <row r="13" spans="1:13" ht="36" x14ac:dyDescent="0.25">
      <c r="A13" s="10" t="s">
        <v>14</v>
      </c>
      <c r="B13" s="11" t="s">
        <v>632</v>
      </c>
      <c r="C13" s="11" t="s">
        <v>634</v>
      </c>
      <c r="D13" s="11" t="s">
        <v>633</v>
      </c>
      <c r="E13" s="11" t="s">
        <v>635</v>
      </c>
      <c r="F13" s="11" t="s">
        <v>636</v>
      </c>
      <c r="G13" s="11" t="s">
        <v>14</v>
      </c>
      <c r="H13" s="11" t="s">
        <v>17</v>
      </c>
      <c r="I13" s="11" t="s">
        <v>636</v>
      </c>
    </row>
    <row r="14" spans="1:13" x14ac:dyDescent="0.25">
      <c r="A14" s="12" t="s">
        <v>1929</v>
      </c>
      <c r="B14" s="13" t="s">
        <v>660</v>
      </c>
      <c r="C14" s="13" t="s">
        <v>640</v>
      </c>
      <c r="D14" s="13" t="s">
        <v>662</v>
      </c>
      <c r="E14" s="13" t="s">
        <v>697</v>
      </c>
      <c r="F14" s="13" t="s">
        <v>1930</v>
      </c>
      <c r="G14" s="13" t="s">
        <v>1931</v>
      </c>
      <c r="H14" s="13" t="s">
        <v>279</v>
      </c>
      <c r="I14" s="13" t="s">
        <v>1932</v>
      </c>
      <c r="M14" t="s">
        <v>2827</v>
      </c>
    </row>
    <row r="15" spans="1:13" x14ac:dyDescent="0.25">
      <c r="A15" s="6" t="s">
        <v>1933</v>
      </c>
      <c r="B15" s="7" t="s">
        <v>660</v>
      </c>
      <c r="C15" s="7" t="s">
        <v>281</v>
      </c>
      <c r="D15" s="7" t="s">
        <v>662</v>
      </c>
      <c r="E15" s="7" t="s">
        <v>697</v>
      </c>
      <c r="F15" s="7" t="s">
        <v>1930</v>
      </c>
      <c r="G15" s="7" t="s">
        <v>1934</v>
      </c>
      <c r="H15" s="7" t="s">
        <v>279</v>
      </c>
      <c r="I15" s="7" t="s">
        <v>1932</v>
      </c>
      <c r="M15" t="s">
        <v>2827</v>
      </c>
    </row>
    <row r="16" spans="1:13" x14ac:dyDescent="0.25">
      <c r="A16" s="12" t="s">
        <v>1935</v>
      </c>
      <c r="B16" s="13" t="s">
        <v>660</v>
      </c>
      <c r="C16" s="13" t="s">
        <v>640</v>
      </c>
      <c r="D16" s="13" t="s">
        <v>662</v>
      </c>
      <c r="E16" s="13" t="s">
        <v>697</v>
      </c>
      <c r="F16" s="13" t="s">
        <v>1936</v>
      </c>
      <c r="G16" s="13" t="s">
        <v>1937</v>
      </c>
      <c r="H16" s="13" t="s">
        <v>279</v>
      </c>
      <c r="I16" s="13" t="s">
        <v>1938</v>
      </c>
      <c r="M16" t="s">
        <v>2827</v>
      </c>
    </row>
    <row r="17" spans="1:13" x14ac:dyDescent="0.25">
      <c r="A17" s="6" t="s">
        <v>1939</v>
      </c>
      <c r="B17" s="7" t="s">
        <v>660</v>
      </c>
      <c r="C17" s="7" t="s">
        <v>284</v>
      </c>
      <c r="D17" s="7" t="s">
        <v>662</v>
      </c>
      <c r="E17" s="7" t="s">
        <v>697</v>
      </c>
      <c r="F17" s="7" t="s">
        <v>1936</v>
      </c>
      <c r="G17" s="7" t="s">
        <v>1940</v>
      </c>
      <c r="H17" s="7" t="s">
        <v>279</v>
      </c>
      <c r="I17" s="7" t="s">
        <v>1938</v>
      </c>
      <c r="M17" t="s">
        <v>2827</v>
      </c>
    </row>
    <row r="18" spans="1:13" x14ac:dyDescent="0.25">
      <c r="A18" s="12" t="s">
        <v>1941</v>
      </c>
      <c r="B18" s="13" t="s">
        <v>660</v>
      </c>
      <c r="C18" s="13" t="s">
        <v>508</v>
      </c>
      <c r="D18" s="13" t="s">
        <v>662</v>
      </c>
      <c r="E18" s="13" t="s">
        <v>697</v>
      </c>
      <c r="F18" s="13" t="s">
        <v>1932</v>
      </c>
      <c r="G18" s="13" t="s">
        <v>1942</v>
      </c>
      <c r="H18" s="13" t="s">
        <v>279</v>
      </c>
      <c r="I18" s="13" t="s">
        <v>1932</v>
      </c>
      <c r="M18" t="s">
        <v>2827</v>
      </c>
    </row>
    <row r="19" spans="1:13" x14ac:dyDescent="0.25">
      <c r="A19" s="6" t="s">
        <v>1943</v>
      </c>
      <c r="B19" s="7" t="s">
        <v>660</v>
      </c>
      <c r="C19" s="7" t="s">
        <v>508</v>
      </c>
      <c r="D19" s="7" t="s">
        <v>662</v>
      </c>
      <c r="E19" s="7" t="s">
        <v>697</v>
      </c>
      <c r="F19" s="7" t="s">
        <v>1938</v>
      </c>
      <c r="G19" s="7" t="s">
        <v>1944</v>
      </c>
      <c r="H19" s="7" t="s">
        <v>279</v>
      </c>
      <c r="I19" s="7" t="s">
        <v>1938</v>
      </c>
      <c r="M19" t="s">
        <v>2827</v>
      </c>
    </row>
    <row r="20" spans="1:13" x14ac:dyDescent="0.25">
      <c r="A20" s="12" t="s">
        <v>1945</v>
      </c>
      <c r="B20" s="13" t="s">
        <v>660</v>
      </c>
      <c r="C20" s="13" t="s">
        <v>286</v>
      </c>
      <c r="D20" s="13" t="s">
        <v>924</v>
      </c>
      <c r="E20" s="13" t="s">
        <v>673</v>
      </c>
      <c r="F20" s="13" t="s">
        <v>1946</v>
      </c>
      <c r="G20" s="13" t="s">
        <v>1947</v>
      </c>
      <c r="H20" s="13" t="s">
        <v>279</v>
      </c>
      <c r="I20" s="13" t="s">
        <v>1946</v>
      </c>
      <c r="M20" t="s">
        <v>2827</v>
      </c>
    </row>
    <row r="21" spans="1:13" ht="6.75" customHeight="1" x14ac:dyDescent="0.25"/>
    <row r="22" spans="1:13" ht="0.75" customHeight="1" x14ac:dyDescent="0.25">
      <c r="F22" s="35" t="s">
        <v>1</v>
      </c>
      <c r="G22" s="35"/>
      <c r="H22" s="35"/>
    </row>
    <row r="23" spans="1:13" ht="12" customHeight="1" x14ac:dyDescent="0.25">
      <c r="A23" s="36" t="s">
        <v>637</v>
      </c>
      <c r="B23" s="36"/>
      <c r="C23" s="36"/>
      <c r="D23" s="36"/>
      <c r="F23" s="35"/>
      <c r="G23" s="35"/>
      <c r="H23" s="35"/>
    </row>
  </sheetData>
  <mergeCells count="13">
    <mergeCell ref="F22:H23"/>
    <mergeCell ref="A23:D23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&amp;C4K911 MEDIA CONVERTER_A.1</oddHeader>
    <oddFooter>&amp;L&amp;D&amp;CPage &amp;P of 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643BD4-79FE-4BD6-9E5D-3FB39EBD50B0}">
  <sheetPr>
    <pageSetUpPr fitToPage="1"/>
  </sheetPr>
  <dimension ref="A1:M48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13" ht="18" customHeight="1" x14ac:dyDescent="0.25">
      <c r="A1" s="37" t="s">
        <v>309</v>
      </c>
      <c r="B1" s="37"/>
      <c r="C1" s="37"/>
      <c r="D1" s="37"/>
    </row>
    <row r="2" spans="1:13" ht="12" customHeight="1" x14ac:dyDescent="0.25">
      <c r="A2" s="38"/>
      <c r="B2" s="38"/>
      <c r="C2" s="38"/>
      <c r="D2" s="38"/>
    </row>
    <row r="3" spans="1:13" ht="12.75" customHeight="1" x14ac:dyDescent="0.25">
      <c r="A3" s="2" t="s">
        <v>2</v>
      </c>
      <c r="B3" s="39" t="s">
        <v>3</v>
      </c>
      <c r="C3" s="39"/>
      <c r="D3" s="39"/>
    </row>
    <row r="4" spans="1:13" ht="12" customHeight="1" x14ac:dyDescent="0.25">
      <c r="A4" s="2" t="s">
        <v>5</v>
      </c>
      <c r="B4" s="39" t="s">
        <v>6</v>
      </c>
      <c r="C4" s="39"/>
      <c r="D4" s="39"/>
    </row>
    <row r="5" spans="1:13" ht="12.75" customHeight="1" x14ac:dyDescent="0.25">
      <c r="A5" s="2" t="s">
        <v>7</v>
      </c>
      <c r="B5" s="39" t="s">
        <v>8</v>
      </c>
      <c r="C5" s="39"/>
      <c r="D5" s="39"/>
    </row>
    <row r="6" spans="1:13" ht="5.25" customHeight="1" x14ac:dyDescent="0.25"/>
    <row r="7" spans="1:13" ht="12" customHeight="1" x14ac:dyDescent="0.25">
      <c r="A7" s="2" t="s">
        <v>9</v>
      </c>
      <c r="B7" s="39" t="s">
        <v>10</v>
      </c>
      <c r="C7" s="39"/>
      <c r="D7" s="39"/>
    </row>
    <row r="8" spans="1:13" ht="12.75" customHeight="1" x14ac:dyDescent="0.25">
      <c r="A8" s="2" t="s">
        <v>11</v>
      </c>
      <c r="B8" s="39" t="s">
        <v>12</v>
      </c>
      <c r="C8" s="39"/>
      <c r="D8" s="39"/>
    </row>
    <row r="9" spans="1:13" ht="12" customHeight="1" x14ac:dyDescent="0.25">
      <c r="A9" s="2" t="s">
        <v>13</v>
      </c>
      <c r="B9" s="39"/>
      <c r="C9" s="39"/>
      <c r="D9" s="39"/>
    </row>
    <row r="10" spans="1:13" ht="12.75" customHeight="1" x14ac:dyDescent="0.25">
      <c r="A10" s="2" t="s">
        <v>11</v>
      </c>
      <c r="B10" s="39"/>
      <c r="C10" s="39"/>
      <c r="D10" s="39"/>
    </row>
    <row r="11" spans="1:13" ht="10.5" customHeight="1" x14ac:dyDescent="0.25"/>
    <row r="12" spans="1:13" ht="16.5" customHeight="1" x14ac:dyDescent="0.25">
      <c r="A12" s="40" t="s">
        <v>630</v>
      </c>
      <c r="B12" s="40"/>
      <c r="C12" s="40"/>
      <c r="D12" s="40"/>
      <c r="E12" s="40"/>
      <c r="F12" s="40"/>
      <c r="G12" s="41" t="s">
        <v>631</v>
      </c>
      <c r="H12" s="41"/>
      <c r="I12" s="41"/>
    </row>
    <row r="13" spans="1:13" ht="43.5" customHeight="1" x14ac:dyDescent="0.25">
      <c r="A13" s="10" t="s">
        <v>14</v>
      </c>
      <c r="B13" s="11" t="s">
        <v>632</v>
      </c>
      <c r="C13" s="11" t="s">
        <v>634</v>
      </c>
      <c r="D13" s="11" t="s">
        <v>633</v>
      </c>
      <c r="E13" s="11" t="s">
        <v>635</v>
      </c>
      <c r="F13" s="11" t="s">
        <v>636</v>
      </c>
      <c r="G13" s="11" t="s">
        <v>14</v>
      </c>
      <c r="H13" s="11" t="s">
        <v>17</v>
      </c>
      <c r="I13" s="11" t="s">
        <v>636</v>
      </c>
    </row>
    <row r="14" spans="1:13" ht="16.5" customHeight="1" x14ac:dyDescent="0.25">
      <c r="A14" s="6" t="s">
        <v>1154</v>
      </c>
      <c r="B14" s="7" t="s">
        <v>639</v>
      </c>
      <c r="C14" s="7" t="s">
        <v>508</v>
      </c>
      <c r="D14" s="7" t="s">
        <v>641</v>
      </c>
      <c r="E14" s="7" t="s">
        <v>642</v>
      </c>
      <c r="F14" s="7" t="s">
        <v>1155</v>
      </c>
      <c r="G14" s="7" t="s">
        <v>1157</v>
      </c>
      <c r="H14" s="7" t="s">
        <v>309</v>
      </c>
      <c r="I14" s="7" t="s">
        <v>1155</v>
      </c>
      <c r="M14" t="s">
        <v>2827</v>
      </c>
    </row>
    <row r="15" spans="1:13" ht="16.5" customHeight="1" x14ac:dyDescent="0.25">
      <c r="A15" s="12" t="s">
        <v>1162</v>
      </c>
      <c r="B15" s="13" t="s">
        <v>639</v>
      </c>
      <c r="C15" s="13" t="s">
        <v>640</v>
      </c>
      <c r="D15" s="13" t="s">
        <v>641</v>
      </c>
      <c r="E15" s="13" t="s">
        <v>642</v>
      </c>
      <c r="F15" s="13" t="s">
        <v>1155</v>
      </c>
      <c r="G15" s="13" t="s">
        <v>1156</v>
      </c>
      <c r="H15" s="13" t="s">
        <v>309</v>
      </c>
      <c r="I15" s="13" t="s">
        <v>1155</v>
      </c>
      <c r="M15" t="s">
        <v>2827</v>
      </c>
    </row>
    <row r="16" spans="1:13" ht="16.5" customHeight="1" x14ac:dyDescent="0.25">
      <c r="A16" s="6" t="s">
        <v>1903</v>
      </c>
      <c r="B16" s="7" t="s">
        <v>660</v>
      </c>
      <c r="C16" s="7" t="s">
        <v>1904</v>
      </c>
      <c r="D16" s="7" t="s">
        <v>716</v>
      </c>
      <c r="E16" s="7" t="s">
        <v>673</v>
      </c>
      <c r="F16" s="7" t="s">
        <v>1150</v>
      </c>
      <c r="G16" s="7" t="s">
        <v>1905</v>
      </c>
      <c r="H16" s="7" t="s">
        <v>309</v>
      </c>
      <c r="I16" s="7" t="s">
        <v>1814</v>
      </c>
      <c r="M16" t="s">
        <v>2827</v>
      </c>
    </row>
    <row r="17" spans="1:13" ht="16.5" customHeight="1" x14ac:dyDescent="0.25">
      <c r="A17" s="12" t="s">
        <v>1906</v>
      </c>
      <c r="B17" s="13" t="s">
        <v>660</v>
      </c>
      <c r="C17" s="13" t="s">
        <v>640</v>
      </c>
      <c r="D17" s="13" t="s">
        <v>662</v>
      </c>
      <c r="E17" s="13" t="s">
        <v>673</v>
      </c>
      <c r="F17" s="13" t="s">
        <v>1173</v>
      </c>
      <c r="G17" s="13" t="s">
        <v>1164</v>
      </c>
      <c r="H17" s="13" t="s">
        <v>309</v>
      </c>
      <c r="I17" s="13" t="s">
        <v>1165</v>
      </c>
      <c r="M17" t="s">
        <v>2827</v>
      </c>
    </row>
    <row r="18" spans="1:13" ht="16.5" customHeight="1" x14ac:dyDescent="0.25">
      <c r="A18" s="6" t="s">
        <v>1907</v>
      </c>
      <c r="B18" s="7" t="s">
        <v>660</v>
      </c>
      <c r="C18" s="7" t="s">
        <v>1908</v>
      </c>
      <c r="D18" s="7" t="s">
        <v>662</v>
      </c>
      <c r="E18" s="7" t="s">
        <v>673</v>
      </c>
      <c r="F18" s="7" t="s">
        <v>1173</v>
      </c>
      <c r="G18" s="7" t="s">
        <v>1909</v>
      </c>
      <c r="H18" s="7" t="s">
        <v>309</v>
      </c>
      <c r="I18" s="7" t="s">
        <v>1165</v>
      </c>
      <c r="M18" t="s">
        <v>2827</v>
      </c>
    </row>
    <row r="19" spans="1:13" ht="16.5" customHeight="1" x14ac:dyDescent="0.25">
      <c r="A19" s="12" t="s">
        <v>1910</v>
      </c>
      <c r="B19" s="13" t="s">
        <v>660</v>
      </c>
      <c r="C19" s="13" t="s">
        <v>640</v>
      </c>
      <c r="D19" s="13" t="s">
        <v>662</v>
      </c>
      <c r="E19" s="13" t="s">
        <v>697</v>
      </c>
      <c r="F19" s="13" t="s">
        <v>1169</v>
      </c>
      <c r="G19" s="13" t="s">
        <v>1163</v>
      </c>
      <c r="H19" s="13" t="s">
        <v>309</v>
      </c>
      <c r="I19" s="13" t="s">
        <v>1159</v>
      </c>
      <c r="M19" t="s">
        <v>2827</v>
      </c>
    </row>
    <row r="20" spans="1:13" ht="16.5" customHeight="1" x14ac:dyDescent="0.25">
      <c r="A20" s="6" t="s">
        <v>1911</v>
      </c>
      <c r="B20" s="7" t="s">
        <v>660</v>
      </c>
      <c r="C20" s="7" t="s">
        <v>334</v>
      </c>
      <c r="D20" s="7" t="s">
        <v>662</v>
      </c>
      <c r="E20" s="7" t="s">
        <v>697</v>
      </c>
      <c r="F20" s="7" t="s">
        <v>1169</v>
      </c>
      <c r="G20" s="7" t="s">
        <v>1912</v>
      </c>
      <c r="H20" s="7" t="s">
        <v>309</v>
      </c>
      <c r="I20" s="7" t="s">
        <v>1159</v>
      </c>
      <c r="M20" t="s">
        <v>2827</v>
      </c>
    </row>
    <row r="21" spans="1:13" ht="16.5" customHeight="1" x14ac:dyDescent="0.25">
      <c r="A21" s="12" t="s">
        <v>1913</v>
      </c>
      <c r="B21" s="13" t="s">
        <v>660</v>
      </c>
      <c r="C21" s="13" t="s">
        <v>640</v>
      </c>
      <c r="D21" s="13" t="s">
        <v>662</v>
      </c>
      <c r="E21" s="13" t="s">
        <v>697</v>
      </c>
      <c r="F21" s="13" t="s">
        <v>1900</v>
      </c>
      <c r="G21" s="13" t="s">
        <v>1162</v>
      </c>
      <c r="H21" s="13" t="s">
        <v>309</v>
      </c>
      <c r="I21" s="13" t="s">
        <v>1155</v>
      </c>
      <c r="M21" t="s">
        <v>2827</v>
      </c>
    </row>
    <row r="22" spans="1:13" ht="17.25" customHeight="1" x14ac:dyDescent="0.25">
      <c r="A22" s="6" t="s">
        <v>1914</v>
      </c>
      <c r="B22" s="7" t="s">
        <v>660</v>
      </c>
      <c r="C22" s="7" t="s">
        <v>335</v>
      </c>
      <c r="D22" s="7" t="s">
        <v>662</v>
      </c>
      <c r="E22" s="7" t="s">
        <v>697</v>
      </c>
      <c r="F22" s="7" t="s">
        <v>1900</v>
      </c>
      <c r="G22" s="7" t="s">
        <v>1915</v>
      </c>
      <c r="H22" s="7" t="s">
        <v>309</v>
      </c>
      <c r="I22" s="7" t="s">
        <v>1155</v>
      </c>
      <c r="M22" t="s">
        <v>2827</v>
      </c>
    </row>
    <row r="23" spans="1:13" ht="16.5" customHeight="1" x14ac:dyDescent="0.25">
      <c r="A23" s="12" t="s">
        <v>1916</v>
      </c>
      <c r="B23" s="13" t="s">
        <v>660</v>
      </c>
      <c r="C23" s="13" t="s">
        <v>508</v>
      </c>
      <c r="D23" s="13" t="s">
        <v>662</v>
      </c>
      <c r="E23" s="13" t="s">
        <v>697</v>
      </c>
      <c r="F23" s="13" t="s">
        <v>1159</v>
      </c>
      <c r="G23" s="13" t="s">
        <v>1158</v>
      </c>
      <c r="H23" s="13" t="s">
        <v>309</v>
      </c>
      <c r="I23" s="13" t="s">
        <v>1159</v>
      </c>
      <c r="M23" t="s">
        <v>2827</v>
      </c>
    </row>
    <row r="24" spans="1:13" ht="16.5" customHeight="1" x14ac:dyDescent="0.25">
      <c r="A24" s="6" t="s">
        <v>1917</v>
      </c>
      <c r="B24" s="7" t="s">
        <v>660</v>
      </c>
      <c r="C24" s="7" t="s">
        <v>508</v>
      </c>
      <c r="D24" s="7" t="s">
        <v>662</v>
      </c>
      <c r="E24" s="7" t="s">
        <v>697</v>
      </c>
      <c r="F24" s="7" t="s">
        <v>1155</v>
      </c>
      <c r="G24" s="7" t="s">
        <v>1157</v>
      </c>
      <c r="H24" s="7" t="s">
        <v>309</v>
      </c>
      <c r="I24" s="7" t="s">
        <v>1155</v>
      </c>
      <c r="M24" t="s">
        <v>2827</v>
      </c>
    </row>
    <row r="25" spans="1:13" ht="16.5" customHeight="1" x14ac:dyDescent="0.25">
      <c r="A25" s="12" t="s">
        <v>1918</v>
      </c>
      <c r="B25" s="13" t="s">
        <v>660</v>
      </c>
      <c r="C25" s="13" t="s">
        <v>1908</v>
      </c>
      <c r="D25" s="13" t="s">
        <v>662</v>
      </c>
      <c r="E25" s="13" t="s">
        <v>673</v>
      </c>
      <c r="F25" s="13" t="s">
        <v>1161</v>
      </c>
      <c r="G25" s="13" t="s">
        <v>1909</v>
      </c>
      <c r="H25" s="13" t="s">
        <v>309</v>
      </c>
      <c r="I25" s="13" t="s">
        <v>1165</v>
      </c>
      <c r="M25" t="s">
        <v>2827</v>
      </c>
    </row>
    <row r="26" spans="1:13" ht="16.5" customHeight="1" x14ac:dyDescent="0.25">
      <c r="A26" s="6" t="s">
        <v>1919</v>
      </c>
      <c r="B26" s="7" t="s">
        <v>576</v>
      </c>
      <c r="C26" s="7" t="s">
        <v>1920</v>
      </c>
      <c r="D26" s="7" t="s">
        <v>1057</v>
      </c>
      <c r="E26" s="7" t="s">
        <v>1058</v>
      </c>
      <c r="F26" s="7" t="s">
        <v>1819</v>
      </c>
      <c r="G26" s="7" t="s">
        <v>1921</v>
      </c>
      <c r="H26" s="7" t="s">
        <v>309</v>
      </c>
      <c r="I26" s="7" t="s">
        <v>1819</v>
      </c>
      <c r="M26" t="s">
        <v>2827</v>
      </c>
    </row>
    <row r="27" spans="1:13" ht="16.5" customHeight="1" x14ac:dyDescent="0.25">
      <c r="A27" s="12" t="s">
        <v>1922</v>
      </c>
      <c r="B27" s="13" t="s">
        <v>592</v>
      </c>
      <c r="C27" s="13" t="s">
        <v>1923</v>
      </c>
      <c r="D27" s="13" t="s">
        <v>1057</v>
      </c>
      <c r="E27" s="13" t="s">
        <v>1058</v>
      </c>
      <c r="F27" s="13" t="s">
        <v>1924</v>
      </c>
      <c r="G27" s="13" t="s">
        <v>1925</v>
      </c>
      <c r="H27" s="13" t="s">
        <v>309</v>
      </c>
      <c r="I27" s="13" t="s">
        <v>1173</v>
      </c>
      <c r="M27" t="s">
        <v>2827</v>
      </c>
    </row>
    <row r="28" spans="1:13" ht="16.5" customHeight="1" x14ac:dyDescent="0.25">
      <c r="A28" s="6" t="s">
        <v>1926</v>
      </c>
      <c r="B28" s="7" t="s">
        <v>627</v>
      </c>
      <c r="C28" s="7" t="s">
        <v>1927</v>
      </c>
      <c r="D28" s="7" t="s">
        <v>1057</v>
      </c>
      <c r="E28" s="7" t="s">
        <v>1058</v>
      </c>
      <c r="F28" s="7" t="s">
        <v>1819</v>
      </c>
      <c r="G28" s="7" t="s">
        <v>1928</v>
      </c>
      <c r="H28" s="7" t="s">
        <v>157</v>
      </c>
      <c r="I28" s="7" t="s">
        <v>1124</v>
      </c>
      <c r="M28" t="s">
        <v>2827</v>
      </c>
    </row>
    <row r="29" spans="1:13" ht="16.5" customHeight="1" x14ac:dyDescent="0.25">
      <c r="A29" s="12" t="s">
        <v>1899</v>
      </c>
      <c r="B29" s="13" t="s">
        <v>1897</v>
      </c>
      <c r="C29" s="13" t="s">
        <v>1898</v>
      </c>
      <c r="D29" s="13" t="s">
        <v>1057</v>
      </c>
      <c r="E29" s="13" t="s">
        <v>1058</v>
      </c>
      <c r="F29" s="13" t="s">
        <v>1900</v>
      </c>
      <c r="G29" s="13" t="s">
        <v>1896</v>
      </c>
      <c r="H29" s="13" t="s">
        <v>348</v>
      </c>
      <c r="I29" s="13" t="s">
        <v>1855</v>
      </c>
      <c r="M29" t="s">
        <v>2827</v>
      </c>
    </row>
    <row r="30" spans="1:13" ht="16.5" customHeight="1" x14ac:dyDescent="0.25">
      <c r="A30" s="6" t="s">
        <v>1815</v>
      </c>
      <c r="B30" s="7" t="s">
        <v>660</v>
      </c>
      <c r="C30" s="7" t="s">
        <v>640</v>
      </c>
      <c r="D30" s="7" t="s">
        <v>662</v>
      </c>
      <c r="E30" s="7" t="s">
        <v>673</v>
      </c>
      <c r="F30" s="7" t="s">
        <v>1814</v>
      </c>
      <c r="G30" s="7" t="s">
        <v>1274</v>
      </c>
      <c r="H30" s="7" t="s">
        <v>358</v>
      </c>
      <c r="I30" s="7" t="s">
        <v>900</v>
      </c>
      <c r="M30" t="s">
        <v>2827</v>
      </c>
    </row>
    <row r="31" spans="1:13" ht="16.5" customHeight="1" x14ac:dyDescent="0.25">
      <c r="A31" s="12" t="s">
        <v>1813</v>
      </c>
      <c r="B31" s="13" t="s">
        <v>660</v>
      </c>
      <c r="C31" s="13" t="s">
        <v>374</v>
      </c>
      <c r="D31" s="13" t="s">
        <v>662</v>
      </c>
      <c r="E31" s="13" t="s">
        <v>673</v>
      </c>
      <c r="F31" s="13" t="s">
        <v>1814</v>
      </c>
      <c r="G31" s="13" t="s">
        <v>1812</v>
      </c>
      <c r="H31" s="13" t="s">
        <v>358</v>
      </c>
      <c r="I31" s="13" t="s">
        <v>1512</v>
      </c>
      <c r="M31" t="s">
        <v>2827</v>
      </c>
    </row>
    <row r="32" spans="1:13" ht="16.5" customHeight="1" x14ac:dyDescent="0.25">
      <c r="A32" s="6" t="s">
        <v>1818</v>
      </c>
      <c r="B32" s="7" t="s">
        <v>579</v>
      </c>
      <c r="C32" s="7" t="s">
        <v>1817</v>
      </c>
      <c r="D32" s="7" t="s">
        <v>1057</v>
      </c>
      <c r="E32" s="7" t="s">
        <v>1058</v>
      </c>
      <c r="F32" s="7" t="s">
        <v>1819</v>
      </c>
      <c r="G32" s="7" t="s">
        <v>1816</v>
      </c>
      <c r="H32" s="7" t="s">
        <v>358</v>
      </c>
      <c r="I32" s="7" t="s">
        <v>1421</v>
      </c>
      <c r="M32" t="s">
        <v>2827</v>
      </c>
    </row>
    <row r="33" spans="1:13" ht="16.5" customHeight="1" x14ac:dyDescent="0.25">
      <c r="A33" s="12" t="s">
        <v>1149</v>
      </c>
      <c r="B33" s="13" t="s">
        <v>660</v>
      </c>
      <c r="C33" s="13" t="s">
        <v>1147</v>
      </c>
      <c r="D33" s="13" t="s">
        <v>716</v>
      </c>
      <c r="E33" s="13" t="s">
        <v>898</v>
      </c>
      <c r="F33" s="13" t="s">
        <v>1150</v>
      </c>
      <c r="G33" s="13" t="s">
        <v>1146</v>
      </c>
      <c r="H33" s="13" t="s">
        <v>469</v>
      </c>
      <c r="I33" s="13" t="s">
        <v>1148</v>
      </c>
      <c r="M33" t="s">
        <v>2827</v>
      </c>
    </row>
    <row r="34" spans="1:13" ht="16.5" customHeight="1" x14ac:dyDescent="0.25">
      <c r="A34" s="6" t="s">
        <v>1160</v>
      </c>
      <c r="B34" s="7" t="s">
        <v>660</v>
      </c>
      <c r="C34" s="7" t="s">
        <v>508</v>
      </c>
      <c r="D34" s="7" t="s">
        <v>662</v>
      </c>
      <c r="E34" s="7" t="s">
        <v>673</v>
      </c>
      <c r="F34" s="7" t="s">
        <v>1161</v>
      </c>
      <c r="G34" s="7" t="s">
        <v>648</v>
      </c>
      <c r="H34" s="7" t="s">
        <v>469</v>
      </c>
      <c r="I34" s="7" t="s">
        <v>646</v>
      </c>
      <c r="M34" t="s">
        <v>2827</v>
      </c>
    </row>
    <row r="35" spans="1:13" ht="17.25" customHeight="1" x14ac:dyDescent="0.25">
      <c r="A35" s="12" t="s">
        <v>1153</v>
      </c>
      <c r="B35" s="13" t="s">
        <v>660</v>
      </c>
      <c r="C35" s="13" t="s">
        <v>337</v>
      </c>
      <c r="D35" s="13" t="s">
        <v>716</v>
      </c>
      <c r="E35" s="13" t="s">
        <v>673</v>
      </c>
      <c r="F35" s="13" t="s">
        <v>1152</v>
      </c>
      <c r="G35" s="13" t="s">
        <v>1151</v>
      </c>
      <c r="H35" s="13" t="s">
        <v>469</v>
      </c>
      <c r="I35" s="13" t="s">
        <v>1152</v>
      </c>
      <c r="M35" t="s">
        <v>2827</v>
      </c>
    </row>
    <row r="36" spans="1:13" ht="16.5" customHeight="1" x14ac:dyDescent="0.25">
      <c r="A36" s="6" t="s">
        <v>1158</v>
      </c>
      <c r="B36" s="7" t="s">
        <v>660</v>
      </c>
      <c r="C36" s="7" t="s">
        <v>508</v>
      </c>
      <c r="D36" s="7" t="s">
        <v>662</v>
      </c>
      <c r="E36" s="7" t="s">
        <v>898</v>
      </c>
      <c r="F36" s="7" t="s">
        <v>1159</v>
      </c>
      <c r="G36" s="7" t="s">
        <v>648</v>
      </c>
      <c r="H36" s="7" t="s">
        <v>469</v>
      </c>
      <c r="I36" s="7" t="s">
        <v>646</v>
      </c>
      <c r="M36" t="s">
        <v>2827</v>
      </c>
    </row>
    <row r="37" spans="1:13" ht="16.5" customHeight="1" x14ac:dyDescent="0.25">
      <c r="A37" s="12" t="s">
        <v>1163</v>
      </c>
      <c r="B37" s="13" t="s">
        <v>660</v>
      </c>
      <c r="C37" s="13" t="s">
        <v>640</v>
      </c>
      <c r="D37" s="13" t="s">
        <v>662</v>
      </c>
      <c r="E37" s="13" t="s">
        <v>898</v>
      </c>
      <c r="F37" s="13" t="s">
        <v>1159</v>
      </c>
      <c r="G37" s="13" t="s">
        <v>652</v>
      </c>
      <c r="H37" s="13" t="s">
        <v>469</v>
      </c>
      <c r="I37" s="13" t="s">
        <v>650</v>
      </c>
      <c r="M37" t="s">
        <v>2827</v>
      </c>
    </row>
    <row r="38" spans="1:13" ht="16.5" customHeight="1" x14ac:dyDescent="0.25">
      <c r="A38" s="6" t="s">
        <v>1154</v>
      </c>
      <c r="B38" s="7" t="s">
        <v>660</v>
      </c>
      <c r="C38" s="7" t="s">
        <v>508</v>
      </c>
      <c r="D38" s="7" t="s">
        <v>662</v>
      </c>
      <c r="E38" s="7" t="s">
        <v>697</v>
      </c>
      <c r="F38" s="7" t="s">
        <v>1155</v>
      </c>
      <c r="G38" s="7" t="s">
        <v>889</v>
      </c>
      <c r="H38" s="7" t="s">
        <v>469</v>
      </c>
      <c r="I38" s="7" t="s">
        <v>876</v>
      </c>
      <c r="M38" t="s">
        <v>2827</v>
      </c>
    </row>
    <row r="39" spans="1:13" ht="16.5" customHeight="1" x14ac:dyDescent="0.25">
      <c r="A39" s="12" t="s">
        <v>1157</v>
      </c>
      <c r="B39" s="13" t="s">
        <v>660</v>
      </c>
      <c r="C39" s="13" t="s">
        <v>508</v>
      </c>
      <c r="D39" s="13" t="s">
        <v>662</v>
      </c>
      <c r="E39" s="13" t="s">
        <v>898</v>
      </c>
      <c r="F39" s="13" t="s">
        <v>1155</v>
      </c>
      <c r="G39" s="13" t="s">
        <v>648</v>
      </c>
      <c r="H39" s="13" t="s">
        <v>469</v>
      </c>
      <c r="I39" s="13" t="s">
        <v>646</v>
      </c>
      <c r="M39" t="s">
        <v>2827</v>
      </c>
    </row>
    <row r="40" spans="1:13" ht="16.5" customHeight="1" x14ac:dyDescent="0.25">
      <c r="A40" s="6" t="s">
        <v>1162</v>
      </c>
      <c r="B40" s="7" t="s">
        <v>660</v>
      </c>
      <c r="C40" s="7" t="s">
        <v>640</v>
      </c>
      <c r="D40" s="7" t="s">
        <v>662</v>
      </c>
      <c r="E40" s="7" t="s">
        <v>898</v>
      </c>
      <c r="F40" s="7" t="s">
        <v>1155</v>
      </c>
      <c r="G40" s="7" t="s">
        <v>652</v>
      </c>
      <c r="H40" s="7" t="s">
        <v>469</v>
      </c>
      <c r="I40" s="7" t="s">
        <v>650</v>
      </c>
      <c r="M40" t="s">
        <v>2827</v>
      </c>
    </row>
    <row r="41" spans="1:13" ht="16.5" customHeight="1" x14ac:dyDescent="0.25">
      <c r="A41" s="12" t="s">
        <v>1156</v>
      </c>
      <c r="B41" s="13" t="s">
        <v>660</v>
      </c>
      <c r="C41" s="13" t="s">
        <v>640</v>
      </c>
      <c r="D41" s="13" t="s">
        <v>662</v>
      </c>
      <c r="E41" s="13" t="s">
        <v>697</v>
      </c>
      <c r="F41" s="13" t="s">
        <v>1155</v>
      </c>
      <c r="G41" s="13" t="s">
        <v>875</v>
      </c>
      <c r="H41" s="13" t="s">
        <v>469</v>
      </c>
      <c r="I41" s="13" t="s">
        <v>876</v>
      </c>
      <c r="M41" t="s">
        <v>2827</v>
      </c>
    </row>
    <row r="42" spans="1:13" ht="16.5" customHeight="1" x14ac:dyDescent="0.25">
      <c r="A42" s="6" t="s">
        <v>1164</v>
      </c>
      <c r="B42" s="7" t="s">
        <v>660</v>
      </c>
      <c r="C42" s="7" t="s">
        <v>640</v>
      </c>
      <c r="D42" s="7" t="s">
        <v>662</v>
      </c>
      <c r="E42" s="7" t="s">
        <v>673</v>
      </c>
      <c r="F42" s="7" t="s">
        <v>1165</v>
      </c>
      <c r="G42" s="7" t="s">
        <v>652</v>
      </c>
      <c r="H42" s="7" t="s">
        <v>469</v>
      </c>
      <c r="I42" s="7" t="s">
        <v>650</v>
      </c>
      <c r="M42" t="s">
        <v>2827</v>
      </c>
    </row>
    <row r="43" spans="1:13" ht="16.5" customHeight="1" x14ac:dyDescent="0.25">
      <c r="A43" s="12" t="s">
        <v>1168</v>
      </c>
      <c r="B43" s="13" t="s">
        <v>626</v>
      </c>
      <c r="C43" s="13" t="s">
        <v>1167</v>
      </c>
      <c r="D43" s="13" t="s">
        <v>1057</v>
      </c>
      <c r="E43" s="13" t="s">
        <v>1058</v>
      </c>
      <c r="F43" s="13" t="s">
        <v>1169</v>
      </c>
      <c r="G43" s="13" t="s">
        <v>1166</v>
      </c>
      <c r="H43" s="13" t="s">
        <v>469</v>
      </c>
      <c r="I43" s="13" t="s">
        <v>881</v>
      </c>
      <c r="M43" t="s">
        <v>2827</v>
      </c>
    </row>
    <row r="44" spans="1:13" ht="16.5" customHeight="1" x14ac:dyDescent="0.25">
      <c r="A44" s="6" t="s">
        <v>1172</v>
      </c>
      <c r="B44" s="7" t="s">
        <v>628</v>
      </c>
      <c r="C44" s="7" t="s">
        <v>1171</v>
      </c>
      <c r="D44" s="7" t="s">
        <v>1057</v>
      </c>
      <c r="E44" s="7" t="s">
        <v>1058</v>
      </c>
      <c r="F44" s="7" t="s">
        <v>1173</v>
      </c>
      <c r="G44" s="7" t="s">
        <v>1170</v>
      </c>
      <c r="H44" s="7" t="s">
        <v>469</v>
      </c>
      <c r="I44" s="7" t="s">
        <v>874</v>
      </c>
      <c r="M44" t="s">
        <v>2827</v>
      </c>
    </row>
    <row r="45" spans="1:13" ht="6.75" customHeight="1" x14ac:dyDescent="0.25"/>
    <row r="46" spans="1:13" ht="0.75" customHeight="1" x14ac:dyDescent="0.25">
      <c r="F46" s="35" t="s">
        <v>1</v>
      </c>
      <c r="G46" s="35"/>
      <c r="H46" s="35"/>
    </row>
    <row r="47" spans="1:13" ht="11.25" customHeight="1" x14ac:dyDescent="0.25">
      <c r="A47" s="36" t="s">
        <v>637</v>
      </c>
      <c r="B47" s="36"/>
      <c r="C47" s="36"/>
      <c r="D47" s="36"/>
      <c r="F47" s="35"/>
      <c r="G47" s="35"/>
      <c r="H47" s="35"/>
    </row>
    <row r="48" spans="1:13" ht="0.75" customHeight="1" x14ac:dyDescent="0.25">
      <c r="A48" s="36"/>
      <c r="B48" s="36"/>
      <c r="C48" s="36"/>
      <c r="D48" s="36"/>
    </row>
  </sheetData>
  <mergeCells count="13">
    <mergeCell ref="F46:H47"/>
    <mergeCell ref="A47:D48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&amp;C4K911 PLC PANEL^JB70_A.1</oddHeader>
    <oddFooter>&amp;L&amp;D&amp;CPage &amp;P of 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0B99DA-53F0-441B-AC95-13A7B358F59A}">
  <sheetPr>
    <pageSetUpPr fitToPage="1"/>
  </sheetPr>
  <dimension ref="A1:M17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13" ht="18" x14ac:dyDescent="0.25">
      <c r="A1" s="37" t="s">
        <v>344</v>
      </c>
      <c r="B1" s="37"/>
      <c r="C1" s="37"/>
      <c r="D1" s="37"/>
    </row>
    <row r="2" spans="1:13" ht="12" customHeight="1" x14ac:dyDescent="0.25">
      <c r="A2" s="38"/>
      <c r="B2" s="38"/>
      <c r="C2" s="38"/>
      <c r="D2" s="38"/>
    </row>
    <row r="3" spans="1:13" ht="12.75" customHeight="1" x14ac:dyDescent="0.25">
      <c r="A3" s="2" t="s">
        <v>2</v>
      </c>
      <c r="B3" s="39" t="s">
        <v>3</v>
      </c>
      <c r="C3" s="39"/>
      <c r="D3" s="39"/>
    </row>
    <row r="4" spans="1:13" x14ac:dyDescent="0.25">
      <c r="A4" s="2" t="s">
        <v>5</v>
      </c>
      <c r="B4" s="39" t="s">
        <v>6</v>
      </c>
      <c r="C4" s="39"/>
      <c r="D4" s="39"/>
    </row>
    <row r="5" spans="1:13" ht="12.75" customHeight="1" x14ac:dyDescent="0.25">
      <c r="A5" s="2" t="s">
        <v>7</v>
      </c>
      <c r="B5" s="39" t="s">
        <v>8</v>
      </c>
      <c r="C5" s="39"/>
      <c r="D5" s="39"/>
    </row>
    <row r="6" spans="1:13" ht="5.25" customHeight="1" x14ac:dyDescent="0.25"/>
    <row r="7" spans="1:13" x14ac:dyDescent="0.25">
      <c r="A7" s="2" t="s">
        <v>9</v>
      </c>
      <c r="B7" s="39" t="s">
        <v>10</v>
      </c>
      <c r="C7" s="39"/>
      <c r="D7" s="39"/>
    </row>
    <row r="8" spans="1:13" ht="12.75" customHeight="1" x14ac:dyDescent="0.25">
      <c r="A8" s="2" t="s">
        <v>11</v>
      </c>
      <c r="B8" s="39" t="s">
        <v>12</v>
      </c>
      <c r="C8" s="39"/>
      <c r="D8" s="39"/>
    </row>
    <row r="9" spans="1:13" x14ac:dyDescent="0.25">
      <c r="A9" s="2" t="s">
        <v>13</v>
      </c>
      <c r="B9" s="39"/>
      <c r="C9" s="39"/>
      <c r="D9" s="39"/>
    </row>
    <row r="10" spans="1:13" ht="12.75" customHeight="1" x14ac:dyDescent="0.25">
      <c r="A10" s="2" t="s">
        <v>11</v>
      </c>
      <c r="B10" s="39"/>
      <c r="C10" s="39"/>
      <c r="D10" s="39"/>
    </row>
    <row r="11" spans="1:13" ht="10.5" customHeight="1" x14ac:dyDescent="0.25"/>
    <row r="12" spans="1:13" ht="16.5" customHeight="1" x14ac:dyDescent="0.25">
      <c r="A12" s="40" t="s">
        <v>630</v>
      </c>
      <c r="B12" s="40"/>
      <c r="C12" s="40"/>
      <c r="D12" s="40"/>
      <c r="E12" s="40"/>
      <c r="F12" s="40"/>
      <c r="G12" s="41" t="s">
        <v>631</v>
      </c>
      <c r="H12" s="41"/>
      <c r="I12" s="41"/>
    </row>
    <row r="13" spans="1:13" ht="36" x14ac:dyDescent="0.25">
      <c r="A13" s="10" t="s">
        <v>14</v>
      </c>
      <c r="B13" s="11" t="s">
        <v>632</v>
      </c>
      <c r="C13" s="11" t="s">
        <v>634</v>
      </c>
      <c r="D13" s="11" t="s">
        <v>633</v>
      </c>
      <c r="E13" s="11" t="s">
        <v>635</v>
      </c>
      <c r="F13" s="11" t="s">
        <v>636</v>
      </c>
      <c r="G13" s="11" t="s">
        <v>14</v>
      </c>
      <c r="H13" s="11" t="s">
        <v>17</v>
      </c>
      <c r="I13" s="11" t="s">
        <v>636</v>
      </c>
    </row>
    <row r="14" spans="1:13" x14ac:dyDescent="0.25">
      <c r="A14" s="12" t="s">
        <v>1901</v>
      </c>
      <c r="B14" s="13" t="s">
        <v>660</v>
      </c>
      <c r="C14" s="13" t="s">
        <v>343</v>
      </c>
      <c r="D14" s="13" t="s">
        <v>924</v>
      </c>
      <c r="E14" s="13" t="s">
        <v>673</v>
      </c>
      <c r="F14" s="13" t="s">
        <v>1902</v>
      </c>
      <c r="G14" s="13" t="s">
        <v>925</v>
      </c>
      <c r="H14" s="13" t="s">
        <v>344</v>
      </c>
      <c r="I14" s="13" t="s">
        <v>1152</v>
      </c>
      <c r="M14" t="s">
        <v>2827</v>
      </c>
    </row>
    <row r="15" spans="1:13" ht="6.75" customHeight="1" x14ac:dyDescent="0.25"/>
    <row r="16" spans="1:13" ht="12" customHeight="1" x14ac:dyDescent="0.25">
      <c r="A16" s="36" t="s">
        <v>637</v>
      </c>
      <c r="B16" s="36"/>
      <c r="C16" s="36"/>
      <c r="D16" s="36"/>
      <c r="F16" s="35" t="s">
        <v>1</v>
      </c>
      <c r="G16" s="35"/>
      <c r="H16" s="35"/>
    </row>
    <row r="17" spans="1:4" ht="0.75" customHeight="1" x14ac:dyDescent="0.25">
      <c r="A17" s="36"/>
      <c r="B17" s="36"/>
      <c r="C17" s="36"/>
      <c r="D17" s="36"/>
    </row>
  </sheetData>
  <mergeCells count="13">
    <mergeCell ref="A16:D17"/>
    <mergeCell ref="F16:H16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&amp;C4K911 RIGHT SIDE RAIL^JB70_A.1</oddHeader>
    <oddFooter>&amp;L&amp;D&amp;CPage &amp;P of &amp;N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809A06-BFA4-482E-A34E-D4920B47C248}">
  <sheetPr>
    <pageSetUpPr fitToPage="1"/>
  </sheetPr>
  <dimension ref="A1:M44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13" ht="18" customHeight="1" x14ac:dyDescent="0.25">
      <c r="A1" s="37" t="s">
        <v>348</v>
      </c>
      <c r="B1" s="37"/>
      <c r="C1" s="37"/>
      <c r="D1" s="37"/>
    </row>
    <row r="2" spans="1:13" ht="12" customHeight="1" x14ac:dyDescent="0.25">
      <c r="A2" s="38"/>
      <c r="B2" s="38"/>
      <c r="C2" s="38"/>
      <c r="D2" s="38"/>
    </row>
    <row r="3" spans="1:13" ht="12.75" customHeight="1" x14ac:dyDescent="0.25">
      <c r="A3" s="2" t="s">
        <v>2</v>
      </c>
      <c r="B3" s="39" t="s">
        <v>3</v>
      </c>
      <c r="C3" s="39"/>
      <c r="D3" s="39"/>
    </row>
    <row r="4" spans="1:13" ht="12" customHeight="1" x14ac:dyDescent="0.25">
      <c r="A4" s="2" t="s">
        <v>5</v>
      </c>
      <c r="B4" s="39" t="s">
        <v>6</v>
      </c>
      <c r="C4" s="39"/>
      <c r="D4" s="39"/>
    </row>
    <row r="5" spans="1:13" ht="12.75" customHeight="1" x14ac:dyDescent="0.25">
      <c r="A5" s="2" t="s">
        <v>7</v>
      </c>
      <c r="B5" s="39" t="s">
        <v>8</v>
      </c>
      <c r="C5" s="39"/>
      <c r="D5" s="39"/>
    </row>
    <row r="6" spans="1:13" ht="5.25" customHeight="1" x14ac:dyDescent="0.25"/>
    <row r="7" spans="1:13" ht="12" customHeight="1" x14ac:dyDescent="0.25">
      <c r="A7" s="2" t="s">
        <v>9</v>
      </c>
      <c r="B7" s="39" t="s">
        <v>10</v>
      </c>
      <c r="C7" s="39"/>
      <c r="D7" s="39"/>
    </row>
    <row r="8" spans="1:13" ht="12.75" customHeight="1" x14ac:dyDescent="0.25">
      <c r="A8" s="2" t="s">
        <v>11</v>
      </c>
      <c r="B8" s="39" t="s">
        <v>12</v>
      </c>
      <c r="C8" s="39"/>
      <c r="D8" s="39"/>
    </row>
    <row r="9" spans="1:13" ht="12" customHeight="1" x14ac:dyDescent="0.25">
      <c r="A9" s="2" t="s">
        <v>13</v>
      </c>
      <c r="B9" s="39"/>
      <c r="C9" s="39"/>
      <c r="D9" s="39"/>
    </row>
    <row r="10" spans="1:13" ht="12.75" customHeight="1" x14ac:dyDescent="0.25">
      <c r="A10" s="2" t="s">
        <v>11</v>
      </c>
      <c r="B10" s="39"/>
      <c r="C10" s="39"/>
      <c r="D10" s="39"/>
    </row>
    <row r="11" spans="1:13" ht="10.5" customHeight="1" x14ac:dyDescent="0.25"/>
    <row r="12" spans="1:13" ht="16.5" customHeight="1" x14ac:dyDescent="0.25">
      <c r="A12" s="40" t="s">
        <v>630</v>
      </c>
      <c r="B12" s="40"/>
      <c r="C12" s="40"/>
      <c r="D12" s="40"/>
      <c r="E12" s="40"/>
      <c r="F12" s="40"/>
      <c r="G12" s="41" t="s">
        <v>631</v>
      </c>
      <c r="H12" s="41"/>
      <c r="I12" s="41"/>
    </row>
    <row r="13" spans="1:13" ht="43.5" customHeight="1" x14ac:dyDescent="0.25">
      <c r="A13" s="10" t="s">
        <v>14</v>
      </c>
      <c r="B13" s="11" t="s">
        <v>632</v>
      </c>
      <c r="C13" s="11" t="s">
        <v>634</v>
      </c>
      <c r="D13" s="11" t="s">
        <v>633</v>
      </c>
      <c r="E13" s="11" t="s">
        <v>635</v>
      </c>
      <c r="F13" s="11" t="s">
        <v>636</v>
      </c>
      <c r="G13" s="11" t="s">
        <v>14</v>
      </c>
      <c r="H13" s="11" t="s">
        <v>17</v>
      </c>
      <c r="I13" s="11" t="s">
        <v>636</v>
      </c>
    </row>
    <row r="14" spans="1:13" ht="16.5" customHeight="1" x14ac:dyDescent="0.25">
      <c r="A14" s="6" t="s">
        <v>1820</v>
      </c>
      <c r="B14" s="7" t="s">
        <v>660</v>
      </c>
      <c r="C14" s="7" t="s">
        <v>1821</v>
      </c>
      <c r="D14" s="7" t="s">
        <v>865</v>
      </c>
      <c r="E14" s="7" t="s">
        <v>663</v>
      </c>
      <c r="F14" s="7" t="s">
        <v>1822</v>
      </c>
      <c r="G14" s="7" t="s">
        <v>1823</v>
      </c>
      <c r="H14" s="7" t="s">
        <v>348</v>
      </c>
      <c r="I14" s="7" t="s">
        <v>1822</v>
      </c>
      <c r="M14" t="s">
        <v>2827</v>
      </c>
    </row>
    <row r="15" spans="1:13" ht="16.5" customHeight="1" x14ac:dyDescent="0.25">
      <c r="A15" s="12" t="s">
        <v>1824</v>
      </c>
      <c r="B15" s="13" t="s">
        <v>660</v>
      </c>
      <c r="C15" s="13" t="s">
        <v>1825</v>
      </c>
      <c r="D15" s="13" t="s">
        <v>865</v>
      </c>
      <c r="E15" s="13" t="s">
        <v>663</v>
      </c>
      <c r="F15" s="13" t="s">
        <v>1826</v>
      </c>
      <c r="G15" s="13" t="s">
        <v>1827</v>
      </c>
      <c r="H15" s="13" t="s">
        <v>348</v>
      </c>
      <c r="I15" s="13" t="s">
        <v>1826</v>
      </c>
      <c r="M15" t="s">
        <v>2827</v>
      </c>
    </row>
    <row r="16" spans="1:13" ht="16.5" customHeight="1" x14ac:dyDescent="0.25">
      <c r="A16" s="6" t="s">
        <v>1828</v>
      </c>
      <c r="B16" s="7" t="s">
        <v>660</v>
      </c>
      <c r="C16" s="7" t="s">
        <v>1829</v>
      </c>
      <c r="D16" s="7" t="s">
        <v>865</v>
      </c>
      <c r="E16" s="7" t="s">
        <v>663</v>
      </c>
      <c r="F16" s="7" t="s">
        <v>1830</v>
      </c>
      <c r="G16" s="7" t="s">
        <v>1831</v>
      </c>
      <c r="H16" s="7" t="s">
        <v>348</v>
      </c>
      <c r="I16" s="7" t="s">
        <v>1830</v>
      </c>
      <c r="M16" t="s">
        <v>2827</v>
      </c>
    </row>
    <row r="17" spans="1:13" ht="16.5" customHeight="1" x14ac:dyDescent="0.25">
      <c r="A17" s="12" t="s">
        <v>1832</v>
      </c>
      <c r="B17" s="13" t="s">
        <v>660</v>
      </c>
      <c r="C17" s="13" t="s">
        <v>676</v>
      </c>
      <c r="D17" s="14"/>
      <c r="E17" s="14"/>
      <c r="F17" s="13" t="s">
        <v>1833</v>
      </c>
      <c r="G17" s="13" t="s">
        <v>1834</v>
      </c>
      <c r="H17" s="13" t="s">
        <v>348</v>
      </c>
      <c r="I17" s="13" t="s">
        <v>1835</v>
      </c>
      <c r="M17" t="s">
        <v>2827</v>
      </c>
    </row>
    <row r="18" spans="1:13" ht="16.5" customHeight="1" x14ac:dyDescent="0.25">
      <c r="A18" s="6" t="s">
        <v>1836</v>
      </c>
      <c r="B18" s="7" t="s">
        <v>660</v>
      </c>
      <c r="C18" s="7" t="s">
        <v>1837</v>
      </c>
      <c r="D18" s="7" t="s">
        <v>662</v>
      </c>
      <c r="E18" s="7" t="s">
        <v>697</v>
      </c>
      <c r="F18" s="7" t="s">
        <v>1835</v>
      </c>
      <c r="G18" s="7" t="s">
        <v>1838</v>
      </c>
      <c r="H18" s="7" t="s">
        <v>348</v>
      </c>
      <c r="I18" s="7" t="s">
        <v>1839</v>
      </c>
      <c r="M18" t="s">
        <v>2827</v>
      </c>
    </row>
    <row r="19" spans="1:13" ht="16.5" customHeight="1" x14ac:dyDescent="0.25">
      <c r="A19" s="12" t="s">
        <v>1840</v>
      </c>
      <c r="B19" s="13" t="s">
        <v>660</v>
      </c>
      <c r="C19" s="13" t="s">
        <v>676</v>
      </c>
      <c r="D19" s="14"/>
      <c r="E19" s="14"/>
      <c r="F19" s="13" t="s">
        <v>1835</v>
      </c>
      <c r="G19" s="13" t="s">
        <v>1841</v>
      </c>
      <c r="H19" s="13" t="s">
        <v>348</v>
      </c>
      <c r="I19" s="13" t="s">
        <v>1839</v>
      </c>
      <c r="M19" t="s">
        <v>2827</v>
      </c>
    </row>
    <row r="20" spans="1:13" ht="16.5" customHeight="1" x14ac:dyDescent="0.25">
      <c r="A20" s="6" t="s">
        <v>1842</v>
      </c>
      <c r="B20" s="7" t="s">
        <v>660</v>
      </c>
      <c r="C20" s="7" t="s">
        <v>1843</v>
      </c>
      <c r="D20" s="7" t="s">
        <v>662</v>
      </c>
      <c r="E20" s="7" t="s">
        <v>697</v>
      </c>
      <c r="F20" s="7" t="s">
        <v>1835</v>
      </c>
      <c r="G20" s="7" t="s">
        <v>1844</v>
      </c>
      <c r="H20" s="7" t="s">
        <v>348</v>
      </c>
      <c r="I20" s="7" t="s">
        <v>1839</v>
      </c>
      <c r="M20" t="s">
        <v>2827</v>
      </c>
    </row>
    <row r="21" spans="1:13" ht="16.5" customHeight="1" x14ac:dyDescent="0.25">
      <c r="A21" s="12" t="s">
        <v>1838</v>
      </c>
      <c r="B21" s="13" t="s">
        <v>660</v>
      </c>
      <c r="C21" s="13" t="s">
        <v>1845</v>
      </c>
      <c r="D21" s="13" t="s">
        <v>662</v>
      </c>
      <c r="E21" s="13" t="s">
        <v>697</v>
      </c>
      <c r="F21" s="13" t="s">
        <v>1839</v>
      </c>
      <c r="G21" s="13" t="s">
        <v>1846</v>
      </c>
      <c r="H21" s="13" t="s">
        <v>348</v>
      </c>
      <c r="I21" s="13" t="s">
        <v>1847</v>
      </c>
      <c r="M21" t="s">
        <v>2827</v>
      </c>
    </row>
    <row r="22" spans="1:13" ht="17.25" customHeight="1" x14ac:dyDescent="0.25">
      <c r="A22" s="6" t="s">
        <v>1848</v>
      </c>
      <c r="B22" s="7" t="s">
        <v>660</v>
      </c>
      <c r="C22" s="7" t="s">
        <v>676</v>
      </c>
      <c r="D22" s="5"/>
      <c r="E22" s="5"/>
      <c r="F22" s="7" t="s">
        <v>1839</v>
      </c>
      <c r="G22" s="7" t="s">
        <v>1849</v>
      </c>
      <c r="H22" s="7" t="s">
        <v>348</v>
      </c>
      <c r="I22" s="7" t="s">
        <v>1847</v>
      </c>
      <c r="M22" t="s">
        <v>2827</v>
      </c>
    </row>
    <row r="23" spans="1:13" ht="16.5" customHeight="1" x14ac:dyDescent="0.25">
      <c r="A23" s="12" t="s">
        <v>1844</v>
      </c>
      <c r="B23" s="13" t="s">
        <v>660</v>
      </c>
      <c r="C23" s="13" t="s">
        <v>1850</v>
      </c>
      <c r="D23" s="13" t="s">
        <v>662</v>
      </c>
      <c r="E23" s="13" t="s">
        <v>697</v>
      </c>
      <c r="F23" s="13" t="s">
        <v>1839</v>
      </c>
      <c r="G23" s="13" t="s">
        <v>1851</v>
      </c>
      <c r="H23" s="13" t="s">
        <v>348</v>
      </c>
      <c r="I23" s="13" t="s">
        <v>1847</v>
      </c>
      <c r="M23" t="s">
        <v>2827</v>
      </c>
    </row>
    <row r="24" spans="1:13" ht="16.5" customHeight="1" x14ac:dyDescent="0.25">
      <c r="A24" s="6" t="s">
        <v>1852</v>
      </c>
      <c r="B24" s="7" t="s">
        <v>660</v>
      </c>
      <c r="C24" s="7" t="s">
        <v>1853</v>
      </c>
      <c r="D24" s="7" t="s">
        <v>716</v>
      </c>
      <c r="E24" s="7" t="s">
        <v>673</v>
      </c>
      <c r="F24" s="7" t="s">
        <v>1847</v>
      </c>
      <c r="G24" s="7" t="s">
        <v>1854</v>
      </c>
      <c r="H24" s="7" t="s">
        <v>348</v>
      </c>
      <c r="I24" s="7" t="s">
        <v>1855</v>
      </c>
      <c r="M24" t="s">
        <v>2827</v>
      </c>
    </row>
    <row r="25" spans="1:13" ht="16.5" customHeight="1" x14ac:dyDescent="0.25">
      <c r="A25" s="12" t="s">
        <v>1856</v>
      </c>
      <c r="B25" s="13" t="s">
        <v>660</v>
      </c>
      <c r="C25" s="13" t="s">
        <v>1857</v>
      </c>
      <c r="D25" s="13" t="s">
        <v>662</v>
      </c>
      <c r="E25" s="13" t="s">
        <v>663</v>
      </c>
      <c r="F25" s="13" t="s">
        <v>1858</v>
      </c>
      <c r="G25" s="13" t="s">
        <v>1859</v>
      </c>
      <c r="H25" s="13" t="s">
        <v>34</v>
      </c>
      <c r="I25" s="13" t="s">
        <v>1860</v>
      </c>
      <c r="M25" t="s">
        <v>2827</v>
      </c>
    </row>
    <row r="26" spans="1:13" ht="16.5" customHeight="1" x14ac:dyDescent="0.25">
      <c r="A26" s="6" t="s">
        <v>1861</v>
      </c>
      <c r="B26" s="7" t="s">
        <v>660</v>
      </c>
      <c r="C26" s="7" t="s">
        <v>1862</v>
      </c>
      <c r="D26" s="7" t="s">
        <v>662</v>
      </c>
      <c r="E26" s="7" t="s">
        <v>663</v>
      </c>
      <c r="F26" s="7" t="s">
        <v>1091</v>
      </c>
      <c r="G26" s="7" t="s">
        <v>1863</v>
      </c>
      <c r="H26" s="7" t="s">
        <v>34</v>
      </c>
      <c r="I26" s="7" t="s">
        <v>1093</v>
      </c>
      <c r="M26" t="s">
        <v>2827</v>
      </c>
    </row>
    <row r="27" spans="1:13" ht="16.5" customHeight="1" x14ac:dyDescent="0.25">
      <c r="A27" s="12" t="s">
        <v>1864</v>
      </c>
      <c r="B27" s="13" t="s">
        <v>660</v>
      </c>
      <c r="C27" s="13" t="s">
        <v>1865</v>
      </c>
      <c r="D27" s="13" t="s">
        <v>662</v>
      </c>
      <c r="E27" s="13" t="s">
        <v>663</v>
      </c>
      <c r="F27" s="13" t="s">
        <v>1858</v>
      </c>
      <c r="G27" s="13" t="s">
        <v>1866</v>
      </c>
      <c r="H27" s="13" t="s">
        <v>34</v>
      </c>
      <c r="I27" s="13" t="s">
        <v>1860</v>
      </c>
      <c r="M27" t="s">
        <v>2827</v>
      </c>
    </row>
    <row r="28" spans="1:13" ht="16.5" customHeight="1" x14ac:dyDescent="0.25">
      <c r="A28" s="6" t="s">
        <v>1867</v>
      </c>
      <c r="B28" s="7" t="s">
        <v>660</v>
      </c>
      <c r="C28" s="7" t="s">
        <v>1868</v>
      </c>
      <c r="D28" s="7" t="s">
        <v>662</v>
      </c>
      <c r="E28" s="7" t="s">
        <v>663</v>
      </c>
      <c r="F28" s="7" t="s">
        <v>1858</v>
      </c>
      <c r="G28" s="7" t="s">
        <v>1869</v>
      </c>
      <c r="H28" s="7" t="s">
        <v>34</v>
      </c>
      <c r="I28" s="7" t="s">
        <v>1860</v>
      </c>
      <c r="M28" t="s">
        <v>2827</v>
      </c>
    </row>
    <row r="29" spans="1:13" ht="16.5" customHeight="1" x14ac:dyDescent="0.25">
      <c r="A29" s="12" t="s">
        <v>1870</v>
      </c>
      <c r="B29" s="13" t="s">
        <v>660</v>
      </c>
      <c r="C29" s="13" t="s">
        <v>1871</v>
      </c>
      <c r="D29" s="13" t="s">
        <v>662</v>
      </c>
      <c r="E29" s="13" t="s">
        <v>663</v>
      </c>
      <c r="F29" s="13" t="s">
        <v>1091</v>
      </c>
      <c r="G29" s="13" t="s">
        <v>1872</v>
      </c>
      <c r="H29" s="13" t="s">
        <v>34</v>
      </c>
      <c r="I29" s="13" t="s">
        <v>1093</v>
      </c>
      <c r="M29" t="s">
        <v>2827</v>
      </c>
    </row>
    <row r="30" spans="1:13" ht="16.5" customHeight="1" x14ac:dyDescent="0.25">
      <c r="A30" s="6" t="s">
        <v>1873</v>
      </c>
      <c r="B30" s="7" t="s">
        <v>660</v>
      </c>
      <c r="C30" s="7" t="s">
        <v>1874</v>
      </c>
      <c r="D30" s="7" t="s">
        <v>662</v>
      </c>
      <c r="E30" s="7" t="s">
        <v>663</v>
      </c>
      <c r="F30" s="7" t="s">
        <v>1858</v>
      </c>
      <c r="G30" s="7" t="s">
        <v>1875</v>
      </c>
      <c r="H30" s="7" t="s">
        <v>34</v>
      </c>
      <c r="I30" s="7" t="s">
        <v>1860</v>
      </c>
      <c r="M30" t="s">
        <v>2827</v>
      </c>
    </row>
    <row r="31" spans="1:13" ht="16.5" customHeight="1" x14ac:dyDescent="0.25">
      <c r="A31" s="12" t="s">
        <v>1876</v>
      </c>
      <c r="B31" s="13" t="s">
        <v>660</v>
      </c>
      <c r="C31" s="13" t="s">
        <v>640</v>
      </c>
      <c r="D31" s="13" t="s">
        <v>662</v>
      </c>
      <c r="E31" s="13" t="s">
        <v>697</v>
      </c>
      <c r="F31" s="13" t="s">
        <v>1833</v>
      </c>
      <c r="G31" s="13" t="s">
        <v>1877</v>
      </c>
      <c r="H31" s="13" t="s">
        <v>34</v>
      </c>
      <c r="I31" s="13" t="s">
        <v>1878</v>
      </c>
      <c r="M31" t="s">
        <v>2827</v>
      </c>
    </row>
    <row r="32" spans="1:13" ht="16.5" customHeight="1" x14ac:dyDescent="0.25">
      <c r="A32" s="6" t="s">
        <v>1879</v>
      </c>
      <c r="B32" s="7" t="s">
        <v>660</v>
      </c>
      <c r="C32" s="7" t="s">
        <v>50</v>
      </c>
      <c r="D32" s="7" t="s">
        <v>662</v>
      </c>
      <c r="E32" s="7" t="s">
        <v>697</v>
      </c>
      <c r="F32" s="7" t="s">
        <v>1833</v>
      </c>
      <c r="G32" s="7" t="s">
        <v>1880</v>
      </c>
      <c r="H32" s="7" t="s">
        <v>34</v>
      </c>
      <c r="I32" s="7" t="s">
        <v>1878</v>
      </c>
      <c r="M32" t="s">
        <v>2827</v>
      </c>
    </row>
    <row r="33" spans="1:13" ht="16.5" customHeight="1" x14ac:dyDescent="0.25">
      <c r="A33" s="12" t="s">
        <v>1836</v>
      </c>
      <c r="B33" s="13" t="s">
        <v>660</v>
      </c>
      <c r="C33" s="13" t="s">
        <v>640</v>
      </c>
      <c r="D33" s="13" t="s">
        <v>662</v>
      </c>
      <c r="E33" s="13" t="s">
        <v>697</v>
      </c>
      <c r="F33" s="13" t="s">
        <v>1835</v>
      </c>
      <c r="G33" s="13" t="s">
        <v>1877</v>
      </c>
      <c r="H33" s="13" t="s">
        <v>34</v>
      </c>
      <c r="I33" s="13" t="s">
        <v>1878</v>
      </c>
      <c r="M33" t="s">
        <v>2827</v>
      </c>
    </row>
    <row r="34" spans="1:13" ht="16.5" customHeight="1" x14ac:dyDescent="0.25">
      <c r="A34" s="6" t="s">
        <v>1842</v>
      </c>
      <c r="B34" s="7" t="s">
        <v>660</v>
      </c>
      <c r="C34" s="7" t="s">
        <v>51</v>
      </c>
      <c r="D34" s="7" t="s">
        <v>662</v>
      </c>
      <c r="E34" s="7" t="s">
        <v>697</v>
      </c>
      <c r="F34" s="7" t="s">
        <v>1835</v>
      </c>
      <c r="G34" s="7" t="s">
        <v>1881</v>
      </c>
      <c r="H34" s="7" t="s">
        <v>34</v>
      </c>
      <c r="I34" s="7" t="s">
        <v>1878</v>
      </c>
      <c r="M34" t="s">
        <v>2827</v>
      </c>
    </row>
    <row r="35" spans="1:13" ht="17.25" customHeight="1" x14ac:dyDescent="0.25">
      <c r="A35" s="12" t="s">
        <v>1852</v>
      </c>
      <c r="B35" s="13" t="s">
        <v>660</v>
      </c>
      <c r="C35" s="13" t="s">
        <v>1882</v>
      </c>
      <c r="D35" s="13" t="s">
        <v>716</v>
      </c>
      <c r="E35" s="13" t="s">
        <v>673</v>
      </c>
      <c r="F35" s="13" t="s">
        <v>1847</v>
      </c>
      <c r="G35" s="13" t="s">
        <v>1883</v>
      </c>
      <c r="H35" s="13" t="s">
        <v>34</v>
      </c>
      <c r="I35" s="13" t="s">
        <v>1884</v>
      </c>
      <c r="M35" t="s">
        <v>2827</v>
      </c>
    </row>
    <row r="36" spans="1:13" ht="16.5" customHeight="1" x14ac:dyDescent="0.25">
      <c r="A36" s="6" t="s">
        <v>1885</v>
      </c>
      <c r="B36" s="7" t="s">
        <v>660</v>
      </c>
      <c r="C36" s="7" t="s">
        <v>640</v>
      </c>
      <c r="D36" s="7" t="s">
        <v>662</v>
      </c>
      <c r="E36" s="7" t="s">
        <v>697</v>
      </c>
      <c r="F36" s="7" t="s">
        <v>1855</v>
      </c>
      <c r="G36" s="7" t="s">
        <v>1886</v>
      </c>
      <c r="H36" s="7" t="s">
        <v>34</v>
      </c>
      <c r="I36" s="7" t="s">
        <v>1878</v>
      </c>
      <c r="M36" t="s">
        <v>2827</v>
      </c>
    </row>
    <row r="37" spans="1:13" ht="16.5" customHeight="1" x14ac:dyDescent="0.25">
      <c r="A37" s="12" t="s">
        <v>1887</v>
      </c>
      <c r="B37" s="13" t="s">
        <v>660</v>
      </c>
      <c r="C37" s="13" t="s">
        <v>47</v>
      </c>
      <c r="D37" s="13" t="s">
        <v>662</v>
      </c>
      <c r="E37" s="13" t="s">
        <v>697</v>
      </c>
      <c r="F37" s="13" t="s">
        <v>1855</v>
      </c>
      <c r="G37" s="13" t="s">
        <v>1888</v>
      </c>
      <c r="H37" s="13" t="s">
        <v>34</v>
      </c>
      <c r="I37" s="13" t="s">
        <v>1878</v>
      </c>
      <c r="M37" t="s">
        <v>2827</v>
      </c>
    </row>
    <row r="38" spans="1:13" ht="16.5" customHeight="1" x14ac:dyDescent="0.25">
      <c r="A38" s="6" t="s">
        <v>1889</v>
      </c>
      <c r="B38" s="7" t="s">
        <v>660</v>
      </c>
      <c r="C38" s="7" t="s">
        <v>356</v>
      </c>
      <c r="D38" s="7" t="s">
        <v>716</v>
      </c>
      <c r="E38" s="7" t="s">
        <v>673</v>
      </c>
      <c r="F38" s="7" t="s">
        <v>1890</v>
      </c>
      <c r="G38" s="7" t="s">
        <v>1891</v>
      </c>
      <c r="H38" s="7" t="s">
        <v>34</v>
      </c>
      <c r="I38" s="7" t="s">
        <v>1890</v>
      </c>
      <c r="M38" t="s">
        <v>2827</v>
      </c>
    </row>
    <row r="39" spans="1:13" ht="16.5" customHeight="1" x14ac:dyDescent="0.25">
      <c r="A39" s="12" t="s">
        <v>1892</v>
      </c>
      <c r="B39" s="13" t="s">
        <v>585</v>
      </c>
      <c r="C39" s="13" t="s">
        <v>1893</v>
      </c>
      <c r="D39" s="13" t="s">
        <v>1057</v>
      </c>
      <c r="E39" s="13" t="s">
        <v>1058</v>
      </c>
      <c r="F39" s="13" t="s">
        <v>1855</v>
      </c>
      <c r="G39" s="13" t="s">
        <v>1894</v>
      </c>
      <c r="H39" s="13" t="s">
        <v>34</v>
      </c>
      <c r="I39" s="13" t="s">
        <v>1895</v>
      </c>
      <c r="M39" t="s">
        <v>2827</v>
      </c>
    </row>
    <row r="40" spans="1:13" ht="16.5" customHeight="1" x14ac:dyDescent="0.25">
      <c r="A40" s="6" t="s">
        <v>1896</v>
      </c>
      <c r="B40" s="7" t="s">
        <v>1897</v>
      </c>
      <c r="C40" s="7" t="s">
        <v>1898</v>
      </c>
      <c r="D40" s="7" t="s">
        <v>1057</v>
      </c>
      <c r="E40" s="7" t="s">
        <v>1058</v>
      </c>
      <c r="F40" s="7" t="s">
        <v>1855</v>
      </c>
      <c r="G40" s="7" t="s">
        <v>1899</v>
      </c>
      <c r="H40" s="7" t="s">
        <v>309</v>
      </c>
      <c r="I40" s="7" t="s">
        <v>1900</v>
      </c>
      <c r="M40" t="s">
        <v>2827</v>
      </c>
    </row>
    <row r="41" spans="1:13" ht="6.75" customHeight="1" x14ac:dyDescent="0.25"/>
    <row r="42" spans="1:13" ht="0.75" customHeight="1" x14ac:dyDescent="0.25">
      <c r="F42" s="35" t="s">
        <v>1</v>
      </c>
      <c r="G42" s="35"/>
      <c r="H42" s="35"/>
    </row>
    <row r="43" spans="1:13" ht="11.25" customHeight="1" x14ac:dyDescent="0.25">
      <c r="A43" s="36" t="s">
        <v>637</v>
      </c>
      <c r="B43" s="36"/>
      <c r="C43" s="36"/>
      <c r="D43" s="36"/>
      <c r="F43" s="35"/>
      <c r="G43" s="35"/>
      <c r="H43" s="35"/>
    </row>
    <row r="44" spans="1:13" ht="0.75" customHeight="1" x14ac:dyDescent="0.25">
      <c r="A44" s="36"/>
      <c r="B44" s="36"/>
      <c r="C44" s="36"/>
      <c r="D44" s="36"/>
    </row>
  </sheetData>
  <mergeCells count="13">
    <mergeCell ref="F42:H43"/>
    <mergeCell ref="A43:D44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&amp;C4K911 RIGHT SIDE RAIL^JB72_A.1</oddHeader>
    <oddFooter>&amp;L&amp;D&amp;CPage &amp;P of &amp;N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FD5BA9-7847-47FB-BDF3-292FBED69B9B}">
  <sheetPr>
    <pageSetUpPr fitToPage="1"/>
  </sheetPr>
  <dimension ref="A1:M297"/>
  <sheetViews>
    <sheetView showGridLines="0" topLeftCell="A216" workbookViewId="0">
      <selection activeCell="G232" sqref="G232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13" ht="18" customHeight="1" x14ac:dyDescent="0.25">
      <c r="A1" s="37" t="s">
        <v>358</v>
      </c>
      <c r="B1" s="37"/>
      <c r="C1" s="37"/>
      <c r="D1" s="37"/>
    </row>
    <row r="2" spans="1:13" ht="12" customHeight="1" x14ac:dyDescent="0.25">
      <c r="A2" s="38"/>
      <c r="B2" s="38"/>
      <c r="C2" s="38"/>
      <c r="D2" s="38"/>
    </row>
    <row r="3" spans="1:13" ht="12.75" customHeight="1" x14ac:dyDescent="0.25">
      <c r="A3" s="2" t="s">
        <v>2</v>
      </c>
      <c r="B3" s="39" t="s">
        <v>3</v>
      </c>
      <c r="C3" s="39"/>
      <c r="D3" s="39"/>
    </row>
    <row r="4" spans="1:13" ht="12" customHeight="1" x14ac:dyDescent="0.25">
      <c r="A4" s="2" t="s">
        <v>5</v>
      </c>
      <c r="B4" s="39" t="s">
        <v>6</v>
      </c>
      <c r="C4" s="39"/>
      <c r="D4" s="39"/>
    </row>
    <row r="5" spans="1:13" ht="12.75" customHeight="1" x14ac:dyDescent="0.25">
      <c r="A5" s="2" t="s">
        <v>7</v>
      </c>
      <c r="B5" s="39" t="s">
        <v>8</v>
      </c>
      <c r="C5" s="39"/>
      <c r="D5" s="39"/>
    </row>
    <row r="6" spans="1:13" ht="5.25" customHeight="1" x14ac:dyDescent="0.25"/>
    <row r="7" spans="1:13" ht="12" customHeight="1" x14ac:dyDescent="0.25">
      <c r="A7" s="2" t="s">
        <v>9</v>
      </c>
      <c r="B7" s="39" t="s">
        <v>10</v>
      </c>
      <c r="C7" s="39"/>
      <c r="D7" s="39"/>
    </row>
    <row r="8" spans="1:13" ht="12.75" customHeight="1" x14ac:dyDescent="0.25">
      <c r="A8" s="2" t="s">
        <v>11</v>
      </c>
      <c r="B8" s="39" t="s">
        <v>12</v>
      </c>
      <c r="C8" s="39"/>
      <c r="D8" s="39"/>
    </row>
    <row r="9" spans="1:13" ht="12" customHeight="1" x14ac:dyDescent="0.25">
      <c r="A9" s="2" t="s">
        <v>13</v>
      </c>
      <c r="B9" s="39"/>
      <c r="C9" s="39"/>
      <c r="D9" s="39"/>
    </row>
    <row r="10" spans="1:13" ht="12.75" customHeight="1" x14ac:dyDescent="0.25">
      <c r="A10" s="2" t="s">
        <v>11</v>
      </c>
      <c r="B10" s="39"/>
      <c r="C10" s="39"/>
      <c r="D10" s="39"/>
    </row>
    <row r="11" spans="1:13" ht="10.5" customHeight="1" x14ac:dyDescent="0.25"/>
    <row r="12" spans="1:13" ht="16.5" customHeight="1" x14ac:dyDescent="0.25">
      <c r="A12" s="40" t="s">
        <v>630</v>
      </c>
      <c r="B12" s="40"/>
      <c r="C12" s="40"/>
      <c r="D12" s="40"/>
      <c r="E12" s="40"/>
      <c r="F12" s="40"/>
      <c r="G12" s="41" t="s">
        <v>631</v>
      </c>
      <c r="H12" s="41"/>
      <c r="I12" s="41"/>
    </row>
    <row r="13" spans="1:13" ht="43.5" customHeight="1" x14ac:dyDescent="0.25">
      <c r="A13" s="10" t="s">
        <v>14</v>
      </c>
      <c r="B13" s="11" t="s">
        <v>632</v>
      </c>
      <c r="C13" s="11" t="s">
        <v>634</v>
      </c>
      <c r="D13" s="11" t="s">
        <v>633</v>
      </c>
      <c r="E13" s="11" t="s">
        <v>635</v>
      </c>
      <c r="F13" s="11" t="s">
        <v>636</v>
      </c>
      <c r="G13" s="11" t="s">
        <v>14</v>
      </c>
      <c r="H13" s="11" t="s">
        <v>17</v>
      </c>
      <c r="I13" s="11" t="s">
        <v>636</v>
      </c>
    </row>
    <row r="14" spans="1:13" ht="16.5" customHeight="1" x14ac:dyDescent="0.25">
      <c r="A14" s="6" t="s">
        <v>1305</v>
      </c>
      <c r="B14" s="7" t="s">
        <v>639</v>
      </c>
      <c r="C14" s="7" t="s">
        <v>1306</v>
      </c>
      <c r="D14" s="7" t="s">
        <v>641</v>
      </c>
      <c r="E14" s="7" t="s">
        <v>642</v>
      </c>
      <c r="F14" s="7" t="s">
        <v>1307</v>
      </c>
      <c r="G14" s="7" t="s">
        <v>1308</v>
      </c>
      <c r="H14" s="7" t="s">
        <v>358</v>
      </c>
      <c r="I14" s="7" t="s">
        <v>1307</v>
      </c>
      <c r="M14" t="s">
        <v>2827</v>
      </c>
    </row>
    <row r="15" spans="1:13" ht="16.5" customHeight="1" x14ac:dyDescent="0.25">
      <c r="A15" s="12" t="s">
        <v>1308</v>
      </c>
      <c r="B15" s="13" t="s">
        <v>639</v>
      </c>
      <c r="C15" s="13" t="s">
        <v>1306</v>
      </c>
      <c r="D15" s="13" t="s">
        <v>641</v>
      </c>
      <c r="E15" s="13" t="s">
        <v>642</v>
      </c>
      <c r="F15" s="13" t="s">
        <v>1307</v>
      </c>
      <c r="G15" s="13" t="s">
        <v>1309</v>
      </c>
      <c r="H15" s="13" t="s">
        <v>358</v>
      </c>
      <c r="I15" s="13" t="s">
        <v>1307</v>
      </c>
      <c r="M15" t="s">
        <v>2827</v>
      </c>
    </row>
    <row r="16" spans="1:13" ht="16.5" customHeight="1" x14ac:dyDescent="0.25">
      <c r="A16" s="6" t="s">
        <v>1309</v>
      </c>
      <c r="B16" s="7" t="s">
        <v>639</v>
      </c>
      <c r="C16" s="7" t="s">
        <v>1306</v>
      </c>
      <c r="D16" s="7" t="s">
        <v>641</v>
      </c>
      <c r="E16" s="7" t="s">
        <v>642</v>
      </c>
      <c r="F16" s="7" t="s">
        <v>1307</v>
      </c>
      <c r="G16" s="7" t="s">
        <v>1310</v>
      </c>
      <c r="H16" s="7" t="s">
        <v>358</v>
      </c>
      <c r="I16" s="7" t="s">
        <v>1307</v>
      </c>
      <c r="M16" t="s">
        <v>2827</v>
      </c>
    </row>
    <row r="17" spans="1:13" ht="16.5" customHeight="1" x14ac:dyDescent="0.25">
      <c r="A17" s="12" t="s">
        <v>1311</v>
      </c>
      <c r="B17" s="13" t="s">
        <v>639</v>
      </c>
      <c r="C17" s="13" t="s">
        <v>640</v>
      </c>
      <c r="D17" s="13" t="s">
        <v>641</v>
      </c>
      <c r="E17" s="13" t="s">
        <v>642</v>
      </c>
      <c r="F17" s="13" t="s">
        <v>1312</v>
      </c>
      <c r="G17" s="13" t="s">
        <v>1313</v>
      </c>
      <c r="H17" s="13" t="s">
        <v>358</v>
      </c>
      <c r="I17" s="13" t="s">
        <v>1312</v>
      </c>
      <c r="M17" t="s">
        <v>2827</v>
      </c>
    </row>
    <row r="18" spans="1:13" ht="16.5" customHeight="1" x14ac:dyDescent="0.25">
      <c r="A18" s="6" t="s">
        <v>1313</v>
      </c>
      <c r="B18" s="7" t="s">
        <v>639</v>
      </c>
      <c r="C18" s="7" t="s">
        <v>640</v>
      </c>
      <c r="D18" s="7" t="s">
        <v>641</v>
      </c>
      <c r="E18" s="7" t="s">
        <v>642</v>
      </c>
      <c r="F18" s="7" t="s">
        <v>1312</v>
      </c>
      <c r="G18" s="7" t="s">
        <v>1314</v>
      </c>
      <c r="H18" s="7" t="s">
        <v>358</v>
      </c>
      <c r="I18" s="7" t="s">
        <v>1312</v>
      </c>
      <c r="M18" t="s">
        <v>2827</v>
      </c>
    </row>
    <row r="19" spans="1:13" ht="16.5" customHeight="1" x14ac:dyDescent="0.25">
      <c r="A19" s="12" t="s">
        <v>1315</v>
      </c>
      <c r="B19" s="13" t="s">
        <v>639</v>
      </c>
      <c r="C19" s="13" t="s">
        <v>640</v>
      </c>
      <c r="D19" s="13" t="s">
        <v>641</v>
      </c>
      <c r="E19" s="13" t="s">
        <v>642</v>
      </c>
      <c r="F19" s="13" t="s">
        <v>1316</v>
      </c>
      <c r="G19" s="13" t="s">
        <v>1317</v>
      </c>
      <c r="H19" s="13" t="s">
        <v>358</v>
      </c>
      <c r="I19" s="13" t="s">
        <v>1316</v>
      </c>
      <c r="M19" t="s">
        <v>2827</v>
      </c>
    </row>
    <row r="20" spans="1:13" ht="16.5" customHeight="1" x14ac:dyDescent="0.25">
      <c r="A20" s="6" t="s">
        <v>1318</v>
      </c>
      <c r="B20" s="7" t="s">
        <v>639</v>
      </c>
      <c r="C20" s="7" t="s">
        <v>640</v>
      </c>
      <c r="D20" s="7" t="s">
        <v>641</v>
      </c>
      <c r="E20" s="7" t="s">
        <v>642</v>
      </c>
      <c r="F20" s="7" t="s">
        <v>1199</v>
      </c>
      <c r="G20" s="7" t="s">
        <v>1286</v>
      </c>
      <c r="H20" s="7" t="s">
        <v>358</v>
      </c>
      <c r="I20" s="7" t="s">
        <v>1199</v>
      </c>
      <c r="M20" t="s">
        <v>2827</v>
      </c>
    </row>
    <row r="21" spans="1:13" ht="16.5" customHeight="1" x14ac:dyDescent="0.25">
      <c r="A21" s="12" t="s">
        <v>1286</v>
      </c>
      <c r="B21" s="13" t="s">
        <v>639</v>
      </c>
      <c r="C21" s="13" t="s">
        <v>640</v>
      </c>
      <c r="D21" s="13" t="s">
        <v>641</v>
      </c>
      <c r="E21" s="13" t="s">
        <v>642</v>
      </c>
      <c r="F21" s="13" t="s">
        <v>1199</v>
      </c>
      <c r="G21" s="13" t="s">
        <v>1300</v>
      </c>
      <c r="H21" s="13" t="s">
        <v>358</v>
      </c>
      <c r="I21" s="13" t="s">
        <v>1199</v>
      </c>
      <c r="M21" t="s">
        <v>2827</v>
      </c>
    </row>
    <row r="22" spans="1:13" ht="17.25" customHeight="1" x14ac:dyDescent="0.25">
      <c r="A22" s="6" t="s">
        <v>1300</v>
      </c>
      <c r="B22" s="7" t="s">
        <v>639</v>
      </c>
      <c r="C22" s="7" t="s">
        <v>640</v>
      </c>
      <c r="D22" s="7" t="s">
        <v>641</v>
      </c>
      <c r="E22" s="7" t="s">
        <v>642</v>
      </c>
      <c r="F22" s="7" t="s">
        <v>1199</v>
      </c>
      <c r="G22" s="7" t="s">
        <v>1287</v>
      </c>
      <c r="H22" s="7" t="s">
        <v>358</v>
      </c>
      <c r="I22" s="7" t="s">
        <v>1199</v>
      </c>
      <c r="M22" t="s">
        <v>2827</v>
      </c>
    </row>
    <row r="23" spans="1:13" ht="16.5" customHeight="1" x14ac:dyDescent="0.25">
      <c r="A23" s="12" t="s">
        <v>1274</v>
      </c>
      <c r="B23" s="13" t="s">
        <v>639</v>
      </c>
      <c r="C23" s="13" t="s">
        <v>640</v>
      </c>
      <c r="D23" s="13" t="s">
        <v>641</v>
      </c>
      <c r="E23" s="13" t="s">
        <v>642</v>
      </c>
      <c r="F23" s="13" t="s">
        <v>900</v>
      </c>
      <c r="G23" s="13" t="s">
        <v>1319</v>
      </c>
      <c r="H23" s="13" t="s">
        <v>358</v>
      </c>
      <c r="I23" s="13" t="s">
        <v>900</v>
      </c>
      <c r="M23" t="s">
        <v>2827</v>
      </c>
    </row>
    <row r="24" spans="1:13" ht="16.5" customHeight="1" x14ac:dyDescent="0.25">
      <c r="A24" s="6" t="s">
        <v>1319</v>
      </c>
      <c r="B24" s="7" t="s">
        <v>639</v>
      </c>
      <c r="C24" s="7" t="s">
        <v>640</v>
      </c>
      <c r="D24" s="7" t="s">
        <v>641</v>
      </c>
      <c r="E24" s="7" t="s">
        <v>642</v>
      </c>
      <c r="F24" s="7" t="s">
        <v>900</v>
      </c>
      <c r="G24" s="7" t="s">
        <v>1320</v>
      </c>
      <c r="H24" s="7" t="s">
        <v>358</v>
      </c>
      <c r="I24" s="7" t="s">
        <v>900</v>
      </c>
      <c r="M24" t="s">
        <v>2827</v>
      </c>
    </row>
    <row r="25" spans="1:13" ht="16.5" customHeight="1" x14ac:dyDescent="0.25">
      <c r="A25" s="12" t="s">
        <v>1320</v>
      </c>
      <c r="B25" s="13" t="s">
        <v>639</v>
      </c>
      <c r="C25" s="13" t="s">
        <v>640</v>
      </c>
      <c r="D25" s="13" t="s">
        <v>641</v>
      </c>
      <c r="E25" s="13" t="s">
        <v>642</v>
      </c>
      <c r="F25" s="13" t="s">
        <v>900</v>
      </c>
      <c r="G25" s="13" t="s">
        <v>1321</v>
      </c>
      <c r="H25" s="13" t="s">
        <v>358</v>
      </c>
      <c r="I25" s="13" t="s">
        <v>646</v>
      </c>
      <c r="M25" t="s">
        <v>2827</v>
      </c>
    </row>
    <row r="26" spans="1:13" ht="16.5" customHeight="1" x14ac:dyDescent="0.25">
      <c r="A26" s="6" t="s">
        <v>1294</v>
      </c>
      <c r="B26" s="7" t="s">
        <v>639</v>
      </c>
      <c r="C26" s="7" t="s">
        <v>392</v>
      </c>
      <c r="D26" s="7" t="s">
        <v>641</v>
      </c>
      <c r="E26" s="7" t="s">
        <v>642</v>
      </c>
      <c r="F26" s="7" t="s">
        <v>1293</v>
      </c>
      <c r="G26" s="7" t="s">
        <v>1322</v>
      </c>
      <c r="H26" s="7" t="s">
        <v>358</v>
      </c>
      <c r="I26" s="7" t="s">
        <v>1293</v>
      </c>
      <c r="M26" t="s">
        <v>2827</v>
      </c>
    </row>
    <row r="27" spans="1:13" ht="16.5" customHeight="1" x14ac:dyDescent="0.25">
      <c r="A27" s="12" t="s">
        <v>1323</v>
      </c>
      <c r="B27" s="13" t="s">
        <v>639</v>
      </c>
      <c r="C27" s="13" t="s">
        <v>388</v>
      </c>
      <c r="D27" s="13" t="s">
        <v>641</v>
      </c>
      <c r="E27" s="13" t="s">
        <v>642</v>
      </c>
      <c r="F27" s="13" t="s">
        <v>1285</v>
      </c>
      <c r="G27" s="13" t="s">
        <v>1284</v>
      </c>
      <c r="H27" s="13" t="s">
        <v>358</v>
      </c>
      <c r="I27" s="13" t="s">
        <v>1285</v>
      </c>
      <c r="M27" t="s">
        <v>2827</v>
      </c>
    </row>
    <row r="28" spans="1:13" ht="16.5" customHeight="1" x14ac:dyDescent="0.25">
      <c r="A28" s="6" t="s">
        <v>1284</v>
      </c>
      <c r="B28" s="7" t="s">
        <v>639</v>
      </c>
      <c r="C28" s="7" t="s">
        <v>388</v>
      </c>
      <c r="D28" s="7" t="s">
        <v>641</v>
      </c>
      <c r="E28" s="7" t="s">
        <v>642</v>
      </c>
      <c r="F28" s="7" t="s">
        <v>1285</v>
      </c>
      <c r="G28" s="7" t="s">
        <v>1299</v>
      </c>
      <c r="H28" s="7" t="s">
        <v>358</v>
      </c>
      <c r="I28" s="7" t="s">
        <v>1285</v>
      </c>
      <c r="M28" t="s">
        <v>2827</v>
      </c>
    </row>
    <row r="29" spans="1:13" ht="16.5" customHeight="1" x14ac:dyDescent="0.25">
      <c r="A29" s="12" t="s">
        <v>1299</v>
      </c>
      <c r="B29" s="13" t="s">
        <v>639</v>
      </c>
      <c r="C29" s="13" t="s">
        <v>388</v>
      </c>
      <c r="D29" s="13" t="s">
        <v>641</v>
      </c>
      <c r="E29" s="13" t="s">
        <v>642</v>
      </c>
      <c r="F29" s="13" t="s">
        <v>1285</v>
      </c>
      <c r="G29" s="13" t="s">
        <v>1198</v>
      </c>
      <c r="H29" s="13" t="s">
        <v>358</v>
      </c>
      <c r="I29" s="13" t="s">
        <v>1199</v>
      </c>
      <c r="M29" t="s">
        <v>2827</v>
      </c>
    </row>
    <row r="30" spans="1:13" ht="16.5" customHeight="1" x14ac:dyDescent="0.25">
      <c r="A30" s="6" t="s">
        <v>1324</v>
      </c>
      <c r="B30" s="7" t="s">
        <v>639</v>
      </c>
      <c r="C30" s="7" t="s">
        <v>391</v>
      </c>
      <c r="D30" s="7" t="s">
        <v>641</v>
      </c>
      <c r="E30" s="7" t="s">
        <v>642</v>
      </c>
      <c r="F30" s="7" t="s">
        <v>1325</v>
      </c>
      <c r="G30" s="7" t="s">
        <v>1326</v>
      </c>
      <c r="H30" s="7" t="s">
        <v>358</v>
      </c>
      <c r="I30" s="7" t="s">
        <v>1325</v>
      </c>
      <c r="M30" t="s">
        <v>2827</v>
      </c>
    </row>
    <row r="31" spans="1:13" ht="16.5" customHeight="1" x14ac:dyDescent="0.25">
      <c r="A31" s="12" t="s">
        <v>1326</v>
      </c>
      <c r="B31" s="13" t="s">
        <v>639</v>
      </c>
      <c r="C31" s="13" t="s">
        <v>391</v>
      </c>
      <c r="D31" s="13" t="s">
        <v>641</v>
      </c>
      <c r="E31" s="13" t="s">
        <v>642</v>
      </c>
      <c r="F31" s="13" t="s">
        <v>1325</v>
      </c>
      <c r="G31" s="13" t="s">
        <v>1201</v>
      </c>
      <c r="H31" s="13" t="s">
        <v>358</v>
      </c>
      <c r="I31" s="13" t="s">
        <v>900</v>
      </c>
      <c r="M31" t="s">
        <v>2827</v>
      </c>
    </row>
    <row r="32" spans="1:13" ht="16.5" customHeight="1" x14ac:dyDescent="0.25">
      <c r="A32" s="6" t="s">
        <v>1329</v>
      </c>
      <c r="B32" s="7" t="s">
        <v>660</v>
      </c>
      <c r="C32" s="7" t="s">
        <v>1328</v>
      </c>
      <c r="D32" s="7" t="s">
        <v>662</v>
      </c>
      <c r="E32" s="7" t="s">
        <v>663</v>
      </c>
      <c r="F32" s="7" t="s">
        <v>831</v>
      </c>
      <c r="G32" s="7" t="s">
        <v>1327</v>
      </c>
      <c r="H32" s="7" t="s">
        <v>358</v>
      </c>
      <c r="I32" s="7" t="s">
        <v>930</v>
      </c>
      <c r="M32" t="s">
        <v>2827</v>
      </c>
    </row>
    <row r="33" spans="1:13" ht="16.5" customHeight="1" x14ac:dyDescent="0.25">
      <c r="A33" s="12" t="s">
        <v>1332</v>
      </c>
      <c r="B33" s="13" t="s">
        <v>660</v>
      </c>
      <c r="C33" s="13" t="s">
        <v>1331</v>
      </c>
      <c r="D33" s="13" t="s">
        <v>662</v>
      </c>
      <c r="E33" s="13" t="s">
        <v>663</v>
      </c>
      <c r="F33" s="13" t="s">
        <v>831</v>
      </c>
      <c r="G33" s="13" t="s">
        <v>1330</v>
      </c>
      <c r="H33" s="13" t="s">
        <v>358</v>
      </c>
      <c r="I33" s="13" t="s">
        <v>837</v>
      </c>
      <c r="M33" t="s">
        <v>2827</v>
      </c>
    </row>
    <row r="34" spans="1:13" ht="16.5" customHeight="1" x14ac:dyDescent="0.25">
      <c r="A34" s="6" t="s">
        <v>1333</v>
      </c>
      <c r="B34" s="7" t="s">
        <v>660</v>
      </c>
      <c r="C34" s="7" t="s">
        <v>1334</v>
      </c>
      <c r="D34" s="7" t="s">
        <v>865</v>
      </c>
      <c r="E34" s="7" t="s">
        <v>663</v>
      </c>
      <c r="F34" s="7" t="s">
        <v>1335</v>
      </c>
      <c r="G34" s="7" t="s">
        <v>1336</v>
      </c>
      <c r="H34" s="7" t="s">
        <v>358</v>
      </c>
      <c r="I34" s="7" t="s">
        <v>1335</v>
      </c>
      <c r="M34" t="s">
        <v>2827</v>
      </c>
    </row>
    <row r="35" spans="1:13" ht="17.25" customHeight="1" x14ac:dyDescent="0.25">
      <c r="A35" s="12" t="s">
        <v>1337</v>
      </c>
      <c r="B35" s="13" t="s">
        <v>660</v>
      </c>
      <c r="C35" s="13" t="s">
        <v>1338</v>
      </c>
      <c r="D35" s="13" t="s">
        <v>662</v>
      </c>
      <c r="E35" s="13" t="s">
        <v>697</v>
      </c>
      <c r="F35" s="13" t="s">
        <v>1339</v>
      </c>
      <c r="G35" s="13" t="s">
        <v>1340</v>
      </c>
      <c r="H35" s="13" t="s">
        <v>358</v>
      </c>
      <c r="I35" s="13" t="s">
        <v>1204</v>
      </c>
      <c r="M35" t="s">
        <v>2827</v>
      </c>
    </row>
    <row r="36" spans="1:13" ht="16.5" customHeight="1" x14ac:dyDescent="0.25">
      <c r="A36" s="6" t="s">
        <v>1337</v>
      </c>
      <c r="B36" s="7" t="s">
        <v>660</v>
      </c>
      <c r="C36" s="7" t="s">
        <v>1341</v>
      </c>
      <c r="D36" s="7" t="s">
        <v>662</v>
      </c>
      <c r="E36" s="7" t="s">
        <v>663</v>
      </c>
      <c r="F36" s="7" t="s">
        <v>1339</v>
      </c>
      <c r="G36" s="7" t="s">
        <v>1342</v>
      </c>
      <c r="H36" s="7" t="s">
        <v>358</v>
      </c>
      <c r="I36" s="7" t="s">
        <v>1304</v>
      </c>
      <c r="M36" t="s">
        <v>2827</v>
      </c>
    </row>
    <row r="37" spans="1:13" ht="16.5" customHeight="1" x14ac:dyDescent="0.25">
      <c r="A37" s="12" t="s">
        <v>1343</v>
      </c>
      <c r="B37" s="13" t="s">
        <v>660</v>
      </c>
      <c r="C37" s="13" t="s">
        <v>1344</v>
      </c>
      <c r="D37" s="13" t="s">
        <v>662</v>
      </c>
      <c r="E37" s="13" t="s">
        <v>697</v>
      </c>
      <c r="F37" s="13" t="s">
        <v>1339</v>
      </c>
      <c r="G37" s="13" t="s">
        <v>1345</v>
      </c>
      <c r="H37" s="13" t="s">
        <v>358</v>
      </c>
      <c r="I37" s="13" t="s">
        <v>1204</v>
      </c>
      <c r="M37" t="s">
        <v>2827</v>
      </c>
    </row>
    <row r="38" spans="1:13" ht="16.5" customHeight="1" x14ac:dyDescent="0.25">
      <c r="A38" s="6" t="s">
        <v>1343</v>
      </c>
      <c r="B38" s="7" t="s">
        <v>660</v>
      </c>
      <c r="C38" s="7" t="s">
        <v>1346</v>
      </c>
      <c r="D38" s="7" t="s">
        <v>662</v>
      </c>
      <c r="E38" s="7" t="s">
        <v>663</v>
      </c>
      <c r="F38" s="7" t="s">
        <v>1339</v>
      </c>
      <c r="G38" s="7" t="s">
        <v>1347</v>
      </c>
      <c r="H38" s="7" t="s">
        <v>358</v>
      </c>
      <c r="I38" s="7" t="s">
        <v>1304</v>
      </c>
      <c r="M38" t="s">
        <v>2827</v>
      </c>
    </row>
    <row r="39" spans="1:13" ht="16.5" customHeight="1" x14ac:dyDescent="0.25">
      <c r="A39" s="12" t="s">
        <v>1340</v>
      </c>
      <c r="B39" s="13" t="s">
        <v>660</v>
      </c>
      <c r="C39" s="13" t="s">
        <v>1348</v>
      </c>
      <c r="D39" s="13" t="s">
        <v>662</v>
      </c>
      <c r="E39" s="13" t="s">
        <v>697</v>
      </c>
      <c r="F39" s="13" t="s">
        <v>1204</v>
      </c>
      <c r="G39" s="13" t="s">
        <v>1349</v>
      </c>
      <c r="H39" s="13" t="s">
        <v>358</v>
      </c>
      <c r="I39" s="13" t="s">
        <v>1204</v>
      </c>
      <c r="M39" t="s">
        <v>2827</v>
      </c>
    </row>
    <row r="40" spans="1:13" ht="16.5" customHeight="1" x14ac:dyDescent="0.25">
      <c r="A40" s="6" t="s">
        <v>1350</v>
      </c>
      <c r="B40" s="7" t="s">
        <v>660</v>
      </c>
      <c r="C40" s="7" t="s">
        <v>676</v>
      </c>
      <c r="D40" s="5"/>
      <c r="E40" s="5"/>
      <c r="F40" s="7" t="s">
        <v>1204</v>
      </c>
      <c r="G40" s="7" t="s">
        <v>1351</v>
      </c>
      <c r="H40" s="7" t="s">
        <v>358</v>
      </c>
      <c r="I40" s="7" t="s">
        <v>1204</v>
      </c>
      <c r="M40" t="s">
        <v>2827</v>
      </c>
    </row>
    <row r="41" spans="1:13" ht="16.5" customHeight="1" x14ac:dyDescent="0.25">
      <c r="A41" s="12" t="s">
        <v>1345</v>
      </c>
      <c r="B41" s="13" t="s">
        <v>660</v>
      </c>
      <c r="C41" s="13" t="s">
        <v>1352</v>
      </c>
      <c r="D41" s="13" t="s">
        <v>662</v>
      </c>
      <c r="E41" s="13" t="s">
        <v>697</v>
      </c>
      <c r="F41" s="13" t="s">
        <v>1204</v>
      </c>
      <c r="G41" s="13" t="s">
        <v>1353</v>
      </c>
      <c r="H41" s="13" t="s">
        <v>358</v>
      </c>
      <c r="I41" s="13" t="s">
        <v>1204</v>
      </c>
      <c r="M41" t="s">
        <v>2827</v>
      </c>
    </row>
    <row r="42" spans="1:13" ht="16.5" customHeight="1" x14ac:dyDescent="0.25">
      <c r="A42" s="6" t="s">
        <v>1349</v>
      </c>
      <c r="B42" s="7" t="s">
        <v>660</v>
      </c>
      <c r="C42" s="7" t="s">
        <v>1354</v>
      </c>
      <c r="D42" s="7" t="s">
        <v>662</v>
      </c>
      <c r="E42" s="7" t="s">
        <v>697</v>
      </c>
      <c r="F42" s="7" t="s">
        <v>1204</v>
      </c>
      <c r="G42" s="7" t="s">
        <v>1355</v>
      </c>
      <c r="H42" s="7" t="s">
        <v>358</v>
      </c>
      <c r="I42" s="7" t="s">
        <v>1356</v>
      </c>
      <c r="M42" t="s">
        <v>2827</v>
      </c>
    </row>
    <row r="43" spans="1:13" ht="16.5" customHeight="1" x14ac:dyDescent="0.25">
      <c r="A43" s="12" t="s">
        <v>1357</v>
      </c>
      <c r="B43" s="13" t="s">
        <v>660</v>
      </c>
      <c r="C43" s="13" t="s">
        <v>676</v>
      </c>
      <c r="D43" s="14"/>
      <c r="E43" s="14"/>
      <c r="F43" s="13" t="s">
        <v>1204</v>
      </c>
      <c r="G43" s="13" t="s">
        <v>1358</v>
      </c>
      <c r="H43" s="13" t="s">
        <v>358</v>
      </c>
      <c r="I43" s="13" t="s">
        <v>1356</v>
      </c>
      <c r="M43" t="s">
        <v>2827</v>
      </c>
    </row>
    <row r="44" spans="1:13" ht="16.5" customHeight="1" x14ac:dyDescent="0.25">
      <c r="A44" s="6" t="s">
        <v>1205</v>
      </c>
      <c r="B44" s="7" t="s">
        <v>660</v>
      </c>
      <c r="C44" s="7" t="s">
        <v>1359</v>
      </c>
      <c r="D44" s="7" t="s">
        <v>716</v>
      </c>
      <c r="E44" s="7" t="s">
        <v>673</v>
      </c>
      <c r="F44" s="7" t="s">
        <v>1204</v>
      </c>
      <c r="G44" s="7" t="s">
        <v>1360</v>
      </c>
      <c r="H44" s="7" t="s">
        <v>358</v>
      </c>
      <c r="I44" s="7" t="s">
        <v>1356</v>
      </c>
      <c r="M44" t="s">
        <v>2827</v>
      </c>
    </row>
    <row r="45" spans="1:13" ht="16.5" customHeight="1" x14ac:dyDescent="0.25">
      <c r="A45" s="12" t="s">
        <v>1205</v>
      </c>
      <c r="B45" s="13" t="s">
        <v>660</v>
      </c>
      <c r="C45" s="13" t="s">
        <v>1203</v>
      </c>
      <c r="D45" s="13" t="s">
        <v>716</v>
      </c>
      <c r="E45" s="13" t="s">
        <v>673</v>
      </c>
      <c r="F45" s="13" t="s">
        <v>1204</v>
      </c>
      <c r="G45" s="13" t="s">
        <v>1361</v>
      </c>
      <c r="H45" s="13" t="s">
        <v>358</v>
      </c>
      <c r="I45" s="13" t="s">
        <v>1304</v>
      </c>
      <c r="M45" t="s">
        <v>2827</v>
      </c>
    </row>
    <row r="46" spans="1:13" ht="16.5" customHeight="1" x14ac:dyDescent="0.25">
      <c r="A46" s="6" t="s">
        <v>1353</v>
      </c>
      <c r="B46" s="7" t="s">
        <v>660</v>
      </c>
      <c r="C46" s="7" t="s">
        <v>1362</v>
      </c>
      <c r="D46" s="7" t="s">
        <v>662</v>
      </c>
      <c r="E46" s="7" t="s">
        <v>697</v>
      </c>
      <c r="F46" s="7" t="s">
        <v>1204</v>
      </c>
      <c r="G46" s="7" t="s">
        <v>1363</v>
      </c>
      <c r="H46" s="7" t="s">
        <v>358</v>
      </c>
      <c r="I46" s="7" t="s">
        <v>1356</v>
      </c>
      <c r="M46" t="s">
        <v>2827</v>
      </c>
    </row>
    <row r="47" spans="1:13" ht="17.25" customHeight="1" x14ac:dyDescent="0.25">
      <c r="A47" s="12" t="s">
        <v>1355</v>
      </c>
      <c r="B47" s="13" t="s">
        <v>660</v>
      </c>
      <c r="C47" s="13" t="s">
        <v>1364</v>
      </c>
      <c r="D47" s="13" t="s">
        <v>662</v>
      </c>
      <c r="E47" s="13" t="s">
        <v>697</v>
      </c>
      <c r="F47" s="13" t="s">
        <v>1356</v>
      </c>
      <c r="G47" s="13" t="s">
        <v>1365</v>
      </c>
      <c r="H47" s="13" t="s">
        <v>358</v>
      </c>
      <c r="I47" s="13" t="s">
        <v>1356</v>
      </c>
      <c r="M47" t="s">
        <v>2827</v>
      </c>
    </row>
    <row r="48" spans="1:13" ht="16.5" customHeight="1" x14ac:dyDescent="0.25">
      <c r="A48" s="6" t="s">
        <v>1366</v>
      </c>
      <c r="B48" s="7" t="s">
        <v>660</v>
      </c>
      <c r="C48" s="7" t="s">
        <v>676</v>
      </c>
      <c r="D48" s="5"/>
      <c r="E48" s="5"/>
      <c r="F48" s="7" t="s">
        <v>1356</v>
      </c>
      <c r="G48" s="7" t="s">
        <v>1367</v>
      </c>
      <c r="H48" s="7" t="s">
        <v>358</v>
      </c>
      <c r="I48" s="7" t="s">
        <v>1356</v>
      </c>
      <c r="M48" t="s">
        <v>2827</v>
      </c>
    </row>
    <row r="49" spans="1:13" ht="16.5" customHeight="1" x14ac:dyDescent="0.25">
      <c r="A49" s="12" t="s">
        <v>1360</v>
      </c>
      <c r="B49" s="13" t="s">
        <v>660</v>
      </c>
      <c r="C49" s="13" t="s">
        <v>1368</v>
      </c>
      <c r="D49" s="13" t="s">
        <v>716</v>
      </c>
      <c r="E49" s="13" t="s">
        <v>673</v>
      </c>
      <c r="F49" s="13" t="s">
        <v>1356</v>
      </c>
      <c r="G49" s="13" t="s">
        <v>1369</v>
      </c>
      <c r="H49" s="13" t="s">
        <v>358</v>
      </c>
      <c r="I49" s="13" t="s">
        <v>1356</v>
      </c>
      <c r="M49" t="s">
        <v>2827</v>
      </c>
    </row>
    <row r="50" spans="1:13" ht="16.5" customHeight="1" x14ac:dyDescent="0.25">
      <c r="A50" s="6" t="s">
        <v>1363</v>
      </c>
      <c r="B50" s="7" t="s">
        <v>660</v>
      </c>
      <c r="C50" s="7" t="s">
        <v>1370</v>
      </c>
      <c r="D50" s="7" t="s">
        <v>662</v>
      </c>
      <c r="E50" s="7" t="s">
        <v>697</v>
      </c>
      <c r="F50" s="7" t="s">
        <v>1356</v>
      </c>
      <c r="G50" s="7" t="s">
        <v>1371</v>
      </c>
      <c r="H50" s="7" t="s">
        <v>358</v>
      </c>
      <c r="I50" s="7" t="s">
        <v>1356</v>
      </c>
      <c r="M50" t="s">
        <v>2827</v>
      </c>
    </row>
    <row r="51" spans="1:13" ht="16.5" customHeight="1" x14ac:dyDescent="0.25">
      <c r="A51" s="12" t="s">
        <v>1365</v>
      </c>
      <c r="B51" s="13" t="s">
        <v>660</v>
      </c>
      <c r="C51" s="13" t="s">
        <v>1372</v>
      </c>
      <c r="D51" s="13" t="s">
        <v>662</v>
      </c>
      <c r="E51" s="13" t="s">
        <v>697</v>
      </c>
      <c r="F51" s="13" t="s">
        <v>1356</v>
      </c>
      <c r="G51" s="13" t="s">
        <v>1373</v>
      </c>
      <c r="H51" s="13" t="s">
        <v>358</v>
      </c>
      <c r="I51" s="13" t="s">
        <v>1374</v>
      </c>
      <c r="M51" t="s">
        <v>2827</v>
      </c>
    </row>
    <row r="52" spans="1:13" ht="16.5" customHeight="1" x14ac:dyDescent="0.25">
      <c r="A52" s="6" t="s">
        <v>1375</v>
      </c>
      <c r="B52" s="7" t="s">
        <v>660</v>
      </c>
      <c r="C52" s="7" t="s">
        <v>676</v>
      </c>
      <c r="D52" s="5"/>
      <c r="E52" s="5"/>
      <c r="F52" s="7" t="s">
        <v>1356</v>
      </c>
      <c r="G52" s="7" t="s">
        <v>1376</v>
      </c>
      <c r="H52" s="7" t="s">
        <v>358</v>
      </c>
      <c r="I52" s="7" t="s">
        <v>1374</v>
      </c>
      <c r="M52" t="s">
        <v>2827</v>
      </c>
    </row>
    <row r="53" spans="1:13" ht="16.5" customHeight="1" x14ac:dyDescent="0.25">
      <c r="A53" s="12" t="s">
        <v>1369</v>
      </c>
      <c r="B53" s="13" t="s">
        <v>660</v>
      </c>
      <c r="C53" s="13" t="s">
        <v>1377</v>
      </c>
      <c r="D53" s="13" t="s">
        <v>716</v>
      </c>
      <c r="E53" s="13" t="s">
        <v>673</v>
      </c>
      <c r="F53" s="13" t="s">
        <v>1356</v>
      </c>
      <c r="G53" s="13" t="s">
        <v>1378</v>
      </c>
      <c r="H53" s="13" t="s">
        <v>358</v>
      </c>
      <c r="I53" s="13" t="s">
        <v>1374</v>
      </c>
      <c r="M53" t="s">
        <v>2827</v>
      </c>
    </row>
    <row r="54" spans="1:13" ht="16.5" customHeight="1" x14ac:dyDescent="0.25">
      <c r="A54" s="6" t="s">
        <v>1371</v>
      </c>
      <c r="B54" s="7" t="s">
        <v>660</v>
      </c>
      <c r="C54" s="7" t="s">
        <v>1379</v>
      </c>
      <c r="D54" s="7" t="s">
        <v>662</v>
      </c>
      <c r="E54" s="7" t="s">
        <v>697</v>
      </c>
      <c r="F54" s="7" t="s">
        <v>1356</v>
      </c>
      <c r="G54" s="7" t="s">
        <v>1380</v>
      </c>
      <c r="H54" s="7" t="s">
        <v>358</v>
      </c>
      <c r="I54" s="7" t="s">
        <v>1374</v>
      </c>
      <c r="M54" t="s">
        <v>2827</v>
      </c>
    </row>
    <row r="55" spans="1:13" ht="16.5" customHeight="1" x14ac:dyDescent="0.25">
      <c r="A55" s="12" t="s">
        <v>1381</v>
      </c>
      <c r="B55" s="13" t="s">
        <v>660</v>
      </c>
      <c r="C55" s="13" t="s">
        <v>640</v>
      </c>
      <c r="D55" s="13" t="s">
        <v>662</v>
      </c>
      <c r="E55" s="13" t="s">
        <v>673</v>
      </c>
      <c r="F55" s="13" t="s">
        <v>1382</v>
      </c>
      <c r="G55" s="13" t="s">
        <v>1383</v>
      </c>
      <c r="H55" s="13" t="s">
        <v>358</v>
      </c>
      <c r="I55" s="13" t="s">
        <v>1384</v>
      </c>
      <c r="M55" t="s">
        <v>2827</v>
      </c>
    </row>
    <row r="56" spans="1:13" ht="16.5" customHeight="1" x14ac:dyDescent="0.25">
      <c r="A56" s="6" t="s">
        <v>1373</v>
      </c>
      <c r="B56" s="7" t="s">
        <v>660</v>
      </c>
      <c r="C56" s="7" t="s">
        <v>1385</v>
      </c>
      <c r="D56" s="7" t="s">
        <v>662</v>
      </c>
      <c r="E56" s="7" t="s">
        <v>697</v>
      </c>
      <c r="F56" s="7" t="s">
        <v>1374</v>
      </c>
      <c r="G56" s="7" t="s">
        <v>1386</v>
      </c>
      <c r="H56" s="7" t="s">
        <v>358</v>
      </c>
      <c r="I56" s="7" t="s">
        <v>1387</v>
      </c>
      <c r="M56" t="s">
        <v>2827</v>
      </c>
    </row>
    <row r="57" spans="1:13" ht="16.5" customHeight="1" x14ac:dyDescent="0.25">
      <c r="A57" s="12" t="s">
        <v>1388</v>
      </c>
      <c r="B57" s="13" t="s">
        <v>660</v>
      </c>
      <c r="C57" s="13" t="s">
        <v>676</v>
      </c>
      <c r="D57" s="14"/>
      <c r="E57" s="14"/>
      <c r="F57" s="13" t="s">
        <v>1374</v>
      </c>
      <c r="G57" s="13" t="s">
        <v>1389</v>
      </c>
      <c r="H57" s="13" t="s">
        <v>358</v>
      </c>
      <c r="I57" s="13" t="s">
        <v>1387</v>
      </c>
      <c r="M57" t="s">
        <v>2827</v>
      </c>
    </row>
    <row r="58" spans="1:13" ht="16.5" customHeight="1" x14ac:dyDescent="0.25">
      <c r="A58" s="6" t="s">
        <v>1380</v>
      </c>
      <c r="B58" s="7" t="s">
        <v>660</v>
      </c>
      <c r="C58" s="7" t="s">
        <v>1390</v>
      </c>
      <c r="D58" s="7" t="s">
        <v>662</v>
      </c>
      <c r="E58" s="7" t="s">
        <v>697</v>
      </c>
      <c r="F58" s="7" t="s">
        <v>1374</v>
      </c>
      <c r="G58" s="7" t="s">
        <v>1391</v>
      </c>
      <c r="H58" s="7" t="s">
        <v>358</v>
      </c>
      <c r="I58" s="7" t="s">
        <v>1387</v>
      </c>
      <c r="M58" t="s">
        <v>2827</v>
      </c>
    </row>
    <row r="59" spans="1:13" ht="16.5" customHeight="1" x14ac:dyDescent="0.25">
      <c r="A59" s="12" t="s">
        <v>1395</v>
      </c>
      <c r="B59" s="13" t="s">
        <v>660</v>
      </c>
      <c r="C59" s="13" t="s">
        <v>1393</v>
      </c>
      <c r="D59" s="13" t="s">
        <v>662</v>
      </c>
      <c r="E59" s="13" t="s">
        <v>663</v>
      </c>
      <c r="F59" s="13" t="s">
        <v>1394</v>
      </c>
      <c r="G59" s="13" t="s">
        <v>1392</v>
      </c>
      <c r="H59" s="13" t="s">
        <v>358</v>
      </c>
      <c r="I59" s="13" t="s">
        <v>1396</v>
      </c>
      <c r="M59" t="s">
        <v>2827</v>
      </c>
    </row>
    <row r="60" spans="1:13" ht="17.25" customHeight="1" x14ac:dyDescent="0.25">
      <c r="A60" s="6" t="s">
        <v>1399</v>
      </c>
      <c r="B60" s="7" t="s">
        <v>660</v>
      </c>
      <c r="C60" s="7" t="s">
        <v>1398</v>
      </c>
      <c r="D60" s="7" t="s">
        <v>662</v>
      </c>
      <c r="E60" s="7" t="s">
        <v>663</v>
      </c>
      <c r="F60" s="7" t="s">
        <v>1394</v>
      </c>
      <c r="G60" s="7" t="s">
        <v>1397</v>
      </c>
      <c r="H60" s="7" t="s">
        <v>358</v>
      </c>
      <c r="I60" s="7" t="s">
        <v>1396</v>
      </c>
      <c r="M60" t="s">
        <v>2827</v>
      </c>
    </row>
    <row r="61" spans="1:13" ht="16.5" customHeight="1" x14ac:dyDescent="0.25">
      <c r="A61" s="12" t="s">
        <v>1403</v>
      </c>
      <c r="B61" s="13" t="s">
        <v>660</v>
      </c>
      <c r="C61" s="13" t="s">
        <v>1401</v>
      </c>
      <c r="D61" s="13" t="s">
        <v>662</v>
      </c>
      <c r="E61" s="13" t="s">
        <v>663</v>
      </c>
      <c r="F61" s="13" t="s">
        <v>1402</v>
      </c>
      <c r="G61" s="13" t="s">
        <v>1400</v>
      </c>
      <c r="H61" s="13" t="s">
        <v>358</v>
      </c>
      <c r="I61" s="13" t="s">
        <v>1402</v>
      </c>
      <c r="M61" t="s">
        <v>2827</v>
      </c>
    </row>
    <row r="62" spans="1:13" ht="16.5" customHeight="1" x14ac:dyDescent="0.25">
      <c r="A62" s="6" t="s">
        <v>1404</v>
      </c>
      <c r="B62" s="7" t="s">
        <v>660</v>
      </c>
      <c r="C62" s="7" t="s">
        <v>1405</v>
      </c>
      <c r="D62" s="7" t="s">
        <v>662</v>
      </c>
      <c r="E62" s="7" t="s">
        <v>663</v>
      </c>
      <c r="F62" s="7" t="s">
        <v>1406</v>
      </c>
      <c r="G62" s="7" t="s">
        <v>1407</v>
      </c>
      <c r="H62" s="7" t="s">
        <v>358</v>
      </c>
      <c r="I62" s="7" t="s">
        <v>1408</v>
      </c>
      <c r="M62" t="s">
        <v>2827</v>
      </c>
    </row>
    <row r="63" spans="1:13" ht="16.5" customHeight="1" x14ac:dyDescent="0.25">
      <c r="A63" s="12" t="s">
        <v>1411</v>
      </c>
      <c r="B63" s="13" t="s">
        <v>660</v>
      </c>
      <c r="C63" s="13" t="s">
        <v>1410</v>
      </c>
      <c r="D63" s="13" t="s">
        <v>662</v>
      </c>
      <c r="E63" s="13" t="s">
        <v>663</v>
      </c>
      <c r="F63" s="13" t="s">
        <v>1402</v>
      </c>
      <c r="G63" s="13" t="s">
        <v>1409</v>
      </c>
      <c r="H63" s="13" t="s">
        <v>358</v>
      </c>
      <c r="I63" s="13" t="s">
        <v>1402</v>
      </c>
      <c r="M63" t="s">
        <v>2827</v>
      </c>
    </row>
    <row r="64" spans="1:13" ht="16.5" customHeight="1" x14ac:dyDescent="0.25">
      <c r="A64" s="6" t="s">
        <v>1412</v>
      </c>
      <c r="B64" s="7" t="s">
        <v>660</v>
      </c>
      <c r="C64" s="7" t="s">
        <v>1413</v>
      </c>
      <c r="D64" s="7" t="s">
        <v>662</v>
      </c>
      <c r="E64" s="7" t="s">
        <v>663</v>
      </c>
      <c r="F64" s="7" t="s">
        <v>1406</v>
      </c>
      <c r="G64" s="7" t="s">
        <v>1414</v>
      </c>
      <c r="H64" s="7" t="s">
        <v>358</v>
      </c>
      <c r="I64" s="7" t="s">
        <v>1408</v>
      </c>
      <c r="M64" t="s">
        <v>2827</v>
      </c>
    </row>
    <row r="65" spans="1:13" ht="16.5" customHeight="1" x14ac:dyDescent="0.25">
      <c r="A65" s="12" t="s">
        <v>1415</v>
      </c>
      <c r="B65" s="13" t="s">
        <v>660</v>
      </c>
      <c r="C65" s="13" t="s">
        <v>1416</v>
      </c>
      <c r="D65" s="13" t="s">
        <v>662</v>
      </c>
      <c r="E65" s="13" t="s">
        <v>697</v>
      </c>
      <c r="F65" s="13" t="s">
        <v>1417</v>
      </c>
      <c r="G65" s="13" t="s">
        <v>1418</v>
      </c>
      <c r="H65" s="13" t="s">
        <v>358</v>
      </c>
      <c r="I65" s="13" t="s">
        <v>1208</v>
      </c>
      <c r="M65" t="s">
        <v>2827</v>
      </c>
    </row>
    <row r="66" spans="1:13" ht="16.5" customHeight="1" x14ac:dyDescent="0.25">
      <c r="A66" s="6" t="s">
        <v>1415</v>
      </c>
      <c r="B66" s="7" t="s">
        <v>660</v>
      </c>
      <c r="C66" s="7" t="s">
        <v>1419</v>
      </c>
      <c r="D66" s="7" t="s">
        <v>662</v>
      </c>
      <c r="E66" s="7" t="s">
        <v>663</v>
      </c>
      <c r="F66" s="7" t="s">
        <v>1417</v>
      </c>
      <c r="G66" s="7" t="s">
        <v>1420</v>
      </c>
      <c r="H66" s="7" t="s">
        <v>358</v>
      </c>
      <c r="I66" s="7" t="s">
        <v>1421</v>
      </c>
      <c r="M66" t="s">
        <v>2827</v>
      </c>
    </row>
    <row r="67" spans="1:13" ht="16.5" customHeight="1" x14ac:dyDescent="0.25">
      <c r="A67" s="12" t="s">
        <v>1422</v>
      </c>
      <c r="B67" s="13" t="s">
        <v>660</v>
      </c>
      <c r="C67" s="13" t="s">
        <v>676</v>
      </c>
      <c r="D67" s="14"/>
      <c r="E67" s="14"/>
      <c r="F67" s="13" t="s">
        <v>1417</v>
      </c>
      <c r="G67" s="13" t="s">
        <v>1423</v>
      </c>
      <c r="H67" s="13" t="s">
        <v>358</v>
      </c>
      <c r="I67" s="13" t="s">
        <v>1424</v>
      </c>
      <c r="M67" t="s">
        <v>2827</v>
      </c>
    </row>
    <row r="68" spans="1:13" ht="16.5" customHeight="1" x14ac:dyDescent="0.25">
      <c r="A68" s="6" t="s">
        <v>1425</v>
      </c>
      <c r="B68" s="7" t="s">
        <v>660</v>
      </c>
      <c r="C68" s="7" t="s">
        <v>1426</v>
      </c>
      <c r="D68" s="7" t="s">
        <v>662</v>
      </c>
      <c r="E68" s="7" t="s">
        <v>673</v>
      </c>
      <c r="F68" s="7" t="s">
        <v>1417</v>
      </c>
      <c r="G68" s="7" t="s">
        <v>1427</v>
      </c>
      <c r="H68" s="7" t="s">
        <v>358</v>
      </c>
      <c r="I68" s="7" t="s">
        <v>1208</v>
      </c>
      <c r="M68" t="s">
        <v>2827</v>
      </c>
    </row>
    <row r="69" spans="1:13" ht="16.5" customHeight="1" x14ac:dyDescent="0.25">
      <c r="A69" s="12" t="s">
        <v>1425</v>
      </c>
      <c r="B69" s="13" t="s">
        <v>660</v>
      </c>
      <c r="C69" s="13" t="s">
        <v>1428</v>
      </c>
      <c r="D69" s="13" t="s">
        <v>662</v>
      </c>
      <c r="E69" s="13" t="s">
        <v>663</v>
      </c>
      <c r="F69" s="13" t="s">
        <v>1417</v>
      </c>
      <c r="G69" s="13" t="s">
        <v>1429</v>
      </c>
      <c r="H69" s="13" t="s">
        <v>358</v>
      </c>
      <c r="I69" s="13" t="s">
        <v>1421</v>
      </c>
      <c r="M69" t="s">
        <v>2827</v>
      </c>
    </row>
    <row r="70" spans="1:13" ht="16.5" customHeight="1" x14ac:dyDescent="0.25">
      <c r="A70" s="6" t="s">
        <v>1433</v>
      </c>
      <c r="B70" s="7" t="s">
        <v>660</v>
      </c>
      <c r="C70" s="7" t="s">
        <v>1431</v>
      </c>
      <c r="D70" s="7" t="s">
        <v>662</v>
      </c>
      <c r="E70" s="7" t="s">
        <v>663</v>
      </c>
      <c r="F70" s="7" t="s">
        <v>1432</v>
      </c>
      <c r="G70" s="7" t="s">
        <v>1430</v>
      </c>
      <c r="H70" s="7" t="s">
        <v>358</v>
      </c>
      <c r="I70" s="7" t="s">
        <v>1178</v>
      </c>
      <c r="M70" t="s">
        <v>2827</v>
      </c>
    </row>
    <row r="71" spans="1:13" ht="16.5" customHeight="1" x14ac:dyDescent="0.25">
      <c r="A71" s="12" t="s">
        <v>1437</v>
      </c>
      <c r="B71" s="13" t="s">
        <v>660</v>
      </c>
      <c r="C71" s="13" t="s">
        <v>1435</v>
      </c>
      <c r="D71" s="13" t="s">
        <v>662</v>
      </c>
      <c r="E71" s="13" t="s">
        <v>663</v>
      </c>
      <c r="F71" s="13" t="s">
        <v>1436</v>
      </c>
      <c r="G71" s="13" t="s">
        <v>1434</v>
      </c>
      <c r="H71" s="13" t="s">
        <v>358</v>
      </c>
      <c r="I71" s="13" t="s">
        <v>1438</v>
      </c>
      <c r="M71" t="s">
        <v>2827</v>
      </c>
    </row>
    <row r="72" spans="1:13" ht="17.25" customHeight="1" x14ac:dyDescent="0.25">
      <c r="A72" s="6" t="s">
        <v>1442</v>
      </c>
      <c r="B72" s="7" t="s">
        <v>660</v>
      </c>
      <c r="C72" s="7" t="s">
        <v>1440</v>
      </c>
      <c r="D72" s="7" t="s">
        <v>662</v>
      </c>
      <c r="E72" s="7" t="s">
        <v>663</v>
      </c>
      <c r="F72" s="7" t="s">
        <v>1441</v>
      </c>
      <c r="G72" s="7" t="s">
        <v>1439</v>
      </c>
      <c r="H72" s="7" t="s">
        <v>358</v>
      </c>
      <c r="I72" s="7" t="s">
        <v>1443</v>
      </c>
      <c r="M72" t="s">
        <v>2827</v>
      </c>
    </row>
    <row r="73" spans="1:13" ht="16.5" customHeight="1" x14ac:dyDescent="0.25">
      <c r="A73" s="12" t="s">
        <v>1446</v>
      </c>
      <c r="B73" s="13" t="s">
        <v>660</v>
      </c>
      <c r="C73" s="13" t="s">
        <v>1445</v>
      </c>
      <c r="D73" s="13" t="s">
        <v>662</v>
      </c>
      <c r="E73" s="13" t="s">
        <v>663</v>
      </c>
      <c r="F73" s="13" t="s">
        <v>1436</v>
      </c>
      <c r="G73" s="13" t="s">
        <v>1444</v>
      </c>
      <c r="H73" s="13" t="s">
        <v>358</v>
      </c>
      <c r="I73" s="13" t="s">
        <v>1447</v>
      </c>
      <c r="M73" t="s">
        <v>2827</v>
      </c>
    </row>
    <row r="74" spans="1:13" ht="16.5" customHeight="1" x14ac:dyDescent="0.25">
      <c r="A74" s="6" t="s">
        <v>1451</v>
      </c>
      <c r="B74" s="7" t="s">
        <v>660</v>
      </c>
      <c r="C74" s="7" t="s">
        <v>1449</v>
      </c>
      <c r="D74" s="7" t="s">
        <v>662</v>
      </c>
      <c r="E74" s="7" t="s">
        <v>663</v>
      </c>
      <c r="F74" s="7" t="s">
        <v>1450</v>
      </c>
      <c r="G74" s="7" t="s">
        <v>1448</v>
      </c>
      <c r="H74" s="7" t="s">
        <v>358</v>
      </c>
      <c r="I74" s="7" t="s">
        <v>1452</v>
      </c>
      <c r="M74" t="s">
        <v>2827</v>
      </c>
    </row>
    <row r="75" spans="1:13" ht="16.5" customHeight="1" x14ac:dyDescent="0.25">
      <c r="A75" s="12" t="s">
        <v>1455</v>
      </c>
      <c r="B75" s="13" t="s">
        <v>660</v>
      </c>
      <c r="C75" s="13" t="s">
        <v>1454</v>
      </c>
      <c r="D75" s="13" t="s">
        <v>662</v>
      </c>
      <c r="E75" s="13" t="s">
        <v>663</v>
      </c>
      <c r="F75" s="13" t="s">
        <v>1436</v>
      </c>
      <c r="G75" s="13" t="s">
        <v>1453</v>
      </c>
      <c r="H75" s="13" t="s">
        <v>358</v>
      </c>
      <c r="I75" s="13" t="s">
        <v>1438</v>
      </c>
      <c r="M75" t="s">
        <v>2827</v>
      </c>
    </row>
    <row r="76" spans="1:13" ht="16.5" customHeight="1" x14ac:dyDescent="0.25">
      <c r="A76" s="6" t="s">
        <v>1458</v>
      </c>
      <c r="B76" s="7" t="s">
        <v>660</v>
      </c>
      <c r="C76" s="7" t="s">
        <v>1457</v>
      </c>
      <c r="D76" s="7" t="s">
        <v>662</v>
      </c>
      <c r="E76" s="7" t="s">
        <v>663</v>
      </c>
      <c r="F76" s="7" t="s">
        <v>1436</v>
      </c>
      <c r="G76" s="7" t="s">
        <v>1456</v>
      </c>
      <c r="H76" s="7" t="s">
        <v>358</v>
      </c>
      <c r="I76" s="7" t="s">
        <v>1447</v>
      </c>
      <c r="M76" t="s">
        <v>2827</v>
      </c>
    </row>
    <row r="77" spans="1:13" ht="16.5" customHeight="1" x14ac:dyDescent="0.25">
      <c r="A77" s="12" t="s">
        <v>1461</v>
      </c>
      <c r="B77" s="13" t="s">
        <v>660</v>
      </c>
      <c r="C77" s="13" t="s">
        <v>1460</v>
      </c>
      <c r="D77" s="13" t="s">
        <v>662</v>
      </c>
      <c r="E77" s="13" t="s">
        <v>663</v>
      </c>
      <c r="F77" s="13" t="s">
        <v>1450</v>
      </c>
      <c r="G77" s="13" t="s">
        <v>1459</v>
      </c>
      <c r="H77" s="13" t="s">
        <v>358</v>
      </c>
      <c r="I77" s="13" t="s">
        <v>1452</v>
      </c>
      <c r="M77" t="s">
        <v>2827</v>
      </c>
    </row>
    <row r="78" spans="1:13" ht="16.5" customHeight="1" x14ac:dyDescent="0.25">
      <c r="A78" s="6" t="s">
        <v>1462</v>
      </c>
      <c r="B78" s="7" t="s">
        <v>660</v>
      </c>
      <c r="C78" s="7" t="s">
        <v>640</v>
      </c>
      <c r="D78" s="7" t="s">
        <v>662</v>
      </c>
      <c r="E78" s="7" t="s">
        <v>673</v>
      </c>
      <c r="F78" s="7" t="s">
        <v>1424</v>
      </c>
      <c r="G78" s="7" t="s">
        <v>1315</v>
      </c>
      <c r="H78" s="7" t="s">
        <v>358</v>
      </c>
      <c r="I78" s="7" t="s">
        <v>1316</v>
      </c>
      <c r="M78" t="s">
        <v>2827</v>
      </c>
    </row>
    <row r="79" spans="1:13" ht="16.5" customHeight="1" x14ac:dyDescent="0.25">
      <c r="A79" s="12" t="s">
        <v>1463</v>
      </c>
      <c r="B79" s="13" t="s">
        <v>660</v>
      </c>
      <c r="C79" s="13" t="s">
        <v>676</v>
      </c>
      <c r="D79" s="14"/>
      <c r="E79" s="14"/>
      <c r="F79" s="13" t="s">
        <v>1424</v>
      </c>
      <c r="G79" s="13" t="s">
        <v>1464</v>
      </c>
      <c r="H79" s="13" t="s">
        <v>358</v>
      </c>
      <c r="I79" s="13" t="s">
        <v>1424</v>
      </c>
      <c r="M79" t="s">
        <v>2827</v>
      </c>
    </row>
    <row r="80" spans="1:13" ht="16.5" customHeight="1" x14ac:dyDescent="0.25">
      <c r="A80" s="6" t="s">
        <v>1465</v>
      </c>
      <c r="B80" s="7" t="s">
        <v>660</v>
      </c>
      <c r="C80" s="7" t="s">
        <v>384</v>
      </c>
      <c r="D80" s="7" t="s">
        <v>662</v>
      </c>
      <c r="E80" s="7" t="s">
        <v>673</v>
      </c>
      <c r="F80" s="7" t="s">
        <v>1424</v>
      </c>
      <c r="G80" s="7" t="s">
        <v>1466</v>
      </c>
      <c r="H80" s="7" t="s">
        <v>358</v>
      </c>
      <c r="I80" s="7" t="s">
        <v>1316</v>
      </c>
      <c r="M80" t="s">
        <v>2827</v>
      </c>
    </row>
    <row r="81" spans="1:13" ht="16.5" customHeight="1" x14ac:dyDescent="0.25">
      <c r="A81" s="12" t="s">
        <v>1467</v>
      </c>
      <c r="B81" s="13" t="s">
        <v>660</v>
      </c>
      <c r="C81" s="13" t="s">
        <v>1468</v>
      </c>
      <c r="D81" s="13" t="s">
        <v>662</v>
      </c>
      <c r="E81" s="13" t="s">
        <v>663</v>
      </c>
      <c r="F81" s="13" t="s">
        <v>1469</v>
      </c>
      <c r="G81" s="13" t="s">
        <v>1470</v>
      </c>
      <c r="H81" s="13" t="s">
        <v>358</v>
      </c>
      <c r="I81" s="13" t="s">
        <v>1471</v>
      </c>
      <c r="M81" t="s">
        <v>2827</v>
      </c>
    </row>
    <row r="82" spans="1:13" ht="16.5" customHeight="1" x14ac:dyDescent="0.25">
      <c r="A82" s="6" t="s">
        <v>1475</v>
      </c>
      <c r="B82" s="7" t="s">
        <v>660</v>
      </c>
      <c r="C82" s="7" t="s">
        <v>1473</v>
      </c>
      <c r="D82" s="7" t="s">
        <v>662</v>
      </c>
      <c r="E82" s="7" t="s">
        <v>663</v>
      </c>
      <c r="F82" s="7" t="s">
        <v>1474</v>
      </c>
      <c r="G82" s="7" t="s">
        <v>1472</v>
      </c>
      <c r="H82" s="7" t="s">
        <v>358</v>
      </c>
      <c r="I82" s="7" t="s">
        <v>951</v>
      </c>
      <c r="M82" t="s">
        <v>2827</v>
      </c>
    </row>
    <row r="83" spans="1:13" ht="16.5" customHeight="1" x14ac:dyDescent="0.25">
      <c r="A83" s="12" t="s">
        <v>1479</v>
      </c>
      <c r="B83" s="13" t="s">
        <v>660</v>
      </c>
      <c r="C83" s="13" t="s">
        <v>1477</v>
      </c>
      <c r="D83" s="13" t="s">
        <v>662</v>
      </c>
      <c r="E83" s="13" t="s">
        <v>663</v>
      </c>
      <c r="F83" s="13" t="s">
        <v>1478</v>
      </c>
      <c r="G83" s="13" t="s">
        <v>1476</v>
      </c>
      <c r="H83" s="13" t="s">
        <v>358</v>
      </c>
      <c r="I83" s="13" t="s">
        <v>1260</v>
      </c>
      <c r="M83" t="s">
        <v>2827</v>
      </c>
    </row>
    <row r="84" spans="1:13" ht="16.5" customHeight="1" x14ac:dyDescent="0.25">
      <c r="A84" s="6" t="s">
        <v>1480</v>
      </c>
      <c r="B84" s="7" t="s">
        <v>660</v>
      </c>
      <c r="C84" s="7" t="s">
        <v>1481</v>
      </c>
      <c r="D84" s="7" t="s">
        <v>662</v>
      </c>
      <c r="E84" s="7" t="s">
        <v>663</v>
      </c>
      <c r="F84" s="7" t="s">
        <v>1469</v>
      </c>
      <c r="G84" s="7" t="s">
        <v>1482</v>
      </c>
      <c r="H84" s="7" t="s">
        <v>358</v>
      </c>
      <c r="I84" s="7" t="s">
        <v>1471</v>
      </c>
      <c r="M84" t="s">
        <v>2827</v>
      </c>
    </row>
    <row r="85" spans="1:13" ht="17.25" customHeight="1" x14ac:dyDescent="0.25">
      <c r="A85" s="12" t="s">
        <v>1483</v>
      </c>
      <c r="B85" s="13" t="s">
        <v>660</v>
      </c>
      <c r="C85" s="13" t="s">
        <v>1484</v>
      </c>
      <c r="D85" s="13" t="s">
        <v>662</v>
      </c>
      <c r="E85" s="13" t="s">
        <v>663</v>
      </c>
      <c r="F85" s="13" t="s">
        <v>1469</v>
      </c>
      <c r="G85" s="13" t="s">
        <v>1485</v>
      </c>
      <c r="H85" s="13" t="s">
        <v>358</v>
      </c>
      <c r="I85" s="13" t="s">
        <v>1471</v>
      </c>
      <c r="M85" t="s">
        <v>2827</v>
      </c>
    </row>
    <row r="86" spans="1:13" ht="16.5" customHeight="1" x14ac:dyDescent="0.25">
      <c r="A86" s="6" t="s">
        <v>1486</v>
      </c>
      <c r="B86" s="7" t="s">
        <v>660</v>
      </c>
      <c r="C86" s="7" t="s">
        <v>640</v>
      </c>
      <c r="D86" s="7" t="s">
        <v>662</v>
      </c>
      <c r="E86" s="7" t="s">
        <v>673</v>
      </c>
      <c r="F86" s="7" t="s">
        <v>1424</v>
      </c>
      <c r="G86" s="7" t="s">
        <v>1317</v>
      </c>
      <c r="H86" s="7" t="s">
        <v>358</v>
      </c>
      <c r="I86" s="7" t="s">
        <v>1316</v>
      </c>
      <c r="M86" t="s">
        <v>2827</v>
      </c>
    </row>
    <row r="87" spans="1:13" ht="16.5" customHeight="1" x14ac:dyDescent="0.25">
      <c r="A87" s="12" t="s">
        <v>1487</v>
      </c>
      <c r="B87" s="13" t="s">
        <v>660</v>
      </c>
      <c r="C87" s="13" t="s">
        <v>676</v>
      </c>
      <c r="D87" s="14"/>
      <c r="E87" s="14"/>
      <c r="F87" s="13" t="s">
        <v>1424</v>
      </c>
      <c r="G87" s="13" t="s">
        <v>1488</v>
      </c>
      <c r="H87" s="13" t="s">
        <v>358</v>
      </c>
      <c r="I87" s="13" t="s">
        <v>1208</v>
      </c>
      <c r="M87" t="s">
        <v>2827</v>
      </c>
    </row>
    <row r="88" spans="1:13" ht="16.5" customHeight="1" x14ac:dyDescent="0.25">
      <c r="A88" s="6" t="s">
        <v>1489</v>
      </c>
      <c r="B88" s="7" t="s">
        <v>660</v>
      </c>
      <c r="C88" s="7" t="s">
        <v>385</v>
      </c>
      <c r="D88" s="7" t="s">
        <v>662</v>
      </c>
      <c r="E88" s="7" t="s">
        <v>673</v>
      </c>
      <c r="F88" s="7" t="s">
        <v>1424</v>
      </c>
      <c r="G88" s="7" t="s">
        <v>1490</v>
      </c>
      <c r="H88" s="7" t="s">
        <v>358</v>
      </c>
      <c r="I88" s="7" t="s">
        <v>1316</v>
      </c>
      <c r="M88" t="s">
        <v>2827</v>
      </c>
    </row>
    <row r="89" spans="1:13" ht="16.5" customHeight="1" x14ac:dyDescent="0.25">
      <c r="A89" s="12" t="s">
        <v>1491</v>
      </c>
      <c r="B89" s="13" t="s">
        <v>660</v>
      </c>
      <c r="C89" s="13" t="s">
        <v>1492</v>
      </c>
      <c r="D89" s="13" t="s">
        <v>662</v>
      </c>
      <c r="E89" s="13" t="s">
        <v>663</v>
      </c>
      <c r="F89" s="13" t="s">
        <v>1493</v>
      </c>
      <c r="G89" s="13" t="s">
        <v>1494</v>
      </c>
      <c r="H89" s="13" t="s">
        <v>358</v>
      </c>
      <c r="I89" s="13" t="s">
        <v>1408</v>
      </c>
      <c r="M89" t="s">
        <v>2827</v>
      </c>
    </row>
    <row r="90" spans="1:13" ht="16.5" customHeight="1" x14ac:dyDescent="0.25">
      <c r="A90" s="6" t="s">
        <v>1495</v>
      </c>
      <c r="B90" s="7" t="s">
        <v>660</v>
      </c>
      <c r="C90" s="7" t="s">
        <v>640</v>
      </c>
      <c r="D90" s="7" t="s">
        <v>662</v>
      </c>
      <c r="E90" s="7" t="s">
        <v>663</v>
      </c>
      <c r="F90" s="7" t="s">
        <v>1493</v>
      </c>
      <c r="G90" s="7" t="s">
        <v>1321</v>
      </c>
      <c r="H90" s="7" t="s">
        <v>358</v>
      </c>
      <c r="I90" s="7" t="s">
        <v>646</v>
      </c>
      <c r="M90" t="s">
        <v>2827</v>
      </c>
    </row>
    <row r="91" spans="1:13" ht="16.5" customHeight="1" x14ac:dyDescent="0.25">
      <c r="A91" s="12" t="s">
        <v>1496</v>
      </c>
      <c r="B91" s="13" t="s">
        <v>660</v>
      </c>
      <c r="C91" s="13" t="s">
        <v>1497</v>
      </c>
      <c r="D91" s="13" t="s">
        <v>662</v>
      </c>
      <c r="E91" s="13" t="s">
        <v>663</v>
      </c>
      <c r="F91" s="13" t="s">
        <v>1406</v>
      </c>
      <c r="G91" s="13" t="s">
        <v>1498</v>
      </c>
      <c r="H91" s="13" t="s">
        <v>358</v>
      </c>
      <c r="I91" s="13" t="s">
        <v>1408</v>
      </c>
      <c r="M91" t="s">
        <v>2827</v>
      </c>
    </row>
    <row r="92" spans="1:13" ht="16.5" customHeight="1" x14ac:dyDescent="0.25">
      <c r="A92" s="6" t="s">
        <v>1499</v>
      </c>
      <c r="B92" s="7" t="s">
        <v>660</v>
      </c>
      <c r="C92" s="7" t="s">
        <v>640</v>
      </c>
      <c r="D92" s="7" t="s">
        <v>662</v>
      </c>
      <c r="E92" s="7" t="s">
        <v>663</v>
      </c>
      <c r="F92" s="7" t="s">
        <v>1406</v>
      </c>
      <c r="G92" s="7" t="s">
        <v>1321</v>
      </c>
      <c r="H92" s="7" t="s">
        <v>358</v>
      </c>
      <c r="I92" s="7" t="s">
        <v>646</v>
      </c>
      <c r="M92" t="s">
        <v>2827</v>
      </c>
    </row>
    <row r="93" spans="1:13" ht="16.5" customHeight="1" x14ac:dyDescent="0.25">
      <c r="A93" s="12" t="s">
        <v>1500</v>
      </c>
      <c r="B93" s="13" t="s">
        <v>660</v>
      </c>
      <c r="C93" s="13" t="s">
        <v>676</v>
      </c>
      <c r="D93" s="14"/>
      <c r="E93" s="14"/>
      <c r="F93" s="13" t="s">
        <v>1208</v>
      </c>
      <c r="G93" s="13" t="s">
        <v>1501</v>
      </c>
      <c r="H93" s="13" t="s">
        <v>358</v>
      </c>
      <c r="I93" s="13" t="s">
        <v>1208</v>
      </c>
      <c r="M93" t="s">
        <v>2827</v>
      </c>
    </row>
    <row r="94" spans="1:13" ht="16.5" customHeight="1" x14ac:dyDescent="0.25">
      <c r="A94" s="6" t="s">
        <v>1209</v>
      </c>
      <c r="B94" s="7" t="s">
        <v>660</v>
      </c>
      <c r="C94" s="7" t="s">
        <v>1207</v>
      </c>
      <c r="D94" s="7" t="s">
        <v>716</v>
      </c>
      <c r="E94" s="7" t="s">
        <v>673</v>
      </c>
      <c r="F94" s="7" t="s">
        <v>1208</v>
      </c>
      <c r="G94" s="7" t="s">
        <v>1502</v>
      </c>
      <c r="H94" s="7" t="s">
        <v>358</v>
      </c>
      <c r="I94" s="7" t="s">
        <v>1421</v>
      </c>
      <c r="M94" t="s">
        <v>2827</v>
      </c>
    </row>
    <row r="95" spans="1:13" ht="16.5" customHeight="1" x14ac:dyDescent="0.25">
      <c r="A95" s="12" t="s">
        <v>1505</v>
      </c>
      <c r="B95" s="13" t="s">
        <v>660</v>
      </c>
      <c r="C95" s="13" t="s">
        <v>1504</v>
      </c>
      <c r="D95" s="13" t="s">
        <v>662</v>
      </c>
      <c r="E95" s="13" t="s">
        <v>663</v>
      </c>
      <c r="F95" s="13" t="s">
        <v>1181</v>
      </c>
      <c r="G95" s="13" t="s">
        <v>1503</v>
      </c>
      <c r="H95" s="13" t="s">
        <v>358</v>
      </c>
      <c r="I95" s="13" t="s">
        <v>1183</v>
      </c>
      <c r="M95" t="s">
        <v>2827</v>
      </c>
    </row>
    <row r="96" spans="1:13" ht="16.5" customHeight="1" x14ac:dyDescent="0.25">
      <c r="A96" s="6" t="s">
        <v>1506</v>
      </c>
      <c r="B96" s="7" t="s">
        <v>660</v>
      </c>
      <c r="C96" s="7" t="s">
        <v>640</v>
      </c>
      <c r="D96" s="7" t="s">
        <v>662</v>
      </c>
      <c r="E96" s="7" t="s">
        <v>673</v>
      </c>
      <c r="F96" s="7" t="s">
        <v>1208</v>
      </c>
      <c r="G96" s="7" t="s">
        <v>1317</v>
      </c>
      <c r="H96" s="7" t="s">
        <v>358</v>
      </c>
      <c r="I96" s="7" t="s">
        <v>1316</v>
      </c>
      <c r="M96" t="s">
        <v>2827</v>
      </c>
    </row>
    <row r="97" spans="1:13" ht="17.25" customHeight="1" x14ac:dyDescent="0.25">
      <c r="A97" s="12" t="s">
        <v>1507</v>
      </c>
      <c r="B97" s="13" t="s">
        <v>660</v>
      </c>
      <c r="C97" s="13" t="s">
        <v>386</v>
      </c>
      <c r="D97" s="13" t="s">
        <v>662</v>
      </c>
      <c r="E97" s="13" t="s">
        <v>673</v>
      </c>
      <c r="F97" s="13" t="s">
        <v>1208</v>
      </c>
      <c r="G97" s="13" t="s">
        <v>1508</v>
      </c>
      <c r="H97" s="13" t="s">
        <v>358</v>
      </c>
      <c r="I97" s="13" t="s">
        <v>1316</v>
      </c>
      <c r="M97" t="s">
        <v>2827</v>
      </c>
    </row>
    <row r="98" spans="1:13" ht="16.5" customHeight="1" x14ac:dyDescent="0.25">
      <c r="A98" s="6" t="s">
        <v>1342</v>
      </c>
      <c r="B98" s="7" t="s">
        <v>660</v>
      </c>
      <c r="C98" s="7" t="s">
        <v>640</v>
      </c>
      <c r="D98" s="7" t="s">
        <v>662</v>
      </c>
      <c r="E98" s="7" t="s">
        <v>673</v>
      </c>
      <c r="F98" s="7" t="s">
        <v>1304</v>
      </c>
      <c r="G98" s="7" t="s">
        <v>1311</v>
      </c>
      <c r="H98" s="7" t="s">
        <v>358</v>
      </c>
      <c r="I98" s="7" t="s">
        <v>1312</v>
      </c>
      <c r="M98" t="s">
        <v>2827</v>
      </c>
    </row>
    <row r="99" spans="1:13" ht="16.5" customHeight="1" x14ac:dyDescent="0.25">
      <c r="A99" s="12" t="s">
        <v>1347</v>
      </c>
      <c r="B99" s="13" t="s">
        <v>660</v>
      </c>
      <c r="C99" s="13" t="s">
        <v>382</v>
      </c>
      <c r="D99" s="13" t="s">
        <v>662</v>
      </c>
      <c r="E99" s="13" t="s">
        <v>673</v>
      </c>
      <c r="F99" s="13" t="s">
        <v>1304</v>
      </c>
      <c r="G99" s="13" t="s">
        <v>1509</v>
      </c>
      <c r="H99" s="13" t="s">
        <v>358</v>
      </c>
      <c r="I99" s="13" t="s">
        <v>1312</v>
      </c>
      <c r="M99" t="s">
        <v>2827</v>
      </c>
    </row>
    <row r="100" spans="1:13" ht="16.5" customHeight="1" x14ac:dyDescent="0.25">
      <c r="A100" s="6" t="s">
        <v>1420</v>
      </c>
      <c r="B100" s="7" t="s">
        <v>660</v>
      </c>
      <c r="C100" s="7" t="s">
        <v>640</v>
      </c>
      <c r="D100" s="7" t="s">
        <v>662</v>
      </c>
      <c r="E100" s="7" t="s">
        <v>673</v>
      </c>
      <c r="F100" s="7" t="s">
        <v>1421</v>
      </c>
      <c r="G100" s="7" t="s">
        <v>1315</v>
      </c>
      <c r="H100" s="7" t="s">
        <v>358</v>
      </c>
      <c r="I100" s="7" t="s">
        <v>1316</v>
      </c>
      <c r="M100" t="s">
        <v>2827</v>
      </c>
    </row>
    <row r="101" spans="1:13" ht="16.5" customHeight="1" x14ac:dyDescent="0.25">
      <c r="A101" s="12" t="s">
        <v>1429</v>
      </c>
      <c r="B101" s="13" t="s">
        <v>660</v>
      </c>
      <c r="C101" s="13" t="s">
        <v>383</v>
      </c>
      <c r="D101" s="13" t="s">
        <v>662</v>
      </c>
      <c r="E101" s="13" t="s">
        <v>673</v>
      </c>
      <c r="F101" s="13" t="s">
        <v>1421</v>
      </c>
      <c r="G101" s="13" t="s">
        <v>1510</v>
      </c>
      <c r="H101" s="13" t="s">
        <v>358</v>
      </c>
      <c r="I101" s="13" t="s">
        <v>1316</v>
      </c>
      <c r="M101" t="s">
        <v>2827</v>
      </c>
    </row>
    <row r="102" spans="1:13" ht="16.5" customHeight="1" x14ac:dyDescent="0.25">
      <c r="A102" s="6" t="s">
        <v>1511</v>
      </c>
      <c r="B102" s="7" t="s">
        <v>660</v>
      </c>
      <c r="C102" s="7" t="s">
        <v>391</v>
      </c>
      <c r="D102" s="7" t="s">
        <v>662</v>
      </c>
      <c r="E102" s="7" t="s">
        <v>673</v>
      </c>
      <c r="F102" s="7" t="s">
        <v>1512</v>
      </c>
      <c r="G102" s="7" t="s">
        <v>1513</v>
      </c>
      <c r="H102" s="7" t="s">
        <v>358</v>
      </c>
      <c r="I102" s="7" t="s">
        <v>1512</v>
      </c>
      <c r="M102" t="s">
        <v>2827</v>
      </c>
    </row>
    <row r="103" spans="1:13" ht="16.5" customHeight="1" x14ac:dyDescent="0.25">
      <c r="A103" s="12" t="s">
        <v>1511</v>
      </c>
      <c r="B103" s="13" t="s">
        <v>660</v>
      </c>
      <c r="C103" s="13" t="s">
        <v>391</v>
      </c>
      <c r="D103" s="13" t="s">
        <v>662</v>
      </c>
      <c r="E103" s="13" t="s">
        <v>673</v>
      </c>
      <c r="F103" s="13" t="s">
        <v>1512</v>
      </c>
      <c r="G103" s="13" t="s">
        <v>1324</v>
      </c>
      <c r="H103" s="13" t="s">
        <v>358</v>
      </c>
      <c r="I103" s="13" t="s">
        <v>1325</v>
      </c>
      <c r="M103" t="s">
        <v>2827</v>
      </c>
    </row>
    <row r="104" spans="1:13" ht="16.5" customHeight="1" x14ac:dyDescent="0.25">
      <c r="A104" s="6" t="s">
        <v>1514</v>
      </c>
      <c r="B104" s="7" t="s">
        <v>660</v>
      </c>
      <c r="C104" s="7" t="s">
        <v>1515</v>
      </c>
      <c r="D104" s="7" t="s">
        <v>662</v>
      </c>
      <c r="E104" s="7" t="s">
        <v>898</v>
      </c>
      <c r="F104" s="7" t="s">
        <v>1516</v>
      </c>
      <c r="G104" s="7" t="s">
        <v>1517</v>
      </c>
      <c r="H104" s="7" t="s">
        <v>358</v>
      </c>
      <c r="I104" s="7" t="s">
        <v>1408</v>
      </c>
      <c r="M104" t="s">
        <v>2827</v>
      </c>
    </row>
    <row r="105" spans="1:13" ht="16.5" customHeight="1" x14ac:dyDescent="0.25">
      <c r="A105" s="12" t="s">
        <v>1518</v>
      </c>
      <c r="B105" s="13" t="s">
        <v>660</v>
      </c>
      <c r="C105" s="13" t="s">
        <v>1519</v>
      </c>
      <c r="D105" s="13" t="s">
        <v>642</v>
      </c>
      <c r="E105" s="13" t="s">
        <v>1520</v>
      </c>
      <c r="F105" s="13" t="s">
        <v>1516</v>
      </c>
      <c r="G105" s="13" t="s">
        <v>1521</v>
      </c>
      <c r="H105" s="13" t="s">
        <v>358</v>
      </c>
      <c r="I105" s="13" t="s">
        <v>1516</v>
      </c>
      <c r="M105" t="s">
        <v>2827</v>
      </c>
    </row>
    <row r="106" spans="1:13" ht="16.5" customHeight="1" x14ac:dyDescent="0.25">
      <c r="A106" s="6" t="s">
        <v>1518</v>
      </c>
      <c r="B106" s="7" t="s">
        <v>660</v>
      </c>
      <c r="C106" s="7" t="s">
        <v>1519</v>
      </c>
      <c r="D106" s="7" t="s">
        <v>642</v>
      </c>
      <c r="E106" s="7" t="s">
        <v>1520</v>
      </c>
      <c r="F106" s="7" t="s">
        <v>1516</v>
      </c>
      <c r="G106" s="7" t="s">
        <v>1522</v>
      </c>
      <c r="H106" s="7" t="s">
        <v>358</v>
      </c>
      <c r="I106" s="7" t="s">
        <v>1523</v>
      </c>
      <c r="M106" t="s">
        <v>2827</v>
      </c>
    </row>
    <row r="107" spans="1:13" ht="16.5" customHeight="1" x14ac:dyDescent="0.25">
      <c r="A107" s="12" t="s">
        <v>1521</v>
      </c>
      <c r="B107" s="13" t="s">
        <v>660</v>
      </c>
      <c r="C107" s="13" t="s">
        <v>1519</v>
      </c>
      <c r="D107" s="13" t="s">
        <v>642</v>
      </c>
      <c r="E107" s="13" t="s">
        <v>1520</v>
      </c>
      <c r="F107" s="13" t="s">
        <v>1516</v>
      </c>
      <c r="G107" s="13" t="s">
        <v>1524</v>
      </c>
      <c r="H107" s="13" t="s">
        <v>358</v>
      </c>
      <c r="I107" s="13" t="s">
        <v>1307</v>
      </c>
      <c r="M107" t="s">
        <v>2827</v>
      </c>
    </row>
    <row r="108" spans="1:13" ht="16.5" customHeight="1" x14ac:dyDescent="0.25">
      <c r="A108" s="6" t="s">
        <v>1524</v>
      </c>
      <c r="B108" s="7" t="s">
        <v>660</v>
      </c>
      <c r="C108" s="7" t="s">
        <v>1519</v>
      </c>
      <c r="D108" s="7" t="s">
        <v>642</v>
      </c>
      <c r="E108" s="7" t="s">
        <v>1520</v>
      </c>
      <c r="F108" s="7" t="s">
        <v>1307</v>
      </c>
      <c r="G108" s="7" t="s">
        <v>1525</v>
      </c>
      <c r="H108" s="7" t="s">
        <v>358</v>
      </c>
      <c r="I108" s="7" t="s">
        <v>1307</v>
      </c>
      <c r="M108" t="s">
        <v>2827</v>
      </c>
    </row>
    <row r="109" spans="1:13" ht="16.5" customHeight="1" x14ac:dyDescent="0.25">
      <c r="A109" s="12" t="s">
        <v>1525</v>
      </c>
      <c r="B109" s="13" t="s">
        <v>660</v>
      </c>
      <c r="C109" s="13" t="s">
        <v>1519</v>
      </c>
      <c r="D109" s="13" t="s">
        <v>642</v>
      </c>
      <c r="E109" s="13" t="s">
        <v>1520</v>
      </c>
      <c r="F109" s="13" t="s">
        <v>1307</v>
      </c>
      <c r="G109" s="13" t="s">
        <v>1526</v>
      </c>
      <c r="H109" s="13" t="s">
        <v>358</v>
      </c>
      <c r="I109" s="13" t="s">
        <v>1307</v>
      </c>
      <c r="M109" t="s">
        <v>2827</v>
      </c>
    </row>
    <row r="110" spans="1:13" ht="17.25" customHeight="1" x14ac:dyDescent="0.25">
      <c r="A110" s="6" t="s">
        <v>1527</v>
      </c>
      <c r="B110" s="7" t="s">
        <v>660</v>
      </c>
      <c r="C110" s="7" t="s">
        <v>391</v>
      </c>
      <c r="D110" s="7" t="s">
        <v>662</v>
      </c>
      <c r="E110" s="7" t="s">
        <v>673</v>
      </c>
      <c r="F110" s="7" t="s">
        <v>1312</v>
      </c>
      <c r="G110" s="7" t="s">
        <v>1324</v>
      </c>
      <c r="H110" s="7" t="s">
        <v>358</v>
      </c>
      <c r="I110" s="7" t="s">
        <v>1325</v>
      </c>
      <c r="M110" t="s">
        <v>2827</v>
      </c>
    </row>
    <row r="111" spans="1:13" ht="16.5" customHeight="1" x14ac:dyDescent="0.25">
      <c r="A111" s="12" t="s">
        <v>1528</v>
      </c>
      <c r="B111" s="13" t="s">
        <v>660</v>
      </c>
      <c r="C111" s="13" t="s">
        <v>391</v>
      </c>
      <c r="D111" s="13" t="s">
        <v>662</v>
      </c>
      <c r="E111" s="13" t="s">
        <v>673</v>
      </c>
      <c r="F111" s="13" t="s">
        <v>1316</v>
      </c>
      <c r="G111" s="13" t="s">
        <v>1326</v>
      </c>
      <c r="H111" s="13" t="s">
        <v>358</v>
      </c>
      <c r="I111" s="13" t="s">
        <v>1325</v>
      </c>
      <c r="M111" t="s">
        <v>2827</v>
      </c>
    </row>
    <row r="112" spans="1:13" ht="16.5" customHeight="1" x14ac:dyDescent="0.25">
      <c r="A112" s="6" t="s">
        <v>1528</v>
      </c>
      <c r="B112" s="7" t="s">
        <v>660</v>
      </c>
      <c r="C112" s="7" t="s">
        <v>391</v>
      </c>
      <c r="D112" s="7" t="s">
        <v>662</v>
      </c>
      <c r="E112" s="7" t="s">
        <v>673</v>
      </c>
      <c r="F112" s="7" t="s">
        <v>1316</v>
      </c>
      <c r="G112" s="7" t="s">
        <v>1529</v>
      </c>
      <c r="H112" s="7" t="s">
        <v>358</v>
      </c>
      <c r="I112" s="7" t="s">
        <v>1316</v>
      </c>
      <c r="M112" t="s">
        <v>2827</v>
      </c>
    </row>
    <row r="113" spans="1:13" ht="16.5" customHeight="1" x14ac:dyDescent="0.25">
      <c r="A113" s="12" t="s">
        <v>1529</v>
      </c>
      <c r="B113" s="13" t="s">
        <v>660</v>
      </c>
      <c r="C113" s="13" t="s">
        <v>391</v>
      </c>
      <c r="D113" s="13" t="s">
        <v>662</v>
      </c>
      <c r="E113" s="13" t="s">
        <v>673</v>
      </c>
      <c r="F113" s="13" t="s">
        <v>1316</v>
      </c>
      <c r="G113" s="13" t="s">
        <v>1530</v>
      </c>
      <c r="H113" s="13" t="s">
        <v>358</v>
      </c>
      <c r="I113" s="13" t="s">
        <v>1316</v>
      </c>
      <c r="M113" t="s">
        <v>2827</v>
      </c>
    </row>
    <row r="114" spans="1:13" ht="16.5" customHeight="1" x14ac:dyDescent="0.25">
      <c r="A114" s="6" t="s">
        <v>1530</v>
      </c>
      <c r="B114" s="7" t="s">
        <v>660</v>
      </c>
      <c r="C114" s="7" t="s">
        <v>391</v>
      </c>
      <c r="D114" s="7" t="s">
        <v>662</v>
      </c>
      <c r="E114" s="7" t="s">
        <v>673</v>
      </c>
      <c r="F114" s="7" t="s">
        <v>1316</v>
      </c>
      <c r="G114" s="7" t="s">
        <v>1531</v>
      </c>
      <c r="H114" s="7" t="s">
        <v>358</v>
      </c>
      <c r="I114" s="7" t="s">
        <v>1316</v>
      </c>
      <c r="M114" t="s">
        <v>2827</v>
      </c>
    </row>
    <row r="115" spans="1:13" ht="16.5" customHeight="1" x14ac:dyDescent="0.25">
      <c r="A115" s="12" t="s">
        <v>1532</v>
      </c>
      <c r="B115" s="13" t="s">
        <v>660</v>
      </c>
      <c r="C115" s="13" t="s">
        <v>1533</v>
      </c>
      <c r="D115" s="13" t="s">
        <v>662</v>
      </c>
      <c r="E115" s="13" t="s">
        <v>673</v>
      </c>
      <c r="F115" s="13" t="s">
        <v>1534</v>
      </c>
      <c r="G115" s="13" t="s">
        <v>1535</v>
      </c>
      <c r="H115" s="13" t="s">
        <v>358</v>
      </c>
      <c r="I115" s="13" t="s">
        <v>1384</v>
      </c>
      <c r="M115" t="s">
        <v>2827</v>
      </c>
    </row>
    <row r="116" spans="1:13" ht="16.5" customHeight="1" x14ac:dyDescent="0.25">
      <c r="A116" s="6" t="s">
        <v>1536</v>
      </c>
      <c r="B116" s="7" t="s">
        <v>660</v>
      </c>
      <c r="C116" s="7" t="s">
        <v>391</v>
      </c>
      <c r="D116" s="7" t="s">
        <v>662</v>
      </c>
      <c r="E116" s="7" t="s">
        <v>673</v>
      </c>
      <c r="F116" s="7" t="s">
        <v>1534</v>
      </c>
      <c r="G116" s="7" t="s">
        <v>1201</v>
      </c>
      <c r="H116" s="7" t="s">
        <v>358</v>
      </c>
      <c r="I116" s="7" t="s">
        <v>900</v>
      </c>
      <c r="M116" t="s">
        <v>2827</v>
      </c>
    </row>
    <row r="117" spans="1:13" ht="16.5" customHeight="1" x14ac:dyDescent="0.25">
      <c r="A117" s="12" t="s">
        <v>1537</v>
      </c>
      <c r="B117" s="13" t="s">
        <v>660</v>
      </c>
      <c r="C117" s="13" t="s">
        <v>388</v>
      </c>
      <c r="D117" s="13" t="s">
        <v>662</v>
      </c>
      <c r="E117" s="13" t="s">
        <v>1538</v>
      </c>
      <c r="F117" s="13" t="s">
        <v>1285</v>
      </c>
      <c r="G117" s="13" t="s">
        <v>1323</v>
      </c>
      <c r="H117" s="13" t="s">
        <v>358</v>
      </c>
      <c r="I117" s="13" t="s">
        <v>1285</v>
      </c>
      <c r="M117" t="s">
        <v>2827</v>
      </c>
    </row>
    <row r="118" spans="1:13" ht="16.5" customHeight="1" x14ac:dyDescent="0.25">
      <c r="A118" s="6" t="s">
        <v>1539</v>
      </c>
      <c r="B118" s="7" t="s">
        <v>660</v>
      </c>
      <c r="C118" s="7" t="s">
        <v>1540</v>
      </c>
      <c r="D118" s="7" t="s">
        <v>662</v>
      </c>
      <c r="E118" s="7" t="s">
        <v>1538</v>
      </c>
      <c r="F118" s="7" t="s">
        <v>1285</v>
      </c>
      <c r="G118" s="7" t="s">
        <v>1541</v>
      </c>
      <c r="H118" s="7" t="s">
        <v>358</v>
      </c>
      <c r="I118" s="7" t="s">
        <v>1408</v>
      </c>
      <c r="M118" t="s">
        <v>2827</v>
      </c>
    </row>
    <row r="119" spans="1:13" ht="16.5" customHeight="1" x14ac:dyDescent="0.25">
      <c r="A119" s="12" t="s">
        <v>1542</v>
      </c>
      <c r="B119" s="13" t="s">
        <v>660</v>
      </c>
      <c r="C119" s="13" t="s">
        <v>391</v>
      </c>
      <c r="D119" s="13" t="s">
        <v>662</v>
      </c>
      <c r="E119" s="13" t="s">
        <v>898</v>
      </c>
      <c r="F119" s="13" t="s">
        <v>1325</v>
      </c>
      <c r="G119" s="13" t="s">
        <v>1324</v>
      </c>
      <c r="H119" s="13" t="s">
        <v>358</v>
      </c>
      <c r="I119" s="13" t="s">
        <v>1325</v>
      </c>
      <c r="M119" t="s">
        <v>2827</v>
      </c>
    </row>
    <row r="120" spans="1:13" ht="16.5" customHeight="1" x14ac:dyDescent="0.25">
      <c r="A120" s="6" t="s">
        <v>1543</v>
      </c>
      <c r="B120" s="7" t="s">
        <v>660</v>
      </c>
      <c r="C120" s="7" t="s">
        <v>388</v>
      </c>
      <c r="D120" s="7" t="s">
        <v>662</v>
      </c>
      <c r="E120" s="7" t="s">
        <v>898</v>
      </c>
      <c r="F120" s="7" t="s">
        <v>1325</v>
      </c>
      <c r="G120" s="7" t="s">
        <v>1323</v>
      </c>
      <c r="H120" s="7" t="s">
        <v>358</v>
      </c>
      <c r="I120" s="7" t="s">
        <v>1285</v>
      </c>
      <c r="M120" t="s">
        <v>2827</v>
      </c>
    </row>
    <row r="121" spans="1:13" ht="16.5" customHeight="1" x14ac:dyDescent="0.25">
      <c r="A121" s="12" t="s">
        <v>1544</v>
      </c>
      <c r="B121" s="13" t="s">
        <v>660</v>
      </c>
      <c r="C121" s="13" t="s">
        <v>392</v>
      </c>
      <c r="D121" s="13" t="s">
        <v>662</v>
      </c>
      <c r="E121" s="13" t="s">
        <v>673</v>
      </c>
      <c r="F121" s="13" t="s">
        <v>1512</v>
      </c>
      <c r="G121" s="13" t="s">
        <v>1294</v>
      </c>
      <c r="H121" s="13" t="s">
        <v>358</v>
      </c>
      <c r="I121" s="13" t="s">
        <v>1293</v>
      </c>
      <c r="M121" t="s">
        <v>2827</v>
      </c>
    </row>
    <row r="122" spans="1:13" ht="17.25" customHeight="1" x14ac:dyDescent="0.25">
      <c r="A122" s="6" t="s">
        <v>1545</v>
      </c>
      <c r="B122" s="7" t="s">
        <v>660</v>
      </c>
      <c r="C122" s="7" t="s">
        <v>393</v>
      </c>
      <c r="D122" s="7" t="s">
        <v>924</v>
      </c>
      <c r="E122" s="7" t="s">
        <v>673</v>
      </c>
      <c r="F122" s="7" t="s">
        <v>921</v>
      </c>
      <c r="G122" s="7" t="s">
        <v>925</v>
      </c>
      <c r="H122" s="7" t="s">
        <v>358</v>
      </c>
      <c r="I122" s="7" t="s">
        <v>921</v>
      </c>
      <c r="M122" t="s">
        <v>2827</v>
      </c>
    </row>
    <row r="123" spans="1:13" ht="16.5" customHeight="1" x14ac:dyDescent="0.25">
      <c r="A123" s="12" t="s">
        <v>1546</v>
      </c>
      <c r="B123" s="13" t="s">
        <v>660</v>
      </c>
      <c r="C123" s="13" t="s">
        <v>394</v>
      </c>
      <c r="D123" s="13" t="s">
        <v>924</v>
      </c>
      <c r="E123" s="13" t="s">
        <v>673</v>
      </c>
      <c r="F123" s="13" t="s">
        <v>921</v>
      </c>
      <c r="G123" s="13" t="s">
        <v>925</v>
      </c>
      <c r="H123" s="13" t="s">
        <v>358</v>
      </c>
      <c r="I123" s="13" t="s">
        <v>921</v>
      </c>
      <c r="M123" t="s">
        <v>2827</v>
      </c>
    </row>
    <row r="124" spans="1:13" ht="16.5" customHeight="1" x14ac:dyDescent="0.25">
      <c r="A124" s="6" t="s">
        <v>1332</v>
      </c>
      <c r="B124" s="7" t="s">
        <v>660</v>
      </c>
      <c r="C124" s="7" t="s">
        <v>1331</v>
      </c>
      <c r="D124" s="7" t="s">
        <v>662</v>
      </c>
      <c r="E124" s="7" t="s">
        <v>663</v>
      </c>
      <c r="F124" s="7" t="s">
        <v>837</v>
      </c>
      <c r="G124" s="7" t="s">
        <v>1547</v>
      </c>
      <c r="H124" s="7" t="s">
        <v>358</v>
      </c>
      <c r="I124" s="7" t="s">
        <v>930</v>
      </c>
      <c r="M124" t="s">
        <v>2827</v>
      </c>
    </row>
    <row r="125" spans="1:13" ht="16.5" customHeight="1" x14ac:dyDescent="0.25">
      <c r="A125" s="12" t="s">
        <v>1548</v>
      </c>
      <c r="B125" s="13" t="s">
        <v>660</v>
      </c>
      <c r="C125" s="13" t="s">
        <v>1549</v>
      </c>
      <c r="D125" s="13" t="s">
        <v>662</v>
      </c>
      <c r="E125" s="13" t="s">
        <v>663</v>
      </c>
      <c r="F125" s="13" t="s">
        <v>1443</v>
      </c>
      <c r="G125" s="13" t="s">
        <v>1550</v>
      </c>
      <c r="H125" s="13" t="s">
        <v>358</v>
      </c>
      <c r="I125" s="13" t="s">
        <v>1551</v>
      </c>
      <c r="M125" t="s">
        <v>2827</v>
      </c>
    </row>
    <row r="126" spans="1:13" ht="16.5" customHeight="1" x14ac:dyDescent="0.25">
      <c r="A126" s="6" t="s">
        <v>1552</v>
      </c>
      <c r="B126" s="7" t="s">
        <v>660</v>
      </c>
      <c r="C126" s="7" t="s">
        <v>1553</v>
      </c>
      <c r="D126" s="7" t="s">
        <v>662</v>
      </c>
      <c r="E126" s="7" t="s">
        <v>663</v>
      </c>
      <c r="F126" s="7" t="s">
        <v>1443</v>
      </c>
      <c r="G126" s="7" t="s">
        <v>1554</v>
      </c>
      <c r="H126" s="7" t="s">
        <v>358</v>
      </c>
      <c r="I126" s="7" t="s">
        <v>1555</v>
      </c>
      <c r="M126" t="s">
        <v>2827</v>
      </c>
    </row>
    <row r="127" spans="1:13" ht="16.5" customHeight="1" x14ac:dyDescent="0.25">
      <c r="A127" s="12" t="s">
        <v>1556</v>
      </c>
      <c r="B127" s="13" t="s">
        <v>660</v>
      </c>
      <c r="C127" s="13" t="s">
        <v>936</v>
      </c>
      <c r="D127" s="13" t="s">
        <v>662</v>
      </c>
      <c r="E127" s="13" t="s">
        <v>663</v>
      </c>
      <c r="F127" s="13" t="s">
        <v>1256</v>
      </c>
      <c r="G127" s="13" t="s">
        <v>1557</v>
      </c>
      <c r="H127" s="13" t="s">
        <v>358</v>
      </c>
      <c r="I127" s="13" t="s">
        <v>1256</v>
      </c>
      <c r="M127" t="s">
        <v>2827</v>
      </c>
    </row>
    <row r="128" spans="1:13" ht="16.5" customHeight="1" x14ac:dyDescent="0.25">
      <c r="A128" s="6" t="s">
        <v>1556</v>
      </c>
      <c r="B128" s="7" t="s">
        <v>660</v>
      </c>
      <c r="C128" s="7" t="s">
        <v>936</v>
      </c>
      <c r="D128" s="7" t="s">
        <v>662</v>
      </c>
      <c r="E128" s="7" t="s">
        <v>663</v>
      </c>
      <c r="F128" s="7" t="s">
        <v>1256</v>
      </c>
      <c r="G128" s="7" t="s">
        <v>1243</v>
      </c>
      <c r="H128" s="7" t="s">
        <v>358</v>
      </c>
      <c r="I128" s="7" t="s">
        <v>1244</v>
      </c>
      <c r="M128" t="s">
        <v>2827</v>
      </c>
    </row>
    <row r="129" spans="1:13" ht="16.5" customHeight="1" x14ac:dyDescent="0.25">
      <c r="A129" s="12" t="s">
        <v>1558</v>
      </c>
      <c r="B129" s="13" t="s">
        <v>660</v>
      </c>
      <c r="C129" s="13" t="s">
        <v>640</v>
      </c>
      <c r="D129" s="13" t="s">
        <v>662</v>
      </c>
      <c r="E129" s="13" t="s">
        <v>663</v>
      </c>
      <c r="F129" s="13" t="s">
        <v>1256</v>
      </c>
      <c r="G129" s="13" t="s">
        <v>1559</v>
      </c>
      <c r="H129" s="13" t="s">
        <v>358</v>
      </c>
      <c r="I129" s="13" t="s">
        <v>1256</v>
      </c>
      <c r="M129" t="s">
        <v>2827</v>
      </c>
    </row>
    <row r="130" spans="1:13" ht="16.5" customHeight="1" x14ac:dyDescent="0.25">
      <c r="A130" s="6" t="s">
        <v>1560</v>
      </c>
      <c r="B130" s="7" t="s">
        <v>660</v>
      </c>
      <c r="C130" s="7" t="s">
        <v>640</v>
      </c>
      <c r="D130" s="7" t="s">
        <v>662</v>
      </c>
      <c r="E130" s="7" t="s">
        <v>663</v>
      </c>
      <c r="F130" s="7" t="s">
        <v>1256</v>
      </c>
      <c r="G130" s="7" t="s">
        <v>1558</v>
      </c>
      <c r="H130" s="7" t="s">
        <v>358</v>
      </c>
      <c r="I130" s="7" t="s">
        <v>1256</v>
      </c>
      <c r="M130" t="s">
        <v>2827</v>
      </c>
    </row>
    <row r="131" spans="1:13" ht="16.5" customHeight="1" x14ac:dyDescent="0.25">
      <c r="A131" s="12" t="s">
        <v>1561</v>
      </c>
      <c r="B131" s="13" t="s">
        <v>660</v>
      </c>
      <c r="C131" s="13" t="s">
        <v>392</v>
      </c>
      <c r="D131" s="13" t="s">
        <v>662</v>
      </c>
      <c r="E131" s="13" t="s">
        <v>663</v>
      </c>
      <c r="F131" s="13" t="s">
        <v>1562</v>
      </c>
      <c r="G131" s="13" t="s">
        <v>1563</v>
      </c>
      <c r="H131" s="13" t="s">
        <v>358</v>
      </c>
      <c r="I131" s="13" t="s">
        <v>1562</v>
      </c>
      <c r="M131" t="s">
        <v>2827</v>
      </c>
    </row>
    <row r="132" spans="1:13" ht="16.5" customHeight="1" x14ac:dyDescent="0.25">
      <c r="A132" s="6" t="s">
        <v>1564</v>
      </c>
      <c r="B132" s="7" t="s">
        <v>660</v>
      </c>
      <c r="C132" s="7" t="s">
        <v>392</v>
      </c>
      <c r="D132" s="7" t="s">
        <v>662</v>
      </c>
      <c r="E132" s="7" t="s">
        <v>663</v>
      </c>
      <c r="F132" s="7" t="s">
        <v>1562</v>
      </c>
      <c r="G132" s="7" t="s">
        <v>1561</v>
      </c>
      <c r="H132" s="7" t="s">
        <v>358</v>
      </c>
      <c r="I132" s="7" t="s">
        <v>1565</v>
      </c>
      <c r="M132" t="s">
        <v>2827</v>
      </c>
    </row>
    <row r="133" spans="1:13" ht="16.5" customHeight="1" x14ac:dyDescent="0.25">
      <c r="A133" s="12" t="s">
        <v>1568</v>
      </c>
      <c r="B133" s="13" t="s">
        <v>660</v>
      </c>
      <c r="C133" s="13" t="s">
        <v>1567</v>
      </c>
      <c r="D133" s="13" t="s">
        <v>662</v>
      </c>
      <c r="E133" s="13" t="s">
        <v>663</v>
      </c>
      <c r="F133" s="13" t="s">
        <v>1562</v>
      </c>
      <c r="G133" s="13" t="s">
        <v>1566</v>
      </c>
      <c r="H133" s="13" t="s">
        <v>358</v>
      </c>
      <c r="I133" s="13" t="s">
        <v>1569</v>
      </c>
      <c r="M133" t="s">
        <v>2827</v>
      </c>
    </row>
    <row r="134" spans="1:13" ht="16.5" customHeight="1" x14ac:dyDescent="0.25">
      <c r="A134" s="6" t="s">
        <v>1566</v>
      </c>
      <c r="B134" s="7" t="s">
        <v>660</v>
      </c>
      <c r="C134" s="7" t="s">
        <v>1567</v>
      </c>
      <c r="D134" s="7" t="s">
        <v>662</v>
      </c>
      <c r="E134" s="7" t="s">
        <v>663</v>
      </c>
      <c r="F134" s="7" t="s">
        <v>1562</v>
      </c>
      <c r="G134" s="7" t="s">
        <v>1570</v>
      </c>
      <c r="H134" s="7" t="s">
        <v>358</v>
      </c>
      <c r="I134" s="7" t="s">
        <v>1562</v>
      </c>
      <c r="M134" t="s">
        <v>2827</v>
      </c>
    </row>
    <row r="135" spans="1:13" ht="17.25" customHeight="1" x14ac:dyDescent="0.25">
      <c r="A135" s="12" t="s">
        <v>1571</v>
      </c>
      <c r="B135" s="13" t="s">
        <v>660</v>
      </c>
      <c r="C135" s="13" t="s">
        <v>1572</v>
      </c>
      <c r="D135" s="13" t="s">
        <v>662</v>
      </c>
      <c r="E135" s="13" t="s">
        <v>663</v>
      </c>
      <c r="F135" s="13" t="s">
        <v>1443</v>
      </c>
      <c r="G135" s="13" t="s">
        <v>1573</v>
      </c>
      <c r="H135" s="13" t="s">
        <v>358</v>
      </c>
      <c r="I135" s="13" t="s">
        <v>1551</v>
      </c>
      <c r="M135" t="s">
        <v>2827</v>
      </c>
    </row>
    <row r="136" spans="1:13" ht="16.5" customHeight="1" x14ac:dyDescent="0.25">
      <c r="A136" s="6" t="s">
        <v>1574</v>
      </c>
      <c r="B136" s="7" t="s">
        <v>660</v>
      </c>
      <c r="C136" s="7" t="s">
        <v>1575</v>
      </c>
      <c r="D136" s="7" t="s">
        <v>662</v>
      </c>
      <c r="E136" s="7" t="s">
        <v>663</v>
      </c>
      <c r="F136" s="7" t="s">
        <v>1443</v>
      </c>
      <c r="G136" s="7" t="s">
        <v>1576</v>
      </c>
      <c r="H136" s="7" t="s">
        <v>358</v>
      </c>
      <c r="I136" s="7" t="s">
        <v>1555</v>
      </c>
      <c r="M136" t="s">
        <v>2827</v>
      </c>
    </row>
    <row r="137" spans="1:13" ht="16.5" customHeight="1" x14ac:dyDescent="0.25">
      <c r="A137" s="12" t="s">
        <v>1577</v>
      </c>
      <c r="B137" s="13" t="s">
        <v>660</v>
      </c>
      <c r="C137" s="13" t="s">
        <v>1575</v>
      </c>
      <c r="D137" s="13" t="s">
        <v>662</v>
      </c>
      <c r="E137" s="13" t="s">
        <v>663</v>
      </c>
      <c r="F137" s="13" t="s">
        <v>1443</v>
      </c>
      <c r="G137" s="13" t="s">
        <v>1574</v>
      </c>
      <c r="H137" s="13" t="s">
        <v>358</v>
      </c>
      <c r="I137" s="13" t="s">
        <v>1565</v>
      </c>
      <c r="M137" t="s">
        <v>2827</v>
      </c>
    </row>
    <row r="138" spans="1:13" ht="16.5" customHeight="1" x14ac:dyDescent="0.25">
      <c r="A138" s="6" t="s">
        <v>1578</v>
      </c>
      <c r="B138" s="7" t="s">
        <v>660</v>
      </c>
      <c r="C138" s="7" t="s">
        <v>1579</v>
      </c>
      <c r="D138" s="7" t="s">
        <v>662</v>
      </c>
      <c r="E138" s="7" t="s">
        <v>663</v>
      </c>
      <c r="F138" s="7" t="s">
        <v>1443</v>
      </c>
      <c r="G138" s="7" t="s">
        <v>1580</v>
      </c>
      <c r="H138" s="7" t="s">
        <v>358</v>
      </c>
      <c r="I138" s="7" t="s">
        <v>1555</v>
      </c>
      <c r="M138" t="s">
        <v>2827</v>
      </c>
    </row>
    <row r="139" spans="1:13" ht="16.5" customHeight="1" x14ac:dyDescent="0.25">
      <c r="A139" s="12" t="s">
        <v>1557</v>
      </c>
      <c r="B139" s="13" t="s">
        <v>660</v>
      </c>
      <c r="C139" s="13" t="s">
        <v>936</v>
      </c>
      <c r="D139" s="13" t="s">
        <v>662</v>
      </c>
      <c r="E139" s="13" t="s">
        <v>663</v>
      </c>
      <c r="F139" s="13" t="s">
        <v>1256</v>
      </c>
      <c r="G139" s="13" t="s">
        <v>1581</v>
      </c>
      <c r="H139" s="13" t="s">
        <v>358</v>
      </c>
      <c r="I139" s="13" t="s">
        <v>1178</v>
      </c>
      <c r="M139" t="s">
        <v>2827</v>
      </c>
    </row>
    <row r="140" spans="1:13" ht="16.5" customHeight="1" x14ac:dyDescent="0.25">
      <c r="A140" s="6" t="s">
        <v>1559</v>
      </c>
      <c r="B140" s="7" t="s">
        <v>660</v>
      </c>
      <c r="C140" s="7" t="s">
        <v>640</v>
      </c>
      <c r="D140" s="7" t="s">
        <v>662</v>
      </c>
      <c r="E140" s="7" t="s">
        <v>663</v>
      </c>
      <c r="F140" s="7" t="s">
        <v>1256</v>
      </c>
      <c r="G140" s="7" t="s">
        <v>1582</v>
      </c>
      <c r="H140" s="7" t="s">
        <v>358</v>
      </c>
      <c r="I140" s="7" t="s">
        <v>1178</v>
      </c>
      <c r="M140" t="s">
        <v>2827</v>
      </c>
    </row>
    <row r="141" spans="1:13" ht="16.5" customHeight="1" x14ac:dyDescent="0.25">
      <c r="A141" s="12" t="s">
        <v>1563</v>
      </c>
      <c r="B141" s="13" t="s">
        <v>660</v>
      </c>
      <c r="C141" s="13" t="s">
        <v>392</v>
      </c>
      <c r="D141" s="13" t="s">
        <v>662</v>
      </c>
      <c r="E141" s="13" t="s">
        <v>663</v>
      </c>
      <c r="F141" s="13" t="s">
        <v>1562</v>
      </c>
      <c r="G141" s="13" t="s">
        <v>1583</v>
      </c>
      <c r="H141" s="13" t="s">
        <v>358</v>
      </c>
      <c r="I141" s="13" t="s">
        <v>1555</v>
      </c>
      <c r="M141" t="s">
        <v>2827</v>
      </c>
    </row>
    <row r="142" spans="1:13" ht="16.5" customHeight="1" x14ac:dyDescent="0.25">
      <c r="A142" s="6" t="s">
        <v>1584</v>
      </c>
      <c r="B142" s="7" t="s">
        <v>660</v>
      </c>
      <c r="C142" s="7" t="s">
        <v>640</v>
      </c>
      <c r="D142" s="7" t="s">
        <v>662</v>
      </c>
      <c r="E142" s="7" t="s">
        <v>663</v>
      </c>
      <c r="F142" s="7" t="s">
        <v>1178</v>
      </c>
      <c r="G142" s="7" t="s">
        <v>1585</v>
      </c>
      <c r="H142" s="7" t="s">
        <v>358</v>
      </c>
      <c r="I142" s="7" t="s">
        <v>1178</v>
      </c>
      <c r="M142" t="s">
        <v>2827</v>
      </c>
    </row>
    <row r="143" spans="1:13" ht="16.5" customHeight="1" x14ac:dyDescent="0.25">
      <c r="A143" s="12" t="s">
        <v>1584</v>
      </c>
      <c r="B143" s="13" t="s">
        <v>660</v>
      </c>
      <c r="C143" s="13" t="s">
        <v>640</v>
      </c>
      <c r="D143" s="13" t="s">
        <v>662</v>
      </c>
      <c r="E143" s="13" t="s">
        <v>663</v>
      </c>
      <c r="F143" s="13" t="s">
        <v>1178</v>
      </c>
      <c r="G143" s="13" t="s">
        <v>1582</v>
      </c>
      <c r="H143" s="13" t="s">
        <v>358</v>
      </c>
      <c r="I143" s="13" t="s">
        <v>1178</v>
      </c>
      <c r="M143" t="s">
        <v>2827</v>
      </c>
    </row>
    <row r="144" spans="1:13" ht="16.5" customHeight="1" x14ac:dyDescent="0.25">
      <c r="A144" s="6" t="s">
        <v>1583</v>
      </c>
      <c r="B144" s="7" t="s">
        <v>660</v>
      </c>
      <c r="C144" s="7" t="s">
        <v>392</v>
      </c>
      <c r="D144" s="7" t="s">
        <v>662</v>
      </c>
      <c r="E144" s="7" t="s">
        <v>663</v>
      </c>
      <c r="F144" s="7" t="s">
        <v>1555</v>
      </c>
      <c r="G144" s="7" t="s">
        <v>1586</v>
      </c>
      <c r="H144" s="7" t="s">
        <v>358</v>
      </c>
      <c r="I144" s="7" t="s">
        <v>1394</v>
      </c>
      <c r="M144" t="s">
        <v>2827</v>
      </c>
    </row>
    <row r="145" spans="1:13" ht="16.5" customHeight="1" x14ac:dyDescent="0.25">
      <c r="A145" s="12" t="s">
        <v>1177</v>
      </c>
      <c r="B145" s="13" t="s">
        <v>660</v>
      </c>
      <c r="C145" s="13" t="s">
        <v>1175</v>
      </c>
      <c r="D145" s="13" t="s">
        <v>662</v>
      </c>
      <c r="E145" s="13" t="s">
        <v>663</v>
      </c>
      <c r="F145" s="13" t="s">
        <v>1178</v>
      </c>
      <c r="G145" s="13" t="s">
        <v>1587</v>
      </c>
      <c r="H145" s="13" t="s">
        <v>358</v>
      </c>
      <c r="I145" s="13" t="s">
        <v>1588</v>
      </c>
      <c r="M145" t="s">
        <v>2827</v>
      </c>
    </row>
    <row r="146" spans="1:13" ht="16.5" customHeight="1" x14ac:dyDescent="0.25">
      <c r="A146" s="6" t="s">
        <v>1585</v>
      </c>
      <c r="B146" s="7" t="s">
        <v>660</v>
      </c>
      <c r="C146" s="7" t="s">
        <v>640</v>
      </c>
      <c r="D146" s="7" t="s">
        <v>662</v>
      </c>
      <c r="E146" s="7" t="s">
        <v>663</v>
      </c>
      <c r="F146" s="7" t="s">
        <v>1178</v>
      </c>
      <c r="G146" s="7" t="s">
        <v>1589</v>
      </c>
      <c r="H146" s="7" t="s">
        <v>358</v>
      </c>
      <c r="I146" s="7" t="s">
        <v>1178</v>
      </c>
      <c r="M146" t="s">
        <v>2827</v>
      </c>
    </row>
    <row r="147" spans="1:13" ht="17.25" customHeight="1" x14ac:dyDescent="0.25">
      <c r="A147" s="12" t="s">
        <v>1550</v>
      </c>
      <c r="B147" s="13" t="s">
        <v>660</v>
      </c>
      <c r="C147" s="13" t="s">
        <v>1549</v>
      </c>
      <c r="D147" s="13" t="s">
        <v>662</v>
      </c>
      <c r="E147" s="13" t="s">
        <v>663</v>
      </c>
      <c r="F147" s="13" t="s">
        <v>1551</v>
      </c>
      <c r="G147" s="13" t="s">
        <v>1590</v>
      </c>
      <c r="H147" s="13" t="s">
        <v>358</v>
      </c>
      <c r="I147" s="13" t="s">
        <v>1178</v>
      </c>
      <c r="M147" t="s">
        <v>2827</v>
      </c>
    </row>
    <row r="148" spans="1:13" ht="16.5" customHeight="1" x14ac:dyDescent="0.25">
      <c r="A148" s="6" t="s">
        <v>1591</v>
      </c>
      <c r="B148" s="7" t="s">
        <v>660</v>
      </c>
      <c r="C148" s="7" t="s">
        <v>640</v>
      </c>
      <c r="D148" s="7" t="s">
        <v>662</v>
      </c>
      <c r="E148" s="7" t="s">
        <v>663</v>
      </c>
      <c r="F148" s="7" t="s">
        <v>1551</v>
      </c>
      <c r="G148" s="7" t="s">
        <v>1592</v>
      </c>
      <c r="H148" s="7" t="s">
        <v>358</v>
      </c>
      <c r="I148" s="7" t="s">
        <v>1551</v>
      </c>
      <c r="M148" t="s">
        <v>2827</v>
      </c>
    </row>
    <row r="149" spans="1:13" ht="16.5" customHeight="1" x14ac:dyDescent="0.25">
      <c r="A149" s="12" t="s">
        <v>1591</v>
      </c>
      <c r="B149" s="13" t="s">
        <v>660</v>
      </c>
      <c r="C149" s="13" t="s">
        <v>640</v>
      </c>
      <c r="D149" s="13" t="s">
        <v>662</v>
      </c>
      <c r="E149" s="13" t="s">
        <v>663</v>
      </c>
      <c r="F149" s="13" t="s">
        <v>1551</v>
      </c>
      <c r="G149" s="13" t="s">
        <v>1589</v>
      </c>
      <c r="H149" s="13" t="s">
        <v>358</v>
      </c>
      <c r="I149" s="13" t="s">
        <v>1178</v>
      </c>
      <c r="M149" t="s">
        <v>2827</v>
      </c>
    </row>
    <row r="150" spans="1:13" ht="16.5" customHeight="1" x14ac:dyDescent="0.25">
      <c r="A150" s="6" t="s">
        <v>1586</v>
      </c>
      <c r="B150" s="7" t="s">
        <v>660</v>
      </c>
      <c r="C150" s="7" t="s">
        <v>392</v>
      </c>
      <c r="D150" s="7" t="s">
        <v>662</v>
      </c>
      <c r="E150" s="7" t="s">
        <v>663</v>
      </c>
      <c r="F150" s="7" t="s">
        <v>1394</v>
      </c>
      <c r="G150" s="7" t="s">
        <v>1593</v>
      </c>
      <c r="H150" s="7" t="s">
        <v>358</v>
      </c>
      <c r="I150" s="7" t="s">
        <v>1555</v>
      </c>
      <c r="M150" t="s">
        <v>2827</v>
      </c>
    </row>
    <row r="151" spans="1:13" ht="16.5" customHeight="1" x14ac:dyDescent="0.25">
      <c r="A151" s="12" t="s">
        <v>1594</v>
      </c>
      <c r="B151" s="13" t="s">
        <v>660</v>
      </c>
      <c r="C151" s="13" t="s">
        <v>1595</v>
      </c>
      <c r="D151" s="13" t="s">
        <v>662</v>
      </c>
      <c r="E151" s="13" t="s">
        <v>663</v>
      </c>
      <c r="F151" s="13" t="s">
        <v>1394</v>
      </c>
      <c r="G151" s="13" t="s">
        <v>1596</v>
      </c>
      <c r="H151" s="13" t="s">
        <v>358</v>
      </c>
      <c r="I151" s="13" t="s">
        <v>1244</v>
      </c>
      <c r="M151" t="s">
        <v>2827</v>
      </c>
    </row>
    <row r="152" spans="1:13" ht="16.5" customHeight="1" x14ac:dyDescent="0.25">
      <c r="A152" s="6" t="s">
        <v>1597</v>
      </c>
      <c r="B152" s="7" t="s">
        <v>660</v>
      </c>
      <c r="C152" s="7" t="s">
        <v>1598</v>
      </c>
      <c r="D152" s="7" t="s">
        <v>662</v>
      </c>
      <c r="E152" s="7" t="s">
        <v>663</v>
      </c>
      <c r="F152" s="7" t="s">
        <v>1551</v>
      </c>
      <c r="G152" s="7" t="s">
        <v>1599</v>
      </c>
      <c r="H152" s="7" t="s">
        <v>358</v>
      </c>
      <c r="I152" s="7" t="s">
        <v>1233</v>
      </c>
      <c r="M152" t="s">
        <v>2827</v>
      </c>
    </row>
    <row r="153" spans="1:13" ht="16.5" customHeight="1" x14ac:dyDescent="0.25">
      <c r="A153" s="12" t="s">
        <v>1592</v>
      </c>
      <c r="B153" s="13" t="s">
        <v>660</v>
      </c>
      <c r="C153" s="13" t="s">
        <v>640</v>
      </c>
      <c r="D153" s="13" t="s">
        <v>662</v>
      </c>
      <c r="E153" s="13" t="s">
        <v>663</v>
      </c>
      <c r="F153" s="13" t="s">
        <v>1551</v>
      </c>
      <c r="G153" s="13" t="s">
        <v>1600</v>
      </c>
      <c r="H153" s="13" t="s">
        <v>358</v>
      </c>
      <c r="I153" s="13" t="s">
        <v>1551</v>
      </c>
      <c r="M153" t="s">
        <v>2827</v>
      </c>
    </row>
    <row r="154" spans="1:13" ht="16.5" customHeight="1" x14ac:dyDescent="0.25">
      <c r="A154" s="6" t="s">
        <v>1601</v>
      </c>
      <c r="B154" s="7" t="s">
        <v>660</v>
      </c>
      <c r="C154" s="7" t="s">
        <v>392</v>
      </c>
      <c r="D154" s="7" t="s">
        <v>662</v>
      </c>
      <c r="E154" s="7" t="s">
        <v>663</v>
      </c>
      <c r="F154" s="7" t="s">
        <v>1555</v>
      </c>
      <c r="G154" s="7" t="s">
        <v>1593</v>
      </c>
      <c r="H154" s="7" t="s">
        <v>358</v>
      </c>
      <c r="I154" s="7" t="s">
        <v>1555</v>
      </c>
      <c r="M154" t="s">
        <v>2827</v>
      </c>
    </row>
    <row r="155" spans="1:13" ht="16.5" customHeight="1" x14ac:dyDescent="0.25">
      <c r="A155" s="12" t="s">
        <v>1554</v>
      </c>
      <c r="B155" s="13" t="s">
        <v>660</v>
      </c>
      <c r="C155" s="13" t="s">
        <v>1553</v>
      </c>
      <c r="D155" s="13" t="s">
        <v>662</v>
      </c>
      <c r="E155" s="13" t="s">
        <v>663</v>
      </c>
      <c r="F155" s="13" t="s">
        <v>1555</v>
      </c>
      <c r="G155" s="13" t="s">
        <v>1602</v>
      </c>
      <c r="H155" s="13" t="s">
        <v>358</v>
      </c>
      <c r="I155" s="13" t="s">
        <v>1603</v>
      </c>
      <c r="M155" t="s">
        <v>2827</v>
      </c>
    </row>
    <row r="156" spans="1:13" ht="16.5" customHeight="1" x14ac:dyDescent="0.25">
      <c r="A156" s="6" t="s">
        <v>1606</v>
      </c>
      <c r="B156" s="7" t="s">
        <v>660</v>
      </c>
      <c r="C156" s="7" t="s">
        <v>1605</v>
      </c>
      <c r="D156" s="7" t="s">
        <v>662</v>
      </c>
      <c r="E156" s="7" t="s">
        <v>663</v>
      </c>
      <c r="F156" s="7" t="s">
        <v>1551</v>
      </c>
      <c r="G156" s="7" t="s">
        <v>1604</v>
      </c>
      <c r="H156" s="7" t="s">
        <v>358</v>
      </c>
      <c r="I156" s="7" t="s">
        <v>1565</v>
      </c>
      <c r="M156" t="s">
        <v>2827</v>
      </c>
    </row>
    <row r="157" spans="1:13" ht="16.5" customHeight="1" x14ac:dyDescent="0.25">
      <c r="A157" s="12" t="s">
        <v>1600</v>
      </c>
      <c r="B157" s="13" t="s">
        <v>660</v>
      </c>
      <c r="C157" s="13" t="s">
        <v>640</v>
      </c>
      <c r="D157" s="13" t="s">
        <v>662</v>
      </c>
      <c r="E157" s="13" t="s">
        <v>663</v>
      </c>
      <c r="F157" s="13" t="s">
        <v>1551</v>
      </c>
      <c r="G157" s="13" t="s">
        <v>1607</v>
      </c>
      <c r="H157" s="13" t="s">
        <v>358</v>
      </c>
      <c r="I157" s="13" t="s">
        <v>1551</v>
      </c>
      <c r="M157" t="s">
        <v>2827</v>
      </c>
    </row>
    <row r="158" spans="1:13" ht="16.5" customHeight="1" x14ac:dyDescent="0.25">
      <c r="A158" s="6" t="s">
        <v>1608</v>
      </c>
      <c r="B158" s="7" t="s">
        <v>660</v>
      </c>
      <c r="C158" s="7" t="s">
        <v>1609</v>
      </c>
      <c r="D158" s="7" t="s">
        <v>662</v>
      </c>
      <c r="E158" s="7" t="s">
        <v>663</v>
      </c>
      <c r="F158" s="7" t="s">
        <v>1610</v>
      </c>
      <c r="G158" s="7" t="s">
        <v>1611</v>
      </c>
      <c r="H158" s="7" t="s">
        <v>358</v>
      </c>
      <c r="I158" s="7" t="s">
        <v>1610</v>
      </c>
      <c r="M158" t="s">
        <v>2827</v>
      </c>
    </row>
    <row r="159" spans="1:13" ht="16.5" customHeight="1" x14ac:dyDescent="0.25">
      <c r="A159" s="12" t="s">
        <v>1612</v>
      </c>
      <c r="B159" s="13" t="s">
        <v>660</v>
      </c>
      <c r="C159" s="13" t="s">
        <v>392</v>
      </c>
      <c r="D159" s="13" t="s">
        <v>662</v>
      </c>
      <c r="E159" s="13" t="s">
        <v>663</v>
      </c>
      <c r="F159" s="13" t="s">
        <v>1610</v>
      </c>
      <c r="G159" s="13" t="s">
        <v>1613</v>
      </c>
      <c r="H159" s="13" t="s">
        <v>358</v>
      </c>
      <c r="I159" s="13" t="s">
        <v>1614</v>
      </c>
      <c r="M159" t="s">
        <v>2827</v>
      </c>
    </row>
    <row r="160" spans="1:13" ht="17.25" customHeight="1" x14ac:dyDescent="0.25">
      <c r="A160" s="6" t="s">
        <v>1617</v>
      </c>
      <c r="B160" s="7" t="s">
        <v>660</v>
      </c>
      <c r="C160" s="7" t="s">
        <v>1616</v>
      </c>
      <c r="D160" s="7" t="s">
        <v>662</v>
      </c>
      <c r="E160" s="7" t="s">
        <v>663</v>
      </c>
      <c r="F160" s="7" t="s">
        <v>1244</v>
      </c>
      <c r="G160" s="7" t="s">
        <v>1615</v>
      </c>
      <c r="H160" s="7" t="s">
        <v>358</v>
      </c>
      <c r="I160" s="7" t="s">
        <v>1256</v>
      </c>
      <c r="M160" t="s">
        <v>2827</v>
      </c>
    </row>
    <row r="161" spans="1:13" ht="16.5" customHeight="1" x14ac:dyDescent="0.25">
      <c r="A161" s="12" t="s">
        <v>1618</v>
      </c>
      <c r="B161" s="13" t="s">
        <v>660</v>
      </c>
      <c r="C161" s="13" t="s">
        <v>1239</v>
      </c>
      <c r="D161" s="13" t="s">
        <v>662</v>
      </c>
      <c r="E161" s="13" t="s">
        <v>663</v>
      </c>
      <c r="F161" s="13" t="s">
        <v>1189</v>
      </c>
      <c r="G161" s="13" t="s">
        <v>1240</v>
      </c>
      <c r="H161" s="13" t="s">
        <v>358</v>
      </c>
      <c r="I161" s="13" t="s">
        <v>1189</v>
      </c>
      <c r="M161" t="s">
        <v>2827</v>
      </c>
    </row>
    <row r="162" spans="1:13" ht="16.5" customHeight="1" x14ac:dyDescent="0.25">
      <c r="A162" s="6" t="s">
        <v>1242</v>
      </c>
      <c r="B162" s="7" t="s">
        <v>660</v>
      </c>
      <c r="C162" s="7" t="s">
        <v>392</v>
      </c>
      <c r="D162" s="7" t="s">
        <v>662</v>
      </c>
      <c r="E162" s="7" t="s">
        <v>663</v>
      </c>
      <c r="F162" s="7" t="s">
        <v>1189</v>
      </c>
      <c r="G162" s="7" t="s">
        <v>1322</v>
      </c>
      <c r="H162" s="7" t="s">
        <v>358</v>
      </c>
      <c r="I162" s="7" t="s">
        <v>1293</v>
      </c>
      <c r="M162" t="s">
        <v>2827</v>
      </c>
    </row>
    <row r="163" spans="1:13" ht="16.5" customHeight="1" x14ac:dyDescent="0.25">
      <c r="A163" s="12" t="s">
        <v>1619</v>
      </c>
      <c r="B163" s="13" t="s">
        <v>660</v>
      </c>
      <c r="C163" s="13" t="s">
        <v>392</v>
      </c>
      <c r="D163" s="13" t="s">
        <v>662</v>
      </c>
      <c r="E163" s="13" t="s">
        <v>663</v>
      </c>
      <c r="F163" s="13" t="s">
        <v>1620</v>
      </c>
      <c r="G163" s="13" t="s">
        <v>1621</v>
      </c>
      <c r="H163" s="13" t="s">
        <v>358</v>
      </c>
      <c r="I163" s="13" t="s">
        <v>1565</v>
      </c>
      <c r="M163" t="s">
        <v>2827</v>
      </c>
    </row>
    <row r="164" spans="1:13" ht="16.5" customHeight="1" x14ac:dyDescent="0.25">
      <c r="A164" s="6" t="s">
        <v>1619</v>
      </c>
      <c r="B164" s="7" t="s">
        <v>660</v>
      </c>
      <c r="C164" s="7" t="s">
        <v>392</v>
      </c>
      <c r="D164" s="7" t="s">
        <v>662</v>
      </c>
      <c r="E164" s="7" t="s">
        <v>663</v>
      </c>
      <c r="F164" s="7" t="s">
        <v>1293</v>
      </c>
      <c r="G164" s="7" t="s">
        <v>1322</v>
      </c>
      <c r="H164" s="7" t="s">
        <v>358</v>
      </c>
      <c r="I164" s="7" t="s">
        <v>1293</v>
      </c>
      <c r="M164" t="s">
        <v>2827</v>
      </c>
    </row>
    <row r="165" spans="1:13" ht="16.5" customHeight="1" x14ac:dyDescent="0.25">
      <c r="A165" s="12" t="s">
        <v>1622</v>
      </c>
      <c r="B165" s="13" t="s">
        <v>660</v>
      </c>
      <c r="C165" s="13" t="s">
        <v>1623</v>
      </c>
      <c r="D165" s="13" t="s">
        <v>662</v>
      </c>
      <c r="E165" s="13" t="s">
        <v>663</v>
      </c>
      <c r="F165" s="13" t="s">
        <v>1620</v>
      </c>
      <c r="G165" s="13" t="s">
        <v>1624</v>
      </c>
      <c r="H165" s="13" t="s">
        <v>358</v>
      </c>
      <c r="I165" s="13" t="s">
        <v>1565</v>
      </c>
      <c r="M165" t="s">
        <v>2827</v>
      </c>
    </row>
    <row r="166" spans="1:13" ht="16.5" customHeight="1" x14ac:dyDescent="0.25">
      <c r="A166" s="6" t="s">
        <v>1625</v>
      </c>
      <c r="B166" s="7" t="s">
        <v>660</v>
      </c>
      <c r="C166" s="7" t="s">
        <v>1626</v>
      </c>
      <c r="D166" s="7" t="s">
        <v>662</v>
      </c>
      <c r="E166" s="7" t="s">
        <v>663</v>
      </c>
      <c r="F166" s="7" t="s">
        <v>1293</v>
      </c>
      <c r="G166" s="7" t="s">
        <v>1627</v>
      </c>
      <c r="H166" s="7" t="s">
        <v>358</v>
      </c>
      <c r="I166" s="7" t="s">
        <v>1569</v>
      </c>
      <c r="M166" t="s">
        <v>2827</v>
      </c>
    </row>
    <row r="167" spans="1:13" ht="16.5" customHeight="1" x14ac:dyDescent="0.25">
      <c r="A167" s="12" t="s">
        <v>1628</v>
      </c>
      <c r="B167" s="13" t="s">
        <v>660</v>
      </c>
      <c r="C167" s="13" t="s">
        <v>1629</v>
      </c>
      <c r="D167" s="13" t="s">
        <v>662</v>
      </c>
      <c r="E167" s="13" t="s">
        <v>663</v>
      </c>
      <c r="F167" s="13" t="s">
        <v>1569</v>
      </c>
      <c r="G167" s="13" t="s">
        <v>1630</v>
      </c>
      <c r="H167" s="13" t="s">
        <v>358</v>
      </c>
      <c r="I167" s="13" t="s">
        <v>1631</v>
      </c>
      <c r="M167" t="s">
        <v>2827</v>
      </c>
    </row>
    <row r="168" spans="1:13" ht="16.5" customHeight="1" x14ac:dyDescent="0.25">
      <c r="A168" s="6" t="s">
        <v>1632</v>
      </c>
      <c r="B168" s="7" t="s">
        <v>660</v>
      </c>
      <c r="C168" s="7" t="s">
        <v>640</v>
      </c>
      <c r="D168" s="7" t="s">
        <v>662</v>
      </c>
      <c r="E168" s="7" t="s">
        <v>663</v>
      </c>
      <c r="F168" s="7" t="s">
        <v>1569</v>
      </c>
      <c r="G168" s="7" t="s">
        <v>1633</v>
      </c>
      <c r="H168" s="7" t="s">
        <v>358</v>
      </c>
      <c r="I168" s="7" t="s">
        <v>1569</v>
      </c>
      <c r="M168" t="s">
        <v>2827</v>
      </c>
    </row>
    <row r="169" spans="1:13" ht="16.5" customHeight="1" x14ac:dyDescent="0.25">
      <c r="A169" s="12" t="s">
        <v>1632</v>
      </c>
      <c r="B169" s="13" t="s">
        <v>660</v>
      </c>
      <c r="C169" s="13" t="s">
        <v>640</v>
      </c>
      <c r="D169" s="13" t="s">
        <v>662</v>
      </c>
      <c r="E169" s="13" t="s">
        <v>663</v>
      </c>
      <c r="F169" s="13" t="s">
        <v>1569</v>
      </c>
      <c r="G169" s="13" t="s">
        <v>1292</v>
      </c>
      <c r="H169" s="13" t="s">
        <v>358</v>
      </c>
      <c r="I169" s="13" t="s">
        <v>1293</v>
      </c>
      <c r="M169" t="s">
        <v>2827</v>
      </c>
    </row>
    <row r="170" spans="1:13" ht="16.5" customHeight="1" x14ac:dyDescent="0.25">
      <c r="A170" s="6" t="s">
        <v>1577</v>
      </c>
      <c r="B170" s="7" t="s">
        <v>660</v>
      </c>
      <c r="C170" s="7" t="s">
        <v>1575</v>
      </c>
      <c r="D170" s="7" t="s">
        <v>662</v>
      </c>
      <c r="E170" s="7" t="s">
        <v>663</v>
      </c>
      <c r="F170" s="7" t="s">
        <v>1565</v>
      </c>
      <c r="G170" s="7" t="s">
        <v>1634</v>
      </c>
      <c r="H170" s="7" t="s">
        <v>358</v>
      </c>
      <c r="I170" s="7" t="s">
        <v>1565</v>
      </c>
      <c r="M170" t="s">
        <v>2827</v>
      </c>
    </row>
    <row r="171" spans="1:13" ht="16.5" customHeight="1" x14ac:dyDescent="0.25">
      <c r="A171" s="12" t="s">
        <v>1635</v>
      </c>
      <c r="B171" s="13" t="s">
        <v>660</v>
      </c>
      <c r="C171" s="13" t="s">
        <v>1567</v>
      </c>
      <c r="D171" s="13" t="s">
        <v>662</v>
      </c>
      <c r="E171" s="13" t="s">
        <v>663</v>
      </c>
      <c r="F171" s="13" t="s">
        <v>1569</v>
      </c>
      <c r="G171" s="13" t="s">
        <v>1636</v>
      </c>
      <c r="H171" s="13" t="s">
        <v>358</v>
      </c>
      <c r="I171" s="13" t="s">
        <v>1631</v>
      </c>
      <c r="M171" t="s">
        <v>2827</v>
      </c>
    </row>
    <row r="172" spans="1:13" ht="17.25" customHeight="1" x14ac:dyDescent="0.25">
      <c r="A172" s="6" t="s">
        <v>1635</v>
      </c>
      <c r="B172" s="7" t="s">
        <v>660</v>
      </c>
      <c r="C172" s="7" t="s">
        <v>1567</v>
      </c>
      <c r="D172" s="7" t="s">
        <v>662</v>
      </c>
      <c r="E172" s="7" t="s">
        <v>663</v>
      </c>
      <c r="F172" s="7" t="s">
        <v>1569</v>
      </c>
      <c r="G172" s="7" t="s">
        <v>1568</v>
      </c>
      <c r="H172" s="7" t="s">
        <v>358</v>
      </c>
      <c r="I172" s="7" t="s">
        <v>1569</v>
      </c>
      <c r="M172" t="s">
        <v>2827</v>
      </c>
    </row>
    <row r="173" spans="1:13" ht="16.5" customHeight="1" x14ac:dyDescent="0.25">
      <c r="A173" s="12" t="s">
        <v>1633</v>
      </c>
      <c r="B173" s="13" t="s">
        <v>660</v>
      </c>
      <c r="C173" s="13" t="s">
        <v>640</v>
      </c>
      <c r="D173" s="13" t="s">
        <v>662</v>
      </c>
      <c r="E173" s="13" t="s">
        <v>663</v>
      </c>
      <c r="F173" s="13" t="s">
        <v>1569</v>
      </c>
      <c r="G173" s="13" t="s">
        <v>1637</v>
      </c>
      <c r="H173" s="13" t="s">
        <v>358</v>
      </c>
      <c r="I173" s="13" t="s">
        <v>1569</v>
      </c>
      <c r="M173" t="s">
        <v>2827</v>
      </c>
    </row>
    <row r="174" spans="1:13" ht="16.5" customHeight="1" x14ac:dyDescent="0.25">
      <c r="A174" s="6" t="s">
        <v>1621</v>
      </c>
      <c r="B174" s="7" t="s">
        <v>660</v>
      </c>
      <c r="C174" s="7" t="s">
        <v>392</v>
      </c>
      <c r="D174" s="7" t="s">
        <v>662</v>
      </c>
      <c r="E174" s="7" t="s">
        <v>663</v>
      </c>
      <c r="F174" s="7" t="s">
        <v>1565</v>
      </c>
      <c r="G174" s="7" t="s">
        <v>1638</v>
      </c>
      <c r="H174" s="7" t="s">
        <v>358</v>
      </c>
      <c r="I174" s="7" t="s">
        <v>1256</v>
      </c>
      <c r="M174" t="s">
        <v>2827</v>
      </c>
    </row>
    <row r="175" spans="1:13" ht="16.5" customHeight="1" x14ac:dyDescent="0.25">
      <c r="A175" s="12" t="s">
        <v>1606</v>
      </c>
      <c r="B175" s="13" t="s">
        <v>660</v>
      </c>
      <c r="C175" s="13" t="s">
        <v>1605</v>
      </c>
      <c r="D175" s="13" t="s">
        <v>662</v>
      </c>
      <c r="E175" s="13" t="s">
        <v>663</v>
      </c>
      <c r="F175" s="13" t="s">
        <v>1565</v>
      </c>
      <c r="G175" s="13" t="s">
        <v>1639</v>
      </c>
      <c r="H175" s="13" t="s">
        <v>358</v>
      </c>
      <c r="I175" s="13" t="s">
        <v>1565</v>
      </c>
      <c r="M175" t="s">
        <v>2827</v>
      </c>
    </row>
    <row r="176" spans="1:13" ht="16.5" customHeight="1" x14ac:dyDescent="0.25">
      <c r="A176" s="6" t="s">
        <v>1637</v>
      </c>
      <c r="B176" s="7" t="s">
        <v>660</v>
      </c>
      <c r="C176" s="7" t="s">
        <v>640</v>
      </c>
      <c r="D176" s="7" t="s">
        <v>662</v>
      </c>
      <c r="E176" s="7" t="s">
        <v>663</v>
      </c>
      <c r="F176" s="7" t="s">
        <v>1569</v>
      </c>
      <c r="G176" s="7" t="s">
        <v>1640</v>
      </c>
      <c r="H176" s="7" t="s">
        <v>358</v>
      </c>
      <c r="I176" s="7" t="s">
        <v>1569</v>
      </c>
      <c r="M176" t="s">
        <v>2827</v>
      </c>
    </row>
    <row r="177" spans="1:13" ht="16.5" customHeight="1" x14ac:dyDescent="0.25">
      <c r="A177" s="12" t="s">
        <v>1640</v>
      </c>
      <c r="B177" s="13" t="s">
        <v>660</v>
      </c>
      <c r="C177" s="13" t="s">
        <v>640</v>
      </c>
      <c r="D177" s="13" t="s">
        <v>662</v>
      </c>
      <c r="E177" s="13" t="s">
        <v>663</v>
      </c>
      <c r="F177" s="13" t="s">
        <v>1569</v>
      </c>
      <c r="G177" s="13" t="s">
        <v>1641</v>
      </c>
      <c r="H177" s="13" t="s">
        <v>358</v>
      </c>
      <c r="I177" s="13" t="s">
        <v>1256</v>
      </c>
      <c r="M177" t="s">
        <v>2827</v>
      </c>
    </row>
    <row r="178" spans="1:13" ht="16.5" customHeight="1" x14ac:dyDescent="0.25">
      <c r="A178" s="6" t="s">
        <v>1642</v>
      </c>
      <c r="B178" s="7" t="s">
        <v>660</v>
      </c>
      <c r="C178" s="7" t="s">
        <v>392</v>
      </c>
      <c r="D178" s="7" t="s">
        <v>662</v>
      </c>
      <c r="E178" s="7" t="s">
        <v>663</v>
      </c>
      <c r="F178" s="7" t="s">
        <v>1565</v>
      </c>
      <c r="G178" s="7" t="s">
        <v>1564</v>
      </c>
      <c r="H178" s="7" t="s">
        <v>358</v>
      </c>
      <c r="I178" s="7" t="s">
        <v>1565</v>
      </c>
      <c r="M178" t="s">
        <v>2827</v>
      </c>
    </row>
    <row r="179" spans="1:13" ht="16.5" customHeight="1" x14ac:dyDescent="0.25">
      <c r="A179" s="12" t="s">
        <v>1642</v>
      </c>
      <c r="B179" s="13" t="s">
        <v>660</v>
      </c>
      <c r="C179" s="13" t="s">
        <v>392</v>
      </c>
      <c r="D179" s="13" t="s">
        <v>662</v>
      </c>
      <c r="E179" s="13" t="s">
        <v>663</v>
      </c>
      <c r="F179" s="13" t="s">
        <v>1565</v>
      </c>
      <c r="G179" s="13" t="s">
        <v>1638</v>
      </c>
      <c r="H179" s="13" t="s">
        <v>358</v>
      </c>
      <c r="I179" s="13" t="s">
        <v>1256</v>
      </c>
      <c r="M179" t="s">
        <v>2827</v>
      </c>
    </row>
    <row r="180" spans="1:13" ht="16.5" customHeight="1" x14ac:dyDescent="0.25">
      <c r="A180" s="6" t="s">
        <v>1641</v>
      </c>
      <c r="B180" s="7" t="s">
        <v>660</v>
      </c>
      <c r="C180" s="7" t="s">
        <v>640</v>
      </c>
      <c r="D180" s="7" t="s">
        <v>662</v>
      </c>
      <c r="E180" s="7" t="s">
        <v>663</v>
      </c>
      <c r="F180" s="7" t="s">
        <v>1256</v>
      </c>
      <c r="G180" s="7" t="s">
        <v>1560</v>
      </c>
      <c r="H180" s="7" t="s">
        <v>358</v>
      </c>
      <c r="I180" s="7" t="s">
        <v>1256</v>
      </c>
      <c r="M180" t="s">
        <v>2827</v>
      </c>
    </row>
    <row r="181" spans="1:13" ht="16.5" customHeight="1" x14ac:dyDescent="0.25">
      <c r="A181" s="12" t="s">
        <v>1470</v>
      </c>
      <c r="B181" s="13" t="s">
        <v>660</v>
      </c>
      <c r="C181" s="13" t="s">
        <v>1468</v>
      </c>
      <c r="D181" s="13" t="s">
        <v>662</v>
      </c>
      <c r="E181" s="13" t="s">
        <v>663</v>
      </c>
      <c r="F181" s="13" t="s">
        <v>1471</v>
      </c>
      <c r="G181" s="13" t="s">
        <v>1643</v>
      </c>
      <c r="H181" s="13" t="s">
        <v>358</v>
      </c>
      <c r="I181" s="13" t="s">
        <v>1471</v>
      </c>
      <c r="M181" t="s">
        <v>2827</v>
      </c>
    </row>
    <row r="182" spans="1:13" ht="16.5" customHeight="1" x14ac:dyDescent="0.25">
      <c r="A182" s="6" t="s">
        <v>1644</v>
      </c>
      <c r="B182" s="7" t="s">
        <v>660</v>
      </c>
      <c r="C182" s="7" t="s">
        <v>640</v>
      </c>
      <c r="D182" s="7" t="s">
        <v>924</v>
      </c>
      <c r="E182" s="7" t="s">
        <v>697</v>
      </c>
      <c r="F182" s="7" t="s">
        <v>900</v>
      </c>
      <c r="G182" s="7" t="s">
        <v>1320</v>
      </c>
      <c r="H182" s="7" t="s">
        <v>358</v>
      </c>
      <c r="I182" s="7" t="s">
        <v>900</v>
      </c>
      <c r="M182" t="s">
        <v>2827</v>
      </c>
    </row>
    <row r="183" spans="1:13" ht="16.5" customHeight="1" x14ac:dyDescent="0.25">
      <c r="A183" s="12" t="s">
        <v>1645</v>
      </c>
      <c r="B183" s="13" t="s">
        <v>660</v>
      </c>
      <c r="C183" s="13" t="s">
        <v>1646</v>
      </c>
      <c r="D183" s="13" t="s">
        <v>662</v>
      </c>
      <c r="E183" s="13" t="s">
        <v>898</v>
      </c>
      <c r="F183" s="13" t="s">
        <v>1408</v>
      </c>
      <c r="G183" s="13" t="s">
        <v>1647</v>
      </c>
      <c r="H183" s="13" t="s">
        <v>358</v>
      </c>
      <c r="I183" s="13" t="s">
        <v>1516</v>
      </c>
      <c r="M183" t="s">
        <v>2827</v>
      </c>
    </row>
    <row r="184" spans="1:13" ht="16.5" customHeight="1" x14ac:dyDescent="0.25">
      <c r="A184" s="6" t="s">
        <v>1648</v>
      </c>
      <c r="B184" s="7" t="s">
        <v>660</v>
      </c>
      <c r="C184" s="7" t="s">
        <v>1649</v>
      </c>
      <c r="D184" s="7" t="s">
        <v>924</v>
      </c>
      <c r="E184" s="7" t="s">
        <v>898</v>
      </c>
      <c r="F184" s="7" t="s">
        <v>1408</v>
      </c>
      <c r="G184" s="7" t="s">
        <v>925</v>
      </c>
      <c r="H184" s="7" t="s">
        <v>358</v>
      </c>
      <c r="I184" s="7" t="s">
        <v>1408</v>
      </c>
      <c r="M184" t="s">
        <v>2827</v>
      </c>
    </row>
    <row r="185" spans="1:13" ht="17.25" customHeight="1" x14ac:dyDescent="0.25">
      <c r="A185" s="12" t="s">
        <v>1650</v>
      </c>
      <c r="B185" s="13" t="s">
        <v>660</v>
      </c>
      <c r="C185" s="13" t="s">
        <v>640</v>
      </c>
      <c r="D185" s="13" t="s">
        <v>662</v>
      </c>
      <c r="E185" s="13" t="s">
        <v>1538</v>
      </c>
      <c r="F185" s="13" t="s">
        <v>1408</v>
      </c>
      <c r="G185" s="13" t="s">
        <v>1318</v>
      </c>
      <c r="H185" s="13" t="s">
        <v>358</v>
      </c>
      <c r="I185" s="13" t="s">
        <v>1199</v>
      </c>
      <c r="M185" t="s">
        <v>2827</v>
      </c>
    </row>
    <row r="186" spans="1:13" ht="16.5" customHeight="1" x14ac:dyDescent="0.25">
      <c r="A186" s="6" t="s">
        <v>1383</v>
      </c>
      <c r="B186" s="7" t="s">
        <v>660</v>
      </c>
      <c r="C186" s="7" t="s">
        <v>640</v>
      </c>
      <c r="D186" s="7" t="s">
        <v>662</v>
      </c>
      <c r="E186" s="7" t="s">
        <v>673</v>
      </c>
      <c r="F186" s="7" t="s">
        <v>1384</v>
      </c>
      <c r="G186" s="7" t="s">
        <v>1287</v>
      </c>
      <c r="H186" s="7" t="s">
        <v>358</v>
      </c>
      <c r="I186" s="7" t="s">
        <v>1199</v>
      </c>
      <c r="M186" t="s">
        <v>2827</v>
      </c>
    </row>
    <row r="187" spans="1:13" ht="16.5" customHeight="1" x14ac:dyDescent="0.25">
      <c r="A187" s="12" t="s">
        <v>1311</v>
      </c>
      <c r="B187" s="13" t="s">
        <v>660</v>
      </c>
      <c r="C187" s="13" t="s">
        <v>640</v>
      </c>
      <c r="D187" s="13" t="s">
        <v>662</v>
      </c>
      <c r="E187" s="13" t="s">
        <v>673</v>
      </c>
      <c r="F187" s="13" t="s">
        <v>1312</v>
      </c>
      <c r="G187" s="13" t="s">
        <v>1319</v>
      </c>
      <c r="H187" s="13" t="s">
        <v>358</v>
      </c>
      <c r="I187" s="13" t="s">
        <v>900</v>
      </c>
      <c r="M187" t="s">
        <v>2827</v>
      </c>
    </row>
    <row r="188" spans="1:13" ht="16.5" customHeight="1" x14ac:dyDescent="0.25">
      <c r="A188" s="6" t="s">
        <v>1274</v>
      </c>
      <c r="B188" s="7" t="s">
        <v>660</v>
      </c>
      <c r="C188" s="7" t="s">
        <v>640</v>
      </c>
      <c r="D188" s="7" t="s">
        <v>662</v>
      </c>
      <c r="E188" s="7" t="s">
        <v>898</v>
      </c>
      <c r="F188" s="7" t="s">
        <v>900</v>
      </c>
      <c r="G188" s="7" t="s">
        <v>1318</v>
      </c>
      <c r="H188" s="7" t="s">
        <v>358</v>
      </c>
      <c r="I188" s="7" t="s">
        <v>1199</v>
      </c>
      <c r="M188" t="s">
        <v>2827</v>
      </c>
    </row>
    <row r="189" spans="1:13" ht="16.5" customHeight="1" x14ac:dyDescent="0.25">
      <c r="A189" s="12" t="s">
        <v>1274</v>
      </c>
      <c r="B189" s="13" t="s">
        <v>660</v>
      </c>
      <c r="C189" s="13" t="s">
        <v>640</v>
      </c>
      <c r="D189" s="13" t="s">
        <v>662</v>
      </c>
      <c r="E189" s="13" t="s">
        <v>673</v>
      </c>
      <c r="F189" s="13" t="s">
        <v>900</v>
      </c>
      <c r="G189" s="13" t="s">
        <v>1292</v>
      </c>
      <c r="H189" s="13" t="s">
        <v>358</v>
      </c>
      <c r="I189" s="13" t="s">
        <v>1293</v>
      </c>
      <c r="M189" t="s">
        <v>2827</v>
      </c>
    </row>
    <row r="190" spans="1:13" ht="16.5" customHeight="1" x14ac:dyDescent="0.25">
      <c r="A190" s="6" t="s">
        <v>1319</v>
      </c>
      <c r="B190" s="7" t="s">
        <v>660</v>
      </c>
      <c r="C190" s="7" t="s">
        <v>640</v>
      </c>
      <c r="D190" s="7" t="s">
        <v>662</v>
      </c>
      <c r="E190" s="7" t="s">
        <v>673</v>
      </c>
      <c r="F190" s="7" t="s">
        <v>900</v>
      </c>
      <c r="G190" s="7" t="s">
        <v>1315</v>
      </c>
      <c r="H190" s="7" t="s">
        <v>358</v>
      </c>
      <c r="I190" s="7" t="s">
        <v>1316</v>
      </c>
      <c r="M190" t="s">
        <v>2827</v>
      </c>
    </row>
    <row r="191" spans="1:13" ht="16.5" customHeight="1" x14ac:dyDescent="0.25">
      <c r="A191" s="12" t="s">
        <v>1294</v>
      </c>
      <c r="B191" s="13" t="s">
        <v>660</v>
      </c>
      <c r="C191" s="13" t="s">
        <v>392</v>
      </c>
      <c r="D191" s="13" t="s">
        <v>662</v>
      </c>
      <c r="E191" s="13" t="s">
        <v>663</v>
      </c>
      <c r="F191" s="13" t="s">
        <v>1293</v>
      </c>
      <c r="G191" s="13" t="s">
        <v>1613</v>
      </c>
      <c r="H191" s="13" t="s">
        <v>358</v>
      </c>
      <c r="I191" s="13" t="s">
        <v>1614</v>
      </c>
      <c r="M191" t="s">
        <v>2827</v>
      </c>
    </row>
    <row r="192" spans="1:13" ht="16.5" customHeight="1" x14ac:dyDescent="0.25">
      <c r="A192" s="6" t="s">
        <v>1651</v>
      </c>
      <c r="B192" s="7" t="s">
        <v>660</v>
      </c>
      <c r="C192" s="7" t="s">
        <v>640</v>
      </c>
      <c r="D192" s="7" t="s">
        <v>662</v>
      </c>
      <c r="E192" s="7" t="s">
        <v>663</v>
      </c>
      <c r="F192" s="7" t="s">
        <v>1614</v>
      </c>
      <c r="G192" s="7" t="s">
        <v>1292</v>
      </c>
      <c r="H192" s="7" t="s">
        <v>358</v>
      </c>
      <c r="I192" s="7" t="s">
        <v>1293</v>
      </c>
      <c r="M192" t="s">
        <v>2827</v>
      </c>
    </row>
    <row r="193" spans="1:13" ht="16.5" customHeight="1" x14ac:dyDescent="0.25">
      <c r="A193" s="12" t="s">
        <v>1652</v>
      </c>
      <c r="B193" s="13" t="s">
        <v>660</v>
      </c>
      <c r="C193" s="13" t="s">
        <v>392</v>
      </c>
      <c r="D193" s="13" t="s">
        <v>662</v>
      </c>
      <c r="E193" s="13" t="s">
        <v>663</v>
      </c>
      <c r="F193" s="13" t="s">
        <v>1233</v>
      </c>
      <c r="G193" s="13" t="s">
        <v>1294</v>
      </c>
      <c r="H193" s="13" t="s">
        <v>358</v>
      </c>
      <c r="I193" s="13" t="s">
        <v>1293</v>
      </c>
      <c r="M193" t="s">
        <v>2827</v>
      </c>
    </row>
    <row r="194" spans="1:13" ht="16.5" customHeight="1" x14ac:dyDescent="0.25">
      <c r="A194" s="6" t="s">
        <v>1653</v>
      </c>
      <c r="B194" s="7" t="s">
        <v>582</v>
      </c>
      <c r="C194" s="7" t="s">
        <v>1654</v>
      </c>
      <c r="D194" s="7" t="s">
        <v>1057</v>
      </c>
      <c r="E194" s="7" t="s">
        <v>1058</v>
      </c>
      <c r="F194" s="7" t="s">
        <v>1304</v>
      </c>
      <c r="G194" s="7" t="s">
        <v>1655</v>
      </c>
      <c r="H194" s="7" t="s">
        <v>358</v>
      </c>
      <c r="I194" s="7" t="s">
        <v>1421</v>
      </c>
      <c r="M194" t="s">
        <v>2827</v>
      </c>
    </row>
    <row r="195" spans="1:13" ht="16.5" customHeight="1" x14ac:dyDescent="0.25">
      <c r="A195" s="12" t="s">
        <v>1656</v>
      </c>
      <c r="B195" s="13" t="s">
        <v>660</v>
      </c>
      <c r="C195" s="13" t="s">
        <v>1657</v>
      </c>
      <c r="D195" s="13" t="s">
        <v>662</v>
      </c>
      <c r="E195" s="13" t="s">
        <v>663</v>
      </c>
      <c r="F195" s="13" t="s">
        <v>1658</v>
      </c>
      <c r="G195" s="13" t="s">
        <v>1659</v>
      </c>
      <c r="H195" s="13" t="s">
        <v>157</v>
      </c>
      <c r="I195" s="13" t="s">
        <v>1660</v>
      </c>
      <c r="M195" t="s">
        <v>2827</v>
      </c>
    </row>
    <row r="196" spans="1:13" ht="16.5" customHeight="1" x14ac:dyDescent="0.25">
      <c r="A196" s="6" t="s">
        <v>1661</v>
      </c>
      <c r="B196" s="7" t="s">
        <v>660</v>
      </c>
      <c r="C196" s="7" t="s">
        <v>1662</v>
      </c>
      <c r="D196" s="7" t="s">
        <v>662</v>
      </c>
      <c r="E196" s="7" t="s">
        <v>663</v>
      </c>
      <c r="F196" s="7" t="s">
        <v>1658</v>
      </c>
      <c r="G196" s="7" t="s">
        <v>1663</v>
      </c>
      <c r="H196" s="7" t="s">
        <v>157</v>
      </c>
      <c r="I196" s="7" t="s">
        <v>1660</v>
      </c>
      <c r="M196" t="s">
        <v>2827</v>
      </c>
    </row>
    <row r="197" spans="1:13" ht="17.25" customHeight="1" x14ac:dyDescent="0.25">
      <c r="A197" s="12" t="s">
        <v>1664</v>
      </c>
      <c r="B197" s="13" t="s">
        <v>660</v>
      </c>
      <c r="C197" s="13" t="s">
        <v>1665</v>
      </c>
      <c r="D197" s="13" t="s">
        <v>662</v>
      </c>
      <c r="E197" s="13" t="s">
        <v>663</v>
      </c>
      <c r="F197" s="13" t="s">
        <v>1666</v>
      </c>
      <c r="G197" s="13" t="s">
        <v>1667</v>
      </c>
      <c r="H197" s="13" t="s">
        <v>157</v>
      </c>
      <c r="I197" s="13" t="s">
        <v>1668</v>
      </c>
      <c r="M197" t="s">
        <v>2827</v>
      </c>
    </row>
    <row r="198" spans="1:13" ht="16.5" customHeight="1" x14ac:dyDescent="0.25">
      <c r="A198" s="6" t="s">
        <v>1669</v>
      </c>
      <c r="B198" s="7" t="s">
        <v>660</v>
      </c>
      <c r="C198" s="7" t="s">
        <v>1670</v>
      </c>
      <c r="D198" s="7" t="s">
        <v>662</v>
      </c>
      <c r="E198" s="7" t="s">
        <v>663</v>
      </c>
      <c r="F198" s="7" t="s">
        <v>1671</v>
      </c>
      <c r="G198" s="7" t="s">
        <v>1672</v>
      </c>
      <c r="H198" s="7" t="s">
        <v>157</v>
      </c>
      <c r="I198" s="7" t="s">
        <v>1074</v>
      </c>
      <c r="M198" t="s">
        <v>2827</v>
      </c>
    </row>
    <row r="199" spans="1:13" ht="16.5" customHeight="1" x14ac:dyDescent="0.25">
      <c r="A199" s="12" t="s">
        <v>1673</v>
      </c>
      <c r="B199" s="13" t="s">
        <v>660</v>
      </c>
      <c r="C199" s="13" t="s">
        <v>1674</v>
      </c>
      <c r="D199" s="13" t="s">
        <v>662</v>
      </c>
      <c r="E199" s="13" t="s">
        <v>663</v>
      </c>
      <c r="F199" s="13" t="s">
        <v>1675</v>
      </c>
      <c r="G199" s="13" t="s">
        <v>1676</v>
      </c>
      <c r="H199" s="13" t="s">
        <v>157</v>
      </c>
      <c r="I199" s="13" t="s">
        <v>1677</v>
      </c>
      <c r="M199" t="s">
        <v>2827</v>
      </c>
    </row>
    <row r="200" spans="1:13" ht="16.5" customHeight="1" x14ac:dyDescent="0.25">
      <c r="A200" s="6" t="s">
        <v>1678</v>
      </c>
      <c r="B200" s="7" t="s">
        <v>660</v>
      </c>
      <c r="C200" s="7" t="s">
        <v>1679</v>
      </c>
      <c r="D200" s="7" t="s">
        <v>662</v>
      </c>
      <c r="E200" s="7" t="s">
        <v>663</v>
      </c>
      <c r="F200" s="7" t="s">
        <v>1675</v>
      </c>
      <c r="G200" s="7" t="s">
        <v>1680</v>
      </c>
      <c r="H200" s="7" t="s">
        <v>157</v>
      </c>
      <c r="I200" s="7" t="s">
        <v>1677</v>
      </c>
      <c r="M200" t="s">
        <v>2827</v>
      </c>
    </row>
    <row r="201" spans="1:13" ht="16.5" customHeight="1" x14ac:dyDescent="0.25">
      <c r="A201" s="12" t="s">
        <v>1681</v>
      </c>
      <c r="B201" s="13" t="s">
        <v>660</v>
      </c>
      <c r="C201" s="13" t="s">
        <v>1682</v>
      </c>
      <c r="D201" s="13" t="s">
        <v>662</v>
      </c>
      <c r="E201" s="13" t="s">
        <v>663</v>
      </c>
      <c r="F201" s="13" t="s">
        <v>1683</v>
      </c>
      <c r="G201" s="13" t="s">
        <v>1684</v>
      </c>
      <c r="H201" s="13" t="s">
        <v>157</v>
      </c>
      <c r="I201" s="13" t="s">
        <v>1685</v>
      </c>
      <c r="M201" t="s">
        <v>2827</v>
      </c>
    </row>
    <row r="202" spans="1:13" ht="16.5" customHeight="1" x14ac:dyDescent="0.25">
      <c r="A202" s="6" t="s">
        <v>1686</v>
      </c>
      <c r="B202" s="7" t="s">
        <v>660</v>
      </c>
      <c r="C202" s="7" t="s">
        <v>1687</v>
      </c>
      <c r="D202" s="7" t="s">
        <v>662</v>
      </c>
      <c r="E202" s="7" t="s">
        <v>663</v>
      </c>
      <c r="F202" s="7" t="s">
        <v>1683</v>
      </c>
      <c r="G202" s="7" t="s">
        <v>1688</v>
      </c>
      <c r="H202" s="7" t="s">
        <v>157</v>
      </c>
      <c r="I202" s="7" t="s">
        <v>1685</v>
      </c>
      <c r="M202" t="s">
        <v>2827</v>
      </c>
    </row>
    <row r="203" spans="1:13" ht="16.5" customHeight="1" x14ac:dyDescent="0.25">
      <c r="A203" s="12" t="s">
        <v>1689</v>
      </c>
      <c r="B203" s="13" t="s">
        <v>660</v>
      </c>
      <c r="C203" s="13" t="s">
        <v>1690</v>
      </c>
      <c r="D203" s="13" t="s">
        <v>662</v>
      </c>
      <c r="E203" s="13" t="s">
        <v>663</v>
      </c>
      <c r="F203" s="13" t="s">
        <v>1658</v>
      </c>
      <c r="G203" s="13" t="s">
        <v>1691</v>
      </c>
      <c r="H203" s="13" t="s">
        <v>157</v>
      </c>
      <c r="I203" s="13" t="s">
        <v>1660</v>
      </c>
      <c r="M203" t="s">
        <v>2827</v>
      </c>
    </row>
    <row r="204" spans="1:13" ht="16.5" customHeight="1" x14ac:dyDescent="0.25">
      <c r="A204" s="6" t="s">
        <v>1692</v>
      </c>
      <c r="B204" s="7" t="s">
        <v>660</v>
      </c>
      <c r="C204" s="7" t="s">
        <v>1693</v>
      </c>
      <c r="D204" s="7" t="s">
        <v>662</v>
      </c>
      <c r="E204" s="7" t="s">
        <v>663</v>
      </c>
      <c r="F204" s="7" t="s">
        <v>1666</v>
      </c>
      <c r="G204" s="7" t="s">
        <v>1694</v>
      </c>
      <c r="H204" s="7" t="s">
        <v>157</v>
      </c>
      <c r="I204" s="7" t="s">
        <v>1668</v>
      </c>
      <c r="M204" t="s">
        <v>2827</v>
      </c>
    </row>
    <row r="205" spans="1:13" ht="16.5" customHeight="1" x14ac:dyDescent="0.25">
      <c r="A205" s="12" t="s">
        <v>1695</v>
      </c>
      <c r="B205" s="13" t="s">
        <v>660</v>
      </c>
      <c r="C205" s="13" t="s">
        <v>1696</v>
      </c>
      <c r="D205" s="13" t="s">
        <v>662</v>
      </c>
      <c r="E205" s="13" t="s">
        <v>663</v>
      </c>
      <c r="F205" s="13" t="s">
        <v>1671</v>
      </c>
      <c r="G205" s="13" t="s">
        <v>1697</v>
      </c>
      <c r="H205" s="13" t="s">
        <v>157</v>
      </c>
      <c r="I205" s="13" t="s">
        <v>1074</v>
      </c>
      <c r="M205" t="s">
        <v>2827</v>
      </c>
    </row>
    <row r="206" spans="1:13" ht="16.5" customHeight="1" x14ac:dyDescent="0.25">
      <c r="A206" s="6" t="s">
        <v>1698</v>
      </c>
      <c r="B206" s="7" t="s">
        <v>660</v>
      </c>
      <c r="C206" s="7" t="s">
        <v>1699</v>
      </c>
      <c r="D206" s="7" t="s">
        <v>662</v>
      </c>
      <c r="E206" s="7" t="s">
        <v>663</v>
      </c>
      <c r="F206" s="7" t="s">
        <v>1675</v>
      </c>
      <c r="G206" s="7" t="s">
        <v>1700</v>
      </c>
      <c r="H206" s="7" t="s">
        <v>157</v>
      </c>
      <c r="I206" s="7" t="s">
        <v>1677</v>
      </c>
      <c r="M206" t="s">
        <v>2827</v>
      </c>
    </row>
    <row r="207" spans="1:13" ht="16.5" customHeight="1" x14ac:dyDescent="0.25">
      <c r="A207" s="12" t="s">
        <v>1701</v>
      </c>
      <c r="B207" s="13" t="s">
        <v>660</v>
      </c>
      <c r="C207" s="13" t="s">
        <v>1702</v>
      </c>
      <c r="D207" s="13" t="s">
        <v>662</v>
      </c>
      <c r="E207" s="13" t="s">
        <v>663</v>
      </c>
      <c r="F207" s="13" t="s">
        <v>1675</v>
      </c>
      <c r="G207" s="13" t="s">
        <v>1703</v>
      </c>
      <c r="H207" s="13" t="s">
        <v>157</v>
      </c>
      <c r="I207" s="13" t="s">
        <v>1677</v>
      </c>
      <c r="M207" t="s">
        <v>2827</v>
      </c>
    </row>
    <row r="208" spans="1:13" ht="16.5" customHeight="1" x14ac:dyDescent="0.25">
      <c r="A208" s="6" t="s">
        <v>1704</v>
      </c>
      <c r="B208" s="7" t="s">
        <v>660</v>
      </c>
      <c r="C208" s="7" t="s">
        <v>1705</v>
      </c>
      <c r="D208" s="7" t="s">
        <v>662</v>
      </c>
      <c r="E208" s="7" t="s">
        <v>663</v>
      </c>
      <c r="F208" s="7" t="s">
        <v>1683</v>
      </c>
      <c r="G208" s="7" t="s">
        <v>1706</v>
      </c>
      <c r="H208" s="7" t="s">
        <v>157</v>
      </c>
      <c r="I208" s="7" t="s">
        <v>1685</v>
      </c>
      <c r="M208" t="s">
        <v>2827</v>
      </c>
    </row>
    <row r="209" spans="1:13" ht="16.5" customHeight="1" x14ac:dyDescent="0.25">
      <c r="A209" s="12" t="s">
        <v>1707</v>
      </c>
      <c r="B209" s="13" t="s">
        <v>660</v>
      </c>
      <c r="C209" s="13" t="s">
        <v>1708</v>
      </c>
      <c r="D209" s="13" t="s">
        <v>662</v>
      </c>
      <c r="E209" s="13" t="s">
        <v>663</v>
      </c>
      <c r="F209" s="13" t="s">
        <v>1683</v>
      </c>
      <c r="G209" s="13" t="s">
        <v>1709</v>
      </c>
      <c r="H209" s="13" t="s">
        <v>157</v>
      </c>
      <c r="I209" s="13" t="s">
        <v>1685</v>
      </c>
      <c r="M209" t="s">
        <v>2827</v>
      </c>
    </row>
    <row r="210" spans="1:13" ht="17.25" customHeight="1" x14ac:dyDescent="0.25">
      <c r="A210" s="6" t="s">
        <v>1710</v>
      </c>
      <c r="B210" s="7" t="s">
        <v>660</v>
      </c>
      <c r="C210" s="7" t="s">
        <v>1711</v>
      </c>
      <c r="D210" s="7" t="s">
        <v>662</v>
      </c>
      <c r="E210" s="7" t="s">
        <v>663</v>
      </c>
      <c r="F210" s="7" t="s">
        <v>1658</v>
      </c>
      <c r="G210" s="7" t="s">
        <v>1712</v>
      </c>
      <c r="H210" s="7" t="s">
        <v>157</v>
      </c>
      <c r="I210" s="7" t="s">
        <v>1660</v>
      </c>
      <c r="M210" t="s">
        <v>2827</v>
      </c>
    </row>
    <row r="211" spans="1:13" ht="16.5" customHeight="1" x14ac:dyDescent="0.25">
      <c r="A211" s="12" t="s">
        <v>1713</v>
      </c>
      <c r="B211" s="13" t="s">
        <v>660</v>
      </c>
      <c r="C211" s="13" t="s">
        <v>1714</v>
      </c>
      <c r="D211" s="13" t="s">
        <v>662</v>
      </c>
      <c r="E211" s="13" t="s">
        <v>663</v>
      </c>
      <c r="F211" s="13" t="s">
        <v>1671</v>
      </c>
      <c r="G211" s="13" t="s">
        <v>1715</v>
      </c>
      <c r="H211" s="13" t="s">
        <v>157</v>
      </c>
      <c r="I211" s="13" t="s">
        <v>1074</v>
      </c>
      <c r="M211" t="s">
        <v>2827</v>
      </c>
    </row>
    <row r="212" spans="1:13" ht="16.5" customHeight="1" x14ac:dyDescent="0.25">
      <c r="A212" s="6" t="s">
        <v>1716</v>
      </c>
      <c r="B212" s="7" t="s">
        <v>660</v>
      </c>
      <c r="C212" s="7" t="s">
        <v>1717</v>
      </c>
      <c r="D212" s="7" t="s">
        <v>662</v>
      </c>
      <c r="E212" s="7" t="s">
        <v>663</v>
      </c>
      <c r="F212" s="7" t="s">
        <v>1666</v>
      </c>
      <c r="G212" s="7" t="s">
        <v>1718</v>
      </c>
      <c r="H212" s="7" t="s">
        <v>157</v>
      </c>
      <c r="I212" s="7" t="s">
        <v>1668</v>
      </c>
      <c r="M212" t="s">
        <v>2827</v>
      </c>
    </row>
    <row r="213" spans="1:13" ht="16.5" customHeight="1" x14ac:dyDescent="0.25">
      <c r="A213" s="12" t="s">
        <v>1719</v>
      </c>
      <c r="B213" s="13" t="s">
        <v>660</v>
      </c>
      <c r="C213" s="13" t="s">
        <v>1720</v>
      </c>
      <c r="D213" s="13" t="s">
        <v>662</v>
      </c>
      <c r="E213" s="13" t="s">
        <v>663</v>
      </c>
      <c r="F213" s="13" t="s">
        <v>1671</v>
      </c>
      <c r="G213" s="13" t="s">
        <v>1721</v>
      </c>
      <c r="H213" s="13" t="s">
        <v>157</v>
      </c>
      <c r="I213" s="13" t="s">
        <v>1074</v>
      </c>
      <c r="M213" t="s">
        <v>2827</v>
      </c>
    </row>
    <row r="214" spans="1:13" ht="16.5" customHeight="1" x14ac:dyDescent="0.25">
      <c r="A214" s="6" t="s">
        <v>1722</v>
      </c>
      <c r="B214" s="7" t="s">
        <v>660</v>
      </c>
      <c r="C214" s="7" t="s">
        <v>1723</v>
      </c>
      <c r="D214" s="7" t="s">
        <v>662</v>
      </c>
      <c r="E214" s="7" t="s">
        <v>663</v>
      </c>
      <c r="F214" s="7" t="s">
        <v>1666</v>
      </c>
      <c r="G214" s="7" t="s">
        <v>1724</v>
      </c>
      <c r="H214" s="7" t="s">
        <v>157</v>
      </c>
      <c r="I214" s="7" t="s">
        <v>1668</v>
      </c>
      <c r="M214" t="s">
        <v>2827</v>
      </c>
    </row>
    <row r="215" spans="1:13" ht="16.5" customHeight="1" x14ac:dyDescent="0.25">
      <c r="A215" s="12" t="s">
        <v>1296</v>
      </c>
      <c r="B215" s="13" t="s">
        <v>660</v>
      </c>
      <c r="C215" s="13" t="s">
        <v>1295</v>
      </c>
      <c r="D215" s="13" t="s">
        <v>662</v>
      </c>
      <c r="E215" s="13" t="s">
        <v>663</v>
      </c>
      <c r="F215" s="13" t="s">
        <v>1297</v>
      </c>
      <c r="G215" s="13" t="s">
        <v>1725</v>
      </c>
      <c r="H215" s="13" t="s">
        <v>157</v>
      </c>
      <c r="I215" s="13" t="s">
        <v>1660</v>
      </c>
      <c r="M215" t="s">
        <v>2827</v>
      </c>
    </row>
    <row r="216" spans="1:13" ht="16.5" customHeight="1" x14ac:dyDescent="0.25">
      <c r="A216" s="6" t="s">
        <v>1298</v>
      </c>
      <c r="B216" s="7" t="s">
        <v>660</v>
      </c>
      <c r="C216" s="7" t="s">
        <v>967</v>
      </c>
      <c r="D216" s="7" t="s">
        <v>662</v>
      </c>
      <c r="E216" s="7" t="s">
        <v>663</v>
      </c>
      <c r="F216" s="7" t="s">
        <v>1297</v>
      </c>
      <c r="G216" s="7" t="s">
        <v>1726</v>
      </c>
      <c r="H216" s="7" t="s">
        <v>157</v>
      </c>
      <c r="I216" s="7" t="s">
        <v>1660</v>
      </c>
      <c r="M216" t="s">
        <v>2827</v>
      </c>
    </row>
    <row r="217" spans="1:13" ht="16.5" customHeight="1" x14ac:dyDescent="0.25">
      <c r="A217" s="12" t="s">
        <v>1727</v>
      </c>
      <c r="B217" s="13" t="s">
        <v>660</v>
      </c>
      <c r="C217" s="13" t="s">
        <v>1728</v>
      </c>
      <c r="D217" s="13" t="s">
        <v>662</v>
      </c>
      <c r="E217" s="13" t="s">
        <v>663</v>
      </c>
      <c r="F217" s="13" t="s">
        <v>1729</v>
      </c>
      <c r="G217" s="13" t="s">
        <v>1730</v>
      </c>
      <c r="H217" s="13" t="s">
        <v>157</v>
      </c>
      <c r="I217" s="13" t="s">
        <v>1668</v>
      </c>
      <c r="M217" t="s">
        <v>2827</v>
      </c>
    </row>
    <row r="218" spans="1:13" ht="16.5" customHeight="1" x14ac:dyDescent="0.25">
      <c r="A218" s="6" t="s">
        <v>1731</v>
      </c>
      <c r="B218" s="7" t="s">
        <v>660</v>
      </c>
      <c r="C218" s="7" t="s">
        <v>1732</v>
      </c>
      <c r="D218" s="7" t="s">
        <v>662</v>
      </c>
      <c r="E218" s="7" t="s">
        <v>663</v>
      </c>
      <c r="F218" s="7" t="s">
        <v>1729</v>
      </c>
      <c r="G218" s="7" t="s">
        <v>1733</v>
      </c>
      <c r="H218" s="7" t="s">
        <v>157</v>
      </c>
      <c r="I218" s="7" t="s">
        <v>1668</v>
      </c>
      <c r="M218" t="s">
        <v>2827</v>
      </c>
    </row>
    <row r="219" spans="1:13" ht="16.5" customHeight="1" x14ac:dyDescent="0.25">
      <c r="A219" s="12" t="s">
        <v>1734</v>
      </c>
      <c r="B219" s="13" t="s">
        <v>660</v>
      </c>
      <c r="C219" s="13" t="s">
        <v>1735</v>
      </c>
      <c r="D219" s="13" t="s">
        <v>662</v>
      </c>
      <c r="E219" s="13" t="s">
        <v>663</v>
      </c>
      <c r="F219" s="13" t="s">
        <v>1048</v>
      </c>
      <c r="G219" s="13" t="s">
        <v>1736</v>
      </c>
      <c r="H219" s="13" t="s">
        <v>157</v>
      </c>
      <c r="I219" s="13" t="s">
        <v>1074</v>
      </c>
      <c r="M219" t="s">
        <v>2827</v>
      </c>
    </row>
    <row r="220" spans="1:13" ht="16.5" customHeight="1" x14ac:dyDescent="0.25">
      <c r="A220" s="6" t="s">
        <v>1737</v>
      </c>
      <c r="B220" s="7" t="s">
        <v>660</v>
      </c>
      <c r="C220" s="7" t="s">
        <v>1738</v>
      </c>
      <c r="D220" s="7" t="s">
        <v>662</v>
      </c>
      <c r="E220" s="7" t="s">
        <v>663</v>
      </c>
      <c r="F220" s="7" t="s">
        <v>1048</v>
      </c>
      <c r="G220" s="7" t="s">
        <v>1739</v>
      </c>
      <c r="H220" s="7" t="s">
        <v>157</v>
      </c>
      <c r="I220" s="7" t="s">
        <v>1074</v>
      </c>
      <c r="M220" t="s">
        <v>2827</v>
      </c>
    </row>
    <row r="221" spans="1:13" ht="16.5" customHeight="1" x14ac:dyDescent="0.25">
      <c r="A221" s="12" t="s">
        <v>1300</v>
      </c>
      <c r="B221" s="13" t="s">
        <v>1110</v>
      </c>
      <c r="C221" s="13" t="s">
        <v>640</v>
      </c>
      <c r="D221" s="13" t="s">
        <v>1740</v>
      </c>
      <c r="E221" s="13" t="s">
        <v>898</v>
      </c>
      <c r="F221" s="13" t="s">
        <v>1199</v>
      </c>
      <c r="G221" s="13" t="s">
        <v>1741</v>
      </c>
      <c r="H221" s="13" t="s">
        <v>34</v>
      </c>
      <c r="I221" s="13" t="s">
        <v>1742</v>
      </c>
      <c r="M221" t="s">
        <v>2827</v>
      </c>
    </row>
    <row r="222" spans="1:13" ht="17.25" customHeight="1" x14ac:dyDescent="0.25">
      <c r="A222" s="6" t="s">
        <v>1243</v>
      </c>
      <c r="B222" s="7" t="s">
        <v>1110</v>
      </c>
      <c r="C222" s="7" t="s">
        <v>936</v>
      </c>
      <c r="D222" s="7" t="s">
        <v>1743</v>
      </c>
      <c r="E222" s="7" t="s">
        <v>898</v>
      </c>
      <c r="F222" s="7" t="s">
        <v>1244</v>
      </c>
      <c r="G222" s="7" t="s">
        <v>1744</v>
      </c>
      <c r="H222" s="7" t="s">
        <v>34</v>
      </c>
      <c r="I222" s="7" t="s">
        <v>1742</v>
      </c>
      <c r="M222" t="s">
        <v>2827</v>
      </c>
    </row>
    <row r="223" spans="1:13" ht="16.5" customHeight="1" x14ac:dyDescent="0.25">
      <c r="A223" s="12" t="s">
        <v>1299</v>
      </c>
      <c r="B223" s="13" t="s">
        <v>1110</v>
      </c>
      <c r="C223" s="13" t="s">
        <v>388</v>
      </c>
      <c r="D223" s="13" t="s">
        <v>1745</v>
      </c>
      <c r="E223" s="13" t="s">
        <v>898</v>
      </c>
      <c r="F223" s="13" t="s">
        <v>1285</v>
      </c>
      <c r="G223" s="13" t="s">
        <v>1746</v>
      </c>
      <c r="H223" s="13" t="s">
        <v>34</v>
      </c>
      <c r="I223" s="13" t="s">
        <v>1747</v>
      </c>
      <c r="M223" t="s">
        <v>2827</v>
      </c>
    </row>
    <row r="224" spans="1:13" ht="16.5" customHeight="1" x14ac:dyDescent="0.25">
      <c r="A224" s="6" t="s">
        <v>1748</v>
      </c>
      <c r="B224" s="7" t="s">
        <v>660</v>
      </c>
      <c r="C224" s="7" t="s">
        <v>1749</v>
      </c>
      <c r="D224" s="7" t="s">
        <v>662</v>
      </c>
      <c r="E224" s="7" t="s">
        <v>663</v>
      </c>
      <c r="F224" s="7" t="s">
        <v>1750</v>
      </c>
      <c r="G224" s="7" t="s">
        <v>1751</v>
      </c>
      <c r="H224" s="7" t="s">
        <v>157</v>
      </c>
      <c r="I224" s="7" t="s">
        <v>1752</v>
      </c>
      <c r="M224" t="s">
        <v>2827</v>
      </c>
    </row>
    <row r="225" spans="1:13" ht="16.5" customHeight="1" x14ac:dyDescent="0.25">
      <c r="A225" s="12" t="s">
        <v>1753</v>
      </c>
      <c r="B225" s="13" t="s">
        <v>660</v>
      </c>
      <c r="C225" s="13" t="s">
        <v>1754</v>
      </c>
      <c r="D225" s="13" t="s">
        <v>662</v>
      </c>
      <c r="E225" s="13" t="s">
        <v>663</v>
      </c>
      <c r="F225" s="13" t="s">
        <v>1750</v>
      </c>
      <c r="G225" s="13" t="s">
        <v>1755</v>
      </c>
      <c r="H225" s="13" t="s">
        <v>157</v>
      </c>
      <c r="I225" s="13" t="s">
        <v>1752</v>
      </c>
      <c r="M225" t="s">
        <v>2827</v>
      </c>
    </row>
    <row r="226" spans="1:13" ht="16.5" customHeight="1" x14ac:dyDescent="0.25">
      <c r="A226" s="6" t="s">
        <v>1756</v>
      </c>
      <c r="B226" s="7" t="s">
        <v>660</v>
      </c>
      <c r="C226" s="7" t="s">
        <v>1757</v>
      </c>
      <c r="D226" s="7" t="s">
        <v>662</v>
      </c>
      <c r="E226" s="7" t="s">
        <v>663</v>
      </c>
      <c r="F226" s="7" t="s">
        <v>1750</v>
      </c>
      <c r="G226" s="7" t="s">
        <v>1758</v>
      </c>
      <c r="H226" s="7" t="s">
        <v>157</v>
      </c>
      <c r="I226" s="7" t="s">
        <v>1752</v>
      </c>
      <c r="M226" t="s">
        <v>2827</v>
      </c>
    </row>
    <row r="227" spans="1:13" ht="16.5" customHeight="1" x14ac:dyDescent="0.25">
      <c r="A227" s="12" t="s">
        <v>1759</v>
      </c>
      <c r="B227" s="13" t="s">
        <v>660</v>
      </c>
      <c r="C227" s="13" t="s">
        <v>1760</v>
      </c>
      <c r="D227" s="13" t="s">
        <v>662</v>
      </c>
      <c r="E227" s="13" t="s">
        <v>663</v>
      </c>
      <c r="F227" s="13" t="s">
        <v>1750</v>
      </c>
      <c r="G227" s="13" t="s">
        <v>1761</v>
      </c>
      <c r="H227" s="13" t="s">
        <v>157</v>
      </c>
      <c r="I227" s="13" t="s">
        <v>1752</v>
      </c>
      <c r="M227" t="s">
        <v>2827</v>
      </c>
    </row>
    <row r="228" spans="1:13" ht="16.5" customHeight="1" x14ac:dyDescent="0.25">
      <c r="A228" s="6" t="s">
        <v>1762</v>
      </c>
      <c r="B228" s="7" t="s">
        <v>660</v>
      </c>
      <c r="C228" s="7" t="s">
        <v>1763</v>
      </c>
      <c r="D228" s="7" t="s">
        <v>662</v>
      </c>
      <c r="E228" s="7" t="s">
        <v>663</v>
      </c>
      <c r="F228" s="7" t="s">
        <v>1764</v>
      </c>
      <c r="G228" s="7" t="s">
        <v>1765</v>
      </c>
      <c r="H228" s="7" t="s">
        <v>157</v>
      </c>
      <c r="I228" s="7" t="s">
        <v>1766</v>
      </c>
      <c r="M228" t="s">
        <v>2827</v>
      </c>
    </row>
    <row r="229" spans="1:13" ht="16.5" customHeight="1" x14ac:dyDescent="0.25">
      <c r="A229" s="12" t="s">
        <v>1767</v>
      </c>
      <c r="B229" s="13" t="s">
        <v>660</v>
      </c>
      <c r="C229" s="13" t="s">
        <v>1768</v>
      </c>
      <c r="D229" s="13" t="s">
        <v>662</v>
      </c>
      <c r="E229" s="13" t="s">
        <v>663</v>
      </c>
      <c r="F229" s="13" t="s">
        <v>1764</v>
      </c>
      <c r="G229" s="13" t="s">
        <v>1769</v>
      </c>
      <c r="H229" s="13" t="s">
        <v>157</v>
      </c>
      <c r="I229" s="13" t="s">
        <v>1766</v>
      </c>
      <c r="M229" t="s">
        <v>2827</v>
      </c>
    </row>
    <row r="230" spans="1:13" ht="16.5" customHeight="1" x14ac:dyDescent="0.25">
      <c r="A230" s="6" t="s">
        <v>1770</v>
      </c>
      <c r="B230" s="7" t="s">
        <v>660</v>
      </c>
      <c r="C230" s="7" t="s">
        <v>1771</v>
      </c>
      <c r="D230" s="7" t="s">
        <v>662</v>
      </c>
      <c r="E230" s="7" t="s">
        <v>663</v>
      </c>
      <c r="F230" s="7" t="s">
        <v>1764</v>
      </c>
      <c r="G230" s="7" t="s">
        <v>1772</v>
      </c>
      <c r="H230" s="7" t="s">
        <v>157</v>
      </c>
      <c r="I230" s="7" t="s">
        <v>1766</v>
      </c>
      <c r="M230" t="s">
        <v>2827</v>
      </c>
    </row>
    <row r="231" spans="1:13" ht="16.5" customHeight="1" x14ac:dyDescent="0.25">
      <c r="A231" s="12" t="s">
        <v>1773</v>
      </c>
      <c r="B231" s="13" t="s">
        <v>660</v>
      </c>
      <c r="C231" s="13" t="s">
        <v>1774</v>
      </c>
      <c r="D231" s="13" t="s">
        <v>662</v>
      </c>
      <c r="E231" s="13" t="s">
        <v>663</v>
      </c>
      <c r="F231" s="13" t="s">
        <v>1764</v>
      </c>
      <c r="G231" s="13" t="s">
        <v>1775</v>
      </c>
      <c r="H231" s="13" t="s">
        <v>157</v>
      </c>
      <c r="I231" s="13" t="s">
        <v>1766</v>
      </c>
      <c r="M231" t="s">
        <v>2827</v>
      </c>
    </row>
    <row r="232" spans="1:13" ht="16.5" customHeight="1" x14ac:dyDescent="0.25">
      <c r="A232" s="6" t="s">
        <v>1776</v>
      </c>
      <c r="B232" s="7" t="s">
        <v>660</v>
      </c>
      <c r="C232" s="7" t="s">
        <v>1777</v>
      </c>
      <c r="D232" s="7" t="s">
        <v>924</v>
      </c>
      <c r="E232" s="7" t="s">
        <v>673</v>
      </c>
      <c r="F232" s="7" t="s">
        <v>1778</v>
      </c>
      <c r="G232" s="7" t="s">
        <v>1779</v>
      </c>
      <c r="H232" s="7" t="s">
        <v>157</v>
      </c>
      <c r="I232" s="7" t="s">
        <v>1088</v>
      </c>
      <c r="M232" t="s">
        <v>2827</v>
      </c>
    </row>
    <row r="233" spans="1:13" ht="16.5" customHeight="1" x14ac:dyDescent="0.25">
      <c r="A233" s="12" t="s">
        <v>1780</v>
      </c>
      <c r="B233" s="13" t="s">
        <v>660</v>
      </c>
      <c r="C233" s="13" t="s">
        <v>1781</v>
      </c>
      <c r="D233" s="13" t="s">
        <v>662</v>
      </c>
      <c r="E233" s="13" t="s">
        <v>663</v>
      </c>
      <c r="F233" s="13" t="s">
        <v>1782</v>
      </c>
      <c r="G233" s="13" t="s">
        <v>1783</v>
      </c>
      <c r="H233" s="13" t="s">
        <v>209</v>
      </c>
      <c r="I233" s="13" t="s">
        <v>1784</v>
      </c>
      <c r="M233" t="s">
        <v>2827</v>
      </c>
    </row>
    <row r="234" spans="1:13" ht="16.5" customHeight="1" x14ac:dyDescent="0.25">
      <c r="A234" s="6" t="s">
        <v>1785</v>
      </c>
      <c r="B234" s="7" t="s">
        <v>660</v>
      </c>
      <c r="C234" s="7" t="s">
        <v>1786</v>
      </c>
      <c r="D234" s="7" t="s">
        <v>662</v>
      </c>
      <c r="E234" s="7" t="s">
        <v>663</v>
      </c>
      <c r="F234" s="7" t="s">
        <v>1782</v>
      </c>
      <c r="G234" s="7" t="s">
        <v>1787</v>
      </c>
      <c r="H234" s="7" t="s">
        <v>209</v>
      </c>
      <c r="I234" s="7" t="s">
        <v>1784</v>
      </c>
      <c r="M234" t="s">
        <v>2827</v>
      </c>
    </row>
    <row r="235" spans="1:13" ht="17.25" customHeight="1" x14ac:dyDescent="0.25">
      <c r="A235" s="12" t="s">
        <v>1788</v>
      </c>
      <c r="B235" s="13" t="s">
        <v>660</v>
      </c>
      <c r="C235" s="13" t="s">
        <v>1789</v>
      </c>
      <c r="D235" s="13" t="s">
        <v>662</v>
      </c>
      <c r="E235" s="13" t="s">
        <v>663</v>
      </c>
      <c r="F235" s="13" t="s">
        <v>1474</v>
      </c>
      <c r="G235" s="13" t="s">
        <v>1790</v>
      </c>
      <c r="H235" s="13" t="s">
        <v>209</v>
      </c>
      <c r="I235" s="13" t="s">
        <v>951</v>
      </c>
      <c r="M235" t="s">
        <v>2827</v>
      </c>
    </row>
    <row r="236" spans="1:13" ht="16.5" customHeight="1" x14ac:dyDescent="0.25">
      <c r="A236" s="6" t="s">
        <v>1791</v>
      </c>
      <c r="B236" s="7" t="s">
        <v>660</v>
      </c>
      <c r="C236" s="7" t="s">
        <v>1792</v>
      </c>
      <c r="D236" s="7" t="s">
        <v>662</v>
      </c>
      <c r="E236" s="7" t="s">
        <v>663</v>
      </c>
      <c r="F236" s="7" t="s">
        <v>1478</v>
      </c>
      <c r="G236" s="7" t="s">
        <v>1793</v>
      </c>
      <c r="H236" s="7" t="s">
        <v>209</v>
      </c>
      <c r="I236" s="7" t="s">
        <v>1140</v>
      </c>
      <c r="M236" t="s">
        <v>2827</v>
      </c>
    </row>
    <row r="237" spans="1:13" ht="16.5" customHeight="1" x14ac:dyDescent="0.25">
      <c r="A237" s="12" t="s">
        <v>1794</v>
      </c>
      <c r="B237" s="13" t="s">
        <v>660</v>
      </c>
      <c r="C237" s="13" t="s">
        <v>1795</v>
      </c>
      <c r="D237" s="13" t="s">
        <v>662</v>
      </c>
      <c r="E237" s="13" t="s">
        <v>663</v>
      </c>
      <c r="F237" s="13" t="s">
        <v>1474</v>
      </c>
      <c r="G237" s="13" t="s">
        <v>1796</v>
      </c>
      <c r="H237" s="13" t="s">
        <v>209</v>
      </c>
      <c r="I237" s="13" t="s">
        <v>951</v>
      </c>
      <c r="M237" t="s">
        <v>2827</v>
      </c>
    </row>
    <row r="238" spans="1:13" ht="16.5" customHeight="1" x14ac:dyDescent="0.25">
      <c r="A238" s="6" t="s">
        <v>1797</v>
      </c>
      <c r="B238" s="7" t="s">
        <v>660</v>
      </c>
      <c r="C238" s="7" t="s">
        <v>1798</v>
      </c>
      <c r="D238" s="7" t="s">
        <v>662</v>
      </c>
      <c r="E238" s="7" t="s">
        <v>663</v>
      </c>
      <c r="F238" s="7" t="s">
        <v>1478</v>
      </c>
      <c r="G238" s="7" t="s">
        <v>1799</v>
      </c>
      <c r="H238" s="7" t="s">
        <v>209</v>
      </c>
      <c r="I238" s="7" t="s">
        <v>1260</v>
      </c>
      <c r="M238" t="s">
        <v>2827</v>
      </c>
    </row>
    <row r="239" spans="1:13" ht="16.5" customHeight="1" x14ac:dyDescent="0.25">
      <c r="A239" s="12" t="s">
        <v>1272</v>
      </c>
      <c r="B239" s="13" t="s">
        <v>660</v>
      </c>
      <c r="C239" s="13" t="s">
        <v>1271</v>
      </c>
      <c r="D239" s="13" t="s">
        <v>662</v>
      </c>
      <c r="E239" s="13" t="s">
        <v>663</v>
      </c>
      <c r="F239" s="13" t="s">
        <v>951</v>
      </c>
      <c r="G239" s="13" t="s">
        <v>1800</v>
      </c>
      <c r="H239" s="13" t="s">
        <v>209</v>
      </c>
      <c r="I239" s="13" t="s">
        <v>1801</v>
      </c>
      <c r="M239" t="s">
        <v>2827</v>
      </c>
    </row>
    <row r="240" spans="1:13" ht="16.5" customHeight="1" x14ac:dyDescent="0.25">
      <c r="A240" s="6" t="s">
        <v>1286</v>
      </c>
      <c r="B240" s="7" t="s">
        <v>660</v>
      </c>
      <c r="C240" s="7" t="s">
        <v>640</v>
      </c>
      <c r="D240" s="7" t="s">
        <v>662</v>
      </c>
      <c r="E240" s="7" t="s">
        <v>898</v>
      </c>
      <c r="F240" s="7" t="s">
        <v>1199</v>
      </c>
      <c r="G240" s="7" t="s">
        <v>1802</v>
      </c>
      <c r="H240" s="7" t="s">
        <v>209</v>
      </c>
      <c r="I240" s="7" t="s">
        <v>1137</v>
      </c>
      <c r="M240" t="s">
        <v>2827</v>
      </c>
    </row>
    <row r="241" spans="1:13" ht="16.5" customHeight="1" x14ac:dyDescent="0.25">
      <c r="A241" s="12" t="s">
        <v>1284</v>
      </c>
      <c r="B241" s="13" t="s">
        <v>660</v>
      </c>
      <c r="C241" s="13" t="s">
        <v>388</v>
      </c>
      <c r="D241" s="13" t="s">
        <v>662</v>
      </c>
      <c r="E241" s="13" t="s">
        <v>898</v>
      </c>
      <c r="F241" s="13" t="s">
        <v>1285</v>
      </c>
      <c r="G241" s="13" t="s">
        <v>1803</v>
      </c>
      <c r="H241" s="13" t="s">
        <v>209</v>
      </c>
      <c r="I241" s="13" t="s">
        <v>1137</v>
      </c>
      <c r="M241" t="s">
        <v>2827</v>
      </c>
    </row>
    <row r="242" spans="1:13" ht="16.5" customHeight="1" x14ac:dyDescent="0.25">
      <c r="A242" s="6" t="s">
        <v>1804</v>
      </c>
      <c r="B242" s="7" t="s">
        <v>660</v>
      </c>
      <c r="C242" s="7" t="s">
        <v>1805</v>
      </c>
      <c r="D242" s="7" t="s">
        <v>662</v>
      </c>
      <c r="E242" s="7" t="s">
        <v>663</v>
      </c>
      <c r="F242" s="7" t="s">
        <v>1806</v>
      </c>
      <c r="G242" s="7" t="s">
        <v>1807</v>
      </c>
      <c r="H242" s="7" t="s">
        <v>255</v>
      </c>
      <c r="I242" s="7" t="s">
        <v>1808</v>
      </c>
      <c r="M242" t="s">
        <v>2827</v>
      </c>
    </row>
    <row r="243" spans="1:13" ht="16.5" customHeight="1" x14ac:dyDescent="0.25">
      <c r="A243" s="12" t="s">
        <v>1809</v>
      </c>
      <c r="B243" s="13" t="s">
        <v>660</v>
      </c>
      <c r="C243" s="13" t="s">
        <v>1810</v>
      </c>
      <c r="D243" s="13" t="s">
        <v>662</v>
      </c>
      <c r="E243" s="13" t="s">
        <v>663</v>
      </c>
      <c r="F243" s="13" t="s">
        <v>1806</v>
      </c>
      <c r="G243" s="13" t="s">
        <v>1811</v>
      </c>
      <c r="H243" s="13" t="s">
        <v>255</v>
      </c>
      <c r="I243" s="13" t="s">
        <v>1808</v>
      </c>
      <c r="M243" t="s">
        <v>2827</v>
      </c>
    </row>
    <row r="244" spans="1:13" ht="16.5" customHeight="1" x14ac:dyDescent="0.25">
      <c r="A244" s="6" t="s">
        <v>1812</v>
      </c>
      <c r="B244" s="7" t="s">
        <v>660</v>
      </c>
      <c r="C244" s="7" t="s">
        <v>374</v>
      </c>
      <c r="D244" s="7" t="s">
        <v>662</v>
      </c>
      <c r="E244" s="7" t="s">
        <v>673</v>
      </c>
      <c r="F244" s="7" t="s">
        <v>1512</v>
      </c>
      <c r="G244" s="7" t="s">
        <v>1813</v>
      </c>
      <c r="H244" s="7" t="s">
        <v>309</v>
      </c>
      <c r="I244" s="7" t="s">
        <v>1814</v>
      </c>
      <c r="M244" t="s">
        <v>2827</v>
      </c>
    </row>
    <row r="245" spans="1:13" ht="16.5" customHeight="1" x14ac:dyDescent="0.25">
      <c r="A245" s="12" t="s">
        <v>1274</v>
      </c>
      <c r="B245" s="13" t="s">
        <v>660</v>
      </c>
      <c r="C245" s="13" t="s">
        <v>640</v>
      </c>
      <c r="D245" s="13" t="s">
        <v>662</v>
      </c>
      <c r="E245" s="13" t="s">
        <v>673</v>
      </c>
      <c r="F245" s="13" t="s">
        <v>900</v>
      </c>
      <c r="G245" s="13" t="s">
        <v>1815</v>
      </c>
      <c r="H245" s="13" t="s">
        <v>309</v>
      </c>
      <c r="I245" s="13" t="s">
        <v>1814</v>
      </c>
      <c r="M245" t="s">
        <v>2827</v>
      </c>
    </row>
    <row r="246" spans="1:13" ht="16.5" customHeight="1" x14ac:dyDescent="0.25">
      <c r="A246" s="6" t="s">
        <v>1816</v>
      </c>
      <c r="B246" s="7" t="s">
        <v>579</v>
      </c>
      <c r="C246" s="7" t="s">
        <v>1817</v>
      </c>
      <c r="D246" s="7" t="s">
        <v>1057</v>
      </c>
      <c r="E246" s="7" t="s">
        <v>1058</v>
      </c>
      <c r="F246" s="7" t="s">
        <v>1421</v>
      </c>
      <c r="G246" s="7" t="s">
        <v>1818</v>
      </c>
      <c r="H246" s="7" t="s">
        <v>309</v>
      </c>
      <c r="I246" s="7" t="s">
        <v>1819</v>
      </c>
      <c r="M246" t="s">
        <v>2827</v>
      </c>
    </row>
    <row r="247" spans="1:13" ht="17.25" customHeight="1" x14ac:dyDescent="0.25">
      <c r="A247" s="12" t="s">
        <v>1237</v>
      </c>
      <c r="B247" s="13" t="s">
        <v>660</v>
      </c>
      <c r="C247" s="13" t="s">
        <v>959</v>
      </c>
      <c r="D247" s="13" t="s">
        <v>662</v>
      </c>
      <c r="E247" s="13" t="s">
        <v>663</v>
      </c>
      <c r="F247" s="13" t="s">
        <v>1225</v>
      </c>
      <c r="G247" s="13" t="s">
        <v>961</v>
      </c>
      <c r="H247" s="13" t="s">
        <v>469</v>
      </c>
      <c r="I247" s="13" t="s">
        <v>960</v>
      </c>
      <c r="M247" t="s">
        <v>2827</v>
      </c>
    </row>
    <row r="248" spans="1:13" ht="16.5" customHeight="1" x14ac:dyDescent="0.25">
      <c r="A248" s="6" t="s">
        <v>1252</v>
      </c>
      <c r="B248" s="7" t="s">
        <v>660</v>
      </c>
      <c r="C248" s="7" t="s">
        <v>1251</v>
      </c>
      <c r="D248" s="7" t="s">
        <v>662</v>
      </c>
      <c r="E248" s="7" t="s">
        <v>663</v>
      </c>
      <c r="F248" s="7" t="s">
        <v>1249</v>
      </c>
      <c r="G248" s="7" t="s">
        <v>1250</v>
      </c>
      <c r="H248" s="7" t="s">
        <v>469</v>
      </c>
      <c r="I248" s="7" t="s">
        <v>1223</v>
      </c>
      <c r="M248" t="s">
        <v>2827</v>
      </c>
    </row>
    <row r="249" spans="1:13" ht="16.5" customHeight="1" x14ac:dyDescent="0.25">
      <c r="A249" s="12" t="s">
        <v>1266</v>
      </c>
      <c r="B249" s="13" t="s">
        <v>660</v>
      </c>
      <c r="C249" s="13" t="s">
        <v>1265</v>
      </c>
      <c r="D249" s="13" t="s">
        <v>662</v>
      </c>
      <c r="E249" s="13" t="s">
        <v>663</v>
      </c>
      <c r="F249" s="13" t="s">
        <v>1249</v>
      </c>
      <c r="G249" s="13" t="s">
        <v>1264</v>
      </c>
      <c r="H249" s="13" t="s">
        <v>469</v>
      </c>
      <c r="I249" s="13" t="s">
        <v>1223</v>
      </c>
      <c r="M249" t="s">
        <v>2827</v>
      </c>
    </row>
    <row r="250" spans="1:13" ht="16.5" customHeight="1" x14ac:dyDescent="0.25">
      <c r="A250" s="6" t="s">
        <v>1245</v>
      </c>
      <c r="B250" s="7" t="s">
        <v>660</v>
      </c>
      <c r="C250" s="7" t="s">
        <v>940</v>
      </c>
      <c r="D250" s="7" t="s">
        <v>662</v>
      </c>
      <c r="E250" s="7" t="s">
        <v>663</v>
      </c>
      <c r="F250" s="7" t="s">
        <v>849</v>
      </c>
      <c r="G250" s="7" t="s">
        <v>941</v>
      </c>
      <c r="H250" s="7" t="s">
        <v>469</v>
      </c>
      <c r="I250" s="7" t="s">
        <v>851</v>
      </c>
      <c r="M250" t="s">
        <v>2827</v>
      </c>
    </row>
    <row r="251" spans="1:13" ht="16.5" customHeight="1" x14ac:dyDescent="0.25">
      <c r="A251" s="12" t="s">
        <v>1228</v>
      </c>
      <c r="B251" s="13" t="s">
        <v>660</v>
      </c>
      <c r="C251" s="13" t="s">
        <v>1227</v>
      </c>
      <c r="D251" s="13" t="s">
        <v>662</v>
      </c>
      <c r="E251" s="13" t="s">
        <v>663</v>
      </c>
      <c r="F251" s="13" t="s">
        <v>1225</v>
      </c>
      <c r="G251" s="13" t="s">
        <v>1226</v>
      </c>
      <c r="H251" s="13" t="s">
        <v>469</v>
      </c>
      <c r="I251" s="13" t="s">
        <v>1223</v>
      </c>
      <c r="M251" t="s">
        <v>2827</v>
      </c>
    </row>
    <row r="252" spans="1:13" ht="16.5" customHeight="1" x14ac:dyDescent="0.25">
      <c r="A252" s="6" t="s">
        <v>1280</v>
      </c>
      <c r="B252" s="7" t="s">
        <v>660</v>
      </c>
      <c r="C252" s="7" t="s">
        <v>1279</v>
      </c>
      <c r="D252" s="7" t="s">
        <v>662</v>
      </c>
      <c r="E252" s="7" t="s">
        <v>663</v>
      </c>
      <c r="F252" s="7" t="s">
        <v>831</v>
      </c>
      <c r="G252" s="7" t="s">
        <v>1278</v>
      </c>
      <c r="H252" s="7" t="s">
        <v>469</v>
      </c>
      <c r="I252" s="7" t="s">
        <v>833</v>
      </c>
      <c r="M252" t="s">
        <v>2827</v>
      </c>
    </row>
    <row r="253" spans="1:13" ht="16.5" customHeight="1" x14ac:dyDescent="0.25">
      <c r="A253" s="12" t="s">
        <v>1248</v>
      </c>
      <c r="B253" s="13" t="s">
        <v>660</v>
      </c>
      <c r="C253" s="13" t="s">
        <v>1247</v>
      </c>
      <c r="D253" s="13" t="s">
        <v>662</v>
      </c>
      <c r="E253" s="13" t="s">
        <v>663</v>
      </c>
      <c r="F253" s="13" t="s">
        <v>1249</v>
      </c>
      <c r="G253" s="13" t="s">
        <v>1246</v>
      </c>
      <c r="H253" s="13" t="s">
        <v>469</v>
      </c>
      <c r="I253" s="13" t="s">
        <v>1223</v>
      </c>
      <c r="M253" t="s">
        <v>2827</v>
      </c>
    </row>
    <row r="254" spans="1:13" ht="16.5" customHeight="1" x14ac:dyDescent="0.25">
      <c r="A254" s="6" t="s">
        <v>1263</v>
      </c>
      <c r="B254" s="7" t="s">
        <v>660</v>
      </c>
      <c r="C254" s="7" t="s">
        <v>1262</v>
      </c>
      <c r="D254" s="7" t="s">
        <v>662</v>
      </c>
      <c r="E254" s="7" t="s">
        <v>663</v>
      </c>
      <c r="F254" s="7" t="s">
        <v>1249</v>
      </c>
      <c r="G254" s="7" t="s">
        <v>1261</v>
      </c>
      <c r="H254" s="7" t="s">
        <v>469</v>
      </c>
      <c r="I254" s="7" t="s">
        <v>1223</v>
      </c>
      <c r="M254" t="s">
        <v>2827</v>
      </c>
    </row>
    <row r="255" spans="1:13" ht="16.5" customHeight="1" x14ac:dyDescent="0.25">
      <c r="A255" s="12" t="s">
        <v>1224</v>
      </c>
      <c r="B255" s="13" t="s">
        <v>660</v>
      </c>
      <c r="C255" s="13" t="s">
        <v>1222</v>
      </c>
      <c r="D255" s="13" t="s">
        <v>662</v>
      </c>
      <c r="E255" s="13" t="s">
        <v>663</v>
      </c>
      <c r="F255" s="13" t="s">
        <v>1225</v>
      </c>
      <c r="G255" s="13" t="s">
        <v>1221</v>
      </c>
      <c r="H255" s="13" t="s">
        <v>469</v>
      </c>
      <c r="I255" s="13" t="s">
        <v>1223</v>
      </c>
      <c r="M255" t="s">
        <v>2827</v>
      </c>
    </row>
    <row r="256" spans="1:13" ht="16.5" customHeight="1" x14ac:dyDescent="0.25">
      <c r="A256" s="6" t="s">
        <v>1205</v>
      </c>
      <c r="B256" s="7" t="s">
        <v>660</v>
      </c>
      <c r="C256" s="7" t="s">
        <v>1203</v>
      </c>
      <c r="D256" s="7" t="s">
        <v>716</v>
      </c>
      <c r="E256" s="7" t="s">
        <v>673</v>
      </c>
      <c r="F256" s="7" t="s">
        <v>1204</v>
      </c>
      <c r="G256" s="7" t="s">
        <v>1202</v>
      </c>
      <c r="H256" s="7" t="s">
        <v>469</v>
      </c>
      <c r="I256" s="7" t="s">
        <v>1204</v>
      </c>
      <c r="M256" t="s">
        <v>2827</v>
      </c>
    </row>
    <row r="257" spans="1:13" ht="16.5" customHeight="1" x14ac:dyDescent="0.25">
      <c r="A257" s="12" t="s">
        <v>1290</v>
      </c>
      <c r="B257" s="13" t="s">
        <v>660</v>
      </c>
      <c r="C257" s="13" t="s">
        <v>1289</v>
      </c>
      <c r="D257" s="13" t="s">
        <v>662</v>
      </c>
      <c r="E257" s="13" t="s">
        <v>663</v>
      </c>
      <c r="F257" s="13" t="s">
        <v>1291</v>
      </c>
      <c r="G257" s="13" t="s">
        <v>1288</v>
      </c>
      <c r="H257" s="13" t="s">
        <v>469</v>
      </c>
      <c r="I257" s="13" t="s">
        <v>1051</v>
      </c>
      <c r="M257" t="s">
        <v>2827</v>
      </c>
    </row>
    <row r="258" spans="1:13" ht="16.5" customHeight="1" x14ac:dyDescent="0.25">
      <c r="A258" s="6" t="s">
        <v>1209</v>
      </c>
      <c r="B258" s="7" t="s">
        <v>660</v>
      </c>
      <c r="C258" s="7" t="s">
        <v>1207</v>
      </c>
      <c r="D258" s="7" t="s">
        <v>716</v>
      </c>
      <c r="E258" s="7" t="s">
        <v>673</v>
      </c>
      <c r="F258" s="7" t="s">
        <v>1208</v>
      </c>
      <c r="G258" s="7" t="s">
        <v>1206</v>
      </c>
      <c r="H258" s="7" t="s">
        <v>469</v>
      </c>
      <c r="I258" s="7" t="s">
        <v>1208</v>
      </c>
      <c r="M258" t="s">
        <v>2827</v>
      </c>
    </row>
    <row r="259" spans="1:13" ht="16.5" customHeight="1" x14ac:dyDescent="0.25">
      <c r="A259" s="12" t="s">
        <v>1283</v>
      </c>
      <c r="B259" s="13" t="s">
        <v>660</v>
      </c>
      <c r="C259" s="13" t="s">
        <v>1282</v>
      </c>
      <c r="D259" s="13" t="s">
        <v>662</v>
      </c>
      <c r="E259" s="13" t="s">
        <v>663</v>
      </c>
      <c r="F259" s="13" t="s">
        <v>1181</v>
      </c>
      <c r="G259" s="13" t="s">
        <v>1281</v>
      </c>
      <c r="H259" s="13" t="s">
        <v>469</v>
      </c>
      <c r="I259" s="13" t="s">
        <v>1219</v>
      </c>
      <c r="M259" t="s">
        <v>2827</v>
      </c>
    </row>
    <row r="260" spans="1:13" ht="17.25" customHeight="1" x14ac:dyDescent="0.25">
      <c r="A260" s="6" t="s">
        <v>1212</v>
      </c>
      <c r="B260" s="7" t="s">
        <v>660</v>
      </c>
      <c r="C260" s="7" t="s">
        <v>1211</v>
      </c>
      <c r="D260" s="7" t="s">
        <v>716</v>
      </c>
      <c r="E260" s="7" t="s">
        <v>673</v>
      </c>
      <c r="F260" s="7" t="s">
        <v>1152</v>
      </c>
      <c r="G260" s="7" t="s">
        <v>1210</v>
      </c>
      <c r="H260" s="7" t="s">
        <v>469</v>
      </c>
      <c r="I260" s="7" t="s">
        <v>1152</v>
      </c>
      <c r="M260" t="s">
        <v>2827</v>
      </c>
    </row>
    <row r="261" spans="1:13" ht="16.5" customHeight="1" x14ac:dyDescent="0.25">
      <c r="A261" s="12" t="s">
        <v>1214</v>
      </c>
      <c r="B261" s="13" t="s">
        <v>660</v>
      </c>
      <c r="C261" s="13" t="s">
        <v>396</v>
      </c>
      <c r="D261" s="13" t="s">
        <v>716</v>
      </c>
      <c r="E261" s="13" t="s">
        <v>673</v>
      </c>
      <c r="F261" s="13" t="s">
        <v>1152</v>
      </c>
      <c r="G261" s="13" t="s">
        <v>1213</v>
      </c>
      <c r="H261" s="13" t="s">
        <v>469</v>
      </c>
      <c r="I261" s="13" t="s">
        <v>1152</v>
      </c>
      <c r="M261" t="s">
        <v>2827</v>
      </c>
    </row>
    <row r="262" spans="1:13" ht="16.5" customHeight="1" x14ac:dyDescent="0.25">
      <c r="A262" s="6" t="s">
        <v>1277</v>
      </c>
      <c r="B262" s="7" t="s">
        <v>660</v>
      </c>
      <c r="C262" s="7" t="s">
        <v>1276</v>
      </c>
      <c r="D262" s="7" t="s">
        <v>662</v>
      </c>
      <c r="E262" s="7" t="s">
        <v>663</v>
      </c>
      <c r="F262" s="7" t="s">
        <v>837</v>
      </c>
      <c r="G262" s="7" t="s">
        <v>1275</v>
      </c>
      <c r="H262" s="7" t="s">
        <v>469</v>
      </c>
      <c r="I262" s="7" t="s">
        <v>833</v>
      </c>
      <c r="M262" t="s">
        <v>2827</v>
      </c>
    </row>
    <row r="263" spans="1:13" ht="16.5" customHeight="1" x14ac:dyDescent="0.25">
      <c r="A263" s="12" t="s">
        <v>1177</v>
      </c>
      <c r="B263" s="13" t="s">
        <v>660</v>
      </c>
      <c r="C263" s="13" t="s">
        <v>1175</v>
      </c>
      <c r="D263" s="13" t="s">
        <v>662</v>
      </c>
      <c r="E263" s="13" t="s">
        <v>663</v>
      </c>
      <c r="F263" s="13" t="s">
        <v>1178</v>
      </c>
      <c r="G263" s="13" t="s">
        <v>1174</v>
      </c>
      <c r="H263" s="13" t="s">
        <v>469</v>
      </c>
      <c r="I263" s="13" t="s">
        <v>1176</v>
      </c>
      <c r="M263" t="s">
        <v>2827</v>
      </c>
    </row>
    <row r="264" spans="1:13" ht="16.5" customHeight="1" x14ac:dyDescent="0.25">
      <c r="A264" s="6" t="s">
        <v>1240</v>
      </c>
      <c r="B264" s="7" t="s">
        <v>660</v>
      </c>
      <c r="C264" s="7" t="s">
        <v>1239</v>
      </c>
      <c r="D264" s="7" t="s">
        <v>662</v>
      </c>
      <c r="E264" s="7" t="s">
        <v>663</v>
      </c>
      <c r="F264" s="7" t="s">
        <v>1189</v>
      </c>
      <c r="G264" s="7" t="s">
        <v>1238</v>
      </c>
      <c r="H264" s="7" t="s">
        <v>469</v>
      </c>
      <c r="I264" s="7" t="s">
        <v>1189</v>
      </c>
      <c r="M264" t="s">
        <v>2827</v>
      </c>
    </row>
    <row r="265" spans="1:13" ht="16.5" customHeight="1" x14ac:dyDescent="0.25">
      <c r="A265" s="12" t="s">
        <v>1242</v>
      </c>
      <c r="B265" s="13" t="s">
        <v>660</v>
      </c>
      <c r="C265" s="13" t="s">
        <v>392</v>
      </c>
      <c r="D265" s="13" t="s">
        <v>662</v>
      </c>
      <c r="E265" s="13" t="s">
        <v>663</v>
      </c>
      <c r="F265" s="13" t="s">
        <v>1189</v>
      </c>
      <c r="G265" s="13" t="s">
        <v>1241</v>
      </c>
      <c r="H265" s="13" t="s">
        <v>469</v>
      </c>
      <c r="I265" s="13" t="s">
        <v>1189</v>
      </c>
      <c r="M265" t="s">
        <v>2827</v>
      </c>
    </row>
    <row r="266" spans="1:13" ht="16.5" customHeight="1" x14ac:dyDescent="0.25">
      <c r="A266" s="6" t="s">
        <v>1216</v>
      </c>
      <c r="B266" s="7" t="s">
        <v>660</v>
      </c>
      <c r="C266" s="7" t="s">
        <v>950</v>
      </c>
      <c r="D266" s="7" t="s">
        <v>662</v>
      </c>
      <c r="E266" s="7" t="s">
        <v>663</v>
      </c>
      <c r="F266" s="7" t="s">
        <v>951</v>
      </c>
      <c r="G266" s="7" t="s">
        <v>949</v>
      </c>
      <c r="H266" s="7" t="s">
        <v>469</v>
      </c>
      <c r="I266" s="7" t="s">
        <v>951</v>
      </c>
      <c r="M266" t="s">
        <v>2827</v>
      </c>
    </row>
    <row r="267" spans="1:13" ht="16.5" customHeight="1" x14ac:dyDescent="0.25">
      <c r="A267" s="12" t="s">
        <v>1272</v>
      </c>
      <c r="B267" s="13" t="s">
        <v>660</v>
      </c>
      <c r="C267" s="13" t="s">
        <v>1271</v>
      </c>
      <c r="D267" s="13" t="s">
        <v>662</v>
      </c>
      <c r="E267" s="13" t="s">
        <v>663</v>
      </c>
      <c r="F267" s="13" t="s">
        <v>951</v>
      </c>
      <c r="G267" s="13" t="s">
        <v>1270</v>
      </c>
      <c r="H267" s="13" t="s">
        <v>469</v>
      </c>
      <c r="I267" s="13" t="s">
        <v>953</v>
      </c>
      <c r="M267" t="s">
        <v>2827</v>
      </c>
    </row>
    <row r="268" spans="1:13" ht="16.5" customHeight="1" x14ac:dyDescent="0.25">
      <c r="A268" s="6" t="s">
        <v>1220</v>
      </c>
      <c r="B268" s="7" t="s">
        <v>660</v>
      </c>
      <c r="C268" s="7" t="s">
        <v>1218</v>
      </c>
      <c r="D268" s="7" t="s">
        <v>662</v>
      </c>
      <c r="E268" s="7" t="s">
        <v>663</v>
      </c>
      <c r="F268" s="7" t="s">
        <v>1183</v>
      </c>
      <c r="G268" s="7" t="s">
        <v>1217</v>
      </c>
      <c r="H268" s="7" t="s">
        <v>469</v>
      </c>
      <c r="I268" s="7" t="s">
        <v>1219</v>
      </c>
      <c r="M268" t="s">
        <v>2827</v>
      </c>
    </row>
    <row r="269" spans="1:13" ht="16.5" customHeight="1" x14ac:dyDescent="0.25">
      <c r="A269" s="12" t="s">
        <v>1182</v>
      </c>
      <c r="B269" s="13" t="s">
        <v>660</v>
      </c>
      <c r="C269" s="13" t="s">
        <v>1180</v>
      </c>
      <c r="D269" s="13" t="s">
        <v>662</v>
      </c>
      <c r="E269" s="13" t="s">
        <v>663</v>
      </c>
      <c r="F269" s="13" t="s">
        <v>1183</v>
      </c>
      <c r="G269" s="13" t="s">
        <v>1179</v>
      </c>
      <c r="H269" s="13" t="s">
        <v>469</v>
      </c>
      <c r="I269" s="13" t="s">
        <v>1181</v>
      </c>
      <c r="M269" t="s">
        <v>2827</v>
      </c>
    </row>
    <row r="270" spans="1:13" ht="16.5" customHeight="1" x14ac:dyDescent="0.25">
      <c r="A270" s="6" t="s">
        <v>1193</v>
      </c>
      <c r="B270" s="7" t="s">
        <v>660</v>
      </c>
      <c r="C270" s="7" t="s">
        <v>1192</v>
      </c>
      <c r="D270" s="7" t="s">
        <v>662</v>
      </c>
      <c r="E270" s="7" t="s">
        <v>663</v>
      </c>
      <c r="F270" s="7" t="s">
        <v>1183</v>
      </c>
      <c r="G270" s="7" t="s">
        <v>1191</v>
      </c>
      <c r="H270" s="7" t="s">
        <v>469</v>
      </c>
      <c r="I270" s="7" t="s">
        <v>1181</v>
      </c>
      <c r="M270" t="s">
        <v>2827</v>
      </c>
    </row>
    <row r="271" spans="1:13" ht="16.5" customHeight="1" x14ac:dyDescent="0.25">
      <c r="A271" s="12" t="s">
        <v>1269</v>
      </c>
      <c r="B271" s="13" t="s">
        <v>660</v>
      </c>
      <c r="C271" s="13" t="s">
        <v>1268</v>
      </c>
      <c r="D271" s="13" t="s">
        <v>662</v>
      </c>
      <c r="E271" s="13" t="s">
        <v>663</v>
      </c>
      <c r="F271" s="13" t="s">
        <v>951</v>
      </c>
      <c r="G271" s="13" t="s">
        <v>1267</v>
      </c>
      <c r="H271" s="13" t="s">
        <v>469</v>
      </c>
      <c r="I271" s="13" t="s">
        <v>1144</v>
      </c>
      <c r="M271" t="s">
        <v>2827</v>
      </c>
    </row>
    <row r="272" spans="1:13" ht="17.25" customHeight="1" x14ac:dyDescent="0.25">
      <c r="A272" s="6" t="s">
        <v>1259</v>
      </c>
      <c r="B272" s="7" t="s">
        <v>660</v>
      </c>
      <c r="C272" s="7" t="s">
        <v>1258</v>
      </c>
      <c r="D272" s="7" t="s">
        <v>662</v>
      </c>
      <c r="E272" s="7" t="s">
        <v>663</v>
      </c>
      <c r="F272" s="7" t="s">
        <v>1260</v>
      </c>
      <c r="G272" s="7" t="s">
        <v>1257</v>
      </c>
      <c r="H272" s="7" t="s">
        <v>469</v>
      </c>
      <c r="I272" s="7" t="s">
        <v>1140</v>
      </c>
      <c r="M272" t="s">
        <v>2827</v>
      </c>
    </row>
    <row r="273" spans="1:13" ht="16.5" customHeight="1" x14ac:dyDescent="0.25">
      <c r="A273" s="12" t="s">
        <v>1255</v>
      </c>
      <c r="B273" s="13" t="s">
        <v>660</v>
      </c>
      <c r="C273" s="13" t="s">
        <v>1254</v>
      </c>
      <c r="D273" s="13" t="s">
        <v>662</v>
      </c>
      <c r="E273" s="13" t="s">
        <v>663</v>
      </c>
      <c r="F273" s="13" t="s">
        <v>1256</v>
      </c>
      <c r="G273" s="13" t="s">
        <v>1253</v>
      </c>
      <c r="H273" s="13" t="s">
        <v>469</v>
      </c>
      <c r="I273" s="13" t="s">
        <v>973</v>
      </c>
      <c r="M273" t="s">
        <v>2827</v>
      </c>
    </row>
    <row r="274" spans="1:13" ht="16.5" customHeight="1" x14ac:dyDescent="0.25">
      <c r="A274" s="6" t="s">
        <v>1186</v>
      </c>
      <c r="B274" s="7" t="s">
        <v>660</v>
      </c>
      <c r="C274" s="7" t="s">
        <v>1185</v>
      </c>
      <c r="D274" s="7" t="s">
        <v>662</v>
      </c>
      <c r="E274" s="7" t="s">
        <v>663</v>
      </c>
      <c r="F274" s="7" t="s">
        <v>851</v>
      </c>
      <c r="G274" s="7" t="s">
        <v>1184</v>
      </c>
      <c r="H274" s="7" t="s">
        <v>469</v>
      </c>
      <c r="I274" s="7" t="s">
        <v>849</v>
      </c>
      <c r="M274" t="s">
        <v>2827</v>
      </c>
    </row>
    <row r="275" spans="1:13" ht="16.5" customHeight="1" x14ac:dyDescent="0.25">
      <c r="A275" s="12" t="s">
        <v>1215</v>
      </c>
      <c r="B275" s="13" t="s">
        <v>660</v>
      </c>
      <c r="C275" s="13" t="s">
        <v>940</v>
      </c>
      <c r="D275" s="13" t="s">
        <v>662</v>
      </c>
      <c r="E275" s="13" t="s">
        <v>663</v>
      </c>
      <c r="F275" s="13" t="s">
        <v>851</v>
      </c>
      <c r="G275" s="13" t="s">
        <v>939</v>
      </c>
      <c r="H275" s="13" t="s">
        <v>469</v>
      </c>
      <c r="I275" s="13" t="s">
        <v>851</v>
      </c>
      <c r="M275" t="s">
        <v>2827</v>
      </c>
    </row>
    <row r="276" spans="1:13" ht="16.5" customHeight="1" x14ac:dyDescent="0.25">
      <c r="A276" s="6" t="s">
        <v>1196</v>
      </c>
      <c r="B276" s="7" t="s">
        <v>660</v>
      </c>
      <c r="C276" s="7" t="s">
        <v>1195</v>
      </c>
      <c r="D276" s="7" t="s">
        <v>662</v>
      </c>
      <c r="E276" s="7" t="s">
        <v>663</v>
      </c>
      <c r="F276" s="7" t="s">
        <v>1189</v>
      </c>
      <c r="G276" s="7" t="s">
        <v>1194</v>
      </c>
      <c r="H276" s="7" t="s">
        <v>469</v>
      </c>
      <c r="I276" s="7" t="s">
        <v>1189</v>
      </c>
      <c r="M276" t="s">
        <v>2827</v>
      </c>
    </row>
    <row r="277" spans="1:13" ht="16.5" customHeight="1" x14ac:dyDescent="0.25">
      <c r="A277" s="12" t="s">
        <v>1190</v>
      </c>
      <c r="B277" s="13" t="s">
        <v>660</v>
      </c>
      <c r="C277" s="13" t="s">
        <v>1188</v>
      </c>
      <c r="D277" s="13" t="s">
        <v>662</v>
      </c>
      <c r="E277" s="13" t="s">
        <v>663</v>
      </c>
      <c r="F277" s="13" t="s">
        <v>1189</v>
      </c>
      <c r="G277" s="13" t="s">
        <v>1187</v>
      </c>
      <c r="H277" s="13" t="s">
        <v>469</v>
      </c>
      <c r="I277" s="13" t="s">
        <v>1189</v>
      </c>
      <c r="M277" t="s">
        <v>2827</v>
      </c>
    </row>
    <row r="278" spans="1:13" ht="16.5" customHeight="1" x14ac:dyDescent="0.25">
      <c r="A278" s="6" t="s">
        <v>1286</v>
      </c>
      <c r="B278" s="7" t="s">
        <v>660</v>
      </c>
      <c r="C278" s="7" t="s">
        <v>640</v>
      </c>
      <c r="D278" s="7" t="s">
        <v>662</v>
      </c>
      <c r="E278" s="7" t="s">
        <v>898</v>
      </c>
      <c r="F278" s="7" t="s">
        <v>1199</v>
      </c>
      <c r="G278" s="7" t="s">
        <v>787</v>
      </c>
      <c r="H278" s="7" t="s">
        <v>469</v>
      </c>
      <c r="I278" s="7" t="s">
        <v>788</v>
      </c>
      <c r="M278" t="s">
        <v>2827</v>
      </c>
    </row>
    <row r="279" spans="1:13" ht="16.5" customHeight="1" x14ac:dyDescent="0.25">
      <c r="A279" s="12" t="s">
        <v>1300</v>
      </c>
      <c r="B279" s="13" t="s">
        <v>660</v>
      </c>
      <c r="C279" s="13" t="s">
        <v>640</v>
      </c>
      <c r="D279" s="13" t="s">
        <v>662</v>
      </c>
      <c r="E279" s="13" t="s">
        <v>673</v>
      </c>
      <c r="F279" s="13" t="s">
        <v>1199</v>
      </c>
      <c r="G279" s="13" t="s">
        <v>1046</v>
      </c>
      <c r="H279" s="13" t="s">
        <v>469</v>
      </c>
      <c r="I279" s="13" t="s">
        <v>915</v>
      </c>
      <c r="M279" t="s">
        <v>2827</v>
      </c>
    </row>
    <row r="280" spans="1:13" ht="16.5" customHeight="1" x14ac:dyDescent="0.25">
      <c r="A280" s="6" t="s">
        <v>1287</v>
      </c>
      <c r="B280" s="7" t="s">
        <v>660</v>
      </c>
      <c r="C280" s="7" t="s">
        <v>640</v>
      </c>
      <c r="D280" s="7" t="s">
        <v>662</v>
      </c>
      <c r="E280" s="7" t="s">
        <v>898</v>
      </c>
      <c r="F280" s="7" t="s">
        <v>1199</v>
      </c>
      <c r="G280" s="7" t="s">
        <v>649</v>
      </c>
      <c r="H280" s="7" t="s">
        <v>469</v>
      </c>
      <c r="I280" s="7" t="s">
        <v>650</v>
      </c>
      <c r="M280" t="s">
        <v>2827</v>
      </c>
    </row>
    <row r="281" spans="1:13" ht="16.5" customHeight="1" x14ac:dyDescent="0.25">
      <c r="A281" s="12" t="s">
        <v>1274</v>
      </c>
      <c r="B281" s="13" t="s">
        <v>660</v>
      </c>
      <c r="C281" s="13" t="s">
        <v>640</v>
      </c>
      <c r="D281" s="13" t="s">
        <v>662</v>
      </c>
      <c r="E281" s="13" t="s">
        <v>673</v>
      </c>
      <c r="F281" s="13" t="s">
        <v>900</v>
      </c>
      <c r="G281" s="13" t="s">
        <v>1273</v>
      </c>
      <c r="H281" s="13" t="s">
        <v>469</v>
      </c>
      <c r="I281" s="13" t="s">
        <v>902</v>
      </c>
      <c r="M281" t="s">
        <v>2827</v>
      </c>
    </row>
    <row r="282" spans="1:13" ht="16.5" customHeight="1" x14ac:dyDescent="0.25">
      <c r="A282" s="6" t="s">
        <v>1294</v>
      </c>
      <c r="B282" s="7" t="s">
        <v>660</v>
      </c>
      <c r="C282" s="7" t="s">
        <v>392</v>
      </c>
      <c r="D282" s="7" t="s">
        <v>662</v>
      </c>
      <c r="E282" s="7" t="s">
        <v>663</v>
      </c>
      <c r="F282" s="7" t="s">
        <v>1293</v>
      </c>
      <c r="G282" s="7" t="s">
        <v>655</v>
      </c>
      <c r="H282" s="7" t="s">
        <v>469</v>
      </c>
      <c r="I282" s="7" t="s">
        <v>654</v>
      </c>
      <c r="M282" t="s">
        <v>2827</v>
      </c>
    </row>
    <row r="283" spans="1:13" ht="16.5" customHeight="1" x14ac:dyDescent="0.25">
      <c r="A283" s="12" t="s">
        <v>1243</v>
      </c>
      <c r="B283" s="13" t="s">
        <v>660</v>
      </c>
      <c r="C283" s="13" t="s">
        <v>936</v>
      </c>
      <c r="D283" s="13" t="s">
        <v>662</v>
      </c>
      <c r="E283" s="13" t="s">
        <v>663</v>
      </c>
      <c r="F283" s="13" t="s">
        <v>1244</v>
      </c>
      <c r="G283" s="13" t="s">
        <v>937</v>
      </c>
      <c r="H283" s="13" t="s">
        <v>469</v>
      </c>
      <c r="I283" s="13" t="s">
        <v>851</v>
      </c>
      <c r="M283" t="s">
        <v>2827</v>
      </c>
    </row>
    <row r="284" spans="1:13" ht="16.5" customHeight="1" x14ac:dyDescent="0.25">
      <c r="A284" s="6" t="s">
        <v>1292</v>
      </c>
      <c r="B284" s="7" t="s">
        <v>660</v>
      </c>
      <c r="C284" s="7" t="s">
        <v>640</v>
      </c>
      <c r="D284" s="7" t="s">
        <v>662</v>
      </c>
      <c r="E284" s="7" t="s">
        <v>663</v>
      </c>
      <c r="F284" s="7" t="s">
        <v>1293</v>
      </c>
      <c r="G284" s="7" t="s">
        <v>658</v>
      </c>
      <c r="H284" s="7" t="s">
        <v>469</v>
      </c>
      <c r="I284" s="7" t="s">
        <v>657</v>
      </c>
      <c r="M284" t="s">
        <v>2827</v>
      </c>
    </row>
    <row r="285" spans="1:13" ht="17.25" customHeight="1" x14ac:dyDescent="0.25">
      <c r="A285" s="12" t="s">
        <v>1232</v>
      </c>
      <c r="B285" s="13" t="s">
        <v>660</v>
      </c>
      <c r="C285" s="13" t="s">
        <v>1230</v>
      </c>
      <c r="D285" s="13" t="s">
        <v>662</v>
      </c>
      <c r="E285" s="13" t="s">
        <v>663</v>
      </c>
      <c r="F285" s="13" t="s">
        <v>1233</v>
      </c>
      <c r="G285" s="13" t="s">
        <v>1229</v>
      </c>
      <c r="H285" s="13" t="s">
        <v>469</v>
      </c>
      <c r="I285" s="13" t="s">
        <v>1231</v>
      </c>
      <c r="M285" t="s">
        <v>2827</v>
      </c>
    </row>
    <row r="286" spans="1:13" ht="16.5" customHeight="1" x14ac:dyDescent="0.25">
      <c r="A286" s="6" t="s">
        <v>1236</v>
      </c>
      <c r="B286" s="7" t="s">
        <v>660</v>
      </c>
      <c r="C286" s="7" t="s">
        <v>1235</v>
      </c>
      <c r="D286" s="7" t="s">
        <v>662</v>
      </c>
      <c r="E286" s="7" t="s">
        <v>663</v>
      </c>
      <c r="F286" s="7" t="s">
        <v>1231</v>
      </c>
      <c r="G286" s="7" t="s">
        <v>1234</v>
      </c>
      <c r="H286" s="7" t="s">
        <v>469</v>
      </c>
      <c r="I286" s="7" t="s">
        <v>1231</v>
      </c>
      <c r="M286" t="s">
        <v>2827</v>
      </c>
    </row>
    <row r="287" spans="1:13" ht="16.5" customHeight="1" x14ac:dyDescent="0.25">
      <c r="A287" s="12" t="s">
        <v>1296</v>
      </c>
      <c r="B287" s="13" t="s">
        <v>660</v>
      </c>
      <c r="C287" s="13" t="s">
        <v>1295</v>
      </c>
      <c r="D287" s="13" t="s">
        <v>662</v>
      </c>
      <c r="E287" s="13" t="s">
        <v>663</v>
      </c>
      <c r="F287" s="13" t="s">
        <v>1297</v>
      </c>
      <c r="G287" s="13" t="s">
        <v>859</v>
      </c>
      <c r="H287" s="13" t="s">
        <v>469</v>
      </c>
      <c r="I287" s="13" t="s">
        <v>862</v>
      </c>
      <c r="M287" t="s">
        <v>2827</v>
      </c>
    </row>
    <row r="288" spans="1:13" ht="16.5" customHeight="1" x14ac:dyDescent="0.25">
      <c r="A288" s="6" t="s">
        <v>1298</v>
      </c>
      <c r="B288" s="7" t="s">
        <v>660</v>
      </c>
      <c r="C288" s="7" t="s">
        <v>967</v>
      </c>
      <c r="D288" s="7" t="s">
        <v>662</v>
      </c>
      <c r="E288" s="7" t="s">
        <v>663</v>
      </c>
      <c r="F288" s="7" t="s">
        <v>1297</v>
      </c>
      <c r="G288" s="7" t="s">
        <v>971</v>
      </c>
      <c r="H288" s="7" t="s">
        <v>469</v>
      </c>
      <c r="I288" s="7" t="s">
        <v>862</v>
      </c>
      <c r="M288" t="s">
        <v>2827</v>
      </c>
    </row>
    <row r="289" spans="1:13" ht="16.5" customHeight="1" x14ac:dyDescent="0.25">
      <c r="A289" s="12" t="s">
        <v>1284</v>
      </c>
      <c r="B289" s="13" t="s">
        <v>660</v>
      </c>
      <c r="C289" s="13" t="s">
        <v>388</v>
      </c>
      <c r="D289" s="13" t="s">
        <v>662</v>
      </c>
      <c r="E289" s="13" t="s">
        <v>898</v>
      </c>
      <c r="F289" s="13" t="s">
        <v>1285</v>
      </c>
      <c r="G289" s="13" t="s">
        <v>1031</v>
      </c>
      <c r="H289" s="13" t="s">
        <v>469</v>
      </c>
      <c r="I289" s="13" t="s">
        <v>785</v>
      </c>
      <c r="M289" t="s">
        <v>2827</v>
      </c>
    </row>
    <row r="290" spans="1:13" ht="16.5" customHeight="1" x14ac:dyDescent="0.25">
      <c r="A290" s="6" t="s">
        <v>1299</v>
      </c>
      <c r="B290" s="7" t="s">
        <v>660</v>
      </c>
      <c r="C290" s="7" t="s">
        <v>388</v>
      </c>
      <c r="D290" s="7" t="s">
        <v>662</v>
      </c>
      <c r="E290" s="7" t="s">
        <v>673</v>
      </c>
      <c r="F290" s="7" t="s">
        <v>1285</v>
      </c>
      <c r="G290" s="7" t="s">
        <v>914</v>
      </c>
      <c r="H290" s="7" t="s">
        <v>469</v>
      </c>
      <c r="I290" s="7" t="s">
        <v>915</v>
      </c>
      <c r="M290" t="s">
        <v>2827</v>
      </c>
    </row>
    <row r="291" spans="1:13" ht="16.5" customHeight="1" x14ac:dyDescent="0.25">
      <c r="A291" s="12" t="s">
        <v>1198</v>
      </c>
      <c r="B291" s="13" t="s">
        <v>660</v>
      </c>
      <c r="C291" s="13" t="s">
        <v>388</v>
      </c>
      <c r="D291" s="13" t="s">
        <v>662</v>
      </c>
      <c r="E291" s="13" t="s">
        <v>898</v>
      </c>
      <c r="F291" s="13" t="s">
        <v>1199</v>
      </c>
      <c r="G291" s="13" t="s">
        <v>1197</v>
      </c>
      <c r="H291" s="13" t="s">
        <v>469</v>
      </c>
      <c r="I291" s="13" t="s">
        <v>646</v>
      </c>
      <c r="M291" t="s">
        <v>2827</v>
      </c>
    </row>
    <row r="292" spans="1:13" ht="16.5" customHeight="1" x14ac:dyDescent="0.25">
      <c r="A292" s="6" t="s">
        <v>1201</v>
      </c>
      <c r="B292" s="7" t="s">
        <v>660</v>
      </c>
      <c r="C292" s="7" t="s">
        <v>391</v>
      </c>
      <c r="D292" s="7" t="s">
        <v>662</v>
      </c>
      <c r="E292" s="7" t="s">
        <v>673</v>
      </c>
      <c r="F292" s="7" t="s">
        <v>900</v>
      </c>
      <c r="G292" s="7" t="s">
        <v>1200</v>
      </c>
      <c r="H292" s="7" t="s">
        <v>469</v>
      </c>
      <c r="I292" s="7" t="s">
        <v>900</v>
      </c>
      <c r="M292" t="s">
        <v>2827</v>
      </c>
    </row>
    <row r="293" spans="1:13" ht="16.5" customHeight="1" x14ac:dyDescent="0.25">
      <c r="A293" s="12" t="s">
        <v>1303</v>
      </c>
      <c r="B293" s="13" t="s">
        <v>581</v>
      </c>
      <c r="C293" s="13" t="s">
        <v>1302</v>
      </c>
      <c r="D293" s="13" t="s">
        <v>1057</v>
      </c>
      <c r="E293" s="13" t="s">
        <v>1058</v>
      </c>
      <c r="F293" s="13" t="s">
        <v>1304</v>
      </c>
      <c r="G293" s="13" t="s">
        <v>1301</v>
      </c>
      <c r="H293" s="13" t="s">
        <v>469</v>
      </c>
      <c r="I293" s="13" t="s">
        <v>750</v>
      </c>
      <c r="M293" t="s">
        <v>2827</v>
      </c>
    </row>
    <row r="294" spans="1:13" ht="6.75" customHeight="1" x14ac:dyDescent="0.25"/>
    <row r="295" spans="1:13" ht="0.75" customHeight="1" x14ac:dyDescent="0.25">
      <c r="F295" s="35" t="s">
        <v>1</v>
      </c>
      <c r="G295" s="35"/>
      <c r="H295" s="35"/>
    </row>
    <row r="296" spans="1:13" ht="11.25" customHeight="1" x14ac:dyDescent="0.25">
      <c r="A296" s="36" t="s">
        <v>637</v>
      </c>
      <c r="B296" s="36"/>
      <c r="C296" s="36"/>
      <c r="D296" s="36"/>
      <c r="F296" s="35"/>
      <c r="G296" s="35"/>
      <c r="H296" s="35"/>
    </row>
    <row r="297" spans="1:13" ht="0.75" customHeight="1" x14ac:dyDescent="0.25">
      <c r="A297" s="36"/>
      <c r="B297" s="36"/>
      <c r="C297" s="36"/>
      <c r="D297" s="36"/>
    </row>
  </sheetData>
  <mergeCells count="13">
    <mergeCell ref="F295:H296"/>
    <mergeCell ref="A296:D297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&amp;C4K911 TURBINE PANEL A^JB70_A.1</oddHeader>
    <oddFooter>&amp;L&amp;D&amp;CPage &amp;P of &amp;N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EE7BF5-8905-423C-A59B-F8B6351F985A}">
  <sheetPr>
    <pageSetUpPr fitToPage="1"/>
  </sheetPr>
  <dimension ref="A1:M288"/>
  <sheetViews>
    <sheetView showGridLines="0" topLeftCell="A212" workbookViewId="0">
      <selection activeCell="G218" sqref="G218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13" ht="18" customHeight="1" x14ac:dyDescent="0.25">
      <c r="A1" s="37" t="s">
        <v>469</v>
      </c>
      <c r="B1" s="37"/>
      <c r="C1" s="37"/>
      <c r="D1" s="37"/>
    </row>
    <row r="2" spans="1:13" ht="12" customHeight="1" x14ac:dyDescent="0.25">
      <c r="A2" s="38"/>
      <c r="B2" s="38"/>
      <c r="C2" s="38"/>
      <c r="D2" s="38"/>
    </row>
    <row r="3" spans="1:13" ht="12.75" customHeight="1" x14ac:dyDescent="0.25">
      <c r="A3" s="2" t="s">
        <v>2</v>
      </c>
      <c r="B3" s="39" t="s">
        <v>3</v>
      </c>
      <c r="C3" s="39"/>
      <c r="D3" s="39"/>
    </row>
    <row r="4" spans="1:13" ht="12" customHeight="1" x14ac:dyDescent="0.25">
      <c r="A4" s="2" t="s">
        <v>5</v>
      </c>
      <c r="B4" s="39" t="s">
        <v>6</v>
      </c>
      <c r="C4" s="39"/>
      <c r="D4" s="39"/>
    </row>
    <row r="5" spans="1:13" ht="12.75" customHeight="1" x14ac:dyDescent="0.25">
      <c r="A5" s="2" t="s">
        <v>7</v>
      </c>
      <c r="B5" s="39" t="s">
        <v>8</v>
      </c>
      <c r="C5" s="39"/>
      <c r="D5" s="39"/>
    </row>
    <row r="6" spans="1:13" ht="5.25" customHeight="1" x14ac:dyDescent="0.25"/>
    <row r="7" spans="1:13" ht="12" customHeight="1" x14ac:dyDescent="0.25">
      <c r="A7" s="2" t="s">
        <v>9</v>
      </c>
      <c r="B7" s="39" t="s">
        <v>10</v>
      </c>
      <c r="C7" s="39"/>
      <c r="D7" s="39"/>
    </row>
    <row r="8" spans="1:13" ht="12.75" customHeight="1" x14ac:dyDescent="0.25">
      <c r="A8" s="2" t="s">
        <v>11</v>
      </c>
      <c r="B8" s="39" t="s">
        <v>12</v>
      </c>
      <c r="C8" s="39"/>
      <c r="D8" s="39"/>
    </row>
    <row r="9" spans="1:13" ht="12" customHeight="1" x14ac:dyDescent="0.25">
      <c r="A9" s="2" t="s">
        <v>13</v>
      </c>
      <c r="B9" s="39"/>
      <c r="C9" s="39"/>
      <c r="D9" s="39"/>
    </row>
    <row r="10" spans="1:13" ht="12.75" customHeight="1" x14ac:dyDescent="0.25">
      <c r="A10" s="2" t="s">
        <v>11</v>
      </c>
      <c r="B10" s="39"/>
      <c r="C10" s="39"/>
      <c r="D10" s="39"/>
    </row>
    <row r="11" spans="1:13" ht="10.5" customHeight="1" x14ac:dyDescent="0.25"/>
    <row r="12" spans="1:13" ht="16.5" customHeight="1" x14ac:dyDescent="0.25">
      <c r="A12" s="40" t="s">
        <v>630</v>
      </c>
      <c r="B12" s="40"/>
      <c r="C12" s="40"/>
      <c r="D12" s="40"/>
      <c r="E12" s="40"/>
      <c r="F12" s="40"/>
      <c r="G12" s="41" t="s">
        <v>631</v>
      </c>
      <c r="H12" s="41"/>
      <c r="I12" s="41"/>
    </row>
    <row r="13" spans="1:13" ht="43.5" customHeight="1" x14ac:dyDescent="0.25">
      <c r="A13" s="10" t="s">
        <v>14</v>
      </c>
      <c r="B13" s="11" t="s">
        <v>632</v>
      </c>
      <c r="C13" s="11" t="s">
        <v>634</v>
      </c>
      <c r="D13" s="11" t="s">
        <v>633</v>
      </c>
      <c r="E13" s="11" t="s">
        <v>635</v>
      </c>
      <c r="F13" s="11" t="s">
        <v>636</v>
      </c>
      <c r="G13" s="11" t="s">
        <v>14</v>
      </c>
      <c r="H13" s="11" t="s">
        <v>17</v>
      </c>
      <c r="I13" s="11" t="s">
        <v>636</v>
      </c>
    </row>
    <row r="14" spans="1:13" ht="16.5" customHeight="1" x14ac:dyDescent="0.25">
      <c r="A14" s="12" t="s">
        <v>638</v>
      </c>
      <c r="B14" s="13" t="s">
        <v>639</v>
      </c>
      <c r="C14" s="13" t="s">
        <v>640</v>
      </c>
      <c r="D14" s="13" t="s">
        <v>641</v>
      </c>
      <c r="E14" s="13" t="s">
        <v>642</v>
      </c>
      <c r="F14" s="13" t="s">
        <v>643</v>
      </c>
      <c r="G14" s="13" t="s">
        <v>644</v>
      </c>
      <c r="H14" s="13" t="s">
        <v>469</v>
      </c>
      <c r="I14" s="13" t="s">
        <v>643</v>
      </c>
      <c r="M14" t="s">
        <v>2827</v>
      </c>
    </row>
    <row r="15" spans="1:13" ht="16.5" customHeight="1" x14ac:dyDescent="0.25">
      <c r="A15" s="6" t="s">
        <v>645</v>
      </c>
      <c r="B15" s="7" t="s">
        <v>639</v>
      </c>
      <c r="C15" s="7" t="s">
        <v>508</v>
      </c>
      <c r="D15" s="7" t="s">
        <v>641</v>
      </c>
      <c r="E15" s="7" t="s">
        <v>642</v>
      </c>
      <c r="F15" s="7" t="s">
        <v>646</v>
      </c>
      <c r="G15" s="7" t="s">
        <v>647</v>
      </c>
      <c r="H15" s="7" t="s">
        <v>469</v>
      </c>
      <c r="I15" s="7" t="s">
        <v>646</v>
      </c>
      <c r="M15" t="s">
        <v>2827</v>
      </c>
    </row>
    <row r="16" spans="1:13" ht="16.5" customHeight="1" x14ac:dyDescent="0.25">
      <c r="A16" s="12" t="s">
        <v>647</v>
      </c>
      <c r="B16" s="13" t="s">
        <v>639</v>
      </c>
      <c r="C16" s="13" t="s">
        <v>508</v>
      </c>
      <c r="D16" s="13" t="s">
        <v>641</v>
      </c>
      <c r="E16" s="13" t="s">
        <v>642</v>
      </c>
      <c r="F16" s="13" t="s">
        <v>646</v>
      </c>
      <c r="G16" s="13" t="s">
        <v>648</v>
      </c>
      <c r="H16" s="13" t="s">
        <v>469</v>
      </c>
      <c r="I16" s="13" t="s">
        <v>646</v>
      </c>
      <c r="M16" t="s">
        <v>2827</v>
      </c>
    </row>
    <row r="17" spans="1:13" ht="16.5" customHeight="1" x14ac:dyDescent="0.25">
      <c r="A17" s="6" t="s">
        <v>649</v>
      </c>
      <c r="B17" s="7" t="s">
        <v>639</v>
      </c>
      <c r="C17" s="7" t="s">
        <v>640</v>
      </c>
      <c r="D17" s="7" t="s">
        <v>641</v>
      </c>
      <c r="E17" s="7" t="s">
        <v>642</v>
      </c>
      <c r="F17" s="7" t="s">
        <v>650</v>
      </c>
      <c r="G17" s="7" t="s">
        <v>651</v>
      </c>
      <c r="H17" s="7" t="s">
        <v>469</v>
      </c>
      <c r="I17" s="7" t="s">
        <v>650</v>
      </c>
      <c r="M17" t="s">
        <v>2827</v>
      </c>
    </row>
    <row r="18" spans="1:13" ht="16.5" customHeight="1" x14ac:dyDescent="0.25">
      <c r="A18" s="12" t="s">
        <v>651</v>
      </c>
      <c r="B18" s="13" t="s">
        <v>639</v>
      </c>
      <c r="C18" s="13" t="s">
        <v>640</v>
      </c>
      <c r="D18" s="13" t="s">
        <v>641</v>
      </c>
      <c r="E18" s="13" t="s">
        <v>642</v>
      </c>
      <c r="F18" s="13" t="s">
        <v>650</v>
      </c>
      <c r="G18" s="13" t="s">
        <v>652</v>
      </c>
      <c r="H18" s="13" t="s">
        <v>469</v>
      </c>
      <c r="I18" s="13" t="s">
        <v>650</v>
      </c>
      <c r="M18" t="s">
        <v>2827</v>
      </c>
    </row>
    <row r="19" spans="1:13" ht="16.5" customHeight="1" x14ac:dyDescent="0.25">
      <c r="A19" s="6" t="s">
        <v>653</v>
      </c>
      <c r="B19" s="7" t="s">
        <v>639</v>
      </c>
      <c r="C19" s="7" t="s">
        <v>392</v>
      </c>
      <c r="D19" s="7" t="s">
        <v>641</v>
      </c>
      <c r="E19" s="7" t="s">
        <v>642</v>
      </c>
      <c r="F19" s="7" t="s">
        <v>654</v>
      </c>
      <c r="G19" s="7" t="s">
        <v>655</v>
      </c>
      <c r="H19" s="7" t="s">
        <v>469</v>
      </c>
      <c r="I19" s="7" t="s">
        <v>654</v>
      </c>
      <c r="M19" t="s">
        <v>2827</v>
      </c>
    </row>
    <row r="20" spans="1:13" ht="16.5" customHeight="1" x14ac:dyDescent="0.25">
      <c r="A20" s="12" t="s">
        <v>656</v>
      </c>
      <c r="B20" s="13" t="s">
        <v>639</v>
      </c>
      <c r="C20" s="13" t="s">
        <v>640</v>
      </c>
      <c r="D20" s="13" t="s">
        <v>641</v>
      </c>
      <c r="E20" s="13" t="s">
        <v>642</v>
      </c>
      <c r="F20" s="13" t="s">
        <v>657</v>
      </c>
      <c r="G20" s="13" t="s">
        <v>658</v>
      </c>
      <c r="H20" s="13" t="s">
        <v>469</v>
      </c>
      <c r="I20" s="13" t="s">
        <v>657</v>
      </c>
      <c r="M20" t="s">
        <v>2827</v>
      </c>
    </row>
    <row r="21" spans="1:13" ht="16.5" customHeight="1" x14ac:dyDescent="0.25">
      <c r="A21" s="6" t="s">
        <v>665</v>
      </c>
      <c r="B21" s="7" t="s">
        <v>660</v>
      </c>
      <c r="C21" s="7" t="s">
        <v>661</v>
      </c>
      <c r="D21" s="7" t="s">
        <v>662</v>
      </c>
      <c r="E21" s="7" t="s">
        <v>663</v>
      </c>
      <c r="F21" s="7" t="s">
        <v>664</v>
      </c>
      <c r="G21" s="7" t="s">
        <v>659</v>
      </c>
      <c r="H21" s="7" t="s">
        <v>469</v>
      </c>
      <c r="I21" s="7" t="s">
        <v>666</v>
      </c>
      <c r="M21" t="s">
        <v>2827</v>
      </c>
    </row>
    <row r="22" spans="1:13" ht="17.25" customHeight="1" x14ac:dyDescent="0.25">
      <c r="A22" s="12" t="s">
        <v>670</v>
      </c>
      <c r="B22" s="13" t="s">
        <v>660</v>
      </c>
      <c r="C22" s="13" t="s">
        <v>668</v>
      </c>
      <c r="D22" s="13" t="s">
        <v>662</v>
      </c>
      <c r="E22" s="13" t="s">
        <v>663</v>
      </c>
      <c r="F22" s="13" t="s">
        <v>669</v>
      </c>
      <c r="G22" s="13" t="s">
        <v>667</v>
      </c>
      <c r="H22" s="13" t="s">
        <v>469</v>
      </c>
      <c r="I22" s="13" t="s">
        <v>671</v>
      </c>
      <c r="M22" t="s">
        <v>2827</v>
      </c>
    </row>
    <row r="23" spans="1:13" ht="16.5" customHeight="1" x14ac:dyDescent="0.25">
      <c r="A23" s="6" t="s">
        <v>672</v>
      </c>
      <c r="B23" s="7" t="s">
        <v>660</v>
      </c>
      <c r="C23" s="7" t="s">
        <v>640</v>
      </c>
      <c r="D23" s="7" t="s">
        <v>662</v>
      </c>
      <c r="E23" s="7" t="s">
        <v>673</v>
      </c>
      <c r="F23" s="7" t="s">
        <v>674</v>
      </c>
      <c r="G23" s="7" t="s">
        <v>644</v>
      </c>
      <c r="H23" s="7" t="s">
        <v>469</v>
      </c>
      <c r="I23" s="7" t="s">
        <v>643</v>
      </c>
      <c r="M23" t="s">
        <v>2827</v>
      </c>
    </row>
    <row r="24" spans="1:13" ht="16.5" customHeight="1" x14ac:dyDescent="0.25">
      <c r="A24" s="12" t="s">
        <v>675</v>
      </c>
      <c r="B24" s="13" t="s">
        <v>660</v>
      </c>
      <c r="C24" s="13" t="s">
        <v>676</v>
      </c>
      <c r="D24" s="14"/>
      <c r="E24" s="14"/>
      <c r="F24" s="13" t="s">
        <v>674</v>
      </c>
      <c r="G24" s="13" t="s">
        <v>677</v>
      </c>
      <c r="H24" s="13" t="s">
        <v>469</v>
      </c>
      <c r="I24" s="13" t="s">
        <v>678</v>
      </c>
      <c r="M24" t="s">
        <v>2827</v>
      </c>
    </row>
    <row r="25" spans="1:13" ht="16.5" customHeight="1" x14ac:dyDescent="0.25">
      <c r="A25" s="6" t="s">
        <v>679</v>
      </c>
      <c r="B25" s="7" t="s">
        <v>660</v>
      </c>
      <c r="C25" s="7" t="s">
        <v>502</v>
      </c>
      <c r="D25" s="7" t="s">
        <v>662</v>
      </c>
      <c r="E25" s="7" t="s">
        <v>673</v>
      </c>
      <c r="F25" s="7" t="s">
        <v>674</v>
      </c>
      <c r="G25" s="7" t="s">
        <v>680</v>
      </c>
      <c r="H25" s="7" t="s">
        <v>469</v>
      </c>
      <c r="I25" s="7" t="s">
        <v>643</v>
      </c>
      <c r="M25" t="s">
        <v>2827</v>
      </c>
    </row>
    <row r="26" spans="1:13" ht="16.5" customHeight="1" x14ac:dyDescent="0.25">
      <c r="A26" s="12" t="s">
        <v>684</v>
      </c>
      <c r="B26" s="13" t="s">
        <v>660</v>
      </c>
      <c r="C26" s="13" t="s">
        <v>682</v>
      </c>
      <c r="D26" s="13" t="s">
        <v>662</v>
      </c>
      <c r="E26" s="13" t="s">
        <v>663</v>
      </c>
      <c r="F26" s="13" t="s">
        <v>683</v>
      </c>
      <c r="G26" s="13" t="s">
        <v>681</v>
      </c>
      <c r="H26" s="13" t="s">
        <v>469</v>
      </c>
      <c r="I26" s="13" t="s">
        <v>685</v>
      </c>
      <c r="M26" t="s">
        <v>2827</v>
      </c>
    </row>
    <row r="27" spans="1:13" ht="16.5" customHeight="1" x14ac:dyDescent="0.25">
      <c r="A27" s="6" t="s">
        <v>686</v>
      </c>
      <c r="B27" s="7" t="s">
        <v>660</v>
      </c>
      <c r="C27" s="7" t="s">
        <v>687</v>
      </c>
      <c r="D27" s="7" t="s">
        <v>662</v>
      </c>
      <c r="E27" s="7" t="s">
        <v>663</v>
      </c>
      <c r="F27" s="7" t="s">
        <v>683</v>
      </c>
      <c r="G27" s="7" t="s">
        <v>688</v>
      </c>
      <c r="H27" s="7" t="s">
        <v>469</v>
      </c>
      <c r="I27" s="7" t="s">
        <v>689</v>
      </c>
      <c r="M27" t="s">
        <v>2827</v>
      </c>
    </row>
    <row r="28" spans="1:13" ht="16.5" customHeight="1" x14ac:dyDescent="0.25">
      <c r="A28" s="12" t="s">
        <v>690</v>
      </c>
      <c r="B28" s="13" t="s">
        <v>660</v>
      </c>
      <c r="C28" s="13" t="s">
        <v>640</v>
      </c>
      <c r="D28" s="13" t="s">
        <v>662</v>
      </c>
      <c r="E28" s="13" t="s">
        <v>673</v>
      </c>
      <c r="F28" s="13" t="s">
        <v>678</v>
      </c>
      <c r="G28" s="13" t="s">
        <v>644</v>
      </c>
      <c r="H28" s="13" t="s">
        <v>469</v>
      </c>
      <c r="I28" s="13" t="s">
        <v>643</v>
      </c>
      <c r="M28" t="s">
        <v>2827</v>
      </c>
    </row>
    <row r="29" spans="1:13" ht="16.5" customHeight="1" x14ac:dyDescent="0.25">
      <c r="A29" s="6" t="s">
        <v>691</v>
      </c>
      <c r="B29" s="7" t="s">
        <v>660</v>
      </c>
      <c r="C29" s="7" t="s">
        <v>676</v>
      </c>
      <c r="D29" s="5"/>
      <c r="E29" s="5"/>
      <c r="F29" s="7" t="s">
        <v>678</v>
      </c>
      <c r="G29" s="7" t="s">
        <v>692</v>
      </c>
      <c r="H29" s="7" t="s">
        <v>469</v>
      </c>
      <c r="I29" s="7" t="s">
        <v>678</v>
      </c>
      <c r="M29" t="s">
        <v>2827</v>
      </c>
    </row>
    <row r="30" spans="1:13" ht="16.5" customHeight="1" x14ac:dyDescent="0.25">
      <c r="A30" s="12" t="s">
        <v>693</v>
      </c>
      <c r="B30" s="13" t="s">
        <v>660</v>
      </c>
      <c r="C30" s="13" t="s">
        <v>503</v>
      </c>
      <c r="D30" s="13" t="s">
        <v>662</v>
      </c>
      <c r="E30" s="13" t="s">
        <v>673</v>
      </c>
      <c r="F30" s="13" t="s">
        <v>678</v>
      </c>
      <c r="G30" s="13" t="s">
        <v>694</v>
      </c>
      <c r="H30" s="13" t="s">
        <v>469</v>
      </c>
      <c r="I30" s="13" t="s">
        <v>643</v>
      </c>
      <c r="M30" t="s">
        <v>2827</v>
      </c>
    </row>
    <row r="31" spans="1:13" ht="16.5" customHeight="1" x14ac:dyDescent="0.25">
      <c r="A31" s="6" t="s">
        <v>695</v>
      </c>
      <c r="B31" s="7" t="s">
        <v>660</v>
      </c>
      <c r="C31" s="7" t="s">
        <v>696</v>
      </c>
      <c r="D31" s="7" t="s">
        <v>662</v>
      </c>
      <c r="E31" s="7" t="s">
        <v>697</v>
      </c>
      <c r="F31" s="7" t="s">
        <v>678</v>
      </c>
      <c r="G31" s="7" t="s">
        <v>698</v>
      </c>
      <c r="H31" s="7" t="s">
        <v>469</v>
      </c>
      <c r="I31" s="7" t="s">
        <v>699</v>
      </c>
      <c r="M31" t="s">
        <v>2827</v>
      </c>
    </row>
    <row r="32" spans="1:13" ht="16.5" customHeight="1" x14ac:dyDescent="0.25">
      <c r="A32" s="12" t="s">
        <v>695</v>
      </c>
      <c r="B32" s="13" t="s">
        <v>660</v>
      </c>
      <c r="C32" s="13" t="s">
        <v>700</v>
      </c>
      <c r="D32" s="13" t="s">
        <v>662</v>
      </c>
      <c r="E32" s="13" t="s">
        <v>697</v>
      </c>
      <c r="F32" s="13" t="s">
        <v>678</v>
      </c>
      <c r="G32" s="13" t="s">
        <v>701</v>
      </c>
      <c r="H32" s="13" t="s">
        <v>469</v>
      </c>
      <c r="I32" s="13" t="s">
        <v>674</v>
      </c>
      <c r="M32" t="s">
        <v>2827</v>
      </c>
    </row>
    <row r="33" spans="1:13" ht="16.5" customHeight="1" x14ac:dyDescent="0.25">
      <c r="A33" s="6" t="s">
        <v>702</v>
      </c>
      <c r="B33" s="7" t="s">
        <v>660</v>
      </c>
      <c r="C33" s="7" t="s">
        <v>676</v>
      </c>
      <c r="D33" s="5"/>
      <c r="E33" s="5"/>
      <c r="F33" s="7" t="s">
        <v>678</v>
      </c>
      <c r="G33" s="7" t="s">
        <v>703</v>
      </c>
      <c r="H33" s="7" t="s">
        <v>469</v>
      </c>
      <c r="I33" s="7" t="s">
        <v>699</v>
      </c>
      <c r="M33" t="s">
        <v>2827</v>
      </c>
    </row>
    <row r="34" spans="1:13" ht="16.5" customHeight="1" x14ac:dyDescent="0.25">
      <c r="A34" s="12" t="s">
        <v>704</v>
      </c>
      <c r="B34" s="13" t="s">
        <v>660</v>
      </c>
      <c r="C34" s="13" t="s">
        <v>705</v>
      </c>
      <c r="D34" s="13" t="s">
        <v>662</v>
      </c>
      <c r="E34" s="13" t="s">
        <v>697</v>
      </c>
      <c r="F34" s="13" t="s">
        <v>678</v>
      </c>
      <c r="G34" s="13" t="s">
        <v>706</v>
      </c>
      <c r="H34" s="13" t="s">
        <v>469</v>
      </c>
      <c r="I34" s="13" t="s">
        <v>699</v>
      </c>
      <c r="M34" t="s">
        <v>2827</v>
      </c>
    </row>
    <row r="35" spans="1:13" ht="17.25" customHeight="1" x14ac:dyDescent="0.25">
      <c r="A35" s="6" t="s">
        <v>704</v>
      </c>
      <c r="B35" s="7" t="s">
        <v>660</v>
      </c>
      <c r="C35" s="7" t="s">
        <v>707</v>
      </c>
      <c r="D35" s="7" t="s">
        <v>662</v>
      </c>
      <c r="E35" s="7" t="s">
        <v>697</v>
      </c>
      <c r="F35" s="7" t="s">
        <v>678</v>
      </c>
      <c r="G35" s="7" t="s">
        <v>708</v>
      </c>
      <c r="H35" s="7" t="s">
        <v>469</v>
      </c>
      <c r="I35" s="7" t="s">
        <v>674</v>
      </c>
      <c r="M35" t="s">
        <v>2827</v>
      </c>
    </row>
    <row r="36" spans="1:13" ht="16.5" customHeight="1" x14ac:dyDescent="0.25">
      <c r="A36" s="12" t="s">
        <v>698</v>
      </c>
      <c r="B36" s="13" t="s">
        <v>660</v>
      </c>
      <c r="C36" s="13" t="s">
        <v>709</v>
      </c>
      <c r="D36" s="13" t="s">
        <v>662</v>
      </c>
      <c r="E36" s="13" t="s">
        <v>697</v>
      </c>
      <c r="F36" s="13" t="s">
        <v>699</v>
      </c>
      <c r="G36" s="13" t="s">
        <v>710</v>
      </c>
      <c r="H36" s="13" t="s">
        <v>469</v>
      </c>
      <c r="I36" s="13" t="s">
        <v>711</v>
      </c>
      <c r="M36" t="s">
        <v>2827</v>
      </c>
    </row>
    <row r="37" spans="1:13" ht="16.5" customHeight="1" x14ac:dyDescent="0.25">
      <c r="A37" s="6" t="s">
        <v>712</v>
      </c>
      <c r="B37" s="7" t="s">
        <v>660</v>
      </c>
      <c r="C37" s="7" t="s">
        <v>676</v>
      </c>
      <c r="D37" s="5"/>
      <c r="E37" s="5"/>
      <c r="F37" s="7" t="s">
        <v>699</v>
      </c>
      <c r="G37" s="7" t="s">
        <v>713</v>
      </c>
      <c r="H37" s="7" t="s">
        <v>469</v>
      </c>
      <c r="I37" s="7" t="s">
        <v>711</v>
      </c>
      <c r="M37" t="s">
        <v>2827</v>
      </c>
    </row>
    <row r="38" spans="1:13" ht="16.5" customHeight="1" x14ac:dyDescent="0.25">
      <c r="A38" s="12" t="s">
        <v>714</v>
      </c>
      <c r="B38" s="13" t="s">
        <v>660</v>
      </c>
      <c r="C38" s="13" t="s">
        <v>715</v>
      </c>
      <c r="D38" s="13" t="s">
        <v>716</v>
      </c>
      <c r="E38" s="13" t="s">
        <v>673</v>
      </c>
      <c r="F38" s="13" t="s">
        <v>699</v>
      </c>
      <c r="G38" s="13" t="s">
        <v>717</v>
      </c>
      <c r="H38" s="13" t="s">
        <v>469</v>
      </c>
      <c r="I38" s="13" t="s">
        <v>711</v>
      </c>
      <c r="M38" t="s">
        <v>2827</v>
      </c>
    </row>
    <row r="39" spans="1:13" ht="16.5" customHeight="1" x14ac:dyDescent="0.25">
      <c r="A39" s="6" t="s">
        <v>714</v>
      </c>
      <c r="B39" s="7" t="s">
        <v>660</v>
      </c>
      <c r="C39" s="7" t="s">
        <v>718</v>
      </c>
      <c r="D39" s="7" t="s">
        <v>716</v>
      </c>
      <c r="E39" s="7" t="s">
        <v>673</v>
      </c>
      <c r="F39" s="7" t="s">
        <v>699</v>
      </c>
      <c r="G39" s="7" t="s">
        <v>719</v>
      </c>
      <c r="H39" s="7" t="s">
        <v>469</v>
      </c>
      <c r="I39" s="7" t="s">
        <v>674</v>
      </c>
      <c r="M39" t="s">
        <v>2827</v>
      </c>
    </row>
    <row r="40" spans="1:13" ht="16.5" customHeight="1" x14ac:dyDescent="0.25">
      <c r="A40" s="12" t="s">
        <v>706</v>
      </c>
      <c r="B40" s="13" t="s">
        <v>660</v>
      </c>
      <c r="C40" s="13" t="s">
        <v>720</v>
      </c>
      <c r="D40" s="13" t="s">
        <v>662</v>
      </c>
      <c r="E40" s="13" t="s">
        <v>697</v>
      </c>
      <c r="F40" s="13" t="s">
        <v>699</v>
      </c>
      <c r="G40" s="13" t="s">
        <v>721</v>
      </c>
      <c r="H40" s="13" t="s">
        <v>469</v>
      </c>
      <c r="I40" s="13" t="s">
        <v>711</v>
      </c>
      <c r="M40" t="s">
        <v>2827</v>
      </c>
    </row>
    <row r="41" spans="1:13" ht="16.5" customHeight="1" x14ac:dyDescent="0.25">
      <c r="A41" s="6" t="s">
        <v>710</v>
      </c>
      <c r="B41" s="7" t="s">
        <v>660</v>
      </c>
      <c r="C41" s="7" t="s">
        <v>722</v>
      </c>
      <c r="D41" s="7" t="s">
        <v>662</v>
      </c>
      <c r="E41" s="7" t="s">
        <v>697</v>
      </c>
      <c r="F41" s="7" t="s">
        <v>711</v>
      </c>
      <c r="G41" s="7" t="s">
        <v>723</v>
      </c>
      <c r="H41" s="7" t="s">
        <v>469</v>
      </c>
      <c r="I41" s="7" t="s">
        <v>724</v>
      </c>
      <c r="M41" t="s">
        <v>2827</v>
      </c>
    </row>
    <row r="42" spans="1:13" ht="16.5" customHeight="1" x14ac:dyDescent="0.25">
      <c r="A42" s="12" t="s">
        <v>725</v>
      </c>
      <c r="B42" s="13" t="s">
        <v>660</v>
      </c>
      <c r="C42" s="13" t="s">
        <v>676</v>
      </c>
      <c r="D42" s="14"/>
      <c r="E42" s="14"/>
      <c r="F42" s="13" t="s">
        <v>711</v>
      </c>
      <c r="G42" s="13" t="s">
        <v>726</v>
      </c>
      <c r="H42" s="13" t="s">
        <v>469</v>
      </c>
      <c r="I42" s="13" t="s">
        <v>711</v>
      </c>
      <c r="M42" t="s">
        <v>2827</v>
      </c>
    </row>
    <row r="43" spans="1:13" ht="16.5" customHeight="1" x14ac:dyDescent="0.25">
      <c r="A43" s="6" t="s">
        <v>717</v>
      </c>
      <c r="B43" s="7" t="s">
        <v>660</v>
      </c>
      <c r="C43" s="7" t="s">
        <v>727</v>
      </c>
      <c r="D43" s="7" t="s">
        <v>716</v>
      </c>
      <c r="E43" s="7" t="s">
        <v>673</v>
      </c>
      <c r="F43" s="7" t="s">
        <v>711</v>
      </c>
      <c r="G43" s="7" t="s">
        <v>728</v>
      </c>
      <c r="H43" s="7" t="s">
        <v>469</v>
      </c>
      <c r="I43" s="7" t="s">
        <v>711</v>
      </c>
      <c r="M43" t="s">
        <v>2827</v>
      </c>
    </row>
    <row r="44" spans="1:13" ht="16.5" customHeight="1" x14ac:dyDescent="0.25">
      <c r="A44" s="12" t="s">
        <v>721</v>
      </c>
      <c r="B44" s="13" t="s">
        <v>660</v>
      </c>
      <c r="C44" s="13" t="s">
        <v>729</v>
      </c>
      <c r="D44" s="13" t="s">
        <v>662</v>
      </c>
      <c r="E44" s="13" t="s">
        <v>697</v>
      </c>
      <c r="F44" s="13" t="s">
        <v>711</v>
      </c>
      <c r="G44" s="13" t="s">
        <v>730</v>
      </c>
      <c r="H44" s="13" t="s">
        <v>469</v>
      </c>
      <c r="I44" s="13" t="s">
        <v>724</v>
      </c>
      <c r="M44" t="s">
        <v>2827</v>
      </c>
    </row>
    <row r="45" spans="1:13" ht="16.5" customHeight="1" x14ac:dyDescent="0.25">
      <c r="A45" s="6" t="s">
        <v>731</v>
      </c>
      <c r="B45" s="7" t="s">
        <v>660</v>
      </c>
      <c r="C45" s="7" t="s">
        <v>640</v>
      </c>
      <c r="D45" s="7" t="s">
        <v>662</v>
      </c>
      <c r="E45" s="7" t="s">
        <v>673</v>
      </c>
      <c r="F45" s="7" t="s">
        <v>711</v>
      </c>
      <c r="G45" s="7" t="s">
        <v>644</v>
      </c>
      <c r="H45" s="7" t="s">
        <v>469</v>
      </c>
      <c r="I45" s="7" t="s">
        <v>643</v>
      </c>
      <c r="M45" t="s">
        <v>2827</v>
      </c>
    </row>
    <row r="46" spans="1:13" ht="16.5" customHeight="1" x14ac:dyDescent="0.25">
      <c r="A46" s="12" t="s">
        <v>732</v>
      </c>
      <c r="B46" s="13" t="s">
        <v>660</v>
      </c>
      <c r="C46" s="13" t="s">
        <v>676</v>
      </c>
      <c r="D46" s="14"/>
      <c r="E46" s="14"/>
      <c r="F46" s="13" t="s">
        <v>711</v>
      </c>
      <c r="G46" s="13" t="s">
        <v>733</v>
      </c>
      <c r="H46" s="13" t="s">
        <v>469</v>
      </c>
      <c r="I46" s="13" t="s">
        <v>724</v>
      </c>
      <c r="M46" t="s">
        <v>2827</v>
      </c>
    </row>
    <row r="47" spans="1:13" ht="17.25" customHeight="1" x14ac:dyDescent="0.25">
      <c r="A47" s="6" t="s">
        <v>728</v>
      </c>
      <c r="B47" s="7" t="s">
        <v>660</v>
      </c>
      <c r="C47" s="7" t="s">
        <v>734</v>
      </c>
      <c r="D47" s="7" t="s">
        <v>716</v>
      </c>
      <c r="E47" s="7" t="s">
        <v>673</v>
      </c>
      <c r="F47" s="7" t="s">
        <v>711</v>
      </c>
      <c r="G47" s="7" t="s">
        <v>735</v>
      </c>
      <c r="H47" s="7" t="s">
        <v>469</v>
      </c>
      <c r="I47" s="7" t="s">
        <v>724</v>
      </c>
      <c r="M47" t="s">
        <v>2827</v>
      </c>
    </row>
    <row r="48" spans="1:13" ht="16.5" customHeight="1" x14ac:dyDescent="0.25">
      <c r="A48" s="12" t="s">
        <v>736</v>
      </c>
      <c r="B48" s="13" t="s">
        <v>660</v>
      </c>
      <c r="C48" s="13" t="s">
        <v>504</v>
      </c>
      <c r="D48" s="13" t="s">
        <v>662</v>
      </c>
      <c r="E48" s="13" t="s">
        <v>697</v>
      </c>
      <c r="F48" s="13" t="s">
        <v>711</v>
      </c>
      <c r="G48" s="13" t="s">
        <v>737</v>
      </c>
      <c r="H48" s="13" t="s">
        <v>469</v>
      </c>
      <c r="I48" s="13" t="s">
        <v>643</v>
      </c>
      <c r="M48" t="s">
        <v>2827</v>
      </c>
    </row>
    <row r="49" spans="1:13" ht="16.5" customHeight="1" x14ac:dyDescent="0.25">
      <c r="A49" s="6" t="s">
        <v>738</v>
      </c>
      <c r="B49" s="7" t="s">
        <v>660</v>
      </c>
      <c r="C49" s="7" t="s">
        <v>640</v>
      </c>
      <c r="D49" s="7" t="s">
        <v>662</v>
      </c>
      <c r="E49" s="7" t="s">
        <v>673</v>
      </c>
      <c r="F49" s="7" t="s">
        <v>724</v>
      </c>
      <c r="G49" s="7" t="s">
        <v>644</v>
      </c>
      <c r="H49" s="7" t="s">
        <v>469</v>
      </c>
      <c r="I49" s="7" t="s">
        <v>643</v>
      </c>
      <c r="M49" t="s">
        <v>2827</v>
      </c>
    </row>
    <row r="50" spans="1:13" ht="16.5" customHeight="1" x14ac:dyDescent="0.25">
      <c r="A50" s="12" t="s">
        <v>739</v>
      </c>
      <c r="B50" s="13" t="s">
        <v>660</v>
      </c>
      <c r="C50" s="13" t="s">
        <v>676</v>
      </c>
      <c r="D50" s="14"/>
      <c r="E50" s="14"/>
      <c r="F50" s="13" t="s">
        <v>724</v>
      </c>
      <c r="G50" s="13" t="s">
        <v>740</v>
      </c>
      <c r="H50" s="13" t="s">
        <v>469</v>
      </c>
      <c r="I50" s="13" t="s">
        <v>724</v>
      </c>
      <c r="M50" t="s">
        <v>2827</v>
      </c>
    </row>
    <row r="51" spans="1:13" ht="16.5" customHeight="1" x14ac:dyDescent="0.25">
      <c r="A51" s="6" t="s">
        <v>741</v>
      </c>
      <c r="B51" s="7" t="s">
        <v>660</v>
      </c>
      <c r="C51" s="7" t="s">
        <v>505</v>
      </c>
      <c r="D51" s="7" t="s">
        <v>662</v>
      </c>
      <c r="E51" s="7" t="s">
        <v>697</v>
      </c>
      <c r="F51" s="7" t="s">
        <v>724</v>
      </c>
      <c r="G51" s="7" t="s">
        <v>742</v>
      </c>
      <c r="H51" s="7" t="s">
        <v>469</v>
      </c>
      <c r="I51" s="7" t="s">
        <v>643</v>
      </c>
      <c r="M51" t="s">
        <v>2827</v>
      </c>
    </row>
    <row r="52" spans="1:13" ht="16.5" customHeight="1" x14ac:dyDescent="0.25">
      <c r="A52" s="12" t="s">
        <v>743</v>
      </c>
      <c r="B52" s="13" t="s">
        <v>660</v>
      </c>
      <c r="C52" s="13" t="s">
        <v>744</v>
      </c>
      <c r="D52" s="13" t="s">
        <v>662</v>
      </c>
      <c r="E52" s="13" t="s">
        <v>697</v>
      </c>
      <c r="F52" s="13" t="s">
        <v>745</v>
      </c>
      <c r="G52" s="13" t="s">
        <v>746</v>
      </c>
      <c r="H52" s="13" t="s">
        <v>469</v>
      </c>
      <c r="I52" s="13" t="s">
        <v>747</v>
      </c>
      <c r="M52" t="s">
        <v>2827</v>
      </c>
    </row>
    <row r="53" spans="1:13" ht="16.5" customHeight="1" x14ac:dyDescent="0.25">
      <c r="A53" s="6" t="s">
        <v>743</v>
      </c>
      <c r="B53" s="7" t="s">
        <v>660</v>
      </c>
      <c r="C53" s="7" t="s">
        <v>748</v>
      </c>
      <c r="D53" s="7" t="s">
        <v>662</v>
      </c>
      <c r="E53" s="7" t="s">
        <v>697</v>
      </c>
      <c r="F53" s="7" t="s">
        <v>745</v>
      </c>
      <c r="G53" s="7" t="s">
        <v>749</v>
      </c>
      <c r="H53" s="7" t="s">
        <v>469</v>
      </c>
      <c r="I53" s="7" t="s">
        <v>750</v>
      </c>
      <c r="M53" t="s">
        <v>2827</v>
      </c>
    </row>
    <row r="54" spans="1:13" ht="16.5" customHeight="1" x14ac:dyDescent="0.25">
      <c r="A54" s="12" t="s">
        <v>751</v>
      </c>
      <c r="B54" s="13" t="s">
        <v>660</v>
      </c>
      <c r="C54" s="13" t="s">
        <v>676</v>
      </c>
      <c r="D54" s="14"/>
      <c r="E54" s="14"/>
      <c r="F54" s="13" t="s">
        <v>745</v>
      </c>
      <c r="G54" s="13" t="s">
        <v>752</v>
      </c>
      <c r="H54" s="13" t="s">
        <v>469</v>
      </c>
      <c r="I54" s="13" t="s">
        <v>747</v>
      </c>
      <c r="M54" t="s">
        <v>2827</v>
      </c>
    </row>
    <row r="55" spans="1:13" ht="16.5" customHeight="1" x14ac:dyDescent="0.25">
      <c r="A55" s="6" t="s">
        <v>753</v>
      </c>
      <c r="B55" s="7" t="s">
        <v>660</v>
      </c>
      <c r="C55" s="7" t="s">
        <v>754</v>
      </c>
      <c r="D55" s="7" t="s">
        <v>716</v>
      </c>
      <c r="E55" s="7" t="s">
        <v>673</v>
      </c>
      <c r="F55" s="7" t="s">
        <v>745</v>
      </c>
      <c r="G55" s="7" t="s">
        <v>755</v>
      </c>
      <c r="H55" s="7" t="s">
        <v>469</v>
      </c>
      <c r="I55" s="7" t="s">
        <v>747</v>
      </c>
      <c r="M55" t="s">
        <v>2827</v>
      </c>
    </row>
    <row r="56" spans="1:13" ht="16.5" customHeight="1" x14ac:dyDescent="0.25">
      <c r="A56" s="12" t="s">
        <v>753</v>
      </c>
      <c r="B56" s="13" t="s">
        <v>660</v>
      </c>
      <c r="C56" s="13" t="s">
        <v>756</v>
      </c>
      <c r="D56" s="13" t="s">
        <v>716</v>
      </c>
      <c r="E56" s="13" t="s">
        <v>673</v>
      </c>
      <c r="F56" s="13" t="s">
        <v>745</v>
      </c>
      <c r="G56" s="13" t="s">
        <v>757</v>
      </c>
      <c r="H56" s="13" t="s">
        <v>469</v>
      </c>
      <c r="I56" s="13" t="s">
        <v>750</v>
      </c>
      <c r="M56" t="s">
        <v>2827</v>
      </c>
    </row>
    <row r="57" spans="1:13" ht="16.5" customHeight="1" x14ac:dyDescent="0.25">
      <c r="A57" s="6" t="s">
        <v>758</v>
      </c>
      <c r="B57" s="7" t="s">
        <v>660</v>
      </c>
      <c r="C57" s="7" t="s">
        <v>759</v>
      </c>
      <c r="D57" s="7" t="s">
        <v>662</v>
      </c>
      <c r="E57" s="7" t="s">
        <v>697</v>
      </c>
      <c r="F57" s="7" t="s">
        <v>745</v>
      </c>
      <c r="G57" s="7" t="s">
        <v>760</v>
      </c>
      <c r="H57" s="7" t="s">
        <v>469</v>
      </c>
      <c r="I57" s="7" t="s">
        <v>747</v>
      </c>
      <c r="M57" t="s">
        <v>2827</v>
      </c>
    </row>
    <row r="58" spans="1:13" ht="16.5" customHeight="1" x14ac:dyDescent="0.25">
      <c r="A58" s="12" t="s">
        <v>758</v>
      </c>
      <c r="B58" s="13" t="s">
        <v>660</v>
      </c>
      <c r="C58" s="13" t="s">
        <v>761</v>
      </c>
      <c r="D58" s="13" t="s">
        <v>662</v>
      </c>
      <c r="E58" s="13" t="s">
        <v>697</v>
      </c>
      <c r="F58" s="13" t="s">
        <v>745</v>
      </c>
      <c r="G58" s="13" t="s">
        <v>762</v>
      </c>
      <c r="H58" s="13" t="s">
        <v>469</v>
      </c>
      <c r="I58" s="13" t="s">
        <v>750</v>
      </c>
      <c r="M58" t="s">
        <v>2827</v>
      </c>
    </row>
    <row r="59" spans="1:13" ht="16.5" customHeight="1" x14ac:dyDescent="0.25">
      <c r="A59" s="6" t="s">
        <v>746</v>
      </c>
      <c r="B59" s="7" t="s">
        <v>660</v>
      </c>
      <c r="C59" s="7" t="s">
        <v>763</v>
      </c>
      <c r="D59" s="7" t="s">
        <v>662</v>
      </c>
      <c r="E59" s="7" t="s">
        <v>697</v>
      </c>
      <c r="F59" s="7" t="s">
        <v>747</v>
      </c>
      <c r="G59" s="7" t="s">
        <v>764</v>
      </c>
      <c r="H59" s="7" t="s">
        <v>469</v>
      </c>
      <c r="I59" s="7" t="s">
        <v>765</v>
      </c>
      <c r="M59" t="s">
        <v>2827</v>
      </c>
    </row>
    <row r="60" spans="1:13" ht="17.25" customHeight="1" x14ac:dyDescent="0.25">
      <c r="A60" s="12" t="s">
        <v>766</v>
      </c>
      <c r="B60" s="13" t="s">
        <v>660</v>
      </c>
      <c r="C60" s="13" t="s">
        <v>676</v>
      </c>
      <c r="D60" s="14"/>
      <c r="E60" s="14"/>
      <c r="F60" s="13" t="s">
        <v>747</v>
      </c>
      <c r="G60" s="13" t="s">
        <v>767</v>
      </c>
      <c r="H60" s="13" t="s">
        <v>469</v>
      </c>
      <c r="I60" s="13" t="s">
        <v>765</v>
      </c>
      <c r="M60" t="s">
        <v>2827</v>
      </c>
    </row>
    <row r="61" spans="1:13" ht="16.5" customHeight="1" x14ac:dyDescent="0.25">
      <c r="A61" s="6" t="s">
        <v>755</v>
      </c>
      <c r="B61" s="7" t="s">
        <v>660</v>
      </c>
      <c r="C61" s="7" t="s">
        <v>768</v>
      </c>
      <c r="D61" s="7" t="s">
        <v>716</v>
      </c>
      <c r="E61" s="7" t="s">
        <v>673</v>
      </c>
      <c r="F61" s="7" t="s">
        <v>747</v>
      </c>
      <c r="G61" s="7" t="s">
        <v>769</v>
      </c>
      <c r="H61" s="7" t="s">
        <v>469</v>
      </c>
      <c r="I61" s="7" t="s">
        <v>765</v>
      </c>
      <c r="M61" t="s">
        <v>2827</v>
      </c>
    </row>
    <row r="62" spans="1:13" ht="16.5" customHeight="1" x14ac:dyDescent="0.25">
      <c r="A62" s="12" t="s">
        <v>760</v>
      </c>
      <c r="B62" s="13" t="s">
        <v>660</v>
      </c>
      <c r="C62" s="13" t="s">
        <v>770</v>
      </c>
      <c r="D62" s="13" t="s">
        <v>662</v>
      </c>
      <c r="E62" s="13" t="s">
        <v>697</v>
      </c>
      <c r="F62" s="13" t="s">
        <v>747</v>
      </c>
      <c r="G62" s="13" t="s">
        <v>771</v>
      </c>
      <c r="H62" s="13" t="s">
        <v>469</v>
      </c>
      <c r="I62" s="13" t="s">
        <v>765</v>
      </c>
      <c r="M62" t="s">
        <v>2827</v>
      </c>
    </row>
    <row r="63" spans="1:13" ht="16.5" customHeight="1" x14ac:dyDescent="0.25">
      <c r="A63" s="6" t="s">
        <v>764</v>
      </c>
      <c r="B63" s="7" t="s">
        <v>660</v>
      </c>
      <c r="C63" s="7" t="s">
        <v>772</v>
      </c>
      <c r="D63" s="7" t="s">
        <v>662</v>
      </c>
      <c r="E63" s="7" t="s">
        <v>697</v>
      </c>
      <c r="F63" s="7" t="s">
        <v>765</v>
      </c>
      <c r="G63" s="7" t="s">
        <v>773</v>
      </c>
      <c r="H63" s="7" t="s">
        <v>469</v>
      </c>
      <c r="I63" s="7" t="s">
        <v>774</v>
      </c>
      <c r="M63" t="s">
        <v>2827</v>
      </c>
    </row>
    <row r="64" spans="1:13" ht="16.5" customHeight="1" x14ac:dyDescent="0.25">
      <c r="A64" s="12" t="s">
        <v>775</v>
      </c>
      <c r="B64" s="13" t="s">
        <v>660</v>
      </c>
      <c r="C64" s="13" t="s">
        <v>676</v>
      </c>
      <c r="D64" s="14"/>
      <c r="E64" s="14"/>
      <c r="F64" s="13" t="s">
        <v>765</v>
      </c>
      <c r="G64" s="13" t="s">
        <v>776</v>
      </c>
      <c r="H64" s="13" t="s">
        <v>469</v>
      </c>
      <c r="I64" s="13" t="s">
        <v>774</v>
      </c>
      <c r="M64" t="s">
        <v>2827</v>
      </c>
    </row>
    <row r="65" spans="1:13" ht="16.5" customHeight="1" x14ac:dyDescent="0.25">
      <c r="A65" s="6" t="s">
        <v>769</v>
      </c>
      <c r="B65" s="7" t="s">
        <v>660</v>
      </c>
      <c r="C65" s="7" t="s">
        <v>777</v>
      </c>
      <c r="D65" s="7" t="s">
        <v>716</v>
      </c>
      <c r="E65" s="7" t="s">
        <v>673</v>
      </c>
      <c r="F65" s="7" t="s">
        <v>765</v>
      </c>
      <c r="G65" s="7" t="s">
        <v>778</v>
      </c>
      <c r="H65" s="7" t="s">
        <v>469</v>
      </c>
      <c r="I65" s="7" t="s">
        <v>774</v>
      </c>
      <c r="M65" t="s">
        <v>2827</v>
      </c>
    </row>
    <row r="66" spans="1:13" ht="16.5" customHeight="1" x14ac:dyDescent="0.25">
      <c r="A66" s="12" t="s">
        <v>771</v>
      </c>
      <c r="B66" s="13" t="s">
        <v>660</v>
      </c>
      <c r="C66" s="13" t="s">
        <v>779</v>
      </c>
      <c r="D66" s="13" t="s">
        <v>662</v>
      </c>
      <c r="E66" s="13" t="s">
        <v>697</v>
      </c>
      <c r="F66" s="13" t="s">
        <v>765</v>
      </c>
      <c r="G66" s="13" t="s">
        <v>780</v>
      </c>
      <c r="H66" s="13" t="s">
        <v>469</v>
      </c>
      <c r="I66" s="13" t="s">
        <v>774</v>
      </c>
      <c r="M66" t="s">
        <v>2827</v>
      </c>
    </row>
    <row r="67" spans="1:13" ht="16.5" customHeight="1" x14ac:dyDescent="0.25">
      <c r="A67" s="6" t="s">
        <v>781</v>
      </c>
      <c r="B67" s="7" t="s">
        <v>660</v>
      </c>
      <c r="C67" s="7" t="s">
        <v>782</v>
      </c>
      <c r="D67" s="7" t="s">
        <v>662</v>
      </c>
      <c r="E67" s="7" t="s">
        <v>663</v>
      </c>
      <c r="F67" s="7" t="s">
        <v>783</v>
      </c>
      <c r="G67" s="7" t="s">
        <v>784</v>
      </c>
      <c r="H67" s="7" t="s">
        <v>469</v>
      </c>
      <c r="I67" s="7" t="s">
        <v>785</v>
      </c>
      <c r="M67" t="s">
        <v>2827</v>
      </c>
    </row>
    <row r="68" spans="1:13" ht="16.5" customHeight="1" x14ac:dyDescent="0.25">
      <c r="A68" s="12" t="s">
        <v>786</v>
      </c>
      <c r="B68" s="13" t="s">
        <v>660</v>
      </c>
      <c r="C68" s="13" t="s">
        <v>640</v>
      </c>
      <c r="D68" s="13" t="s">
        <v>662</v>
      </c>
      <c r="E68" s="13" t="s">
        <v>663</v>
      </c>
      <c r="F68" s="13" t="s">
        <v>783</v>
      </c>
      <c r="G68" s="13" t="s">
        <v>787</v>
      </c>
      <c r="H68" s="13" t="s">
        <v>469</v>
      </c>
      <c r="I68" s="13" t="s">
        <v>788</v>
      </c>
      <c r="M68" t="s">
        <v>2827</v>
      </c>
    </row>
    <row r="69" spans="1:13" ht="16.5" customHeight="1" x14ac:dyDescent="0.25">
      <c r="A69" s="6" t="s">
        <v>773</v>
      </c>
      <c r="B69" s="7" t="s">
        <v>660</v>
      </c>
      <c r="C69" s="7" t="s">
        <v>789</v>
      </c>
      <c r="D69" s="7" t="s">
        <v>662</v>
      </c>
      <c r="E69" s="7" t="s">
        <v>697</v>
      </c>
      <c r="F69" s="7" t="s">
        <v>774</v>
      </c>
      <c r="G69" s="7" t="s">
        <v>790</v>
      </c>
      <c r="H69" s="7" t="s">
        <v>469</v>
      </c>
      <c r="I69" s="7" t="s">
        <v>791</v>
      </c>
      <c r="M69" t="s">
        <v>2827</v>
      </c>
    </row>
    <row r="70" spans="1:13" ht="16.5" customHeight="1" x14ac:dyDescent="0.25">
      <c r="A70" s="12" t="s">
        <v>792</v>
      </c>
      <c r="B70" s="13" t="s">
        <v>660</v>
      </c>
      <c r="C70" s="13" t="s">
        <v>676</v>
      </c>
      <c r="D70" s="14"/>
      <c r="E70" s="14"/>
      <c r="F70" s="13" t="s">
        <v>774</v>
      </c>
      <c r="G70" s="13" t="s">
        <v>793</v>
      </c>
      <c r="H70" s="13" t="s">
        <v>469</v>
      </c>
      <c r="I70" s="13" t="s">
        <v>791</v>
      </c>
      <c r="M70" t="s">
        <v>2827</v>
      </c>
    </row>
    <row r="71" spans="1:13" ht="16.5" customHeight="1" x14ac:dyDescent="0.25">
      <c r="A71" s="6" t="s">
        <v>778</v>
      </c>
      <c r="B71" s="7" t="s">
        <v>660</v>
      </c>
      <c r="C71" s="7" t="s">
        <v>794</v>
      </c>
      <c r="D71" s="7" t="s">
        <v>716</v>
      </c>
      <c r="E71" s="7" t="s">
        <v>673</v>
      </c>
      <c r="F71" s="7" t="s">
        <v>774</v>
      </c>
      <c r="G71" s="7" t="s">
        <v>795</v>
      </c>
      <c r="H71" s="7" t="s">
        <v>469</v>
      </c>
      <c r="I71" s="7" t="s">
        <v>791</v>
      </c>
      <c r="M71" t="s">
        <v>2827</v>
      </c>
    </row>
    <row r="72" spans="1:13" ht="17.25" customHeight="1" x14ac:dyDescent="0.25">
      <c r="A72" s="12" t="s">
        <v>780</v>
      </c>
      <c r="B72" s="13" t="s">
        <v>660</v>
      </c>
      <c r="C72" s="13" t="s">
        <v>796</v>
      </c>
      <c r="D72" s="13" t="s">
        <v>662</v>
      </c>
      <c r="E72" s="13" t="s">
        <v>697</v>
      </c>
      <c r="F72" s="13" t="s">
        <v>774</v>
      </c>
      <c r="G72" s="13" t="s">
        <v>797</v>
      </c>
      <c r="H72" s="13" t="s">
        <v>469</v>
      </c>
      <c r="I72" s="13" t="s">
        <v>791</v>
      </c>
      <c r="M72" t="s">
        <v>2827</v>
      </c>
    </row>
    <row r="73" spans="1:13" ht="16.5" customHeight="1" x14ac:dyDescent="0.25">
      <c r="A73" s="6" t="s">
        <v>790</v>
      </c>
      <c r="B73" s="7" t="s">
        <v>660</v>
      </c>
      <c r="C73" s="7" t="s">
        <v>798</v>
      </c>
      <c r="D73" s="7" t="s">
        <v>662</v>
      </c>
      <c r="E73" s="7" t="s">
        <v>697</v>
      </c>
      <c r="F73" s="7" t="s">
        <v>791</v>
      </c>
      <c r="G73" s="7" t="s">
        <v>799</v>
      </c>
      <c r="H73" s="7" t="s">
        <v>469</v>
      </c>
      <c r="I73" s="7" t="s">
        <v>800</v>
      </c>
      <c r="M73" t="s">
        <v>2827</v>
      </c>
    </row>
    <row r="74" spans="1:13" ht="16.5" customHeight="1" x14ac:dyDescent="0.25">
      <c r="A74" s="12" t="s">
        <v>801</v>
      </c>
      <c r="B74" s="13" t="s">
        <v>660</v>
      </c>
      <c r="C74" s="13" t="s">
        <v>676</v>
      </c>
      <c r="D74" s="14"/>
      <c r="E74" s="14"/>
      <c r="F74" s="13" t="s">
        <v>791</v>
      </c>
      <c r="G74" s="13" t="s">
        <v>802</v>
      </c>
      <c r="H74" s="13" t="s">
        <v>469</v>
      </c>
      <c r="I74" s="13" t="s">
        <v>791</v>
      </c>
      <c r="M74" t="s">
        <v>2827</v>
      </c>
    </row>
    <row r="75" spans="1:13" ht="16.5" customHeight="1" x14ac:dyDescent="0.25">
      <c r="A75" s="6" t="s">
        <v>795</v>
      </c>
      <c r="B75" s="7" t="s">
        <v>660</v>
      </c>
      <c r="C75" s="7" t="s">
        <v>803</v>
      </c>
      <c r="D75" s="7" t="s">
        <v>716</v>
      </c>
      <c r="E75" s="7" t="s">
        <v>673</v>
      </c>
      <c r="F75" s="7" t="s">
        <v>791</v>
      </c>
      <c r="G75" s="7" t="s">
        <v>804</v>
      </c>
      <c r="H75" s="7" t="s">
        <v>469</v>
      </c>
      <c r="I75" s="7" t="s">
        <v>800</v>
      </c>
      <c r="M75" t="s">
        <v>2827</v>
      </c>
    </row>
    <row r="76" spans="1:13" ht="16.5" customHeight="1" x14ac:dyDescent="0.25">
      <c r="A76" s="12" t="s">
        <v>797</v>
      </c>
      <c r="B76" s="13" t="s">
        <v>660</v>
      </c>
      <c r="C76" s="13" t="s">
        <v>805</v>
      </c>
      <c r="D76" s="13" t="s">
        <v>662</v>
      </c>
      <c r="E76" s="13" t="s">
        <v>697</v>
      </c>
      <c r="F76" s="13" t="s">
        <v>791</v>
      </c>
      <c r="G76" s="13" t="s">
        <v>806</v>
      </c>
      <c r="H76" s="13" t="s">
        <v>469</v>
      </c>
      <c r="I76" s="13" t="s">
        <v>800</v>
      </c>
      <c r="M76" t="s">
        <v>2827</v>
      </c>
    </row>
    <row r="77" spans="1:13" ht="16.5" customHeight="1" x14ac:dyDescent="0.25">
      <c r="A77" s="6" t="s">
        <v>810</v>
      </c>
      <c r="B77" s="7" t="s">
        <v>660</v>
      </c>
      <c r="C77" s="7" t="s">
        <v>808</v>
      </c>
      <c r="D77" s="7" t="s">
        <v>662</v>
      </c>
      <c r="E77" s="7" t="s">
        <v>663</v>
      </c>
      <c r="F77" s="7" t="s">
        <v>809</v>
      </c>
      <c r="G77" s="7" t="s">
        <v>807</v>
      </c>
      <c r="H77" s="7" t="s">
        <v>469</v>
      </c>
      <c r="I77" s="7" t="s">
        <v>811</v>
      </c>
      <c r="M77" t="s">
        <v>2827</v>
      </c>
    </row>
    <row r="78" spans="1:13" ht="16.5" customHeight="1" x14ac:dyDescent="0.25">
      <c r="A78" s="12" t="s">
        <v>815</v>
      </c>
      <c r="B78" s="13" t="s">
        <v>660</v>
      </c>
      <c r="C78" s="13" t="s">
        <v>813</v>
      </c>
      <c r="D78" s="13" t="s">
        <v>662</v>
      </c>
      <c r="E78" s="13" t="s">
        <v>663</v>
      </c>
      <c r="F78" s="13" t="s">
        <v>814</v>
      </c>
      <c r="G78" s="13" t="s">
        <v>812</v>
      </c>
      <c r="H78" s="13" t="s">
        <v>469</v>
      </c>
      <c r="I78" s="13" t="s">
        <v>816</v>
      </c>
      <c r="M78" t="s">
        <v>2827</v>
      </c>
    </row>
    <row r="79" spans="1:13" ht="16.5" customHeight="1" x14ac:dyDescent="0.25">
      <c r="A79" s="6" t="s">
        <v>819</v>
      </c>
      <c r="B79" s="7" t="s">
        <v>660</v>
      </c>
      <c r="C79" s="7" t="s">
        <v>818</v>
      </c>
      <c r="D79" s="7" t="s">
        <v>662</v>
      </c>
      <c r="E79" s="7" t="s">
        <v>663</v>
      </c>
      <c r="F79" s="7" t="s">
        <v>683</v>
      </c>
      <c r="G79" s="7" t="s">
        <v>817</v>
      </c>
      <c r="H79" s="7" t="s">
        <v>469</v>
      </c>
      <c r="I79" s="7" t="s">
        <v>685</v>
      </c>
      <c r="M79" t="s">
        <v>2827</v>
      </c>
    </row>
    <row r="80" spans="1:13" ht="16.5" customHeight="1" x14ac:dyDescent="0.25">
      <c r="A80" s="12" t="s">
        <v>823</v>
      </c>
      <c r="B80" s="13" t="s">
        <v>660</v>
      </c>
      <c r="C80" s="13" t="s">
        <v>821</v>
      </c>
      <c r="D80" s="13" t="s">
        <v>662</v>
      </c>
      <c r="E80" s="13" t="s">
        <v>663</v>
      </c>
      <c r="F80" s="13" t="s">
        <v>822</v>
      </c>
      <c r="G80" s="13" t="s">
        <v>820</v>
      </c>
      <c r="H80" s="13" t="s">
        <v>469</v>
      </c>
      <c r="I80" s="13" t="s">
        <v>824</v>
      </c>
      <c r="M80" t="s">
        <v>2827</v>
      </c>
    </row>
    <row r="81" spans="1:13" ht="16.5" customHeight="1" x14ac:dyDescent="0.25">
      <c r="A81" s="6" t="s">
        <v>828</v>
      </c>
      <c r="B81" s="7" t="s">
        <v>660</v>
      </c>
      <c r="C81" s="7" t="s">
        <v>826</v>
      </c>
      <c r="D81" s="7" t="s">
        <v>662</v>
      </c>
      <c r="E81" s="7" t="s">
        <v>663</v>
      </c>
      <c r="F81" s="7" t="s">
        <v>827</v>
      </c>
      <c r="G81" s="7" t="s">
        <v>825</v>
      </c>
      <c r="H81" s="7" t="s">
        <v>469</v>
      </c>
      <c r="I81" s="7" t="s">
        <v>827</v>
      </c>
      <c r="M81" t="s">
        <v>2827</v>
      </c>
    </row>
    <row r="82" spans="1:13" ht="16.5" customHeight="1" x14ac:dyDescent="0.25">
      <c r="A82" s="12" t="s">
        <v>829</v>
      </c>
      <c r="B82" s="13" t="s">
        <v>660</v>
      </c>
      <c r="C82" s="13" t="s">
        <v>830</v>
      </c>
      <c r="D82" s="13" t="s">
        <v>662</v>
      </c>
      <c r="E82" s="13" t="s">
        <v>663</v>
      </c>
      <c r="F82" s="13" t="s">
        <v>831</v>
      </c>
      <c r="G82" s="13" t="s">
        <v>832</v>
      </c>
      <c r="H82" s="13" t="s">
        <v>469</v>
      </c>
      <c r="I82" s="13" t="s">
        <v>833</v>
      </c>
      <c r="M82" t="s">
        <v>2827</v>
      </c>
    </row>
    <row r="83" spans="1:13" ht="16.5" customHeight="1" x14ac:dyDescent="0.25">
      <c r="A83" s="6" t="s">
        <v>834</v>
      </c>
      <c r="B83" s="7" t="s">
        <v>660</v>
      </c>
      <c r="C83" s="7" t="s">
        <v>835</v>
      </c>
      <c r="D83" s="7" t="s">
        <v>662</v>
      </c>
      <c r="E83" s="7" t="s">
        <v>663</v>
      </c>
      <c r="F83" s="7" t="s">
        <v>831</v>
      </c>
      <c r="G83" s="7" t="s">
        <v>836</v>
      </c>
      <c r="H83" s="7" t="s">
        <v>469</v>
      </c>
      <c r="I83" s="7" t="s">
        <v>837</v>
      </c>
      <c r="M83" t="s">
        <v>2827</v>
      </c>
    </row>
    <row r="84" spans="1:13" ht="16.5" customHeight="1" x14ac:dyDescent="0.25">
      <c r="A84" s="12" t="s">
        <v>840</v>
      </c>
      <c r="B84" s="13" t="s">
        <v>660</v>
      </c>
      <c r="C84" s="13" t="s">
        <v>839</v>
      </c>
      <c r="D84" s="13" t="s">
        <v>662</v>
      </c>
      <c r="E84" s="13" t="s">
        <v>663</v>
      </c>
      <c r="F84" s="13" t="s">
        <v>683</v>
      </c>
      <c r="G84" s="13" t="s">
        <v>838</v>
      </c>
      <c r="H84" s="13" t="s">
        <v>469</v>
      </c>
      <c r="I84" s="13" t="s">
        <v>685</v>
      </c>
      <c r="M84" t="s">
        <v>2827</v>
      </c>
    </row>
    <row r="85" spans="1:13" ht="17.25" customHeight="1" x14ac:dyDescent="0.25">
      <c r="A85" s="6" t="s">
        <v>843</v>
      </c>
      <c r="B85" s="7" t="s">
        <v>660</v>
      </c>
      <c r="C85" s="7" t="s">
        <v>842</v>
      </c>
      <c r="D85" s="7" t="s">
        <v>662</v>
      </c>
      <c r="E85" s="7" t="s">
        <v>663</v>
      </c>
      <c r="F85" s="7" t="s">
        <v>822</v>
      </c>
      <c r="G85" s="7" t="s">
        <v>841</v>
      </c>
      <c r="H85" s="7" t="s">
        <v>469</v>
      </c>
      <c r="I85" s="7" t="s">
        <v>824</v>
      </c>
      <c r="M85" t="s">
        <v>2827</v>
      </c>
    </row>
    <row r="86" spans="1:13" ht="16.5" customHeight="1" x14ac:dyDescent="0.25">
      <c r="A86" s="12" t="s">
        <v>846</v>
      </c>
      <c r="B86" s="13" t="s">
        <v>660</v>
      </c>
      <c r="C86" s="13" t="s">
        <v>845</v>
      </c>
      <c r="D86" s="13" t="s">
        <v>662</v>
      </c>
      <c r="E86" s="13" t="s">
        <v>663</v>
      </c>
      <c r="F86" s="13" t="s">
        <v>827</v>
      </c>
      <c r="G86" s="13" t="s">
        <v>844</v>
      </c>
      <c r="H86" s="13" t="s">
        <v>469</v>
      </c>
      <c r="I86" s="13" t="s">
        <v>827</v>
      </c>
      <c r="M86" t="s">
        <v>2827</v>
      </c>
    </row>
    <row r="87" spans="1:13" ht="16.5" customHeight="1" x14ac:dyDescent="0.25">
      <c r="A87" s="6" t="s">
        <v>850</v>
      </c>
      <c r="B87" s="7" t="s">
        <v>660</v>
      </c>
      <c r="C87" s="7" t="s">
        <v>848</v>
      </c>
      <c r="D87" s="7" t="s">
        <v>662</v>
      </c>
      <c r="E87" s="7" t="s">
        <v>663</v>
      </c>
      <c r="F87" s="7" t="s">
        <v>849</v>
      </c>
      <c r="G87" s="7" t="s">
        <v>847</v>
      </c>
      <c r="H87" s="7" t="s">
        <v>469</v>
      </c>
      <c r="I87" s="7" t="s">
        <v>851</v>
      </c>
      <c r="M87" t="s">
        <v>2827</v>
      </c>
    </row>
    <row r="88" spans="1:13" ht="16.5" customHeight="1" x14ac:dyDescent="0.25">
      <c r="A88" s="12" t="s">
        <v>852</v>
      </c>
      <c r="B88" s="13" t="s">
        <v>660</v>
      </c>
      <c r="C88" s="13" t="s">
        <v>640</v>
      </c>
      <c r="D88" s="13" t="s">
        <v>662</v>
      </c>
      <c r="E88" s="13" t="s">
        <v>673</v>
      </c>
      <c r="F88" s="13" t="s">
        <v>791</v>
      </c>
      <c r="G88" s="13" t="s">
        <v>853</v>
      </c>
      <c r="H88" s="13" t="s">
        <v>469</v>
      </c>
      <c r="I88" s="13" t="s">
        <v>854</v>
      </c>
      <c r="M88" t="s">
        <v>2827</v>
      </c>
    </row>
    <row r="89" spans="1:13" ht="16.5" customHeight="1" x14ac:dyDescent="0.25">
      <c r="A89" s="6" t="s">
        <v>855</v>
      </c>
      <c r="B89" s="7" t="s">
        <v>660</v>
      </c>
      <c r="C89" s="7" t="s">
        <v>676</v>
      </c>
      <c r="D89" s="5"/>
      <c r="E89" s="5"/>
      <c r="F89" s="7" t="s">
        <v>791</v>
      </c>
      <c r="G89" s="7" t="s">
        <v>856</v>
      </c>
      <c r="H89" s="7" t="s">
        <v>469</v>
      </c>
      <c r="I89" s="7" t="s">
        <v>800</v>
      </c>
      <c r="M89" t="s">
        <v>2827</v>
      </c>
    </row>
    <row r="90" spans="1:13" ht="16.5" customHeight="1" x14ac:dyDescent="0.25">
      <c r="A90" s="12" t="s">
        <v>857</v>
      </c>
      <c r="B90" s="13" t="s">
        <v>660</v>
      </c>
      <c r="C90" s="13" t="s">
        <v>507</v>
      </c>
      <c r="D90" s="13" t="s">
        <v>662</v>
      </c>
      <c r="E90" s="13" t="s">
        <v>697</v>
      </c>
      <c r="F90" s="13" t="s">
        <v>791</v>
      </c>
      <c r="G90" s="13" t="s">
        <v>858</v>
      </c>
      <c r="H90" s="13" t="s">
        <v>469</v>
      </c>
      <c r="I90" s="13" t="s">
        <v>854</v>
      </c>
      <c r="M90" t="s">
        <v>2827</v>
      </c>
    </row>
    <row r="91" spans="1:13" ht="16.5" customHeight="1" x14ac:dyDescent="0.25">
      <c r="A91" s="6" t="s">
        <v>859</v>
      </c>
      <c r="B91" s="7" t="s">
        <v>660</v>
      </c>
      <c r="C91" s="7" t="s">
        <v>860</v>
      </c>
      <c r="D91" s="7" t="s">
        <v>641</v>
      </c>
      <c r="E91" s="7" t="s">
        <v>861</v>
      </c>
      <c r="F91" s="7" t="s">
        <v>862</v>
      </c>
      <c r="G91" s="7" t="s">
        <v>863</v>
      </c>
      <c r="H91" s="7" t="s">
        <v>469</v>
      </c>
      <c r="I91" s="7" t="s">
        <v>862</v>
      </c>
      <c r="M91" t="s">
        <v>2827</v>
      </c>
    </row>
    <row r="92" spans="1:13" ht="16.5" customHeight="1" x14ac:dyDescent="0.25">
      <c r="A92" s="12" t="s">
        <v>863</v>
      </c>
      <c r="B92" s="13" t="s">
        <v>660</v>
      </c>
      <c r="C92" s="13" t="s">
        <v>864</v>
      </c>
      <c r="D92" s="13" t="s">
        <v>865</v>
      </c>
      <c r="E92" s="13" t="s">
        <v>663</v>
      </c>
      <c r="F92" s="13" t="s">
        <v>862</v>
      </c>
      <c r="G92" s="13" t="s">
        <v>866</v>
      </c>
      <c r="H92" s="13" t="s">
        <v>469</v>
      </c>
      <c r="I92" s="13" t="s">
        <v>862</v>
      </c>
      <c r="M92" t="s">
        <v>2827</v>
      </c>
    </row>
    <row r="93" spans="1:13" ht="16.5" customHeight="1" x14ac:dyDescent="0.25">
      <c r="A93" s="6" t="s">
        <v>701</v>
      </c>
      <c r="B93" s="7" t="s">
        <v>660</v>
      </c>
      <c r="C93" s="7" t="s">
        <v>640</v>
      </c>
      <c r="D93" s="7" t="s">
        <v>662</v>
      </c>
      <c r="E93" s="7" t="s">
        <v>673</v>
      </c>
      <c r="F93" s="7" t="s">
        <v>674</v>
      </c>
      <c r="G93" s="7" t="s">
        <v>638</v>
      </c>
      <c r="H93" s="7" t="s">
        <v>469</v>
      </c>
      <c r="I93" s="7" t="s">
        <v>643</v>
      </c>
      <c r="M93" t="s">
        <v>2827</v>
      </c>
    </row>
    <row r="94" spans="1:13" ht="16.5" customHeight="1" x14ac:dyDescent="0.25">
      <c r="A94" s="12" t="s">
        <v>719</v>
      </c>
      <c r="B94" s="13" t="s">
        <v>660</v>
      </c>
      <c r="C94" s="13" t="s">
        <v>718</v>
      </c>
      <c r="D94" s="13" t="s">
        <v>716</v>
      </c>
      <c r="E94" s="13" t="s">
        <v>673</v>
      </c>
      <c r="F94" s="13" t="s">
        <v>674</v>
      </c>
      <c r="G94" s="13" t="s">
        <v>867</v>
      </c>
      <c r="H94" s="13" t="s">
        <v>469</v>
      </c>
      <c r="I94" s="13" t="s">
        <v>868</v>
      </c>
      <c r="M94" t="s">
        <v>2827</v>
      </c>
    </row>
    <row r="95" spans="1:13" ht="16.5" customHeight="1" x14ac:dyDescent="0.25">
      <c r="A95" s="6" t="s">
        <v>708</v>
      </c>
      <c r="B95" s="7" t="s">
        <v>660</v>
      </c>
      <c r="C95" s="7" t="s">
        <v>501</v>
      </c>
      <c r="D95" s="7" t="s">
        <v>662</v>
      </c>
      <c r="E95" s="7" t="s">
        <v>673</v>
      </c>
      <c r="F95" s="7" t="s">
        <v>674</v>
      </c>
      <c r="G95" s="7" t="s">
        <v>869</v>
      </c>
      <c r="H95" s="7" t="s">
        <v>469</v>
      </c>
      <c r="I95" s="7" t="s">
        <v>870</v>
      </c>
      <c r="M95" t="s">
        <v>2827</v>
      </c>
    </row>
    <row r="96" spans="1:13" ht="16.5" customHeight="1" x14ac:dyDescent="0.25">
      <c r="A96" s="12" t="s">
        <v>749</v>
      </c>
      <c r="B96" s="13" t="s">
        <v>660</v>
      </c>
      <c r="C96" s="13" t="s">
        <v>640</v>
      </c>
      <c r="D96" s="13" t="s">
        <v>662</v>
      </c>
      <c r="E96" s="13" t="s">
        <v>673</v>
      </c>
      <c r="F96" s="13" t="s">
        <v>750</v>
      </c>
      <c r="G96" s="13" t="s">
        <v>853</v>
      </c>
      <c r="H96" s="13" t="s">
        <v>469</v>
      </c>
      <c r="I96" s="13" t="s">
        <v>854</v>
      </c>
      <c r="M96" t="s">
        <v>2827</v>
      </c>
    </row>
    <row r="97" spans="1:13" ht="17.25" customHeight="1" x14ac:dyDescent="0.25">
      <c r="A97" s="6" t="s">
        <v>757</v>
      </c>
      <c r="B97" s="7" t="s">
        <v>660</v>
      </c>
      <c r="C97" s="7" t="s">
        <v>756</v>
      </c>
      <c r="D97" s="7" t="s">
        <v>716</v>
      </c>
      <c r="E97" s="7" t="s">
        <v>673</v>
      </c>
      <c r="F97" s="7" t="s">
        <v>750</v>
      </c>
      <c r="G97" s="7" t="s">
        <v>871</v>
      </c>
      <c r="H97" s="7" t="s">
        <v>469</v>
      </c>
      <c r="I97" s="7" t="s">
        <v>745</v>
      </c>
      <c r="M97" t="s">
        <v>2827</v>
      </c>
    </row>
    <row r="98" spans="1:13" ht="16.5" customHeight="1" x14ac:dyDescent="0.25">
      <c r="A98" s="12" t="s">
        <v>762</v>
      </c>
      <c r="B98" s="13" t="s">
        <v>660</v>
      </c>
      <c r="C98" s="13" t="s">
        <v>506</v>
      </c>
      <c r="D98" s="13" t="s">
        <v>662</v>
      </c>
      <c r="E98" s="13" t="s">
        <v>697</v>
      </c>
      <c r="F98" s="13" t="s">
        <v>750</v>
      </c>
      <c r="G98" s="13" t="s">
        <v>872</v>
      </c>
      <c r="H98" s="13" t="s">
        <v>469</v>
      </c>
      <c r="I98" s="13" t="s">
        <v>854</v>
      </c>
      <c r="M98" t="s">
        <v>2827</v>
      </c>
    </row>
    <row r="99" spans="1:13" ht="16.5" customHeight="1" x14ac:dyDescent="0.25">
      <c r="A99" s="6" t="s">
        <v>873</v>
      </c>
      <c r="B99" s="7" t="s">
        <v>660</v>
      </c>
      <c r="C99" s="7" t="s">
        <v>640</v>
      </c>
      <c r="D99" s="7" t="s">
        <v>662</v>
      </c>
      <c r="E99" s="7" t="s">
        <v>697</v>
      </c>
      <c r="F99" s="7" t="s">
        <v>874</v>
      </c>
      <c r="G99" s="7" t="s">
        <v>875</v>
      </c>
      <c r="H99" s="7" t="s">
        <v>469</v>
      </c>
      <c r="I99" s="7" t="s">
        <v>876</v>
      </c>
      <c r="M99" t="s">
        <v>2827</v>
      </c>
    </row>
    <row r="100" spans="1:13" ht="16.5" customHeight="1" x14ac:dyDescent="0.25">
      <c r="A100" s="12" t="s">
        <v>877</v>
      </c>
      <c r="B100" s="13" t="s">
        <v>660</v>
      </c>
      <c r="C100" s="13" t="s">
        <v>500</v>
      </c>
      <c r="D100" s="13" t="s">
        <v>662</v>
      </c>
      <c r="E100" s="13" t="s">
        <v>697</v>
      </c>
      <c r="F100" s="13" t="s">
        <v>874</v>
      </c>
      <c r="G100" s="13" t="s">
        <v>878</v>
      </c>
      <c r="H100" s="13" t="s">
        <v>469</v>
      </c>
      <c r="I100" s="13" t="s">
        <v>876</v>
      </c>
      <c r="M100" t="s">
        <v>2827</v>
      </c>
    </row>
    <row r="101" spans="1:13" ht="16.5" customHeight="1" x14ac:dyDescent="0.25">
      <c r="A101" s="6" t="s">
        <v>879</v>
      </c>
      <c r="B101" s="7" t="s">
        <v>660</v>
      </c>
      <c r="C101" s="7" t="s">
        <v>880</v>
      </c>
      <c r="D101" s="7" t="s">
        <v>662</v>
      </c>
      <c r="E101" s="7" t="s">
        <v>697</v>
      </c>
      <c r="F101" s="7" t="s">
        <v>881</v>
      </c>
      <c r="G101" s="7" t="s">
        <v>882</v>
      </c>
      <c r="H101" s="7" t="s">
        <v>469</v>
      </c>
      <c r="I101" s="7" t="s">
        <v>883</v>
      </c>
      <c r="M101" t="s">
        <v>2827</v>
      </c>
    </row>
    <row r="102" spans="1:13" ht="16.5" customHeight="1" x14ac:dyDescent="0.25">
      <c r="A102" s="12" t="s">
        <v>884</v>
      </c>
      <c r="B102" s="13" t="s">
        <v>660</v>
      </c>
      <c r="C102" s="13" t="s">
        <v>885</v>
      </c>
      <c r="D102" s="13" t="s">
        <v>662</v>
      </c>
      <c r="E102" s="13" t="s">
        <v>697</v>
      </c>
      <c r="F102" s="13" t="s">
        <v>881</v>
      </c>
      <c r="G102" s="13" t="s">
        <v>886</v>
      </c>
      <c r="H102" s="13" t="s">
        <v>469</v>
      </c>
      <c r="I102" s="13" t="s">
        <v>887</v>
      </c>
      <c r="M102" t="s">
        <v>2827</v>
      </c>
    </row>
    <row r="103" spans="1:13" ht="16.5" customHeight="1" x14ac:dyDescent="0.25">
      <c r="A103" s="6" t="s">
        <v>888</v>
      </c>
      <c r="B103" s="7" t="s">
        <v>660</v>
      </c>
      <c r="C103" s="7" t="s">
        <v>508</v>
      </c>
      <c r="D103" s="7" t="s">
        <v>662</v>
      </c>
      <c r="E103" s="7" t="s">
        <v>697</v>
      </c>
      <c r="F103" s="7" t="s">
        <v>876</v>
      </c>
      <c r="G103" s="7" t="s">
        <v>889</v>
      </c>
      <c r="H103" s="7" t="s">
        <v>469</v>
      </c>
      <c r="I103" s="7" t="s">
        <v>876</v>
      </c>
      <c r="M103" t="s">
        <v>2827</v>
      </c>
    </row>
    <row r="104" spans="1:13" ht="16.5" customHeight="1" x14ac:dyDescent="0.25">
      <c r="A104" s="12" t="s">
        <v>890</v>
      </c>
      <c r="B104" s="13" t="s">
        <v>660</v>
      </c>
      <c r="C104" s="13" t="s">
        <v>508</v>
      </c>
      <c r="D104" s="13" t="s">
        <v>662</v>
      </c>
      <c r="E104" s="13" t="s">
        <v>673</v>
      </c>
      <c r="F104" s="13" t="s">
        <v>870</v>
      </c>
      <c r="G104" s="13" t="s">
        <v>645</v>
      </c>
      <c r="H104" s="13" t="s">
        <v>469</v>
      </c>
      <c r="I104" s="13" t="s">
        <v>646</v>
      </c>
      <c r="M104" t="s">
        <v>2827</v>
      </c>
    </row>
    <row r="105" spans="1:13" ht="16.5" customHeight="1" x14ac:dyDescent="0.25">
      <c r="A105" s="6" t="s">
        <v>890</v>
      </c>
      <c r="B105" s="7" t="s">
        <v>660</v>
      </c>
      <c r="C105" s="7" t="s">
        <v>508</v>
      </c>
      <c r="D105" s="7" t="s">
        <v>662</v>
      </c>
      <c r="E105" s="7" t="s">
        <v>673</v>
      </c>
      <c r="F105" s="7" t="s">
        <v>870</v>
      </c>
      <c r="G105" s="7" t="s">
        <v>891</v>
      </c>
      <c r="H105" s="7" t="s">
        <v>469</v>
      </c>
      <c r="I105" s="7" t="s">
        <v>643</v>
      </c>
      <c r="M105" t="s">
        <v>2827</v>
      </c>
    </row>
    <row r="106" spans="1:13" ht="16.5" customHeight="1" x14ac:dyDescent="0.25">
      <c r="A106" s="12" t="s">
        <v>891</v>
      </c>
      <c r="B106" s="13" t="s">
        <v>660</v>
      </c>
      <c r="C106" s="13" t="s">
        <v>508</v>
      </c>
      <c r="D106" s="13" t="s">
        <v>662</v>
      </c>
      <c r="E106" s="13" t="s">
        <v>673</v>
      </c>
      <c r="F106" s="13" t="s">
        <v>643</v>
      </c>
      <c r="G106" s="13" t="s">
        <v>892</v>
      </c>
      <c r="H106" s="13" t="s">
        <v>469</v>
      </c>
      <c r="I106" s="13" t="s">
        <v>643</v>
      </c>
      <c r="M106" t="s">
        <v>2827</v>
      </c>
    </row>
    <row r="107" spans="1:13" ht="16.5" customHeight="1" x14ac:dyDescent="0.25">
      <c r="A107" s="6" t="s">
        <v>892</v>
      </c>
      <c r="B107" s="7" t="s">
        <v>660</v>
      </c>
      <c r="C107" s="7" t="s">
        <v>508</v>
      </c>
      <c r="D107" s="7" t="s">
        <v>662</v>
      </c>
      <c r="E107" s="7" t="s">
        <v>673</v>
      </c>
      <c r="F107" s="7" t="s">
        <v>643</v>
      </c>
      <c r="G107" s="7" t="s">
        <v>893</v>
      </c>
      <c r="H107" s="7" t="s">
        <v>469</v>
      </c>
      <c r="I107" s="7" t="s">
        <v>643</v>
      </c>
      <c r="M107" t="s">
        <v>2827</v>
      </c>
    </row>
    <row r="108" spans="1:13" ht="16.5" customHeight="1" x14ac:dyDescent="0.25">
      <c r="A108" s="12" t="s">
        <v>893</v>
      </c>
      <c r="B108" s="13" t="s">
        <v>660</v>
      </c>
      <c r="C108" s="13" t="s">
        <v>508</v>
      </c>
      <c r="D108" s="13" t="s">
        <v>662</v>
      </c>
      <c r="E108" s="13" t="s">
        <v>673</v>
      </c>
      <c r="F108" s="13" t="s">
        <v>643</v>
      </c>
      <c r="G108" s="13" t="s">
        <v>894</v>
      </c>
      <c r="H108" s="13" t="s">
        <v>469</v>
      </c>
      <c r="I108" s="13" t="s">
        <v>643</v>
      </c>
      <c r="M108" t="s">
        <v>2827</v>
      </c>
    </row>
    <row r="109" spans="1:13" ht="16.5" customHeight="1" x14ac:dyDescent="0.25">
      <c r="A109" s="6" t="s">
        <v>895</v>
      </c>
      <c r="B109" s="7" t="s">
        <v>660</v>
      </c>
      <c r="C109" s="7" t="s">
        <v>508</v>
      </c>
      <c r="D109" s="7" t="s">
        <v>662</v>
      </c>
      <c r="E109" s="7" t="s">
        <v>673</v>
      </c>
      <c r="F109" s="7" t="s">
        <v>854</v>
      </c>
      <c r="G109" s="7" t="s">
        <v>647</v>
      </c>
      <c r="H109" s="7" t="s">
        <v>469</v>
      </c>
      <c r="I109" s="7" t="s">
        <v>646</v>
      </c>
      <c r="M109" t="s">
        <v>2827</v>
      </c>
    </row>
    <row r="110" spans="1:13" ht="17.25" customHeight="1" x14ac:dyDescent="0.25">
      <c r="A110" s="12" t="s">
        <v>895</v>
      </c>
      <c r="B110" s="13" t="s">
        <v>660</v>
      </c>
      <c r="C110" s="13" t="s">
        <v>508</v>
      </c>
      <c r="D110" s="13" t="s">
        <v>662</v>
      </c>
      <c r="E110" s="13" t="s">
        <v>673</v>
      </c>
      <c r="F110" s="13" t="s">
        <v>854</v>
      </c>
      <c r="G110" s="13" t="s">
        <v>896</v>
      </c>
      <c r="H110" s="13" t="s">
        <v>469</v>
      </c>
      <c r="I110" s="13" t="s">
        <v>854</v>
      </c>
      <c r="M110" t="s">
        <v>2827</v>
      </c>
    </row>
    <row r="111" spans="1:13" ht="16.5" customHeight="1" x14ac:dyDescent="0.25">
      <c r="A111" s="6" t="s">
        <v>897</v>
      </c>
      <c r="B111" s="7" t="s">
        <v>660</v>
      </c>
      <c r="C111" s="7" t="s">
        <v>508</v>
      </c>
      <c r="D111" s="7" t="s">
        <v>662</v>
      </c>
      <c r="E111" s="7" t="s">
        <v>898</v>
      </c>
      <c r="F111" s="7" t="s">
        <v>646</v>
      </c>
      <c r="G111" s="7" t="s">
        <v>645</v>
      </c>
      <c r="H111" s="7" t="s">
        <v>469</v>
      </c>
      <c r="I111" s="7" t="s">
        <v>646</v>
      </c>
      <c r="M111" t="s">
        <v>2827</v>
      </c>
    </row>
    <row r="112" spans="1:13" ht="16.5" customHeight="1" x14ac:dyDescent="0.25">
      <c r="A112" s="12" t="s">
        <v>901</v>
      </c>
      <c r="B112" s="13" t="s">
        <v>660</v>
      </c>
      <c r="C112" s="13" t="s">
        <v>509</v>
      </c>
      <c r="D112" s="13" t="s">
        <v>662</v>
      </c>
      <c r="E112" s="13" t="s">
        <v>673</v>
      </c>
      <c r="F112" s="13" t="s">
        <v>900</v>
      </c>
      <c r="G112" s="13" t="s">
        <v>899</v>
      </c>
      <c r="H112" s="13" t="s">
        <v>469</v>
      </c>
      <c r="I112" s="13" t="s">
        <v>902</v>
      </c>
      <c r="M112" t="s">
        <v>2827</v>
      </c>
    </row>
    <row r="113" spans="1:13" ht="16.5" customHeight="1" x14ac:dyDescent="0.25">
      <c r="A113" s="6" t="s">
        <v>905</v>
      </c>
      <c r="B113" s="7" t="s">
        <v>660</v>
      </c>
      <c r="C113" s="7" t="s">
        <v>510</v>
      </c>
      <c r="D113" s="7" t="s">
        <v>662</v>
      </c>
      <c r="E113" s="7" t="s">
        <v>697</v>
      </c>
      <c r="F113" s="7" t="s">
        <v>904</v>
      </c>
      <c r="G113" s="7" t="s">
        <v>903</v>
      </c>
      <c r="H113" s="7" t="s">
        <v>469</v>
      </c>
      <c r="I113" s="7" t="s">
        <v>906</v>
      </c>
      <c r="M113" t="s">
        <v>2827</v>
      </c>
    </row>
    <row r="114" spans="1:13" ht="16.5" customHeight="1" x14ac:dyDescent="0.25">
      <c r="A114" s="12" t="s">
        <v>903</v>
      </c>
      <c r="B114" s="13" t="s">
        <v>660</v>
      </c>
      <c r="C114" s="13" t="s">
        <v>510</v>
      </c>
      <c r="D114" s="13" t="s">
        <v>662</v>
      </c>
      <c r="E114" s="13" t="s">
        <v>697</v>
      </c>
      <c r="F114" s="13" t="s">
        <v>904</v>
      </c>
      <c r="G114" s="13" t="s">
        <v>907</v>
      </c>
      <c r="H114" s="13" t="s">
        <v>469</v>
      </c>
      <c r="I114" s="13" t="s">
        <v>908</v>
      </c>
      <c r="M114" t="s">
        <v>2827</v>
      </c>
    </row>
    <row r="115" spans="1:13" ht="16.5" customHeight="1" x14ac:dyDescent="0.25">
      <c r="A115" s="6" t="s">
        <v>909</v>
      </c>
      <c r="B115" s="7" t="s">
        <v>660</v>
      </c>
      <c r="C115" s="7" t="s">
        <v>508</v>
      </c>
      <c r="D115" s="7" t="s">
        <v>662</v>
      </c>
      <c r="E115" s="7" t="s">
        <v>673</v>
      </c>
      <c r="F115" s="7" t="s">
        <v>904</v>
      </c>
      <c r="G115" s="7" t="s">
        <v>645</v>
      </c>
      <c r="H115" s="7" t="s">
        <v>469</v>
      </c>
      <c r="I115" s="7" t="s">
        <v>646</v>
      </c>
      <c r="M115" t="s">
        <v>2827</v>
      </c>
    </row>
    <row r="116" spans="1:13" ht="16.5" customHeight="1" x14ac:dyDescent="0.25">
      <c r="A116" s="12" t="s">
        <v>910</v>
      </c>
      <c r="B116" s="13" t="s">
        <v>660</v>
      </c>
      <c r="C116" s="13" t="s">
        <v>911</v>
      </c>
      <c r="D116" s="13" t="s">
        <v>662</v>
      </c>
      <c r="E116" s="13" t="s">
        <v>673</v>
      </c>
      <c r="F116" s="13" t="s">
        <v>883</v>
      </c>
      <c r="G116" s="13" t="s">
        <v>912</v>
      </c>
      <c r="H116" s="13" t="s">
        <v>469</v>
      </c>
      <c r="I116" s="13" t="s">
        <v>883</v>
      </c>
      <c r="M116" t="s">
        <v>2827</v>
      </c>
    </row>
    <row r="117" spans="1:13" ht="16.5" customHeight="1" x14ac:dyDescent="0.25">
      <c r="A117" s="6" t="s">
        <v>913</v>
      </c>
      <c r="B117" s="7" t="s">
        <v>660</v>
      </c>
      <c r="C117" s="7" t="s">
        <v>388</v>
      </c>
      <c r="D117" s="7" t="s">
        <v>662</v>
      </c>
      <c r="E117" s="7" t="s">
        <v>673</v>
      </c>
      <c r="F117" s="7" t="s">
        <v>883</v>
      </c>
      <c r="G117" s="7" t="s">
        <v>914</v>
      </c>
      <c r="H117" s="7" t="s">
        <v>469</v>
      </c>
      <c r="I117" s="7" t="s">
        <v>915</v>
      </c>
      <c r="M117" t="s">
        <v>2827</v>
      </c>
    </row>
    <row r="118" spans="1:13" ht="16.5" customHeight="1" x14ac:dyDescent="0.25">
      <c r="A118" s="12" t="s">
        <v>916</v>
      </c>
      <c r="B118" s="13" t="s">
        <v>660</v>
      </c>
      <c r="C118" s="13" t="s">
        <v>917</v>
      </c>
      <c r="D118" s="13" t="s">
        <v>662</v>
      </c>
      <c r="E118" s="13" t="s">
        <v>697</v>
      </c>
      <c r="F118" s="13" t="s">
        <v>887</v>
      </c>
      <c r="G118" s="13" t="s">
        <v>918</v>
      </c>
      <c r="H118" s="13" t="s">
        <v>469</v>
      </c>
      <c r="I118" s="13" t="s">
        <v>883</v>
      </c>
      <c r="M118" t="s">
        <v>2827</v>
      </c>
    </row>
    <row r="119" spans="1:13" ht="16.5" customHeight="1" x14ac:dyDescent="0.25">
      <c r="A119" s="6" t="s">
        <v>919</v>
      </c>
      <c r="B119" s="7" t="s">
        <v>660</v>
      </c>
      <c r="C119" s="7" t="s">
        <v>920</v>
      </c>
      <c r="D119" s="7" t="s">
        <v>716</v>
      </c>
      <c r="E119" s="7" t="s">
        <v>673</v>
      </c>
      <c r="F119" s="7" t="s">
        <v>921</v>
      </c>
      <c r="G119" s="7" t="s">
        <v>922</v>
      </c>
      <c r="H119" s="7" t="s">
        <v>469</v>
      </c>
      <c r="I119" s="7" t="s">
        <v>921</v>
      </c>
      <c r="M119" t="s">
        <v>2827</v>
      </c>
    </row>
    <row r="120" spans="1:13" ht="16.5" customHeight="1" x14ac:dyDescent="0.25">
      <c r="A120" s="12" t="s">
        <v>923</v>
      </c>
      <c r="B120" s="13" t="s">
        <v>660</v>
      </c>
      <c r="C120" s="13" t="s">
        <v>515</v>
      </c>
      <c r="D120" s="13" t="s">
        <v>924</v>
      </c>
      <c r="E120" s="13" t="s">
        <v>673</v>
      </c>
      <c r="F120" s="13" t="s">
        <v>921</v>
      </c>
      <c r="G120" s="13" t="s">
        <v>925</v>
      </c>
      <c r="H120" s="13" t="s">
        <v>469</v>
      </c>
      <c r="I120" s="13" t="s">
        <v>921</v>
      </c>
      <c r="M120" t="s">
        <v>2827</v>
      </c>
    </row>
    <row r="121" spans="1:13" ht="16.5" customHeight="1" x14ac:dyDescent="0.25">
      <c r="A121" s="6" t="s">
        <v>926</v>
      </c>
      <c r="B121" s="7" t="s">
        <v>660</v>
      </c>
      <c r="C121" s="7" t="s">
        <v>516</v>
      </c>
      <c r="D121" s="7" t="s">
        <v>716</v>
      </c>
      <c r="E121" s="7" t="s">
        <v>673</v>
      </c>
      <c r="F121" s="7" t="s">
        <v>765</v>
      </c>
      <c r="G121" s="7" t="s">
        <v>927</v>
      </c>
      <c r="H121" s="7" t="s">
        <v>469</v>
      </c>
      <c r="I121" s="7" t="s">
        <v>745</v>
      </c>
      <c r="M121" t="s">
        <v>2827</v>
      </c>
    </row>
    <row r="122" spans="1:13" ht="17.25" customHeight="1" x14ac:dyDescent="0.25">
      <c r="A122" s="12" t="s">
        <v>928</v>
      </c>
      <c r="B122" s="13" t="s">
        <v>660</v>
      </c>
      <c r="C122" s="13" t="s">
        <v>929</v>
      </c>
      <c r="D122" s="13" t="s">
        <v>716</v>
      </c>
      <c r="E122" s="13" t="s">
        <v>697</v>
      </c>
      <c r="F122" s="13" t="s">
        <v>930</v>
      </c>
      <c r="G122" s="13" t="s">
        <v>931</v>
      </c>
      <c r="H122" s="13" t="s">
        <v>469</v>
      </c>
      <c r="I122" s="13" t="s">
        <v>833</v>
      </c>
      <c r="M122" t="s">
        <v>2827</v>
      </c>
    </row>
    <row r="123" spans="1:13" ht="16.5" customHeight="1" x14ac:dyDescent="0.25">
      <c r="A123" s="6" t="s">
        <v>932</v>
      </c>
      <c r="B123" s="7" t="s">
        <v>660</v>
      </c>
      <c r="C123" s="7" t="s">
        <v>933</v>
      </c>
      <c r="D123" s="7" t="s">
        <v>662</v>
      </c>
      <c r="E123" s="7" t="s">
        <v>663</v>
      </c>
      <c r="F123" s="7" t="s">
        <v>685</v>
      </c>
      <c r="G123" s="7" t="s">
        <v>934</v>
      </c>
      <c r="H123" s="7" t="s">
        <v>469</v>
      </c>
      <c r="I123" s="7" t="s">
        <v>689</v>
      </c>
      <c r="M123" t="s">
        <v>2827</v>
      </c>
    </row>
    <row r="124" spans="1:13" ht="16.5" customHeight="1" x14ac:dyDescent="0.25">
      <c r="A124" s="12" t="s">
        <v>935</v>
      </c>
      <c r="B124" s="13" t="s">
        <v>660</v>
      </c>
      <c r="C124" s="13" t="s">
        <v>936</v>
      </c>
      <c r="D124" s="13" t="s">
        <v>662</v>
      </c>
      <c r="E124" s="13" t="s">
        <v>663</v>
      </c>
      <c r="F124" s="13" t="s">
        <v>851</v>
      </c>
      <c r="G124" s="13" t="s">
        <v>937</v>
      </c>
      <c r="H124" s="13" t="s">
        <v>469</v>
      </c>
      <c r="I124" s="13" t="s">
        <v>851</v>
      </c>
      <c r="M124" t="s">
        <v>2827</v>
      </c>
    </row>
    <row r="125" spans="1:13" ht="16.5" customHeight="1" x14ac:dyDescent="0.25">
      <c r="A125" s="6" t="s">
        <v>935</v>
      </c>
      <c r="B125" s="7" t="s">
        <v>660</v>
      </c>
      <c r="C125" s="7" t="s">
        <v>936</v>
      </c>
      <c r="D125" s="7" t="s">
        <v>662</v>
      </c>
      <c r="E125" s="7" t="s">
        <v>663</v>
      </c>
      <c r="F125" s="7" t="s">
        <v>851</v>
      </c>
      <c r="G125" s="7" t="s">
        <v>938</v>
      </c>
      <c r="H125" s="7" t="s">
        <v>469</v>
      </c>
      <c r="I125" s="7" t="s">
        <v>851</v>
      </c>
      <c r="M125" t="s">
        <v>2827</v>
      </c>
    </row>
    <row r="126" spans="1:13" ht="16.5" customHeight="1" x14ac:dyDescent="0.25">
      <c r="A126" s="12" t="s">
        <v>939</v>
      </c>
      <c r="B126" s="13" t="s">
        <v>660</v>
      </c>
      <c r="C126" s="13" t="s">
        <v>940</v>
      </c>
      <c r="D126" s="13" t="s">
        <v>662</v>
      </c>
      <c r="E126" s="13" t="s">
        <v>663</v>
      </c>
      <c r="F126" s="13" t="s">
        <v>851</v>
      </c>
      <c r="G126" s="13" t="s">
        <v>941</v>
      </c>
      <c r="H126" s="13" t="s">
        <v>469</v>
      </c>
      <c r="I126" s="13" t="s">
        <v>851</v>
      </c>
      <c r="M126" t="s">
        <v>2827</v>
      </c>
    </row>
    <row r="127" spans="1:13" ht="16.5" customHeight="1" x14ac:dyDescent="0.25">
      <c r="A127" s="6" t="s">
        <v>942</v>
      </c>
      <c r="B127" s="7" t="s">
        <v>660</v>
      </c>
      <c r="C127" s="7" t="s">
        <v>943</v>
      </c>
      <c r="D127" s="7" t="s">
        <v>662</v>
      </c>
      <c r="E127" s="7" t="s">
        <v>663</v>
      </c>
      <c r="F127" s="7" t="s">
        <v>944</v>
      </c>
      <c r="G127" s="7" t="s">
        <v>945</v>
      </c>
      <c r="H127" s="7" t="s">
        <v>469</v>
      </c>
      <c r="I127" s="7" t="s">
        <v>944</v>
      </c>
      <c r="M127" t="s">
        <v>2827</v>
      </c>
    </row>
    <row r="128" spans="1:13" ht="16.5" customHeight="1" x14ac:dyDescent="0.25">
      <c r="A128" s="12" t="s">
        <v>938</v>
      </c>
      <c r="B128" s="13" t="s">
        <v>660</v>
      </c>
      <c r="C128" s="13" t="s">
        <v>936</v>
      </c>
      <c r="D128" s="13" t="s">
        <v>662</v>
      </c>
      <c r="E128" s="13" t="s">
        <v>663</v>
      </c>
      <c r="F128" s="13" t="s">
        <v>851</v>
      </c>
      <c r="G128" s="13" t="s">
        <v>946</v>
      </c>
      <c r="H128" s="13" t="s">
        <v>469</v>
      </c>
      <c r="I128" s="13" t="s">
        <v>947</v>
      </c>
      <c r="M128" t="s">
        <v>2827</v>
      </c>
    </row>
    <row r="129" spans="1:13" ht="16.5" customHeight="1" x14ac:dyDescent="0.25">
      <c r="A129" s="6" t="s">
        <v>850</v>
      </c>
      <c r="B129" s="7" t="s">
        <v>660</v>
      </c>
      <c r="C129" s="7" t="s">
        <v>848</v>
      </c>
      <c r="D129" s="7" t="s">
        <v>662</v>
      </c>
      <c r="E129" s="7" t="s">
        <v>663</v>
      </c>
      <c r="F129" s="7" t="s">
        <v>851</v>
      </c>
      <c r="G129" s="7" t="s">
        <v>948</v>
      </c>
      <c r="H129" s="7" t="s">
        <v>469</v>
      </c>
      <c r="I129" s="7" t="s">
        <v>947</v>
      </c>
      <c r="M129" t="s">
        <v>2827</v>
      </c>
    </row>
    <row r="130" spans="1:13" ht="16.5" customHeight="1" x14ac:dyDescent="0.25">
      <c r="A130" s="12" t="s">
        <v>949</v>
      </c>
      <c r="B130" s="13" t="s">
        <v>660</v>
      </c>
      <c r="C130" s="13" t="s">
        <v>950</v>
      </c>
      <c r="D130" s="13" t="s">
        <v>662</v>
      </c>
      <c r="E130" s="13" t="s">
        <v>663</v>
      </c>
      <c r="F130" s="13" t="s">
        <v>951</v>
      </c>
      <c r="G130" s="13" t="s">
        <v>952</v>
      </c>
      <c r="H130" s="13" t="s">
        <v>469</v>
      </c>
      <c r="I130" s="13" t="s">
        <v>953</v>
      </c>
      <c r="M130" t="s">
        <v>2827</v>
      </c>
    </row>
    <row r="131" spans="1:13" ht="16.5" customHeight="1" x14ac:dyDescent="0.25">
      <c r="A131" s="6" t="s">
        <v>946</v>
      </c>
      <c r="B131" s="7" t="s">
        <v>660</v>
      </c>
      <c r="C131" s="7" t="s">
        <v>936</v>
      </c>
      <c r="D131" s="7" t="s">
        <v>662</v>
      </c>
      <c r="E131" s="7" t="s">
        <v>663</v>
      </c>
      <c r="F131" s="7" t="s">
        <v>947</v>
      </c>
      <c r="G131" s="7" t="s">
        <v>954</v>
      </c>
      <c r="H131" s="7" t="s">
        <v>469</v>
      </c>
      <c r="I131" s="7" t="s">
        <v>947</v>
      </c>
      <c r="M131" t="s">
        <v>2827</v>
      </c>
    </row>
    <row r="132" spans="1:13" ht="16.5" customHeight="1" x14ac:dyDescent="0.25">
      <c r="A132" s="12" t="s">
        <v>948</v>
      </c>
      <c r="B132" s="13" t="s">
        <v>660</v>
      </c>
      <c r="C132" s="13" t="s">
        <v>848</v>
      </c>
      <c r="D132" s="13" t="s">
        <v>662</v>
      </c>
      <c r="E132" s="13" t="s">
        <v>663</v>
      </c>
      <c r="F132" s="13" t="s">
        <v>947</v>
      </c>
      <c r="G132" s="13" t="s">
        <v>955</v>
      </c>
      <c r="H132" s="13" t="s">
        <v>469</v>
      </c>
      <c r="I132" s="13" t="s">
        <v>947</v>
      </c>
      <c r="M132" t="s">
        <v>2827</v>
      </c>
    </row>
    <row r="133" spans="1:13" ht="16.5" customHeight="1" x14ac:dyDescent="0.25">
      <c r="A133" s="6" t="s">
        <v>954</v>
      </c>
      <c r="B133" s="7" t="s">
        <v>660</v>
      </c>
      <c r="C133" s="7" t="s">
        <v>936</v>
      </c>
      <c r="D133" s="7" t="s">
        <v>662</v>
      </c>
      <c r="E133" s="7" t="s">
        <v>663</v>
      </c>
      <c r="F133" s="7" t="s">
        <v>947</v>
      </c>
      <c r="G133" s="7" t="s">
        <v>956</v>
      </c>
      <c r="H133" s="7" t="s">
        <v>469</v>
      </c>
      <c r="I133" s="7" t="s">
        <v>947</v>
      </c>
      <c r="M133" t="s">
        <v>2827</v>
      </c>
    </row>
    <row r="134" spans="1:13" ht="16.5" customHeight="1" x14ac:dyDescent="0.25">
      <c r="A134" s="12" t="s">
        <v>955</v>
      </c>
      <c r="B134" s="13" t="s">
        <v>660</v>
      </c>
      <c r="C134" s="13" t="s">
        <v>848</v>
      </c>
      <c r="D134" s="13" t="s">
        <v>662</v>
      </c>
      <c r="E134" s="13" t="s">
        <v>663</v>
      </c>
      <c r="F134" s="13" t="s">
        <v>947</v>
      </c>
      <c r="G134" s="13" t="s">
        <v>957</v>
      </c>
      <c r="H134" s="13" t="s">
        <v>469</v>
      </c>
      <c r="I134" s="13" t="s">
        <v>947</v>
      </c>
      <c r="M134" t="s">
        <v>2827</v>
      </c>
    </row>
    <row r="135" spans="1:13" ht="17.25" customHeight="1" x14ac:dyDescent="0.25">
      <c r="A135" s="6" t="s">
        <v>958</v>
      </c>
      <c r="B135" s="7" t="s">
        <v>660</v>
      </c>
      <c r="C135" s="7" t="s">
        <v>959</v>
      </c>
      <c r="D135" s="7" t="s">
        <v>662</v>
      </c>
      <c r="E135" s="7" t="s">
        <v>663</v>
      </c>
      <c r="F135" s="7" t="s">
        <v>960</v>
      </c>
      <c r="G135" s="7" t="s">
        <v>961</v>
      </c>
      <c r="H135" s="7" t="s">
        <v>469</v>
      </c>
      <c r="I135" s="7" t="s">
        <v>960</v>
      </c>
      <c r="M135" t="s">
        <v>2827</v>
      </c>
    </row>
    <row r="136" spans="1:13" ht="16.5" customHeight="1" x14ac:dyDescent="0.25">
      <c r="A136" s="12" t="s">
        <v>958</v>
      </c>
      <c r="B136" s="13" t="s">
        <v>660</v>
      </c>
      <c r="C136" s="13" t="s">
        <v>959</v>
      </c>
      <c r="D136" s="13" t="s">
        <v>662</v>
      </c>
      <c r="E136" s="13" t="s">
        <v>663</v>
      </c>
      <c r="F136" s="13" t="s">
        <v>960</v>
      </c>
      <c r="G136" s="13" t="s">
        <v>962</v>
      </c>
      <c r="H136" s="13" t="s">
        <v>469</v>
      </c>
      <c r="I136" s="13" t="s">
        <v>908</v>
      </c>
      <c r="M136" t="s">
        <v>2827</v>
      </c>
    </row>
    <row r="137" spans="1:13" ht="16.5" customHeight="1" x14ac:dyDescent="0.25">
      <c r="A137" s="6" t="s">
        <v>963</v>
      </c>
      <c r="B137" s="7" t="s">
        <v>660</v>
      </c>
      <c r="C137" s="7" t="s">
        <v>964</v>
      </c>
      <c r="D137" s="7" t="s">
        <v>662</v>
      </c>
      <c r="E137" s="7" t="s">
        <v>663</v>
      </c>
      <c r="F137" s="7" t="s">
        <v>960</v>
      </c>
      <c r="G137" s="7" t="s">
        <v>965</v>
      </c>
      <c r="H137" s="7" t="s">
        <v>469</v>
      </c>
      <c r="I137" s="7" t="s">
        <v>960</v>
      </c>
      <c r="M137" t="s">
        <v>2827</v>
      </c>
    </row>
    <row r="138" spans="1:13" ht="16.5" customHeight="1" x14ac:dyDescent="0.25">
      <c r="A138" s="12" t="s">
        <v>966</v>
      </c>
      <c r="B138" s="13" t="s">
        <v>660</v>
      </c>
      <c r="C138" s="13" t="s">
        <v>967</v>
      </c>
      <c r="D138" s="13" t="s">
        <v>662</v>
      </c>
      <c r="E138" s="13" t="s">
        <v>663</v>
      </c>
      <c r="F138" s="13" t="s">
        <v>968</v>
      </c>
      <c r="G138" s="13" t="s">
        <v>969</v>
      </c>
      <c r="H138" s="13" t="s">
        <v>469</v>
      </c>
      <c r="I138" s="13" t="s">
        <v>970</v>
      </c>
      <c r="M138" t="s">
        <v>2827</v>
      </c>
    </row>
    <row r="139" spans="1:13" ht="16.5" customHeight="1" x14ac:dyDescent="0.25">
      <c r="A139" s="6" t="s">
        <v>966</v>
      </c>
      <c r="B139" s="7" t="s">
        <v>660</v>
      </c>
      <c r="C139" s="7" t="s">
        <v>967</v>
      </c>
      <c r="D139" s="7" t="s">
        <v>662</v>
      </c>
      <c r="E139" s="7" t="s">
        <v>663</v>
      </c>
      <c r="F139" s="7" t="s">
        <v>968</v>
      </c>
      <c r="G139" s="7" t="s">
        <v>971</v>
      </c>
      <c r="H139" s="7" t="s">
        <v>469</v>
      </c>
      <c r="I139" s="7" t="s">
        <v>862</v>
      </c>
      <c r="M139" t="s">
        <v>2827</v>
      </c>
    </row>
    <row r="140" spans="1:13" ht="16.5" customHeight="1" x14ac:dyDescent="0.25">
      <c r="A140" s="12" t="s">
        <v>972</v>
      </c>
      <c r="B140" s="13" t="s">
        <v>660</v>
      </c>
      <c r="C140" s="13" t="s">
        <v>392</v>
      </c>
      <c r="D140" s="13" t="s">
        <v>662</v>
      </c>
      <c r="E140" s="13" t="s">
        <v>663</v>
      </c>
      <c r="F140" s="13" t="s">
        <v>973</v>
      </c>
      <c r="G140" s="13" t="s">
        <v>974</v>
      </c>
      <c r="H140" s="13" t="s">
        <v>469</v>
      </c>
      <c r="I140" s="13" t="s">
        <v>973</v>
      </c>
      <c r="M140" t="s">
        <v>2827</v>
      </c>
    </row>
    <row r="141" spans="1:13" ht="16.5" customHeight="1" x14ac:dyDescent="0.25">
      <c r="A141" s="6" t="s">
        <v>972</v>
      </c>
      <c r="B141" s="7" t="s">
        <v>660</v>
      </c>
      <c r="C141" s="7" t="s">
        <v>392</v>
      </c>
      <c r="D141" s="7" t="s">
        <v>662</v>
      </c>
      <c r="E141" s="7" t="s">
        <v>663</v>
      </c>
      <c r="F141" s="7" t="s">
        <v>973</v>
      </c>
      <c r="G141" s="7" t="s">
        <v>655</v>
      </c>
      <c r="H141" s="7" t="s">
        <v>469</v>
      </c>
      <c r="I141" s="7" t="s">
        <v>654</v>
      </c>
      <c r="M141" t="s">
        <v>2827</v>
      </c>
    </row>
    <row r="142" spans="1:13" ht="16.5" customHeight="1" x14ac:dyDescent="0.25">
      <c r="A142" s="12" t="s">
        <v>975</v>
      </c>
      <c r="B142" s="13" t="s">
        <v>660</v>
      </c>
      <c r="C142" s="13" t="s">
        <v>976</v>
      </c>
      <c r="D142" s="13" t="s">
        <v>662</v>
      </c>
      <c r="E142" s="13" t="s">
        <v>663</v>
      </c>
      <c r="F142" s="13" t="s">
        <v>973</v>
      </c>
      <c r="G142" s="13" t="s">
        <v>977</v>
      </c>
      <c r="H142" s="13" t="s">
        <v>469</v>
      </c>
      <c r="I142" s="13" t="s">
        <v>973</v>
      </c>
      <c r="M142" t="s">
        <v>2827</v>
      </c>
    </row>
    <row r="143" spans="1:13" ht="16.5" customHeight="1" x14ac:dyDescent="0.25">
      <c r="A143" s="6" t="s">
        <v>969</v>
      </c>
      <c r="B143" s="7" t="s">
        <v>660</v>
      </c>
      <c r="C143" s="7" t="s">
        <v>967</v>
      </c>
      <c r="D143" s="7" t="s">
        <v>662</v>
      </c>
      <c r="E143" s="7" t="s">
        <v>663</v>
      </c>
      <c r="F143" s="7" t="s">
        <v>970</v>
      </c>
      <c r="G143" s="7" t="s">
        <v>978</v>
      </c>
      <c r="H143" s="7" t="s">
        <v>469</v>
      </c>
      <c r="I143" s="7" t="s">
        <v>970</v>
      </c>
      <c r="M143" t="s">
        <v>2827</v>
      </c>
    </row>
    <row r="144" spans="1:13" ht="16.5" customHeight="1" x14ac:dyDescent="0.25">
      <c r="A144" s="12" t="s">
        <v>979</v>
      </c>
      <c r="B144" s="13" t="s">
        <v>660</v>
      </c>
      <c r="C144" s="13" t="s">
        <v>640</v>
      </c>
      <c r="D144" s="13" t="s">
        <v>662</v>
      </c>
      <c r="E144" s="13" t="s">
        <v>663</v>
      </c>
      <c r="F144" s="13" t="s">
        <v>970</v>
      </c>
      <c r="G144" s="13" t="s">
        <v>980</v>
      </c>
      <c r="H144" s="13" t="s">
        <v>469</v>
      </c>
      <c r="I144" s="13" t="s">
        <v>968</v>
      </c>
      <c r="M144" t="s">
        <v>2827</v>
      </c>
    </row>
    <row r="145" spans="1:13" ht="16.5" customHeight="1" x14ac:dyDescent="0.25">
      <c r="A145" s="6" t="s">
        <v>979</v>
      </c>
      <c r="B145" s="7" t="s">
        <v>660</v>
      </c>
      <c r="C145" s="7" t="s">
        <v>640</v>
      </c>
      <c r="D145" s="7" t="s">
        <v>662</v>
      </c>
      <c r="E145" s="7" t="s">
        <v>663</v>
      </c>
      <c r="F145" s="7" t="s">
        <v>970</v>
      </c>
      <c r="G145" s="7" t="s">
        <v>981</v>
      </c>
      <c r="H145" s="7" t="s">
        <v>469</v>
      </c>
      <c r="I145" s="7" t="s">
        <v>970</v>
      </c>
      <c r="M145" t="s">
        <v>2827</v>
      </c>
    </row>
    <row r="146" spans="1:13" ht="16.5" customHeight="1" x14ac:dyDescent="0.25">
      <c r="A146" s="12" t="s">
        <v>978</v>
      </c>
      <c r="B146" s="13" t="s">
        <v>660</v>
      </c>
      <c r="C146" s="13" t="s">
        <v>967</v>
      </c>
      <c r="D146" s="13" t="s">
        <v>662</v>
      </c>
      <c r="E146" s="13" t="s">
        <v>663</v>
      </c>
      <c r="F146" s="13" t="s">
        <v>970</v>
      </c>
      <c r="G146" s="13" t="s">
        <v>982</v>
      </c>
      <c r="H146" s="13" t="s">
        <v>469</v>
      </c>
      <c r="I146" s="13" t="s">
        <v>970</v>
      </c>
      <c r="M146" t="s">
        <v>2827</v>
      </c>
    </row>
    <row r="147" spans="1:13" ht="17.25" customHeight="1" x14ac:dyDescent="0.25">
      <c r="A147" s="6" t="s">
        <v>981</v>
      </c>
      <c r="B147" s="7" t="s">
        <v>660</v>
      </c>
      <c r="C147" s="7" t="s">
        <v>640</v>
      </c>
      <c r="D147" s="7" t="s">
        <v>662</v>
      </c>
      <c r="E147" s="7" t="s">
        <v>663</v>
      </c>
      <c r="F147" s="7" t="s">
        <v>970</v>
      </c>
      <c r="G147" s="7" t="s">
        <v>983</v>
      </c>
      <c r="H147" s="7" t="s">
        <v>469</v>
      </c>
      <c r="I147" s="7" t="s">
        <v>970</v>
      </c>
      <c r="M147" t="s">
        <v>2827</v>
      </c>
    </row>
    <row r="148" spans="1:13" ht="16.5" customHeight="1" x14ac:dyDescent="0.25">
      <c r="A148" s="12" t="s">
        <v>982</v>
      </c>
      <c r="B148" s="13" t="s">
        <v>660</v>
      </c>
      <c r="C148" s="13" t="s">
        <v>967</v>
      </c>
      <c r="D148" s="13" t="s">
        <v>662</v>
      </c>
      <c r="E148" s="13" t="s">
        <v>663</v>
      </c>
      <c r="F148" s="13" t="s">
        <v>970</v>
      </c>
      <c r="G148" s="13" t="s">
        <v>984</v>
      </c>
      <c r="H148" s="13" t="s">
        <v>469</v>
      </c>
      <c r="I148" s="13" t="s">
        <v>970</v>
      </c>
      <c r="M148" t="s">
        <v>2827</v>
      </c>
    </row>
    <row r="149" spans="1:13" ht="16.5" customHeight="1" x14ac:dyDescent="0.25">
      <c r="A149" s="6" t="s">
        <v>983</v>
      </c>
      <c r="B149" s="7" t="s">
        <v>660</v>
      </c>
      <c r="C149" s="7" t="s">
        <v>640</v>
      </c>
      <c r="D149" s="7" t="s">
        <v>662</v>
      </c>
      <c r="E149" s="7" t="s">
        <v>663</v>
      </c>
      <c r="F149" s="7" t="s">
        <v>970</v>
      </c>
      <c r="G149" s="7" t="s">
        <v>985</v>
      </c>
      <c r="H149" s="7" t="s">
        <v>469</v>
      </c>
      <c r="I149" s="7" t="s">
        <v>970</v>
      </c>
      <c r="M149" t="s">
        <v>2827</v>
      </c>
    </row>
    <row r="150" spans="1:13" ht="16.5" customHeight="1" x14ac:dyDescent="0.25">
      <c r="A150" s="12" t="s">
        <v>984</v>
      </c>
      <c r="B150" s="13" t="s">
        <v>660</v>
      </c>
      <c r="C150" s="13" t="s">
        <v>967</v>
      </c>
      <c r="D150" s="13" t="s">
        <v>662</v>
      </c>
      <c r="E150" s="13" t="s">
        <v>663</v>
      </c>
      <c r="F150" s="13" t="s">
        <v>970</v>
      </c>
      <c r="G150" s="13" t="s">
        <v>986</v>
      </c>
      <c r="H150" s="13" t="s">
        <v>469</v>
      </c>
      <c r="I150" s="13" t="s">
        <v>970</v>
      </c>
      <c r="M150" t="s">
        <v>2827</v>
      </c>
    </row>
    <row r="151" spans="1:13" ht="16.5" customHeight="1" x14ac:dyDescent="0.25">
      <c r="A151" s="6" t="s">
        <v>985</v>
      </c>
      <c r="B151" s="7" t="s">
        <v>660</v>
      </c>
      <c r="C151" s="7" t="s">
        <v>640</v>
      </c>
      <c r="D151" s="7" t="s">
        <v>662</v>
      </c>
      <c r="E151" s="7" t="s">
        <v>663</v>
      </c>
      <c r="F151" s="7" t="s">
        <v>970</v>
      </c>
      <c r="G151" s="7" t="s">
        <v>987</v>
      </c>
      <c r="H151" s="7" t="s">
        <v>469</v>
      </c>
      <c r="I151" s="7" t="s">
        <v>970</v>
      </c>
      <c r="M151" t="s">
        <v>2827</v>
      </c>
    </row>
    <row r="152" spans="1:13" ht="16.5" customHeight="1" x14ac:dyDescent="0.25">
      <c r="A152" s="12" t="s">
        <v>986</v>
      </c>
      <c r="B152" s="13" t="s">
        <v>660</v>
      </c>
      <c r="C152" s="13" t="s">
        <v>967</v>
      </c>
      <c r="D152" s="13" t="s">
        <v>662</v>
      </c>
      <c r="E152" s="13" t="s">
        <v>663</v>
      </c>
      <c r="F152" s="13" t="s">
        <v>970</v>
      </c>
      <c r="G152" s="13" t="s">
        <v>988</v>
      </c>
      <c r="H152" s="13" t="s">
        <v>469</v>
      </c>
      <c r="I152" s="13" t="s">
        <v>989</v>
      </c>
      <c r="M152" t="s">
        <v>2827</v>
      </c>
    </row>
    <row r="153" spans="1:13" ht="16.5" customHeight="1" x14ac:dyDescent="0.25">
      <c r="A153" s="6" t="s">
        <v>987</v>
      </c>
      <c r="B153" s="7" t="s">
        <v>660</v>
      </c>
      <c r="C153" s="7" t="s">
        <v>640</v>
      </c>
      <c r="D153" s="7" t="s">
        <v>662</v>
      </c>
      <c r="E153" s="7" t="s">
        <v>663</v>
      </c>
      <c r="F153" s="7" t="s">
        <v>970</v>
      </c>
      <c r="G153" s="7" t="s">
        <v>990</v>
      </c>
      <c r="H153" s="7" t="s">
        <v>469</v>
      </c>
      <c r="I153" s="7" t="s">
        <v>989</v>
      </c>
      <c r="M153" t="s">
        <v>2827</v>
      </c>
    </row>
    <row r="154" spans="1:13" ht="16.5" customHeight="1" x14ac:dyDescent="0.25">
      <c r="A154" s="12" t="s">
        <v>965</v>
      </c>
      <c r="B154" s="13" t="s">
        <v>660</v>
      </c>
      <c r="C154" s="13" t="s">
        <v>964</v>
      </c>
      <c r="D154" s="13" t="s">
        <v>662</v>
      </c>
      <c r="E154" s="13" t="s">
        <v>663</v>
      </c>
      <c r="F154" s="13" t="s">
        <v>960</v>
      </c>
      <c r="G154" s="13" t="s">
        <v>991</v>
      </c>
      <c r="H154" s="13" t="s">
        <v>469</v>
      </c>
      <c r="I154" s="13" t="s">
        <v>944</v>
      </c>
      <c r="M154" t="s">
        <v>2827</v>
      </c>
    </row>
    <row r="155" spans="1:13" ht="16.5" customHeight="1" x14ac:dyDescent="0.25">
      <c r="A155" s="6" t="s">
        <v>992</v>
      </c>
      <c r="B155" s="7" t="s">
        <v>660</v>
      </c>
      <c r="C155" s="7" t="s">
        <v>993</v>
      </c>
      <c r="D155" s="7" t="s">
        <v>662</v>
      </c>
      <c r="E155" s="7" t="s">
        <v>663</v>
      </c>
      <c r="F155" s="7" t="s">
        <v>989</v>
      </c>
      <c r="G155" s="7" t="s">
        <v>994</v>
      </c>
      <c r="H155" s="7" t="s">
        <v>469</v>
      </c>
      <c r="I155" s="7" t="s">
        <v>989</v>
      </c>
      <c r="M155" t="s">
        <v>2827</v>
      </c>
    </row>
    <row r="156" spans="1:13" ht="16.5" customHeight="1" x14ac:dyDescent="0.25">
      <c r="A156" s="12" t="s">
        <v>992</v>
      </c>
      <c r="B156" s="13" t="s">
        <v>660</v>
      </c>
      <c r="C156" s="13" t="s">
        <v>993</v>
      </c>
      <c r="D156" s="13" t="s">
        <v>662</v>
      </c>
      <c r="E156" s="13" t="s">
        <v>663</v>
      </c>
      <c r="F156" s="13" t="s">
        <v>989</v>
      </c>
      <c r="G156" s="13" t="s">
        <v>995</v>
      </c>
      <c r="H156" s="13" t="s">
        <v>469</v>
      </c>
      <c r="I156" s="13" t="s">
        <v>996</v>
      </c>
      <c r="M156" t="s">
        <v>2827</v>
      </c>
    </row>
    <row r="157" spans="1:13" ht="16.5" customHeight="1" x14ac:dyDescent="0.25">
      <c r="A157" s="6" t="s">
        <v>997</v>
      </c>
      <c r="B157" s="7" t="s">
        <v>660</v>
      </c>
      <c r="C157" s="7" t="s">
        <v>640</v>
      </c>
      <c r="D157" s="7" t="s">
        <v>662</v>
      </c>
      <c r="E157" s="7" t="s">
        <v>663</v>
      </c>
      <c r="F157" s="7" t="s">
        <v>989</v>
      </c>
      <c r="G157" s="7" t="s">
        <v>998</v>
      </c>
      <c r="H157" s="7" t="s">
        <v>469</v>
      </c>
      <c r="I157" s="7" t="s">
        <v>989</v>
      </c>
      <c r="M157" t="s">
        <v>2827</v>
      </c>
    </row>
    <row r="158" spans="1:13" ht="16.5" customHeight="1" x14ac:dyDescent="0.25">
      <c r="A158" s="12" t="s">
        <v>997</v>
      </c>
      <c r="B158" s="13" t="s">
        <v>660</v>
      </c>
      <c r="C158" s="13" t="s">
        <v>640</v>
      </c>
      <c r="D158" s="13" t="s">
        <v>662</v>
      </c>
      <c r="E158" s="13" t="s">
        <v>663</v>
      </c>
      <c r="F158" s="13" t="s">
        <v>989</v>
      </c>
      <c r="G158" s="13" t="s">
        <v>999</v>
      </c>
      <c r="H158" s="13" t="s">
        <v>469</v>
      </c>
      <c r="I158" s="13" t="s">
        <v>989</v>
      </c>
      <c r="M158" t="s">
        <v>2827</v>
      </c>
    </row>
    <row r="159" spans="1:13" ht="16.5" customHeight="1" x14ac:dyDescent="0.25">
      <c r="A159" s="6" t="s">
        <v>1000</v>
      </c>
      <c r="B159" s="7" t="s">
        <v>660</v>
      </c>
      <c r="C159" s="7" t="s">
        <v>1001</v>
      </c>
      <c r="D159" s="7" t="s">
        <v>662</v>
      </c>
      <c r="E159" s="7" t="s">
        <v>663</v>
      </c>
      <c r="F159" s="7" t="s">
        <v>906</v>
      </c>
      <c r="G159" s="7" t="s">
        <v>1002</v>
      </c>
      <c r="H159" s="7" t="s">
        <v>469</v>
      </c>
      <c r="I159" s="7" t="s">
        <v>837</v>
      </c>
      <c r="M159" t="s">
        <v>2827</v>
      </c>
    </row>
    <row r="160" spans="1:13" ht="17.25" customHeight="1" x14ac:dyDescent="0.25">
      <c r="A160" s="12" t="s">
        <v>1003</v>
      </c>
      <c r="B160" s="13" t="s">
        <v>660</v>
      </c>
      <c r="C160" s="13" t="s">
        <v>1004</v>
      </c>
      <c r="D160" s="13" t="s">
        <v>662</v>
      </c>
      <c r="E160" s="13" t="s">
        <v>663</v>
      </c>
      <c r="F160" s="13" t="s">
        <v>906</v>
      </c>
      <c r="G160" s="13" t="s">
        <v>1005</v>
      </c>
      <c r="H160" s="13" t="s">
        <v>469</v>
      </c>
      <c r="I160" s="13" t="s">
        <v>906</v>
      </c>
      <c r="M160" t="s">
        <v>2827</v>
      </c>
    </row>
    <row r="161" spans="1:13" ht="16.5" customHeight="1" x14ac:dyDescent="0.25">
      <c r="A161" s="6" t="s">
        <v>998</v>
      </c>
      <c r="B161" s="7" t="s">
        <v>660</v>
      </c>
      <c r="C161" s="7" t="s">
        <v>640</v>
      </c>
      <c r="D161" s="7" t="s">
        <v>662</v>
      </c>
      <c r="E161" s="7" t="s">
        <v>663</v>
      </c>
      <c r="F161" s="7" t="s">
        <v>989</v>
      </c>
      <c r="G161" s="7" t="s">
        <v>1006</v>
      </c>
      <c r="H161" s="7" t="s">
        <v>469</v>
      </c>
      <c r="I161" s="7" t="s">
        <v>989</v>
      </c>
      <c r="M161" t="s">
        <v>2827</v>
      </c>
    </row>
    <row r="162" spans="1:13" ht="16.5" customHeight="1" x14ac:dyDescent="0.25">
      <c r="A162" s="12" t="s">
        <v>1007</v>
      </c>
      <c r="B162" s="13" t="s">
        <v>660</v>
      </c>
      <c r="C162" s="13" t="s">
        <v>1008</v>
      </c>
      <c r="D162" s="13" t="s">
        <v>662</v>
      </c>
      <c r="E162" s="13" t="s">
        <v>663</v>
      </c>
      <c r="F162" s="13" t="s">
        <v>862</v>
      </c>
      <c r="G162" s="13" t="s">
        <v>866</v>
      </c>
      <c r="H162" s="13" t="s">
        <v>469</v>
      </c>
      <c r="I162" s="13" t="s">
        <v>862</v>
      </c>
      <c r="M162" t="s">
        <v>2827</v>
      </c>
    </row>
    <row r="163" spans="1:13" ht="16.5" customHeight="1" x14ac:dyDescent="0.25">
      <c r="A163" s="6" t="s">
        <v>1009</v>
      </c>
      <c r="B163" s="7" t="s">
        <v>660</v>
      </c>
      <c r="C163" s="7" t="s">
        <v>1010</v>
      </c>
      <c r="D163" s="7" t="s">
        <v>662</v>
      </c>
      <c r="E163" s="7" t="s">
        <v>663</v>
      </c>
      <c r="F163" s="7" t="s">
        <v>862</v>
      </c>
      <c r="G163" s="7" t="s">
        <v>1011</v>
      </c>
      <c r="H163" s="7" t="s">
        <v>469</v>
      </c>
      <c r="I163" s="7" t="s">
        <v>944</v>
      </c>
      <c r="M163" t="s">
        <v>2827</v>
      </c>
    </row>
    <row r="164" spans="1:13" ht="16.5" customHeight="1" x14ac:dyDescent="0.25">
      <c r="A164" s="12" t="s">
        <v>1012</v>
      </c>
      <c r="B164" s="13" t="s">
        <v>660</v>
      </c>
      <c r="C164" s="13" t="s">
        <v>1013</v>
      </c>
      <c r="D164" s="13" t="s">
        <v>662</v>
      </c>
      <c r="E164" s="13" t="s">
        <v>663</v>
      </c>
      <c r="F164" s="13" t="s">
        <v>989</v>
      </c>
      <c r="G164" s="13" t="s">
        <v>1014</v>
      </c>
      <c r="H164" s="13" t="s">
        <v>469</v>
      </c>
      <c r="I164" s="13" t="s">
        <v>1015</v>
      </c>
      <c r="M164" t="s">
        <v>2827</v>
      </c>
    </row>
    <row r="165" spans="1:13" ht="16.5" customHeight="1" x14ac:dyDescent="0.25">
      <c r="A165" s="6" t="s">
        <v>1012</v>
      </c>
      <c r="B165" s="7" t="s">
        <v>660</v>
      </c>
      <c r="C165" s="7" t="s">
        <v>1013</v>
      </c>
      <c r="D165" s="7" t="s">
        <v>662</v>
      </c>
      <c r="E165" s="7" t="s">
        <v>663</v>
      </c>
      <c r="F165" s="7" t="s">
        <v>989</v>
      </c>
      <c r="G165" s="7" t="s">
        <v>1016</v>
      </c>
      <c r="H165" s="7" t="s">
        <v>469</v>
      </c>
      <c r="I165" s="7" t="s">
        <v>996</v>
      </c>
      <c r="M165" t="s">
        <v>2827</v>
      </c>
    </row>
    <row r="166" spans="1:13" ht="16.5" customHeight="1" x14ac:dyDescent="0.25">
      <c r="A166" s="12" t="s">
        <v>1006</v>
      </c>
      <c r="B166" s="13" t="s">
        <v>660</v>
      </c>
      <c r="C166" s="13" t="s">
        <v>640</v>
      </c>
      <c r="D166" s="13" t="s">
        <v>662</v>
      </c>
      <c r="E166" s="13" t="s">
        <v>663</v>
      </c>
      <c r="F166" s="13" t="s">
        <v>989</v>
      </c>
      <c r="G166" s="13" t="s">
        <v>1017</v>
      </c>
      <c r="H166" s="13" t="s">
        <v>469</v>
      </c>
      <c r="I166" s="13" t="s">
        <v>1015</v>
      </c>
      <c r="M166" t="s">
        <v>2827</v>
      </c>
    </row>
    <row r="167" spans="1:13" ht="16.5" customHeight="1" x14ac:dyDescent="0.25">
      <c r="A167" s="6" t="s">
        <v>1014</v>
      </c>
      <c r="B167" s="7" t="s">
        <v>660</v>
      </c>
      <c r="C167" s="7" t="s">
        <v>1013</v>
      </c>
      <c r="D167" s="7" t="s">
        <v>662</v>
      </c>
      <c r="E167" s="7" t="s">
        <v>663</v>
      </c>
      <c r="F167" s="7" t="s">
        <v>1015</v>
      </c>
      <c r="G167" s="7" t="s">
        <v>1018</v>
      </c>
      <c r="H167" s="7" t="s">
        <v>469</v>
      </c>
      <c r="I167" s="7" t="s">
        <v>1015</v>
      </c>
      <c r="M167" t="s">
        <v>2827</v>
      </c>
    </row>
    <row r="168" spans="1:13" ht="16.5" customHeight="1" x14ac:dyDescent="0.25">
      <c r="A168" s="12" t="s">
        <v>1017</v>
      </c>
      <c r="B168" s="13" t="s">
        <v>660</v>
      </c>
      <c r="C168" s="13" t="s">
        <v>640</v>
      </c>
      <c r="D168" s="13" t="s">
        <v>662</v>
      </c>
      <c r="E168" s="13" t="s">
        <v>663</v>
      </c>
      <c r="F168" s="13" t="s">
        <v>1015</v>
      </c>
      <c r="G168" s="13" t="s">
        <v>1019</v>
      </c>
      <c r="H168" s="13" t="s">
        <v>469</v>
      </c>
      <c r="I168" s="13" t="s">
        <v>1015</v>
      </c>
      <c r="M168" t="s">
        <v>2827</v>
      </c>
    </row>
    <row r="169" spans="1:13" ht="16.5" customHeight="1" x14ac:dyDescent="0.25">
      <c r="A169" s="6" t="s">
        <v>1020</v>
      </c>
      <c r="B169" s="7" t="s">
        <v>660</v>
      </c>
      <c r="C169" s="7" t="s">
        <v>1021</v>
      </c>
      <c r="D169" s="7" t="s">
        <v>662</v>
      </c>
      <c r="E169" s="7" t="s">
        <v>663</v>
      </c>
      <c r="F169" s="7" t="s">
        <v>1015</v>
      </c>
      <c r="G169" s="7" t="s">
        <v>1022</v>
      </c>
      <c r="H169" s="7" t="s">
        <v>469</v>
      </c>
      <c r="I169" s="7" t="s">
        <v>1015</v>
      </c>
      <c r="M169" t="s">
        <v>2827</v>
      </c>
    </row>
    <row r="170" spans="1:13" ht="16.5" customHeight="1" x14ac:dyDescent="0.25">
      <c r="A170" s="12" t="s">
        <v>1020</v>
      </c>
      <c r="B170" s="13" t="s">
        <v>660</v>
      </c>
      <c r="C170" s="13" t="s">
        <v>1021</v>
      </c>
      <c r="D170" s="13" t="s">
        <v>662</v>
      </c>
      <c r="E170" s="13" t="s">
        <v>663</v>
      </c>
      <c r="F170" s="13" t="s">
        <v>1015</v>
      </c>
      <c r="G170" s="13" t="s">
        <v>1023</v>
      </c>
      <c r="H170" s="13" t="s">
        <v>469</v>
      </c>
      <c r="I170" s="13" t="s">
        <v>657</v>
      </c>
      <c r="M170" t="s">
        <v>2827</v>
      </c>
    </row>
    <row r="171" spans="1:13" ht="16.5" customHeight="1" x14ac:dyDescent="0.25">
      <c r="A171" s="6" t="s">
        <v>1024</v>
      </c>
      <c r="B171" s="7" t="s">
        <v>660</v>
      </c>
      <c r="C171" s="7" t="s">
        <v>640</v>
      </c>
      <c r="D171" s="7" t="s">
        <v>662</v>
      </c>
      <c r="E171" s="7" t="s">
        <v>663</v>
      </c>
      <c r="F171" s="7" t="s">
        <v>1015</v>
      </c>
      <c r="G171" s="7" t="s">
        <v>1025</v>
      </c>
      <c r="H171" s="7" t="s">
        <v>469</v>
      </c>
      <c r="I171" s="7" t="s">
        <v>1015</v>
      </c>
      <c r="M171" t="s">
        <v>2827</v>
      </c>
    </row>
    <row r="172" spans="1:13" ht="17.25" customHeight="1" x14ac:dyDescent="0.25">
      <c r="A172" s="12" t="s">
        <v>1024</v>
      </c>
      <c r="B172" s="13" t="s">
        <v>660</v>
      </c>
      <c r="C172" s="13" t="s">
        <v>640</v>
      </c>
      <c r="D172" s="13" t="s">
        <v>662</v>
      </c>
      <c r="E172" s="13" t="s">
        <v>663</v>
      </c>
      <c r="F172" s="13" t="s">
        <v>1015</v>
      </c>
      <c r="G172" s="13" t="s">
        <v>1026</v>
      </c>
      <c r="H172" s="13" t="s">
        <v>469</v>
      </c>
      <c r="I172" s="13" t="s">
        <v>1015</v>
      </c>
      <c r="M172" t="s">
        <v>2827</v>
      </c>
    </row>
    <row r="173" spans="1:13" ht="16.5" customHeight="1" x14ac:dyDescent="0.25">
      <c r="A173" s="6" t="s">
        <v>1018</v>
      </c>
      <c r="B173" s="7" t="s">
        <v>660</v>
      </c>
      <c r="C173" s="7" t="s">
        <v>1013</v>
      </c>
      <c r="D173" s="7" t="s">
        <v>662</v>
      </c>
      <c r="E173" s="7" t="s">
        <v>663</v>
      </c>
      <c r="F173" s="7" t="s">
        <v>1015</v>
      </c>
      <c r="G173" s="7" t="s">
        <v>1027</v>
      </c>
      <c r="H173" s="7" t="s">
        <v>469</v>
      </c>
      <c r="I173" s="7" t="s">
        <v>1015</v>
      </c>
      <c r="M173" t="s">
        <v>2827</v>
      </c>
    </row>
    <row r="174" spans="1:13" ht="16.5" customHeight="1" x14ac:dyDescent="0.25">
      <c r="A174" s="12" t="s">
        <v>1019</v>
      </c>
      <c r="B174" s="13" t="s">
        <v>660</v>
      </c>
      <c r="C174" s="13" t="s">
        <v>640</v>
      </c>
      <c r="D174" s="13" t="s">
        <v>662</v>
      </c>
      <c r="E174" s="13" t="s">
        <v>663</v>
      </c>
      <c r="F174" s="13" t="s">
        <v>1015</v>
      </c>
      <c r="G174" s="13" t="s">
        <v>1026</v>
      </c>
      <c r="H174" s="13" t="s">
        <v>469</v>
      </c>
      <c r="I174" s="13" t="s">
        <v>1015</v>
      </c>
      <c r="M174" t="s">
        <v>2827</v>
      </c>
    </row>
    <row r="175" spans="1:13" ht="16.5" customHeight="1" x14ac:dyDescent="0.25">
      <c r="A175" s="6" t="s">
        <v>988</v>
      </c>
      <c r="B175" s="7" t="s">
        <v>660</v>
      </c>
      <c r="C175" s="7" t="s">
        <v>967</v>
      </c>
      <c r="D175" s="7" t="s">
        <v>662</v>
      </c>
      <c r="E175" s="7" t="s">
        <v>663</v>
      </c>
      <c r="F175" s="7" t="s">
        <v>989</v>
      </c>
      <c r="G175" s="7" t="s">
        <v>1028</v>
      </c>
      <c r="H175" s="7" t="s">
        <v>469</v>
      </c>
      <c r="I175" s="7" t="s">
        <v>989</v>
      </c>
      <c r="M175" t="s">
        <v>2827</v>
      </c>
    </row>
    <row r="176" spans="1:13" ht="16.5" customHeight="1" x14ac:dyDescent="0.25">
      <c r="A176" s="12" t="s">
        <v>990</v>
      </c>
      <c r="B176" s="13" t="s">
        <v>660</v>
      </c>
      <c r="C176" s="13" t="s">
        <v>640</v>
      </c>
      <c r="D176" s="13" t="s">
        <v>662</v>
      </c>
      <c r="E176" s="13" t="s">
        <v>663</v>
      </c>
      <c r="F176" s="13" t="s">
        <v>989</v>
      </c>
      <c r="G176" s="13" t="s">
        <v>999</v>
      </c>
      <c r="H176" s="13" t="s">
        <v>469</v>
      </c>
      <c r="I176" s="13" t="s">
        <v>989</v>
      </c>
      <c r="M176" t="s">
        <v>2827</v>
      </c>
    </row>
    <row r="177" spans="1:13" ht="16.5" customHeight="1" x14ac:dyDescent="0.25">
      <c r="A177" s="6" t="s">
        <v>1025</v>
      </c>
      <c r="B177" s="7" t="s">
        <v>660</v>
      </c>
      <c r="C177" s="7" t="s">
        <v>640</v>
      </c>
      <c r="D177" s="7" t="s">
        <v>662</v>
      </c>
      <c r="E177" s="7" t="s">
        <v>663</v>
      </c>
      <c r="F177" s="7" t="s">
        <v>1015</v>
      </c>
      <c r="G177" s="7" t="s">
        <v>658</v>
      </c>
      <c r="H177" s="7" t="s">
        <v>469</v>
      </c>
      <c r="I177" s="7" t="s">
        <v>657</v>
      </c>
      <c r="M177" t="s">
        <v>2827</v>
      </c>
    </row>
    <row r="178" spans="1:13" ht="16.5" customHeight="1" x14ac:dyDescent="0.25">
      <c r="A178" s="12" t="s">
        <v>1029</v>
      </c>
      <c r="B178" s="13" t="s">
        <v>660</v>
      </c>
      <c r="C178" s="13" t="s">
        <v>782</v>
      </c>
      <c r="D178" s="13" t="s">
        <v>1030</v>
      </c>
      <c r="E178" s="13" t="s">
        <v>642</v>
      </c>
      <c r="F178" s="13" t="s">
        <v>785</v>
      </c>
      <c r="G178" s="13" t="s">
        <v>784</v>
      </c>
      <c r="H178" s="13" t="s">
        <v>469</v>
      </c>
      <c r="I178" s="13" t="s">
        <v>785</v>
      </c>
      <c r="M178" t="s">
        <v>2827</v>
      </c>
    </row>
    <row r="179" spans="1:13" ht="16.5" customHeight="1" x14ac:dyDescent="0.25">
      <c r="A179" s="6" t="s">
        <v>1029</v>
      </c>
      <c r="B179" s="7" t="s">
        <v>660</v>
      </c>
      <c r="C179" s="7" t="s">
        <v>388</v>
      </c>
      <c r="D179" s="7" t="s">
        <v>1030</v>
      </c>
      <c r="E179" s="7" t="s">
        <v>642</v>
      </c>
      <c r="F179" s="7" t="s">
        <v>785</v>
      </c>
      <c r="G179" s="7" t="s">
        <v>1031</v>
      </c>
      <c r="H179" s="7" t="s">
        <v>469</v>
      </c>
      <c r="I179" s="7" t="s">
        <v>785</v>
      </c>
      <c r="M179" t="s">
        <v>2827</v>
      </c>
    </row>
    <row r="180" spans="1:13" ht="16.5" customHeight="1" x14ac:dyDescent="0.25">
      <c r="A180" s="12" t="s">
        <v>1032</v>
      </c>
      <c r="B180" s="13" t="s">
        <v>660</v>
      </c>
      <c r="C180" s="13" t="s">
        <v>640</v>
      </c>
      <c r="D180" s="13" t="s">
        <v>1030</v>
      </c>
      <c r="E180" s="13" t="s">
        <v>642</v>
      </c>
      <c r="F180" s="13" t="s">
        <v>788</v>
      </c>
      <c r="G180" s="13" t="s">
        <v>787</v>
      </c>
      <c r="H180" s="13" t="s">
        <v>469</v>
      </c>
      <c r="I180" s="13" t="s">
        <v>788</v>
      </c>
      <c r="M180" t="s">
        <v>2827</v>
      </c>
    </row>
    <row r="181" spans="1:13" ht="16.5" customHeight="1" x14ac:dyDescent="0.25">
      <c r="A181" s="6" t="s">
        <v>1032</v>
      </c>
      <c r="B181" s="7" t="s">
        <v>660</v>
      </c>
      <c r="C181" s="7" t="s">
        <v>782</v>
      </c>
      <c r="D181" s="7" t="s">
        <v>1030</v>
      </c>
      <c r="E181" s="7" t="s">
        <v>642</v>
      </c>
      <c r="F181" s="7" t="s">
        <v>788</v>
      </c>
      <c r="G181" s="7" t="s">
        <v>784</v>
      </c>
      <c r="H181" s="7" t="s">
        <v>469</v>
      </c>
      <c r="I181" s="7" t="s">
        <v>785</v>
      </c>
      <c r="M181" t="s">
        <v>2827</v>
      </c>
    </row>
    <row r="182" spans="1:13" ht="16.5" customHeight="1" x14ac:dyDescent="0.25">
      <c r="A182" s="12" t="s">
        <v>1033</v>
      </c>
      <c r="B182" s="13" t="s">
        <v>660</v>
      </c>
      <c r="C182" s="13" t="s">
        <v>510</v>
      </c>
      <c r="D182" s="13" t="s">
        <v>662</v>
      </c>
      <c r="E182" s="13" t="s">
        <v>663</v>
      </c>
      <c r="F182" s="13" t="s">
        <v>833</v>
      </c>
      <c r="G182" s="13" t="s">
        <v>907</v>
      </c>
      <c r="H182" s="13" t="s">
        <v>469</v>
      </c>
      <c r="I182" s="13" t="s">
        <v>908</v>
      </c>
      <c r="M182" t="s">
        <v>2827</v>
      </c>
    </row>
    <row r="183" spans="1:13" ht="16.5" customHeight="1" x14ac:dyDescent="0.25">
      <c r="A183" s="6" t="s">
        <v>1034</v>
      </c>
      <c r="B183" s="7" t="s">
        <v>660</v>
      </c>
      <c r="C183" s="7" t="s">
        <v>1035</v>
      </c>
      <c r="D183" s="7" t="s">
        <v>662</v>
      </c>
      <c r="E183" s="7" t="s">
        <v>663</v>
      </c>
      <c r="F183" s="7" t="s">
        <v>833</v>
      </c>
      <c r="G183" s="7" t="s">
        <v>1036</v>
      </c>
      <c r="H183" s="7" t="s">
        <v>469</v>
      </c>
      <c r="I183" s="7" t="s">
        <v>837</v>
      </c>
      <c r="M183" t="s">
        <v>2827</v>
      </c>
    </row>
    <row r="184" spans="1:13" ht="16.5" customHeight="1" x14ac:dyDescent="0.25">
      <c r="A184" s="12" t="s">
        <v>1037</v>
      </c>
      <c r="B184" s="13" t="s">
        <v>660</v>
      </c>
      <c r="C184" s="13" t="s">
        <v>1038</v>
      </c>
      <c r="D184" s="13" t="s">
        <v>662</v>
      </c>
      <c r="E184" s="13" t="s">
        <v>663</v>
      </c>
      <c r="F184" s="13" t="s">
        <v>1039</v>
      </c>
      <c r="G184" s="13" t="s">
        <v>1040</v>
      </c>
      <c r="H184" s="13" t="s">
        <v>469</v>
      </c>
      <c r="I184" s="13" t="s">
        <v>1039</v>
      </c>
      <c r="M184" t="s">
        <v>2827</v>
      </c>
    </row>
    <row r="185" spans="1:13" ht="17.25" customHeight="1" x14ac:dyDescent="0.25">
      <c r="A185" s="6" t="s">
        <v>1041</v>
      </c>
      <c r="B185" s="7" t="s">
        <v>660</v>
      </c>
      <c r="C185" s="7" t="s">
        <v>640</v>
      </c>
      <c r="D185" s="7" t="s">
        <v>662</v>
      </c>
      <c r="E185" s="7" t="s">
        <v>663</v>
      </c>
      <c r="F185" s="7" t="s">
        <v>833</v>
      </c>
      <c r="G185" s="7" t="s">
        <v>1042</v>
      </c>
      <c r="H185" s="7" t="s">
        <v>469</v>
      </c>
      <c r="I185" s="7" t="s">
        <v>908</v>
      </c>
      <c r="M185" t="s">
        <v>2827</v>
      </c>
    </row>
    <row r="186" spans="1:13" ht="16.5" customHeight="1" x14ac:dyDescent="0.25">
      <c r="A186" s="12" t="s">
        <v>1043</v>
      </c>
      <c r="B186" s="13" t="s">
        <v>660</v>
      </c>
      <c r="C186" s="13" t="s">
        <v>959</v>
      </c>
      <c r="D186" s="13" t="s">
        <v>662</v>
      </c>
      <c r="E186" s="13" t="s">
        <v>663</v>
      </c>
      <c r="F186" s="13" t="s">
        <v>833</v>
      </c>
      <c r="G186" s="13" t="s">
        <v>962</v>
      </c>
      <c r="H186" s="13" t="s">
        <v>469</v>
      </c>
      <c r="I186" s="13" t="s">
        <v>908</v>
      </c>
      <c r="M186" t="s">
        <v>2827</v>
      </c>
    </row>
    <row r="187" spans="1:13" ht="16.5" customHeight="1" x14ac:dyDescent="0.25">
      <c r="A187" s="6" t="s">
        <v>1044</v>
      </c>
      <c r="B187" s="7" t="s">
        <v>660</v>
      </c>
      <c r="C187" s="7" t="s">
        <v>510</v>
      </c>
      <c r="D187" s="7" t="s">
        <v>662</v>
      </c>
      <c r="E187" s="7" t="s">
        <v>663</v>
      </c>
      <c r="F187" s="7" t="s">
        <v>833</v>
      </c>
      <c r="G187" s="7" t="s">
        <v>907</v>
      </c>
      <c r="H187" s="7" t="s">
        <v>469</v>
      </c>
      <c r="I187" s="7" t="s">
        <v>908</v>
      </c>
      <c r="M187" t="s">
        <v>2827</v>
      </c>
    </row>
    <row r="188" spans="1:13" ht="16.5" customHeight="1" x14ac:dyDescent="0.25">
      <c r="A188" s="12" t="s">
        <v>1045</v>
      </c>
      <c r="B188" s="13" t="s">
        <v>660</v>
      </c>
      <c r="C188" s="13" t="s">
        <v>640</v>
      </c>
      <c r="D188" s="13" t="s">
        <v>662</v>
      </c>
      <c r="E188" s="13" t="s">
        <v>673</v>
      </c>
      <c r="F188" s="13" t="s">
        <v>883</v>
      </c>
      <c r="G188" s="13" t="s">
        <v>1046</v>
      </c>
      <c r="H188" s="13" t="s">
        <v>469</v>
      </c>
      <c r="I188" s="13" t="s">
        <v>915</v>
      </c>
      <c r="M188" t="s">
        <v>2827</v>
      </c>
    </row>
    <row r="189" spans="1:13" ht="16.5" customHeight="1" x14ac:dyDescent="0.25">
      <c r="A189" s="6" t="s">
        <v>853</v>
      </c>
      <c r="B189" s="7" t="s">
        <v>660</v>
      </c>
      <c r="C189" s="7" t="s">
        <v>640</v>
      </c>
      <c r="D189" s="7" t="s">
        <v>662</v>
      </c>
      <c r="E189" s="7" t="s">
        <v>673</v>
      </c>
      <c r="F189" s="7" t="s">
        <v>854</v>
      </c>
      <c r="G189" s="7" t="s">
        <v>649</v>
      </c>
      <c r="H189" s="7" t="s">
        <v>469</v>
      </c>
      <c r="I189" s="7" t="s">
        <v>650</v>
      </c>
      <c r="M189" t="s">
        <v>2827</v>
      </c>
    </row>
    <row r="190" spans="1:13" ht="16.5" customHeight="1" x14ac:dyDescent="0.25">
      <c r="A190" s="12" t="s">
        <v>649</v>
      </c>
      <c r="B190" s="13" t="s">
        <v>660</v>
      </c>
      <c r="C190" s="13" t="s">
        <v>640</v>
      </c>
      <c r="D190" s="13" t="s">
        <v>662</v>
      </c>
      <c r="E190" s="13" t="s">
        <v>673</v>
      </c>
      <c r="F190" s="13" t="s">
        <v>650</v>
      </c>
      <c r="G190" s="13" t="s">
        <v>638</v>
      </c>
      <c r="H190" s="13" t="s">
        <v>469</v>
      </c>
      <c r="I190" s="13" t="s">
        <v>643</v>
      </c>
      <c r="M190" t="s">
        <v>2827</v>
      </c>
    </row>
    <row r="191" spans="1:13" ht="16.5" customHeight="1" x14ac:dyDescent="0.25">
      <c r="A191" s="6" t="s">
        <v>1042</v>
      </c>
      <c r="B191" s="7" t="s">
        <v>660</v>
      </c>
      <c r="C191" s="7" t="s">
        <v>640</v>
      </c>
      <c r="D191" s="7" t="s">
        <v>662</v>
      </c>
      <c r="E191" s="7" t="s">
        <v>697</v>
      </c>
      <c r="F191" s="7" t="s">
        <v>908</v>
      </c>
      <c r="G191" s="7" t="s">
        <v>651</v>
      </c>
      <c r="H191" s="7" t="s">
        <v>469</v>
      </c>
      <c r="I191" s="7" t="s">
        <v>650</v>
      </c>
      <c r="M191" t="s">
        <v>2827</v>
      </c>
    </row>
    <row r="192" spans="1:13" ht="16.5" customHeight="1" x14ac:dyDescent="0.25">
      <c r="A192" s="12" t="s">
        <v>1047</v>
      </c>
      <c r="B192" s="13" t="s">
        <v>660</v>
      </c>
      <c r="C192" s="13" t="s">
        <v>392</v>
      </c>
      <c r="D192" s="13" t="s">
        <v>662</v>
      </c>
      <c r="E192" s="13" t="s">
        <v>663</v>
      </c>
      <c r="F192" s="13" t="s">
        <v>1048</v>
      </c>
      <c r="G192" s="13" t="s">
        <v>653</v>
      </c>
      <c r="H192" s="13" t="s">
        <v>469</v>
      </c>
      <c r="I192" s="13" t="s">
        <v>654</v>
      </c>
      <c r="M192" t="s">
        <v>2827</v>
      </c>
    </row>
    <row r="193" spans="1:13" ht="16.5" customHeight="1" x14ac:dyDescent="0.25">
      <c r="A193" s="6" t="s">
        <v>1049</v>
      </c>
      <c r="B193" s="7" t="s">
        <v>660</v>
      </c>
      <c r="C193" s="7" t="s">
        <v>993</v>
      </c>
      <c r="D193" s="7" t="s">
        <v>662</v>
      </c>
      <c r="E193" s="7" t="s">
        <v>663</v>
      </c>
      <c r="F193" s="7" t="s">
        <v>1048</v>
      </c>
      <c r="G193" s="7" t="s">
        <v>995</v>
      </c>
      <c r="H193" s="7" t="s">
        <v>469</v>
      </c>
      <c r="I193" s="7" t="s">
        <v>996</v>
      </c>
      <c r="M193" t="s">
        <v>2827</v>
      </c>
    </row>
    <row r="194" spans="1:13" ht="16.5" customHeight="1" x14ac:dyDescent="0.25">
      <c r="A194" s="12" t="s">
        <v>1050</v>
      </c>
      <c r="B194" s="13" t="s">
        <v>660</v>
      </c>
      <c r="C194" s="13" t="s">
        <v>640</v>
      </c>
      <c r="D194" s="13" t="s">
        <v>662</v>
      </c>
      <c r="E194" s="13" t="s">
        <v>697</v>
      </c>
      <c r="F194" s="13" t="s">
        <v>1051</v>
      </c>
      <c r="G194" s="13" t="s">
        <v>656</v>
      </c>
      <c r="H194" s="13" t="s">
        <v>469</v>
      </c>
      <c r="I194" s="13" t="s">
        <v>657</v>
      </c>
      <c r="M194" t="s">
        <v>2827</v>
      </c>
    </row>
    <row r="195" spans="1:13" ht="16.5" customHeight="1" x14ac:dyDescent="0.25">
      <c r="A195" s="6" t="s">
        <v>1052</v>
      </c>
      <c r="B195" s="7" t="s">
        <v>660</v>
      </c>
      <c r="C195" s="7" t="s">
        <v>976</v>
      </c>
      <c r="D195" s="7" t="s">
        <v>662</v>
      </c>
      <c r="E195" s="7" t="s">
        <v>663</v>
      </c>
      <c r="F195" s="7" t="s">
        <v>1051</v>
      </c>
      <c r="G195" s="7" t="s">
        <v>977</v>
      </c>
      <c r="H195" s="7" t="s">
        <v>469</v>
      </c>
      <c r="I195" s="7" t="s">
        <v>973</v>
      </c>
      <c r="M195" t="s">
        <v>2827</v>
      </c>
    </row>
    <row r="196" spans="1:13" ht="16.5" customHeight="1" x14ac:dyDescent="0.25">
      <c r="A196" s="12" t="s">
        <v>1053</v>
      </c>
      <c r="B196" s="13" t="s">
        <v>660</v>
      </c>
      <c r="C196" s="13" t="s">
        <v>967</v>
      </c>
      <c r="D196" s="13" t="s">
        <v>662</v>
      </c>
      <c r="E196" s="13" t="s">
        <v>663</v>
      </c>
      <c r="F196" s="13" t="s">
        <v>1054</v>
      </c>
      <c r="G196" s="13" t="s">
        <v>971</v>
      </c>
      <c r="H196" s="13" t="s">
        <v>469</v>
      </c>
      <c r="I196" s="13" t="s">
        <v>862</v>
      </c>
      <c r="M196" t="s">
        <v>2827</v>
      </c>
    </row>
    <row r="197" spans="1:13" ht="17.25" customHeight="1" x14ac:dyDescent="0.25">
      <c r="A197" s="6" t="s">
        <v>1055</v>
      </c>
      <c r="B197" s="7" t="s">
        <v>580</v>
      </c>
      <c r="C197" s="7" t="s">
        <v>1056</v>
      </c>
      <c r="D197" s="7" t="s">
        <v>1057</v>
      </c>
      <c r="E197" s="7" t="s">
        <v>1058</v>
      </c>
      <c r="F197" s="7" t="s">
        <v>674</v>
      </c>
      <c r="G197" s="7" t="s">
        <v>1059</v>
      </c>
      <c r="H197" s="7" t="s">
        <v>469</v>
      </c>
      <c r="I197" s="7" t="s">
        <v>750</v>
      </c>
      <c r="M197" t="s">
        <v>2827</v>
      </c>
    </row>
    <row r="198" spans="1:13" ht="16.5" customHeight="1" x14ac:dyDescent="0.25">
      <c r="A198" s="12" t="s">
        <v>1060</v>
      </c>
      <c r="B198" s="13" t="s">
        <v>603</v>
      </c>
      <c r="C198" s="13" t="s">
        <v>1061</v>
      </c>
      <c r="D198" s="13" t="s">
        <v>1062</v>
      </c>
      <c r="E198" s="13" t="s">
        <v>663</v>
      </c>
      <c r="F198" s="13" t="s">
        <v>1063</v>
      </c>
      <c r="G198" s="13" t="s">
        <v>1064</v>
      </c>
      <c r="H198" s="13" t="s">
        <v>469</v>
      </c>
      <c r="I198" s="13" t="s">
        <v>833</v>
      </c>
      <c r="M198" t="s">
        <v>2827</v>
      </c>
    </row>
    <row r="199" spans="1:13" ht="16.5" customHeight="1" x14ac:dyDescent="0.25">
      <c r="A199" s="6" t="s">
        <v>1065</v>
      </c>
      <c r="B199" s="7" t="s">
        <v>603</v>
      </c>
      <c r="C199" s="7" t="s">
        <v>1066</v>
      </c>
      <c r="D199" s="7" t="s">
        <v>1067</v>
      </c>
      <c r="E199" s="7" t="s">
        <v>663</v>
      </c>
      <c r="F199" s="7" t="s">
        <v>1063</v>
      </c>
      <c r="G199" s="7" t="s">
        <v>1068</v>
      </c>
      <c r="H199" s="7" t="s">
        <v>469</v>
      </c>
      <c r="I199" s="7" t="s">
        <v>833</v>
      </c>
      <c r="M199" t="s">
        <v>2827</v>
      </c>
    </row>
    <row r="200" spans="1:13" ht="16.5" customHeight="1" x14ac:dyDescent="0.25">
      <c r="A200" s="12" t="s">
        <v>1069</v>
      </c>
      <c r="B200" s="13" t="s">
        <v>603</v>
      </c>
      <c r="C200" s="13" t="s">
        <v>1070</v>
      </c>
      <c r="D200" s="13" t="s">
        <v>1071</v>
      </c>
      <c r="E200" s="13" t="s">
        <v>663</v>
      </c>
      <c r="F200" s="13" t="s">
        <v>1063</v>
      </c>
      <c r="G200" s="13" t="s">
        <v>1072</v>
      </c>
      <c r="H200" s="13" t="s">
        <v>469</v>
      </c>
      <c r="I200" s="13" t="s">
        <v>833</v>
      </c>
      <c r="M200" t="s">
        <v>2827</v>
      </c>
    </row>
    <row r="201" spans="1:13" ht="16.5" customHeight="1" x14ac:dyDescent="0.25">
      <c r="A201" s="6" t="s">
        <v>1047</v>
      </c>
      <c r="B201" s="7" t="s">
        <v>660</v>
      </c>
      <c r="C201" s="7" t="s">
        <v>392</v>
      </c>
      <c r="D201" s="7" t="s">
        <v>662</v>
      </c>
      <c r="E201" s="7" t="s">
        <v>663</v>
      </c>
      <c r="F201" s="7" t="s">
        <v>1048</v>
      </c>
      <c r="G201" s="7" t="s">
        <v>1073</v>
      </c>
      <c r="H201" s="7" t="s">
        <v>157</v>
      </c>
      <c r="I201" s="7" t="s">
        <v>1074</v>
      </c>
      <c r="M201" t="s">
        <v>2827</v>
      </c>
    </row>
    <row r="202" spans="1:13" ht="16.5" customHeight="1" x14ac:dyDescent="0.25">
      <c r="A202" s="12" t="s">
        <v>1049</v>
      </c>
      <c r="B202" s="13" t="s">
        <v>660</v>
      </c>
      <c r="C202" s="13" t="s">
        <v>993</v>
      </c>
      <c r="D202" s="13" t="s">
        <v>662</v>
      </c>
      <c r="E202" s="13" t="s">
        <v>663</v>
      </c>
      <c r="F202" s="13" t="s">
        <v>1048</v>
      </c>
      <c r="G202" s="13" t="s">
        <v>1075</v>
      </c>
      <c r="H202" s="13" t="s">
        <v>157</v>
      </c>
      <c r="I202" s="13" t="s">
        <v>1074</v>
      </c>
      <c r="M202" t="s">
        <v>2827</v>
      </c>
    </row>
    <row r="203" spans="1:13" ht="16.5" customHeight="1" x14ac:dyDescent="0.25">
      <c r="A203" s="6" t="s">
        <v>1050</v>
      </c>
      <c r="B203" s="7" t="s">
        <v>660</v>
      </c>
      <c r="C203" s="7" t="s">
        <v>640</v>
      </c>
      <c r="D203" s="7" t="s">
        <v>662</v>
      </c>
      <c r="E203" s="7" t="s">
        <v>663</v>
      </c>
      <c r="F203" s="7" t="s">
        <v>1051</v>
      </c>
      <c r="G203" s="7" t="s">
        <v>1076</v>
      </c>
      <c r="H203" s="7" t="s">
        <v>157</v>
      </c>
      <c r="I203" s="7" t="s">
        <v>1077</v>
      </c>
      <c r="M203" t="s">
        <v>2827</v>
      </c>
    </row>
    <row r="204" spans="1:13" ht="16.5" customHeight="1" x14ac:dyDescent="0.25">
      <c r="A204" s="12" t="s">
        <v>1078</v>
      </c>
      <c r="B204" s="13" t="s">
        <v>660</v>
      </c>
      <c r="C204" s="13" t="s">
        <v>1079</v>
      </c>
      <c r="D204" s="13" t="s">
        <v>662</v>
      </c>
      <c r="E204" s="13" t="s">
        <v>663</v>
      </c>
      <c r="F204" s="13" t="s">
        <v>1051</v>
      </c>
      <c r="G204" s="13" t="s">
        <v>1080</v>
      </c>
      <c r="H204" s="13" t="s">
        <v>157</v>
      </c>
      <c r="I204" s="13" t="s">
        <v>1077</v>
      </c>
      <c r="M204" t="s">
        <v>2827</v>
      </c>
    </row>
    <row r="205" spans="1:13" ht="16.5" customHeight="1" x14ac:dyDescent="0.25">
      <c r="A205" s="6" t="s">
        <v>1081</v>
      </c>
      <c r="B205" s="7" t="s">
        <v>660</v>
      </c>
      <c r="C205" s="7" t="s">
        <v>1082</v>
      </c>
      <c r="D205" s="7" t="s">
        <v>662</v>
      </c>
      <c r="E205" s="7" t="s">
        <v>663</v>
      </c>
      <c r="F205" s="7" t="s">
        <v>1051</v>
      </c>
      <c r="G205" s="7" t="s">
        <v>1083</v>
      </c>
      <c r="H205" s="7" t="s">
        <v>157</v>
      </c>
      <c r="I205" s="7" t="s">
        <v>1077</v>
      </c>
      <c r="M205" t="s">
        <v>2827</v>
      </c>
    </row>
    <row r="206" spans="1:13" ht="16.5" customHeight="1" x14ac:dyDescent="0.25">
      <c r="A206" s="12" t="s">
        <v>1084</v>
      </c>
      <c r="B206" s="13" t="s">
        <v>660</v>
      </c>
      <c r="C206" s="13" t="s">
        <v>1085</v>
      </c>
      <c r="D206" s="13" t="s">
        <v>662</v>
      </c>
      <c r="E206" s="13" t="s">
        <v>663</v>
      </c>
      <c r="F206" s="13" t="s">
        <v>1051</v>
      </c>
      <c r="G206" s="13" t="s">
        <v>1086</v>
      </c>
      <c r="H206" s="13" t="s">
        <v>157</v>
      </c>
      <c r="I206" s="13" t="s">
        <v>1077</v>
      </c>
      <c r="M206" t="s">
        <v>2827</v>
      </c>
    </row>
    <row r="207" spans="1:13" ht="16.5" customHeight="1" x14ac:dyDescent="0.25">
      <c r="A207" s="6" t="s">
        <v>914</v>
      </c>
      <c r="B207" s="7" t="s">
        <v>660</v>
      </c>
      <c r="C207" s="7" t="s">
        <v>388</v>
      </c>
      <c r="D207" s="7" t="s">
        <v>662</v>
      </c>
      <c r="E207" s="7" t="s">
        <v>673</v>
      </c>
      <c r="F207" s="7" t="s">
        <v>915</v>
      </c>
      <c r="G207" s="7" t="s">
        <v>1087</v>
      </c>
      <c r="H207" s="7" t="s">
        <v>157</v>
      </c>
      <c r="I207" s="7" t="s">
        <v>1088</v>
      </c>
      <c r="M207" t="s">
        <v>2827</v>
      </c>
    </row>
    <row r="208" spans="1:13" ht="16.5" customHeight="1" x14ac:dyDescent="0.25">
      <c r="A208" s="12" t="s">
        <v>1089</v>
      </c>
      <c r="B208" s="13" t="s">
        <v>660</v>
      </c>
      <c r="C208" s="13" t="s">
        <v>1090</v>
      </c>
      <c r="D208" s="13" t="s">
        <v>662</v>
      </c>
      <c r="E208" s="13" t="s">
        <v>663</v>
      </c>
      <c r="F208" s="13" t="s">
        <v>1091</v>
      </c>
      <c r="G208" s="13" t="s">
        <v>1092</v>
      </c>
      <c r="H208" s="13" t="s">
        <v>34</v>
      </c>
      <c r="I208" s="13" t="s">
        <v>1093</v>
      </c>
      <c r="M208" t="s">
        <v>2827</v>
      </c>
    </row>
    <row r="209" spans="1:13" ht="16.5" customHeight="1" x14ac:dyDescent="0.25">
      <c r="A209" s="6" t="s">
        <v>1094</v>
      </c>
      <c r="B209" s="7" t="s">
        <v>660</v>
      </c>
      <c r="C209" s="7" t="s">
        <v>1095</v>
      </c>
      <c r="D209" s="7" t="s">
        <v>662</v>
      </c>
      <c r="E209" s="7" t="s">
        <v>663</v>
      </c>
      <c r="F209" s="7" t="s">
        <v>1096</v>
      </c>
      <c r="G209" s="7" t="s">
        <v>1097</v>
      </c>
      <c r="H209" s="7" t="s">
        <v>34</v>
      </c>
      <c r="I209" s="7" t="s">
        <v>1098</v>
      </c>
      <c r="M209" t="s">
        <v>2827</v>
      </c>
    </row>
    <row r="210" spans="1:13" ht="17.25" customHeight="1" x14ac:dyDescent="0.25">
      <c r="A210" s="12" t="s">
        <v>1099</v>
      </c>
      <c r="B210" s="13" t="s">
        <v>660</v>
      </c>
      <c r="C210" s="13" t="s">
        <v>1100</v>
      </c>
      <c r="D210" s="13" t="s">
        <v>662</v>
      </c>
      <c r="E210" s="13" t="s">
        <v>663</v>
      </c>
      <c r="F210" s="13" t="s">
        <v>1091</v>
      </c>
      <c r="G210" s="13" t="s">
        <v>1101</v>
      </c>
      <c r="H210" s="13" t="s">
        <v>34</v>
      </c>
      <c r="I210" s="13" t="s">
        <v>1093</v>
      </c>
      <c r="M210" t="s">
        <v>2827</v>
      </c>
    </row>
    <row r="211" spans="1:13" ht="16.5" customHeight="1" x14ac:dyDescent="0.25">
      <c r="A211" s="6" t="s">
        <v>1102</v>
      </c>
      <c r="B211" s="7" t="s">
        <v>660</v>
      </c>
      <c r="C211" s="7" t="s">
        <v>1103</v>
      </c>
      <c r="D211" s="7" t="s">
        <v>662</v>
      </c>
      <c r="E211" s="7" t="s">
        <v>663</v>
      </c>
      <c r="F211" s="7" t="s">
        <v>1096</v>
      </c>
      <c r="G211" s="7" t="s">
        <v>1104</v>
      </c>
      <c r="H211" s="7" t="s">
        <v>34</v>
      </c>
      <c r="I211" s="7" t="s">
        <v>1098</v>
      </c>
      <c r="M211" t="s">
        <v>2827</v>
      </c>
    </row>
    <row r="212" spans="1:13" ht="16.5" customHeight="1" x14ac:dyDescent="0.25">
      <c r="A212" s="12" t="s">
        <v>1105</v>
      </c>
      <c r="B212" s="13" t="s">
        <v>1106</v>
      </c>
      <c r="C212" s="13" t="s">
        <v>1107</v>
      </c>
      <c r="D212" s="13" t="s">
        <v>1057</v>
      </c>
      <c r="E212" s="13" t="s">
        <v>1058</v>
      </c>
      <c r="F212" s="13" t="s">
        <v>674</v>
      </c>
      <c r="G212" s="13" t="s">
        <v>1108</v>
      </c>
      <c r="H212" s="13" t="s">
        <v>34</v>
      </c>
      <c r="I212" s="13" t="s">
        <v>1109</v>
      </c>
      <c r="M212" t="s">
        <v>2827</v>
      </c>
    </row>
    <row r="213" spans="1:13" ht="16.5" customHeight="1" x14ac:dyDescent="0.25">
      <c r="A213" s="6" t="s">
        <v>1053</v>
      </c>
      <c r="B213" s="7" t="s">
        <v>1110</v>
      </c>
      <c r="C213" s="7" t="s">
        <v>967</v>
      </c>
      <c r="D213" s="7" t="s">
        <v>1111</v>
      </c>
      <c r="E213" s="7" t="s">
        <v>898</v>
      </c>
      <c r="F213" s="7" t="s">
        <v>1054</v>
      </c>
      <c r="G213" s="7" t="s">
        <v>1112</v>
      </c>
      <c r="H213" s="7" t="s">
        <v>34</v>
      </c>
      <c r="I213" s="7" t="s">
        <v>1113</v>
      </c>
      <c r="M213" t="s">
        <v>2827</v>
      </c>
    </row>
    <row r="214" spans="1:13" ht="16.5" customHeight="1" x14ac:dyDescent="0.25">
      <c r="A214" s="12" t="s">
        <v>655</v>
      </c>
      <c r="B214" s="13" t="s">
        <v>660</v>
      </c>
      <c r="C214" s="13" t="s">
        <v>392</v>
      </c>
      <c r="D214" s="13" t="s">
        <v>662</v>
      </c>
      <c r="E214" s="13" t="s">
        <v>663</v>
      </c>
      <c r="F214" s="13" t="s">
        <v>654</v>
      </c>
      <c r="G214" s="13" t="s">
        <v>1114</v>
      </c>
      <c r="H214" s="13" t="s">
        <v>157</v>
      </c>
      <c r="I214" s="13" t="s">
        <v>1115</v>
      </c>
      <c r="M214" t="s">
        <v>2827</v>
      </c>
    </row>
    <row r="215" spans="1:13" ht="16.5" customHeight="1" x14ac:dyDescent="0.25">
      <c r="A215" s="6" t="s">
        <v>655</v>
      </c>
      <c r="B215" s="7" t="s">
        <v>660</v>
      </c>
      <c r="C215" s="7" t="s">
        <v>392</v>
      </c>
      <c r="D215" s="7" t="s">
        <v>662</v>
      </c>
      <c r="E215" s="7" t="s">
        <v>663</v>
      </c>
      <c r="F215" s="7" t="s">
        <v>654</v>
      </c>
      <c r="G215" s="7" t="s">
        <v>1116</v>
      </c>
      <c r="H215" s="7" t="s">
        <v>157</v>
      </c>
      <c r="I215" s="7" t="s">
        <v>1117</v>
      </c>
      <c r="M215" t="s">
        <v>2827</v>
      </c>
    </row>
    <row r="216" spans="1:13" ht="16.5" customHeight="1" x14ac:dyDescent="0.25">
      <c r="A216" s="12" t="s">
        <v>1016</v>
      </c>
      <c r="B216" s="13" t="s">
        <v>660</v>
      </c>
      <c r="C216" s="13" t="s">
        <v>1013</v>
      </c>
      <c r="D216" s="13" t="s">
        <v>662</v>
      </c>
      <c r="E216" s="13" t="s">
        <v>663</v>
      </c>
      <c r="F216" s="13" t="s">
        <v>996</v>
      </c>
      <c r="G216" s="13" t="s">
        <v>1118</v>
      </c>
      <c r="H216" s="13" t="s">
        <v>157</v>
      </c>
      <c r="I216" s="13" t="s">
        <v>1117</v>
      </c>
      <c r="M216" t="s">
        <v>2827</v>
      </c>
    </row>
    <row r="217" spans="1:13" ht="16.5" customHeight="1" x14ac:dyDescent="0.25">
      <c r="A217" s="6" t="s">
        <v>1023</v>
      </c>
      <c r="B217" s="7" t="s">
        <v>660</v>
      </c>
      <c r="C217" s="7" t="s">
        <v>1021</v>
      </c>
      <c r="D217" s="7" t="s">
        <v>662</v>
      </c>
      <c r="E217" s="7" t="s">
        <v>663</v>
      </c>
      <c r="F217" s="7" t="s">
        <v>657</v>
      </c>
      <c r="G217" s="7" t="s">
        <v>1119</v>
      </c>
      <c r="H217" s="7" t="s">
        <v>157</v>
      </c>
      <c r="I217" s="7" t="s">
        <v>1115</v>
      </c>
      <c r="M217" t="s">
        <v>2827</v>
      </c>
    </row>
    <row r="218" spans="1:13" ht="16.5" customHeight="1" x14ac:dyDescent="0.25">
      <c r="A218" s="12" t="s">
        <v>1046</v>
      </c>
      <c r="B218" s="13" t="s">
        <v>660</v>
      </c>
      <c r="C218" s="13" t="s">
        <v>640</v>
      </c>
      <c r="D218" s="13" t="s">
        <v>662</v>
      </c>
      <c r="E218" s="13" t="s">
        <v>673</v>
      </c>
      <c r="F218" s="13" t="s">
        <v>915</v>
      </c>
      <c r="G218" s="13" t="s">
        <v>1120</v>
      </c>
      <c r="H218" s="13" t="s">
        <v>157</v>
      </c>
      <c r="I218" s="13" t="s">
        <v>1088</v>
      </c>
      <c r="M218" t="s">
        <v>2827</v>
      </c>
    </row>
    <row r="219" spans="1:13" ht="16.5" customHeight="1" x14ac:dyDescent="0.25">
      <c r="A219" s="6" t="s">
        <v>1121</v>
      </c>
      <c r="B219" s="7" t="s">
        <v>583</v>
      </c>
      <c r="C219" s="7" t="s">
        <v>1122</v>
      </c>
      <c r="D219" s="7" t="s">
        <v>1057</v>
      </c>
      <c r="E219" s="7" t="s">
        <v>1058</v>
      </c>
      <c r="F219" s="7" t="s">
        <v>881</v>
      </c>
      <c r="G219" s="7" t="s">
        <v>1123</v>
      </c>
      <c r="H219" s="7" t="s">
        <v>157</v>
      </c>
      <c r="I219" s="7" t="s">
        <v>1124</v>
      </c>
      <c r="M219" t="s">
        <v>2827</v>
      </c>
    </row>
    <row r="220" spans="1:13" ht="25.5" customHeight="1" x14ac:dyDescent="0.25">
      <c r="A220" s="12" t="s">
        <v>1125</v>
      </c>
      <c r="B220" s="13" t="s">
        <v>591</v>
      </c>
      <c r="C220" s="13" t="s">
        <v>1126</v>
      </c>
      <c r="D220" s="13" t="s">
        <v>1057</v>
      </c>
      <c r="E220" s="13" t="s">
        <v>1058</v>
      </c>
      <c r="F220" s="13" t="s">
        <v>881</v>
      </c>
      <c r="G220" s="13" t="s">
        <v>1127</v>
      </c>
      <c r="H220" s="13" t="s">
        <v>157</v>
      </c>
      <c r="I220" s="13" t="s">
        <v>1088</v>
      </c>
      <c r="M220" t="s">
        <v>2827</v>
      </c>
    </row>
    <row r="221" spans="1:13" ht="16.5" customHeight="1" x14ac:dyDescent="0.25">
      <c r="A221" s="6" t="s">
        <v>1128</v>
      </c>
      <c r="B221" s="7" t="s">
        <v>660</v>
      </c>
      <c r="C221" s="7" t="s">
        <v>1129</v>
      </c>
      <c r="D221" s="7" t="s">
        <v>662</v>
      </c>
      <c r="E221" s="7" t="s">
        <v>663</v>
      </c>
      <c r="F221" s="7" t="s">
        <v>1130</v>
      </c>
      <c r="G221" s="7" t="s">
        <v>1131</v>
      </c>
      <c r="H221" s="7" t="s">
        <v>209</v>
      </c>
      <c r="I221" s="7" t="s">
        <v>1132</v>
      </c>
      <c r="M221" t="s">
        <v>2827</v>
      </c>
    </row>
    <row r="222" spans="1:13" ht="16.5" customHeight="1" x14ac:dyDescent="0.25">
      <c r="A222" s="12" t="s">
        <v>1133</v>
      </c>
      <c r="B222" s="13" t="s">
        <v>660</v>
      </c>
      <c r="C222" s="13" t="s">
        <v>212</v>
      </c>
      <c r="D222" s="13" t="s">
        <v>662</v>
      </c>
      <c r="E222" s="13" t="s">
        <v>663</v>
      </c>
      <c r="F222" s="13" t="s">
        <v>1130</v>
      </c>
      <c r="G222" s="13" t="s">
        <v>1134</v>
      </c>
      <c r="H222" s="13" t="s">
        <v>209</v>
      </c>
      <c r="I222" s="13" t="s">
        <v>1130</v>
      </c>
      <c r="M222" t="s">
        <v>2827</v>
      </c>
    </row>
    <row r="223" spans="1:13" ht="16.5" customHeight="1" x14ac:dyDescent="0.25">
      <c r="A223" s="6" t="s">
        <v>1135</v>
      </c>
      <c r="B223" s="7" t="s">
        <v>660</v>
      </c>
      <c r="C223" s="7" t="s">
        <v>212</v>
      </c>
      <c r="D223" s="7" t="s">
        <v>662</v>
      </c>
      <c r="E223" s="7" t="s">
        <v>663</v>
      </c>
      <c r="F223" s="7" t="s">
        <v>951</v>
      </c>
      <c r="G223" s="7" t="s">
        <v>1136</v>
      </c>
      <c r="H223" s="7" t="s">
        <v>209</v>
      </c>
      <c r="I223" s="7" t="s">
        <v>1137</v>
      </c>
      <c r="M223" t="s">
        <v>2827</v>
      </c>
    </row>
    <row r="224" spans="1:13" ht="16.5" customHeight="1" x14ac:dyDescent="0.25">
      <c r="A224" s="12" t="s">
        <v>1138</v>
      </c>
      <c r="B224" s="13" t="s">
        <v>660</v>
      </c>
      <c r="C224" s="13" t="s">
        <v>1139</v>
      </c>
      <c r="D224" s="13" t="s">
        <v>662</v>
      </c>
      <c r="E224" s="13" t="s">
        <v>663</v>
      </c>
      <c r="F224" s="13" t="s">
        <v>1140</v>
      </c>
      <c r="G224" s="13" t="s">
        <v>1141</v>
      </c>
      <c r="H224" s="13" t="s">
        <v>209</v>
      </c>
      <c r="I224" s="13" t="s">
        <v>1140</v>
      </c>
      <c r="M224" t="s">
        <v>2827</v>
      </c>
    </row>
    <row r="225" spans="1:13" ht="17.25" customHeight="1" x14ac:dyDescent="0.25">
      <c r="A225" s="6" t="s">
        <v>1142</v>
      </c>
      <c r="B225" s="7" t="s">
        <v>660</v>
      </c>
      <c r="C225" s="7" t="s">
        <v>1143</v>
      </c>
      <c r="D225" s="7" t="s">
        <v>662</v>
      </c>
      <c r="E225" s="7" t="s">
        <v>663</v>
      </c>
      <c r="F225" s="7" t="s">
        <v>1144</v>
      </c>
      <c r="G225" s="7" t="s">
        <v>1145</v>
      </c>
      <c r="H225" s="7" t="s">
        <v>209</v>
      </c>
      <c r="I225" s="7" t="s">
        <v>1144</v>
      </c>
      <c r="M225" t="s">
        <v>2827</v>
      </c>
    </row>
    <row r="226" spans="1:13" ht="16.5" customHeight="1" x14ac:dyDescent="0.25">
      <c r="A226" s="12" t="s">
        <v>1146</v>
      </c>
      <c r="B226" s="13" t="s">
        <v>660</v>
      </c>
      <c r="C226" s="13" t="s">
        <v>1147</v>
      </c>
      <c r="D226" s="13" t="s">
        <v>716</v>
      </c>
      <c r="E226" s="13" t="s">
        <v>898</v>
      </c>
      <c r="F226" s="13" t="s">
        <v>1148</v>
      </c>
      <c r="G226" s="13" t="s">
        <v>1149</v>
      </c>
      <c r="H226" s="13" t="s">
        <v>309</v>
      </c>
      <c r="I226" s="13" t="s">
        <v>1150</v>
      </c>
      <c r="M226" t="s">
        <v>2827</v>
      </c>
    </row>
    <row r="227" spans="1:13" ht="16.5" customHeight="1" x14ac:dyDescent="0.25">
      <c r="A227" s="6" t="s">
        <v>1151</v>
      </c>
      <c r="B227" s="7" t="s">
        <v>660</v>
      </c>
      <c r="C227" s="7" t="s">
        <v>337</v>
      </c>
      <c r="D227" s="7" t="s">
        <v>716</v>
      </c>
      <c r="E227" s="7" t="s">
        <v>673</v>
      </c>
      <c r="F227" s="7" t="s">
        <v>1152</v>
      </c>
      <c r="G227" s="7" t="s">
        <v>1153</v>
      </c>
      <c r="H227" s="7" t="s">
        <v>309</v>
      </c>
      <c r="I227" s="7" t="s">
        <v>1152</v>
      </c>
      <c r="M227" t="s">
        <v>2827</v>
      </c>
    </row>
    <row r="228" spans="1:13" ht="16.5" customHeight="1" x14ac:dyDescent="0.25">
      <c r="A228" s="12" t="s">
        <v>889</v>
      </c>
      <c r="B228" s="13" t="s">
        <v>660</v>
      </c>
      <c r="C228" s="13" t="s">
        <v>508</v>
      </c>
      <c r="D228" s="13" t="s">
        <v>662</v>
      </c>
      <c r="E228" s="13" t="s">
        <v>697</v>
      </c>
      <c r="F228" s="13" t="s">
        <v>876</v>
      </c>
      <c r="G228" s="13" t="s">
        <v>1154</v>
      </c>
      <c r="H228" s="13" t="s">
        <v>309</v>
      </c>
      <c r="I228" s="13" t="s">
        <v>1155</v>
      </c>
      <c r="M228" t="s">
        <v>2827</v>
      </c>
    </row>
    <row r="229" spans="1:13" ht="16.5" customHeight="1" x14ac:dyDescent="0.25">
      <c r="A229" s="6" t="s">
        <v>875</v>
      </c>
      <c r="B229" s="7" t="s">
        <v>660</v>
      </c>
      <c r="C229" s="7" t="s">
        <v>640</v>
      </c>
      <c r="D229" s="7" t="s">
        <v>662</v>
      </c>
      <c r="E229" s="7" t="s">
        <v>697</v>
      </c>
      <c r="F229" s="7" t="s">
        <v>876</v>
      </c>
      <c r="G229" s="7" t="s">
        <v>1156</v>
      </c>
      <c r="H229" s="7" t="s">
        <v>309</v>
      </c>
      <c r="I229" s="7" t="s">
        <v>1155</v>
      </c>
      <c r="M229" t="s">
        <v>2827</v>
      </c>
    </row>
    <row r="230" spans="1:13" ht="16.5" customHeight="1" x14ac:dyDescent="0.25">
      <c r="A230" s="12" t="s">
        <v>648</v>
      </c>
      <c r="B230" s="13" t="s">
        <v>660</v>
      </c>
      <c r="C230" s="13" t="s">
        <v>508</v>
      </c>
      <c r="D230" s="13" t="s">
        <v>662</v>
      </c>
      <c r="E230" s="13" t="s">
        <v>898</v>
      </c>
      <c r="F230" s="13" t="s">
        <v>646</v>
      </c>
      <c r="G230" s="13" t="s">
        <v>1157</v>
      </c>
      <c r="H230" s="13" t="s">
        <v>309</v>
      </c>
      <c r="I230" s="13" t="s">
        <v>1155</v>
      </c>
      <c r="M230" t="s">
        <v>2827</v>
      </c>
    </row>
    <row r="231" spans="1:13" ht="16.5" customHeight="1" x14ac:dyDescent="0.25">
      <c r="A231" s="6" t="s">
        <v>648</v>
      </c>
      <c r="B231" s="7" t="s">
        <v>660</v>
      </c>
      <c r="C231" s="7" t="s">
        <v>508</v>
      </c>
      <c r="D231" s="7" t="s">
        <v>662</v>
      </c>
      <c r="E231" s="7" t="s">
        <v>898</v>
      </c>
      <c r="F231" s="7" t="s">
        <v>646</v>
      </c>
      <c r="G231" s="7" t="s">
        <v>1158</v>
      </c>
      <c r="H231" s="7" t="s">
        <v>309</v>
      </c>
      <c r="I231" s="7" t="s">
        <v>1159</v>
      </c>
      <c r="M231" t="s">
        <v>2827</v>
      </c>
    </row>
    <row r="232" spans="1:13" ht="16.5" customHeight="1" x14ac:dyDescent="0.25">
      <c r="A232" s="12" t="s">
        <v>648</v>
      </c>
      <c r="B232" s="13" t="s">
        <v>660</v>
      </c>
      <c r="C232" s="13" t="s">
        <v>508</v>
      </c>
      <c r="D232" s="13" t="s">
        <v>662</v>
      </c>
      <c r="E232" s="13" t="s">
        <v>673</v>
      </c>
      <c r="F232" s="13" t="s">
        <v>646</v>
      </c>
      <c r="G232" s="13" t="s">
        <v>1160</v>
      </c>
      <c r="H232" s="13" t="s">
        <v>309</v>
      </c>
      <c r="I232" s="13" t="s">
        <v>1161</v>
      </c>
      <c r="M232" t="s">
        <v>2827</v>
      </c>
    </row>
    <row r="233" spans="1:13" ht="16.5" customHeight="1" x14ac:dyDescent="0.25">
      <c r="A233" s="6" t="s">
        <v>652</v>
      </c>
      <c r="B233" s="7" t="s">
        <v>660</v>
      </c>
      <c r="C233" s="7" t="s">
        <v>640</v>
      </c>
      <c r="D233" s="7" t="s">
        <v>662</v>
      </c>
      <c r="E233" s="7" t="s">
        <v>898</v>
      </c>
      <c r="F233" s="7" t="s">
        <v>650</v>
      </c>
      <c r="G233" s="7" t="s">
        <v>1162</v>
      </c>
      <c r="H233" s="7" t="s">
        <v>309</v>
      </c>
      <c r="I233" s="7" t="s">
        <v>1155</v>
      </c>
      <c r="M233" t="s">
        <v>2827</v>
      </c>
    </row>
    <row r="234" spans="1:13" ht="16.5" customHeight="1" x14ac:dyDescent="0.25">
      <c r="A234" s="12" t="s">
        <v>652</v>
      </c>
      <c r="B234" s="13" t="s">
        <v>660</v>
      </c>
      <c r="C234" s="13" t="s">
        <v>640</v>
      </c>
      <c r="D234" s="13" t="s">
        <v>662</v>
      </c>
      <c r="E234" s="13" t="s">
        <v>898</v>
      </c>
      <c r="F234" s="13" t="s">
        <v>650</v>
      </c>
      <c r="G234" s="13" t="s">
        <v>1163</v>
      </c>
      <c r="H234" s="13" t="s">
        <v>309</v>
      </c>
      <c r="I234" s="13" t="s">
        <v>1159</v>
      </c>
      <c r="M234" t="s">
        <v>2827</v>
      </c>
    </row>
    <row r="235" spans="1:13" ht="16.5" customHeight="1" x14ac:dyDescent="0.25">
      <c r="A235" s="6" t="s">
        <v>652</v>
      </c>
      <c r="B235" s="7" t="s">
        <v>660</v>
      </c>
      <c r="C235" s="7" t="s">
        <v>640</v>
      </c>
      <c r="D235" s="7" t="s">
        <v>662</v>
      </c>
      <c r="E235" s="7" t="s">
        <v>673</v>
      </c>
      <c r="F235" s="7" t="s">
        <v>650</v>
      </c>
      <c r="G235" s="7" t="s">
        <v>1164</v>
      </c>
      <c r="H235" s="7" t="s">
        <v>309</v>
      </c>
      <c r="I235" s="7" t="s">
        <v>1165</v>
      </c>
      <c r="M235" t="s">
        <v>2827</v>
      </c>
    </row>
    <row r="236" spans="1:13" ht="16.5" customHeight="1" x14ac:dyDescent="0.25">
      <c r="A236" s="12" t="s">
        <v>1166</v>
      </c>
      <c r="B236" s="13" t="s">
        <v>626</v>
      </c>
      <c r="C236" s="13" t="s">
        <v>1167</v>
      </c>
      <c r="D236" s="13" t="s">
        <v>1057</v>
      </c>
      <c r="E236" s="13" t="s">
        <v>1058</v>
      </c>
      <c r="F236" s="13" t="s">
        <v>881</v>
      </c>
      <c r="G236" s="13" t="s">
        <v>1168</v>
      </c>
      <c r="H236" s="13" t="s">
        <v>309</v>
      </c>
      <c r="I236" s="13" t="s">
        <v>1169</v>
      </c>
      <c r="M236" t="s">
        <v>2827</v>
      </c>
    </row>
    <row r="237" spans="1:13" ht="17.25" customHeight="1" x14ac:dyDescent="0.25">
      <c r="A237" s="6" t="s">
        <v>1170</v>
      </c>
      <c r="B237" s="7" t="s">
        <v>628</v>
      </c>
      <c r="C237" s="7" t="s">
        <v>1171</v>
      </c>
      <c r="D237" s="7" t="s">
        <v>1057</v>
      </c>
      <c r="E237" s="7" t="s">
        <v>1058</v>
      </c>
      <c r="F237" s="7" t="s">
        <v>874</v>
      </c>
      <c r="G237" s="7" t="s">
        <v>1172</v>
      </c>
      <c r="H237" s="7" t="s">
        <v>309</v>
      </c>
      <c r="I237" s="7" t="s">
        <v>1173</v>
      </c>
      <c r="M237" t="s">
        <v>2827</v>
      </c>
    </row>
    <row r="238" spans="1:13" ht="16.5" customHeight="1" x14ac:dyDescent="0.25">
      <c r="A238" s="12" t="s">
        <v>1174</v>
      </c>
      <c r="B238" s="13" t="s">
        <v>660</v>
      </c>
      <c r="C238" s="13" t="s">
        <v>1175</v>
      </c>
      <c r="D238" s="13" t="s">
        <v>662</v>
      </c>
      <c r="E238" s="13" t="s">
        <v>663</v>
      </c>
      <c r="F238" s="13" t="s">
        <v>1176</v>
      </c>
      <c r="G238" s="13" t="s">
        <v>1177</v>
      </c>
      <c r="H238" s="13" t="s">
        <v>358</v>
      </c>
      <c r="I238" s="13" t="s">
        <v>1178</v>
      </c>
      <c r="M238" t="s">
        <v>2827</v>
      </c>
    </row>
    <row r="239" spans="1:13" ht="16.5" customHeight="1" x14ac:dyDescent="0.25">
      <c r="A239" s="6" t="s">
        <v>1179</v>
      </c>
      <c r="B239" s="7" t="s">
        <v>660</v>
      </c>
      <c r="C239" s="7" t="s">
        <v>1180</v>
      </c>
      <c r="D239" s="7" t="s">
        <v>662</v>
      </c>
      <c r="E239" s="7" t="s">
        <v>663</v>
      </c>
      <c r="F239" s="7" t="s">
        <v>1181</v>
      </c>
      <c r="G239" s="7" t="s">
        <v>1182</v>
      </c>
      <c r="H239" s="7" t="s">
        <v>358</v>
      </c>
      <c r="I239" s="7" t="s">
        <v>1183</v>
      </c>
      <c r="M239" t="s">
        <v>2827</v>
      </c>
    </row>
    <row r="240" spans="1:13" ht="16.5" customHeight="1" x14ac:dyDescent="0.25">
      <c r="A240" s="12" t="s">
        <v>1184</v>
      </c>
      <c r="B240" s="13" t="s">
        <v>660</v>
      </c>
      <c r="C240" s="13" t="s">
        <v>1185</v>
      </c>
      <c r="D240" s="13" t="s">
        <v>662</v>
      </c>
      <c r="E240" s="13" t="s">
        <v>663</v>
      </c>
      <c r="F240" s="13" t="s">
        <v>849</v>
      </c>
      <c r="G240" s="13" t="s">
        <v>1186</v>
      </c>
      <c r="H240" s="13" t="s">
        <v>358</v>
      </c>
      <c r="I240" s="13" t="s">
        <v>851</v>
      </c>
      <c r="M240" t="s">
        <v>2827</v>
      </c>
    </row>
    <row r="241" spans="1:13" ht="16.5" customHeight="1" x14ac:dyDescent="0.25">
      <c r="A241" s="6" t="s">
        <v>1187</v>
      </c>
      <c r="B241" s="7" t="s">
        <v>660</v>
      </c>
      <c r="C241" s="7" t="s">
        <v>1188</v>
      </c>
      <c r="D241" s="7" t="s">
        <v>662</v>
      </c>
      <c r="E241" s="7" t="s">
        <v>663</v>
      </c>
      <c r="F241" s="7" t="s">
        <v>1189</v>
      </c>
      <c r="G241" s="7" t="s">
        <v>1190</v>
      </c>
      <c r="H241" s="7" t="s">
        <v>358</v>
      </c>
      <c r="I241" s="7" t="s">
        <v>1189</v>
      </c>
      <c r="M241" t="s">
        <v>2827</v>
      </c>
    </row>
    <row r="242" spans="1:13" ht="16.5" customHeight="1" x14ac:dyDescent="0.25">
      <c r="A242" s="12" t="s">
        <v>1191</v>
      </c>
      <c r="B242" s="13" t="s">
        <v>660</v>
      </c>
      <c r="C242" s="13" t="s">
        <v>1192</v>
      </c>
      <c r="D242" s="13" t="s">
        <v>662</v>
      </c>
      <c r="E242" s="13" t="s">
        <v>663</v>
      </c>
      <c r="F242" s="13" t="s">
        <v>1181</v>
      </c>
      <c r="G242" s="13" t="s">
        <v>1193</v>
      </c>
      <c r="H242" s="13" t="s">
        <v>358</v>
      </c>
      <c r="I242" s="13" t="s">
        <v>1183</v>
      </c>
      <c r="M242" t="s">
        <v>2827</v>
      </c>
    </row>
    <row r="243" spans="1:13" ht="16.5" customHeight="1" x14ac:dyDescent="0.25">
      <c r="A243" s="6" t="s">
        <v>1194</v>
      </c>
      <c r="B243" s="7" t="s">
        <v>660</v>
      </c>
      <c r="C243" s="7" t="s">
        <v>1195</v>
      </c>
      <c r="D243" s="7" t="s">
        <v>662</v>
      </c>
      <c r="E243" s="7" t="s">
        <v>663</v>
      </c>
      <c r="F243" s="7" t="s">
        <v>1189</v>
      </c>
      <c r="G243" s="7" t="s">
        <v>1196</v>
      </c>
      <c r="H243" s="7" t="s">
        <v>358</v>
      </c>
      <c r="I243" s="7" t="s">
        <v>1189</v>
      </c>
      <c r="M243" t="s">
        <v>2827</v>
      </c>
    </row>
    <row r="244" spans="1:13" ht="16.5" customHeight="1" x14ac:dyDescent="0.25">
      <c r="A244" s="12" t="s">
        <v>1197</v>
      </c>
      <c r="B244" s="13" t="s">
        <v>660</v>
      </c>
      <c r="C244" s="13" t="s">
        <v>388</v>
      </c>
      <c r="D244" s="13" t="s">
        <v>662</v>
      </c>
      <c r="E244" s="13" t="s">
        <v>898</v>
      </c>
      <c r="F244" s="13" t="s">
        <v>646</v>
      </c>
      <c r="G244" s="13" t="s">
        <v>1198</v>
      </c>
      <c r="H244" s="13" t="s">
        <v>358</v>
      </c>
      <c r="I244" s="13" t="s">
        <v>1199</v>
      </c>
      <c r="M244" t="s">
        <v>2827</v>
      </c>
    </row>
    <row r="245" spans="1:13" ht="16.5" customHeight="1" x14ac:dyDescent="0.25">
      <c r="A245" s="6" t="s">
        <v>1200</v>
      </c>
      <c r="B245" s="7" t="s">
        <v>660</v>
      </c>
      <c r="C245" s="7" t="s">
        <v>391</v>
      </c>
      <c r="D245" s="7" t="s">
        <v>662</v>
      </c>
      <c r="E245" s="7" t="s">
        <v>673</v>
      </c>
      <c r="F245" s="7" t="s">
        <v>900</v>
      </c>
      <c r="G245" s="7" t="s">
        <v>1201</v>
      </c>
      <c r="H245" s="7" t="s">
        <v>358</v>
      </c>
      <c r="I245" s="7" t="s">
        <v>900</v>
      </c>
      <c r="M245" t="s">
        <v>2827</v>
      </c>
    </row>
    <row r="246" spans="1:13" ht="16.5" customHeight="1" x14ac:dyDescent="0.25">
      <c r="A246" s="12" t="s">
        <v>1202</v>
      </c>
      <c r="B246" s="13" t="s">
        <v>660</v>
      </c>
      <c r="C246" s="13" t="s">
        <v>1203</v>
      </c>
      <c r="D246" s="13" t="s">
        <v>716</v>
      </c>
      <c r="E246" s="13" t="s">
        <v>673</v>
      </c>
      <c r="F246" s="13" t="s">
        <v>1204</v>
      </c>
      <c r="G246" s="13" t="s">
        <v>1205</v>
      </c>
      <c r="H246" s="13" t="s">
        <v>358</v>
      </c>
      <c r="I246" s="13" t="s">
        <v>1204</v>
      </c>
      <c r="M246" t="s">
        <v>2827</v>
      </c>
    </row>
    <row r="247" spans="1:13" ht="16.5" customHeight="1" x14ac:dyDescent="0.25">
      <c r="A247" s="6" t="s">
        <v>1206</v>
      </c>
      <c r="B247" s="7" t="s">
        <v>660</v>
      </c>
      <c r="C247" s="7" t="s">
        <v>1207</v>
      </c>
      <c r="D247" s="7" t="s">
        <v>716</v>
      </c>
      <c r="E247" s="7" t="s">
        <v>673</v>
      </c>
      <c r="F247" s="7" t="s">
        <v>1208</v>
      </c>
      <c r="G247" s="7" t="s">
        <v>1209</v>
      </c>
      <c r="H247" s="7" t="s">
        <v>358</v>
      </c>
      <c r="I247" s="7" t="s">
        <v>1208</v>
      </c>
      <c r="M247" t="s">
        <v>2827</v>
      </c>
    </row>
    <row r="248" spans="1:13" ht="16.5" customHeight="1" x14ac:dyDescent="0.25">
      <c r="A248" s="12" t="s">
        <v>1210</v>
      </c>
      <c r="B248" s="13" t="s">
        <v>660</v>
      </c>
      <c r="C248" s="13" t="s">
        <v>1211</v>
      </c>
      <c r="D248" s="13" t="s">
        <v>716</v>
      </c>
      <c r="E248" s="13" t="s">
        <v>673</v>
      </c>
      <c r="F248" s="13" t="s">
        <v>1152</v>
      </c>
      <c r="G248" s="13" t="s">
        <v>1212</v>
      </c>
      <c r="H248" s="13" t="s">
        <v>358</v>
      </c>
      <c r="I248" s="13" t="s">
        <v>1152</v>
      </c>
      <c r="M248" t="s">
        <v>2827</v>
      </c>
    </row>
    <row r="249" spans="1:13" ht="16.5" customHeight="1" x14ac:dyDescent="0.25">
      <c r="A249" s="6" t="s">
        <v>1213</v>
      </c>
      <c r="B249" s="7" t="s">
        <v>660</v>
      </c>
      <c r="C249" s="7" t="s">
        <v>396</v>
      </c>
      <c r="D249" s="7" t="s">
        <v>716</v>
      </c>
      <c r="E249" s="7" t="s">
        <v>673</v>
      </c>
      <c r="F249" s="7" t="s">
        <v>1152</v>
      </c>
      <c r="G249" s="7" t="s">
        <v>1214</v>
      </c>
      <c r="H249" s="7" t="s">
        <v>358</v>
      </c>
      <c r="I249" s="7" t="s">
        <v>1152</v>
      </c>
      <c r="M249" t="s">
        <v>2827</v>
      </c>
    </row>
    <row r="250" spans="1:13" ht="17.25" customHeight="1" x14ac:dyDescent="0.25">
      <c r="A250" s="12" t="s">
        <v>939</v>
      </c>
      <c r="B250" s="13" t="s">
        <v>660</v>
      </c>
      <c r="C250" s="13" t="s">
        <v>940</v>
      </c>
      <c r="D250" s="13" t="s">
        <v>662</v>
      </c>
      <c r="E250" s="13" t="s">
        <v>663</v>
      </c>
      <c r="F250" s="13" t="s">
        <v>851</v>
      </c>
      <c r="G250" s="13" t="s">
        <v>1215</v>
      </c>
      <c r="H250" s="13" t="s">
        <v>358</v>
      </c>
      <c r="I250" s="13" t="s">
        <v>851</v>
      </c>
      <c r="M250" t="s">
        <v>2827</v>
      </c>
    </row>
    <row r="251" spans="1:13" ht="16.5" customHeight="1" x14ac:dyDescent="0.25">
      <c r="A251" s="6" t="s">
        <v>949</v>
      </c>
      <c r="B251" s="7" t="s">
        <v>660</v>
      </c>
      <c r="C251" s="7" t="s">
        <v>950</v>
      </c>
      <c r="D251" s="7" t="s">
        <v>662</v>
      </c>
      <c r="E251" s="7" t="s">
        <v>663</v>
      </c>
      <c r="F251" s="7" t="s">
        <v>951</v>
      </c>
      <c r="G251" s="7" t="s">
        <v>1216</v>
      </c>
      <c r="H251" s="7" t="s">
        <v>358</v>
      </c>
      <c r="I251" s="7" t="s">
        <v>951</v>
      </c>
      <c r="M251" t="s">
        <v>2827</v>
      </c>
    </row>
    <row r="252" spans="1:13" ht="16.5" customHeight="1" x14ac:dyDescent="0.25">
      <c r="A252" s="12" t="s">
        <v>1217</v>
      </c>
      <c r="B252" s="13" t="s">
        <v>660</v>
      </c>
      <c r="C252" s="13" t="s">
        <v>1218</v>
      </c>
      <c r="D252" s="13" t="s">
        <v>662</v>
      </c>
      <c r="E252" s="13" t="s">
        <v>663</v>
      </c>
      <c r="F252" s="13" t="s">
        <v>1219</v>
      </c>
      <c r="G252" s="13" t="s">
        <v>1220</v>
      </c>
      <c r="H252" s="13" t="s">
        <v>358</v>
      </c>
      <c r="I252" s="13" t="s">
        <v>1183</v>
      </c>
      <c r="M252" t="s">
        <v>2827</v>
      </c>
    </row>
    <row r="253" spans="1:13" ht="16.5" customHeight="1" x14ac:dyDescent="0.25">
      <c r="A253" s="6" t="s">
        <v>1221</v>
      </c>
      <c r="B253" s="7" t="s">
        <v>660</v>
      </c>
      <c r="C253" s="7" t="s">
        <v>1222</v>
      </c>
      <c r="D253" s="7" t="s">
        <v>662</v>
      </c>
      <c r="E253" s="7" t="s">
        <v>663</v>
      </c>
      <c r="F253" s="7" t="s">
        <v>1223</v>
      </c>
      <c r="G253" s="7" t="s">
        <v>1224</v>
      </c>
      <c r="H253" s="7" t="s">
        <v>358</v>
      </c>
      <c r="I253" s="7" t="s">
        <v>1225</v>
      </c>
      <c r="M253" t="s">
        <v>2827</v>
      </c>
    </row>
    <row r="254" spans="1:13" ht="16.5" customHeight="1" x14ac:dyDescent="0.25">
      <c r="A254" s="12" t="s">
        <v>1226</v>
      </c>
      <c r="B254" s="13" t="s">
        <v>660</v>
      </c>
      <c r="C254" s="13" t="s">
        <v>1227</v>
      </c>
      <c r="D254" s="13" t="s">
        <v>662</v>
      </c>
      <c r="E254" s="13" t="s">
        <v>663</v>
      </c>
      <c r="F254" s="13" t="s">
        <v>1223</v>
      </c>
      <c r="G254" s="13" t="s">
        <v>1228</v>
      </c>
      <c r="H254" s="13" t="s">
        <v>358</v>
      </c>
      <c r="I254" s="13" t="s">
        <v>1225</v>
      </c>
      <c r="M254" t="s">
        <v>2827</v>
      </c>
    </row>
    <row r="255" spans="1:13" ht="16.5" customHeight="1" x14ac:dyDescent="0.25">
      <c r="A255" s="6" t="s">
        <v>1229</v>
      </c>
      <c r="B255" s="7" t="s">
        <v>660</v>
      </c>
      <c r="C255" s="7" t="s">
        <v>1230</v>
      </c>
      <c r="D255" s="7" t="s">
        <v>662</v>
      </c>
      <c r="E255" s="7" t="s">
        <v>663</v>
      </c>
      <c r="F255" s="7" t="s">
        <v>1231</v>
      </c>
      <c r="G255" s="7" t="s">
        <v>1232</v>
      </c>
      <c r="H255" s="7" t="s">
        <v>358</v>
      </c>
      <c r="I255" s="7" t="s">
        <v>1233</v>
      </c>
      <c r="M255" t="s">
        <v>2827</v>
      </c>
    </row>
    <row r="256" spans="1:13" ht="16.5" customHeight="1" x14ac:dyDescent="0.25">
      <c r="A256" s="12" t="s">
        <v>1234</v>
      </c>
      <c r="B256" s="13" t="s">
        <v>660</v>
      </c>
      <c r="C256" s="13" t="s">
        <v>1235</v>
      </c>
      <c r="D256" s="13" t="s">
        <v>662</v>
      </c>
      <c r="E256" s="13" t="s">
        <v>663</v>
      </c>
      <c r="F256" s="13" t="s">
        <v>1231</v>
      </c>
      <c r="G256" s="13" t="s">
        <v>1236</v>
      </c>
      <c r="H256" s="13" t="s">
        <v>358</v>
      </c>
      <c r="I256" s="13" t="s">
        <v>1231</v>
      </c>
      <c r="M256" t="s">
        <v>2827</v>
      </c>
    </row>
    <row r="257" spans="1:13" ht="16.5" customHeight="1" x14ac:dyDescent="0.25">
      <c r="A257" s="6" t="s">
        <v>961</v>
      </c>
      <c r="B257" s="7" t="s">
        <v>660</v>
      </c>
      <c r="C257" s="7" t="s">
        <v>959</v>
      </c>
      <c r="D257" s="7" t="s">
        <v>662</v>
      </c>
      <c r="E257" s="7" t="s">
        <v>663</v>
      </c>
      <c r="F257" s="7" t="s">
        <v>960</v>
      </c>
      <c r="G257" s="7" t="s">
        <v>1237</v>
      </c>
      <c r="H257" s="7" t="s">
        <v>358</v>
      </c>
      <c r="I257" s="7" t="s">
        <v>1225</v>
      </c>
      <c r="M257" t="s">
        <v>2827</v>
      </c>
    </row>
    <row r="258" spans="1:13" ht="16.5" customHeight="1" x14ac:dyDescent="0.25">
      <c r="A258" s="12" t="s">
        <v>1238</v>
      </c>
      <c r="B258" s="13" t="s">
        <v>660</v>
      </c>
      <c r="C258" s="13" t="s">
        <v>1239</v>
      </c>
      <c r="D258" s="13" t="s">
        <v>662</v>
      </c>
      <c r="E258" s="13" t="s">
        <v>663</v>
      </c>
      <c r="F258" s="13" t="s">
        <v>1189</v>
      </c>
      <c r="G258" s="13" t="s">
        <v>1240</v>
      </c>
      <c r="H258" s="13" t="s">
        <v>358</v>
      </c>
      <c r="I258" s="13" t="s">
        <v>1189</v>
      </c>
      <c r="M258" t="s">
        <v>2827</v>
      </c>
    </row>
    <row r="259" spans="1:13" ht="16.5" customHeight="1" x14ac:dyDescent="0.25">
      <c r="A259" s="6" t="s">
        <v>1241</v>
      </c>
      <c r="B259" s="7" t="s">
        <v>660</v>
      </c>
      <c r="C259" s="7" t="s">
        <v>392</v>
      </c>
      <c r="D259" s="7" t="s">
        <v>662</v>
      </c>
      <c r="E259" s="7" t="s">
        <v>663</v>
      </c>
      <c r="F259" s="7" t="s">
        <v>1189</v>
      </c>
      <c r="G259" s="7" t="s">
        <v>1242</v>
      </c>
      <c r="H259" s="7" t="s">
        <v>358</v>
      </c>
      <c r="I259" s="7" t="s">
        <v>1189</v>
      </c>
      <c r="M259" t="s">
        <v>2827</v>
      </c>
    </row>
    <row r="260" spans="1:13" ht="16.5" customHeight="1" x14ac:dyDescent="0.25">
      <c r="A260" s="12" t="s">
        <v>937</v>
      </c>
      <c r="B260" s="13" t="s">
        <v>660</v>
      </c>
      <c r="C260" s="13" t="s">
        <v>936</v>
      </c>
      <c r="D260" s="13" t="s">
        <v>662</v>
      </c>
      <c r="E260" s="13" t="s">
        <v>663</v>
      </c>
      <c r="F260" s="13" t="s">
        <v>851</v>
      </c>
      <c r="G260" s="13" t="s">
        <v>1243</v>
      </c>
      <c r="H260" s="13" t="s">
        <v>358</v>
      </c>
      <c r="I260" s="13" t="s">
        <v>1244</v>
      </c>
      <c r="M260" t="s">
        <v>2827</v>
      </c>
    </row>
    <row r="261" spans="1:13" ht="16.5" customHeight="1" x14ac:dyDescent="0.25">
      <c r="A261" s="6" t="s">
        <v>941</v>
      </c>
      <c r="B261" s="7" t="s">
        <v>660</v>
      </c>
      <c r="C261" s="7" t="s">
        <v>940</v>
      </c>
      <c r="D261" s="7" t="s">
        <v>662</v>
      </c>
      <c r="E261" s="7" t="s">
        <v>663</v>
      </c>
      <c r="F261" s="7" t="s">
        <v>851</v>
      </c>
      <c r="G261" s="7" t="s">
        <v>1245</v>
      </c>
      <c r="H261" s="7" t="s">
        <v>358</v>
      </c>
      <c r="I261" s="7" t="s">
        <v>849</v>
      </c>
      <c r="M261" t="s">
        <v>2827</v>
      </c>
    </row>
    <row r="262" spans="1:13" ht="17.25" customHeight="1" x14ac:dyDescent="0.25">
      <c r="A262" s="12" t="s">
        <v>1246</v>
      </c>
      <c r="B262" s="13" t="s">
        <v>660</v>
      </c>
      <c r="C262" s="13" t="s">
        <v>1247</v>
      </c>
      <c r="D262" s="13" t="s">
        <v>662</v>
      </c>
      <c r="E262" s="13" t="s">
        <v>663</v>
      </c>
      <c r="F262" s="13" t="s">
        <v>1223</v>
      </c>
      <c r="G262" s="13" t="s">
        <v>1248</v>
      </c>
      <c r="H262" s="13" t="s">
        <v>358</v>
      </c>
      <c r="I262" s="13" t="s">
        <v>1249</v>
      </c>
      <c r="M262" t="s">
        <v>2827</v>
      </c>
    </row>
    <row r="263" spans="1:13" ht="16.5" customHeight="1" x14ac:dyDescent="0.25">
      <c r="A263" s="6" t="s">
        <v>1250</v>
      </c>
      <c r="B263" s="7" t="s">
        <v>660</v>
      </c>
      <c r="C263" s="7" t="s">
        <v>1251</v>
      </c>
      <c r="D263" s="7" t="s">
        <v>662</v>
      </c>
      <c r="E263" s="7" t="s">
        <v>663</v>
      </c>
      <c r="F263" s="7" t="s">
        <v>1223</v>
      </c>
      <c r="G263" s="7" t="s">
        <v>1252</v>
      </c>
      <c r="H263" s="7" t="s">
        <v>358</v>
      </c>
      <c r="I263" s="7" t="s">
        <v>1249</v>
      </c>
      <c r="M263" t="s">
        <v>2827</v>
      </c>
    </row>
    <row r="264" spans="1:13" ht="16.5" customHeight="1" x14ac:dyDescent="0.25">
      <c r="A264" s="12" t="s">
        <v>1253</v>
      </c>
      <c r="B264" s="13" t="s">
        <v>660</v>
      </c>
      <c r="C264" s="13" t="s">
        <v>1254</v>
      </c>
      <c r="D264" s="13" t="s">
        <v>662</v>
      </c>
      <c r="E264" s="13" t="s">
        <v>663</v>
      </c>
      <c r="F264" s="13" t="s">
        <v>973</v>
      </c>
      <c r="G264" s="13" t="s">
        <v>1255</v>
      </c>
      <c r="H264" s="13" t="s">
        <v>358</v>
      </c>
      <c r="I264" s="13" t="s">
        <v>1256</v>
      </c>
      <c r="M264" t="s">
        <v>2827</v>
      </c>
    </row>
    <row r="265" spans="1:13" ht="16.5" customHeight="1" x14ac:dyDescent="0.25">
      <c r="A265" s="6" t="s">
        <v>1257</v>
      </c>
      <c r="B265" s="7" t="s">
        <v>660</v>
      </c>
      <c r="C265" s="7" t="s">
        <v>1258</v>
      </c>
      <c r="D265" s="7" t="s">
        <v>662</v>
      </c>
      <c r="E265" s="7" t="s">
        <v>663</v>
      </c>
      <c r="F265" s="7" t="s">
        <v>1140</v>
      </c>
      <c r="G265" s="7" t="s">
        <v>1259</v>
      </c>
      <c r="H265" s="7" t="s">
        <v>358</v>
      </c>
      <c r="I265" s="7" t="s">
        <v>1260</v>
      </c>
      <c r="M265" t="s">
        <v>2827</v>
      </c>
    </row>
    <row r="266" spans="1:13" ht="16.5" customHeight="1" x14ac:dyDescent="0.25">
      <c r="A266" s="12" t="s">
        <v>1261</v>
      </c>
      <c r="B266" s="13" t="s">
        <v>660</v>
      </c>
      <c r="C266" s="13" t="s">
        <v>1262</v>
      </c>
      <c r="D266" s="13" t="s">
        <v>662</v>
      </c>
      <c r="E266" s="13" t="s">
        <v>663</v>
      </c>
      <c r="F266" s="13" t="s">
        <v>1223</v>
      </c>
      <c r="G266" s="13" t="s">
        <v>1263</v>
      </c>
      <c r="H266" s="13" t="s">
        <v>358</v>
      </c>
      <c r="I266" s="13" t="s">
        <v>1249</v>
      </c>
      <c r="M266" t="s">
        <v>2827</v>
      </c>
    </row>
    <row r="267" spans="1:13" ht="16.5" customHeight="1" x14ac:dyDescent="0.25">
      <c r="A267" s="6" t="s">
        <v>1264</v>
      </c>
      <c r="B267" s="7" t="s">
        <v>660</v>
      </c>
      <c r="C267" s="7" t="s">
        <v>1265</v>
      </c>
      <c r="D267" s="7" t="s">
        <v>662</v>
      </c>
      <c r="E267" s="7" t="s">
        <v>663</v>
      </c>
      <c r="F267" s="7" t="s">
        <v>1223</v>
      </c>
      <c r="G267" s="7" t="s">
        <v>1266</v>
      </c>
      <c r="H267" s="7" t="s">
        <v>358</v>
      </c>
      <c r="I267" s="7" t="s">
        <v>1249</v>
      </c>
      <c r="M267" t="s">
        <v>2827</v>
      </c>
    </row>
    <row r="268" spans="1:13" ht="16.5" customHeight="1" x14ac:dyDescent="0.25">
      <c r="A268" s="12" t="s">
        <v>1267</v>
      </c>
      <c r="B268" s="13" t="s">
        <v>660</v>
      </c>
      <c r="C268" s="13" t="s">
        <v>1268</v>
      </c>
      <c r="D268" s="13" t="s">
        <v>662</v>
      </c>
      <c r="E268" s="13" t="s">
        <v>663</v>
      </c>
      <c r="F268" s="13" t="s">
        <v>1144</v>
      </c>
      <c r="G268" s="13" t="s">
        <v>1269</v>
      </c>
      <c r="H268" s="13" t="s">
        <v>358</v>
      </c>
      <c r="I268" s="13" t="s">
        <v>951</v>
      </c>
      <c r="M268" t="s">
        <v>2827</v>
      </c>
    </row>
    <row r="269" spans="1:13" ht="16.5" customHeight="1" x14ac:dyDescent="0.25">
      <c r="A269" s="6" t="s">
        <v>1270</v>
      </c>
      <c r="B269" s="7" t="s">
        <v>660</v>
      </c>
      <c r="C269" s="7" t="s">
        <v>1271</v>
      </c>
      <c r="D269" s="7" t="s">
        <v>662</v>
      </c>
      <c r="E269" s="7" t="s">
        <v>663</v>
      </c>
      <c r="F269" s="7" t="s">
        <v>953</v>
      </c>
      <c r="G269" s="7" t="s">
        <v>1272</v>
      </c>
      <c r="H269" s="7" t="s">
        <v>358</v>
      </c>
      <c r="I269" s="7" t="s">
        <v>951</v>
      </c>
      <c r="M269" t="s">
        <v>2827</v>
      </c>
    </row>
    <row r="270" spans="1:13" ht="16.5" customHeight="1" x14ac:dyDescent="0.25">
      <c r="A270" s="12" t="s">
        <v>1273</v>
      </c>
      <c r="B270" s="13" t="s">
        <v>660</v>
      </c>
      <c r="C270" s="13" t="s">
        <v>640</v>
      </c>
      <c r="D270" s="13" t="s">
        <v>662</v>
      </c>
      <c r="E270" s="13" t="s">
        <v>673</v>
      </c>
      <c r="F270" s="13" t="s">
        <v>902</v>
      </c>
      <c r="G270" s="13" t="s">
        <v>1274</v>
      </c>
      <c r="H270" s="13" t="s">
        <v>358</v>
      </c>
      <c r="I270" s="13" t="s">
        <v>900</v>
      </c>
      <c r="M270" t="s">
        <v>2827</v>
      </c>
    </row>
    <row r="271" spans="1:13" ht="16.5" customHeight="1" x14ac:dyDescent="0.25">
      <c r="A271" s="6" t="s">
        <v>1275</v>
      </c>
      <c r="B271" s="7" t="s">
        <v>660</v>
      </c>
      <c r="C271" s="7" t="s">
        <v>1276</v>
      </c>
      <c r="D271" s="7" t="s">
        <v>662</v>
      </c>
      <c r="E271" s="7" t="s">
        <v>663</v>
      </c>
      <c r="F271" s="7" t="s">
        <v>833</v>
      </c>
      <c r="G271" s="7" t="s">
        <v>1277</v>
      </c>
      <c r="H271" s="7" t="s">
        <v>358</v>
      </c>
      <c r="I271" s="7" t="s">
        <v>837</v>
      </c>
      <c r="M271" t="s">
        <v>2827</v>
      </c>
    </row>
    <row r="272" spans="1:13" ht="16.5" customHeight="1" x14ac:dyDescent="0.25">
      <c r="A272" s="12" t="s">
        <v>1278</v>
      </c>
      <c r="B272" s="13" t="s">
        <v>660</v>
      </c>
      <c r="C272" s="13" t="s">
        <v>1279</v>
      </c>
      <c r="D272" s="13" t="s">
        <v>662</v>
      </c>
      <c r="E272" s="13" t="s">
        <v>663</v>
      </c>
      <c r="F272" s="13" t="s">
        <v>833</v>
      </c>
      <c r="G272" s="13" t="s">
        <v>1280</v>
      </c>
      <c r="H272" s="13" t="s">
        <v>358</v>
      </c>
      <c r="I272" s="13" t="s">
        <v>831</v>
      </c>
      <c r="M272" t="s">
        <v>2827</v>
      </c>
    </row>
    <row r="273" spans="1:13" ht="16.5" customHeight="1" x14ac:dyDescent="0.25">
      <c r="A273" s="6" t="s">
        <v>1281</v>
      </c>
      <c r="B273" s="7" t="s">
        <v>660</v>
      </c>
      <c r="C273" s="7" t="s">
        <v>1282</v>
      </c>
      <c r="D273" s="7" t="s">
        <v>662</v>
      </c>
      <c r="E273" s="7" t="s">
        <v>663</v>
      </c>
      <c r="F273" s="7" t="s">
        <v>1219</v>
      </c>
      <c r="G273" s="7" t="s">
        <v>1283</v>
      </c>
      <c r="H273" s="7" t="s">
        <v>358</v>
      </c>
      <c r="I273" s="7" t="s">
        <v>1181</v>
      </c>
      <c r="M273" t="s">
        <v>2827</v>
      </c>
    </row>
    <row r="274" spans="1:13" ht="16.5" customHeight="1" x14ac:dyDescent="0.25">
      <c r="A274" s="12" t="s">
        <v>1031</v>
      </c>
      <c r="B274" s="13" t="s">
        <v>660</v>
      </c>
      <c r="C274" s="13" t="s">
        <v>388</v>
      </c>
      <c r="D274" s="13" t="s">
        <v>662</v>
      </c>
      <c r="E274" s="13" t="s">
        <v>898</v>
      </c>
      <c r="F274" s="13" t="s">
        <v>785</v>
      </c>
      <c r="G274" s="13" t="s">
        <v>1284</v>
      </c>
      <c r="H274" s="13" t="s">
        <v>358</v>
      </c>
      <c r="I274" s="13" t="s">
        <v>1285</v>
      </c>
      <c r="M274" t="s">
        <v>2827</v>
      </c>
    </row>
    <row r="275" spans="1:13" ht="17.25" customHeight="1" x14ac:dyDescent="0.25">
      <c r="A275" s="6" t="s">
        <v>787</v>
      </c>
      <c r="B275" s="7" t="s">
        <v>660</v>
      </c>
      <c r="C275" s="7" t="s">
        <v>640</v>
      </c>
      <c r="D275" s="7" t="s">
        <v>662</v>
      </c>
      <c r="E275" s="7" t="s">
        <v>898</v>
      </c>
      <c r="F275" s="7" t="s">
        <v>788</v>
      </c>
      <c r="G275" s="7" t="s">
        <v>1286</v>
      </c>
      <c r="H275" s="7" t="s">
        <v>358</v>
      </c>
      <c r="I275" s="7" t="s">
        <v>1199</v>
      </c>
      <c r="M275" t="s">
        <v>2827</v>
      </c>
    </row>
    <row r="276" spans="1:13" ht="16.5" customHeight="1" x14ac:dyDescent="0.25">
      <c r="A276" s="12" t="s">
        <v>649</v>
      </c>
      <c r="B276" s="13" t="s">
        <v>660</v>
      </c>
      <c r="C276" s="13" t="s">
        <v>640</v>
      </c>
      <c r="D276" s="13" t="s">
        <v>662</v>
      </c>
      <c r="E276" s="13" t="s">
        <v>898</v>
      </c>
      <c r="F276" s="13" t="s">
        <v>650</v>
      </c>
      <c r="G276" s="13" t="s">
        <v>1287</v>
      </c>
      <c r="H276" s="13" t="s">
        <v>358</v>
      </c>
      <c r="I276" s="13" t="s">
        <v>1199</v>
      </c>
      <c r="M276" t="s">
        <v>2827</v>
      </c>
    </row>
    <row r="277" spans="1:13" ht="16.5" customHeight="1" x14ac:dyDescent="0.25">
      <c r="A277" s="6" t="s">
        <v>1288</v>
      </c>
      <c r="B277" s="7" t="s">
        <v>660</v>
      </c>
      <c r="C277" s="7" t="s">
        <v>1289</v>
      </c>
      <c r="D277" s="7" t="s">
        <v>662</v>
      </c>
      <c r="E277" s="7" t="s">
        <v>663</v>
      </c>
      <c r="F277" s="7" t="s">
        <v>1051</v>
      </c>
      <c r="G277" s="7" t="s">
        <v>1290</v>
      </c>
      <c r="H277" s="7" t="s">
        <v>358</v>
      </c>
      <c r="I277" s="7" t="s">
        <v>1291</v>
      </c>
      <c r="M277" t="s">
        <v>2827</v>
      </c>
    </row>
    <row r="278" spans="1:13" ht="16.5" customHeight="1" x14ac:dyDescent="0.25">
      <c r="A278" s="12" t="s">
        <v>658</v>
      </c>
      <c r="B278" s="13" t="s">
        <v>660</v>
      </c>
      <c r="C278" s="13" t="s">
        <v>640</v>
      </c>
      <c r="D278" s="13" t="s">
        <v>662</v>
      </c>
      <c r="E278" s="13" t="s">
        <v>663</v>
      </c>
      <c r="F278" s="13" t="s">
        <v>657</v>
      </c>
      <c r="G278" s="13" t="s">
        <v>1292</v>
      </c>
      <c r="H278" s="13" t="s">
        <v>358</v>
      </c>
      <c r="I278" s="13" t="s">
        <v>1293</v>
      </c>
      <c r="M278" t="s">
        <v>2827</v>
      </c>
    </row>
    <row r="279" spans="1:13" ht="16.5" customHeight="1" x14ac:dyDescent="0.25">
      <c r="A279" s="6" t="s">
        <v>655</v>
      </c>
      <c r="B279" s="7" t="s">
        <v>660</v>
      </c>
      <c r="C279" s="7" t="s">
        <v>392</v>
      </c>
      <c r="D279" s="7" t="s">
        <v>662</v>
      </c>
      <c r="E279" s="7" t="s">
        <v>663</v>
      </c>
      <c r="F279" s="7" t="s">
        <v>654</v>
      </c>
      <c r="G279" s="7" t="s">
        <v>1294</v>
      </c>
      <c r="H279" s="7" t="s">
        <v>358</v>
      </c>
      <c r="I279" s="7" t="s">
        <v>1293</v>
      </c>
      <c r="M279" t="s">
        <v>2827</v>
      </c>
    </row>
    <row r="280" spans="1:13" ht="16.5" customHeight="1" x14ac:dyDescent="0.25">
      <c r="A280" s="12" t="s">
        <v>859</v>
      </c>
      <c r="B280" s="13" t="s">
        <v>660</v>
      </c>
      <c r="C280" s="13" t="s">
        <v>1295</v>
      </c>
      <c r="D280" s="13" t="s">
        <v>662</v>
      </c>
      <c r="E280" s="13" t="s">
        <v>663</v>
      </c>
      <c r="F280" s="13" t="s">
        <v>862</v>
      </c>
      <c r="G280" s="13" t="s">
        <v>1296</v>
      </c>
      <c r="H280" s="13" t="s">
        <v>358</v>
      </c>
      <c r="I280" s="13" t="s">
        <v>1297</v>
      </c>
      <c r="M280" t="s">
        <v>2827</v>
      </c>
    </row>
    <row r="281" spans="1:13" ht="16.5" customHeight="1" x14ac:dyDescent="0.25">
      <c r="A281" s="6" t="s">
        <v>971</v>
      </c>
      <c r="B281" s="7" t="s">
        <v>660</v>
      </c>
      <c r="C281" s="7" t="s">
        <v>967</v>
      </c>
      <c r="D281" s="7" t="s">
        <v>662</v>
      </c>
      <c r="E281" s="7" t="s">
        <v>663</v>
      </c>
      <c r="F281" s="7" t="s">
        <v>862</v>
      </c>
      <c r="G281" s="7" t="s">
        <v>1298</v>
      </c>
      <c r="H281" s="7" t="s">
        <v>358</v>
      </c>
      <c r="I281" s="7" t="s">
        <v>1297</v>
      </c>
      <c r="M281" t="s">
        <v>2827</v>
      </c>
    </row>
    <row r="282" spans="1:13" ht="16.5" customHeight="1" x14ac:dyDescent="0.25">
      <c r="A282" s="12" t="s">
        <v>914</v>
      </c>
      <c r="B282" s="13" t="s">
        <v>660</v>
      </c>
      <c r="C282" s="13" t="s">
        <v>388</v>
      </c>
      <c r="D282" s="13" t="s">
        <v>662</v>
      </c>
      <c r="E282" s="13" t="s">
        <v>673</v>
      </c>
      <c r="F282" s="13" t="s">
        <v>915</v>
      </c>
      <c r="G282" s="13" t="s">
        <v>1299</v>
      </c>
      <c r="H282" s="13" t="s">
        <v>358</v>
      </c>
      <c r="I282" s="13" t="s">
        <v>1285</v>
      </c>
      <c r="M282" t="s">
        <v>2827</v>
      </c>
    </row>
    <row r="283" spans="1:13" ht="16.5" customHeight="1" x14ac:dyDescent="0.25">
      <c r="A283" s="6" t="s">
        <v>1046</v>
      </c>
      <c r="B283" s="7" t="s">
        <v>660</v>
      </c>
      <c r="C283" s="7" t="s">
        <v>640</v>
      </c>
      <c r="D283" s="7" t="s">
        <v>662</v>
      </c>
      <c r="E283" s="7" t="s">
        <v>673</v>
      </c>
      <c r="F283" s="7" t="s">
        <v>915</v>
      </c>
      <c r="G283" s="7" t="s">
        <v>1300</v>
      </c>
      <c r="H283" s="7" t="s">
        <v>358</v>
      </c>
      <c r="I283" s="7" t="s">
        <v>1199</v>
      </c>
      <c r="M283" t="s">
        <v>2827</v>
      </c>
    </row>
    <row r="284" spans="1:13" ht="16.5" customHeight="1" x14ac:dyDescent="0.25">
      <c r="A284" s="12" t="s">
        <v>1301</v>
      </c>
      <c r="B284" s="13" t="s">
        <v>581</v>
      </c>
      <c r="C284" s="13" t="s">
        <v>1302</v>
      </c>
      <c r="D284" s="13" t="s">
        <v>1057</v>
      </c>
      <c r="E284" s="13" t="s">
        <v>1058</v>
      </c>
      <c r="F284" s="13" t="s">
        <v>750</v>
      </c>
      <c r="G284" s="13" t="s">
        <v>1303</v>
      </c>
      <c r="H284" s="13" t="s">
        <v>358</v>
      </c>
      <c r="I284" s="13" t="s">
        <v>1304</v>
      </c>
      <c r="M284" t="s">
        <v>2827</v>
      </c>
    </row>
    <row r="285" spans="1:13" ht="6.75" customHeight="1" x14ac:dyDescent="0.25"/>
    <row r="286" spans="1:13" ht="0.75" customHeight="1" x14ac:dyDescent="0.25">
      <c r="F286" s="35" t="s">
        <v>1</v>
      </c>
      <c r="G286" s="35"/>
      <c r="H286" s="35"/>
    </row>
    <row r="287" spans="1:13" ht="11.25" customHeight="1" x14ac:dyDescent="0.25">
      <c r="A287" s="36" t="s">
        <v>637</v>
      </c>
      <c r="B287" s="36"/>
      <c r="C287" s="36"/>
      <c r="D287" s="36"/>
      <c r="F287" s="35"/>
      <c r="G287" s="35"/>
      <c r="H287" s="35"/>
    </row>
    <row r="288" spans="1:13" ht="0.75" customHeight="1" x14ac:dyDescent="0.25">
      <c r="A288" s="36"/>
      <c r="B288" s="36"/>
      <c r="C288" s="36"/>
      <c r="D288" s="36"/>
    </row>
  </sheetData>
  <mergeCells count="13">
    <mergeCell ref="F286:H287"/>
    <mergeCell ref="A287:D288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&amp;C4K911 TURBINE PANEL B^JB70_A.1</oddHeader>
    <oddFooter>&amp;L&amp;D&amp;CPage &amp;P of &amp;N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C4D798-D62A-459B-B542-8B6DDD331415}">
  <sheetPr>
    <pageSetUpPr fitToPage="1"/>
  </sheetPr>
  <dimension ref="A1:J17"/>
  <sheetViews>
    <sheetView showGridLines="0" workbookViewId="0">
      <selection sqref="A1:C1"/>
    </sheetView>
  </sheetViews>
  <sheetFormatPr defaultRowHeight="15" x14ac:dyDescent="0.25"/>
  <cols>
    <col min="1" max="1" width="20.5703125" customWidth="1"/>
    <col min="2" max="2" width="17.140625" customWidth="1"/>
    <col min="3" max="3" width="27.42578125" customWidth="1"/>
    <col min="4" max="4" width="13.7109375" customWidth="1"/>
    <col min="5" max="6" width="17.140625" customWidth="1"/>
    <col min="7" max="7" width="10.28515625" customWidth="1"/>
    <col min="8" max="8" width="20.5703125" customWidth="1"/>
    <col min="9" max="9" width="17.140625" customWidth="1"/>
    <col min="10" max="10" width="10.28515625" customWidth="1"/>
  </cols>
  <sheetData>
    <row r="1" spans="1:10" ht="18" x14ac:dyDescent="0.25">
      <c r="A1" s="37" t="s">
        <v>629</v>
      </c>
      <c r="B1" s="37"/>
      <c r="C1" s="37"/>
    </row>
    <row r="2" spans="1:10" ht="12" customHeight="1" x14ac:dyDescent="0.25">
      <c r="A2" s="38"/>
      <c r="B2" s="38"/>
      <c r="C2" s="38"/>
    </row>
    <row r="3" spans="1:10" ht="12.75" customHeight="1" x14ac:dyDescent="0.25">
      <c r="A3" s="2" t="s">
        <v>2</v>
      </c>
      <c r="B3" s="39" t="s">
        <v>3</v>
      </c>
      <c r="C3" s="39"/>
    </row>
    <row r="4" spans="1:10" x14ac:dyDescent="0.25">
      <c r="A4" s="2" t="s">
        <v>5</v>
      </c>
      <c r="B4" s="39" t="s">
        <v>6</v>
      </c>
      <c r="C4" s="39"/>
    </row>
    <row r="5" spans="1:10" ht="12.75" customHeight="1" x14ac:dyDescent="0.25">
      <c r="A5" s="2" t="s">
        <v>7</v>
      </c>
      <c r="B5" s="39" t="s">
        <v>8</v>
      </c>
      <c r="C5" s="39"/>
    </row>
    <row r="6" spans="1:10" ht="5.25" customHeight="1" x14ac:dyDescent="0.25"/>
    <row r="7" spans="1:10" x14ac:dyDescent="0.25">
      <c r="A7" s="2" t="s">
        <v>9</v>
      </c>
      <c r="B7" s="39" t="s">
        <v>10</v>
      </c>
      <c r="C7" s="39"/>
    </row>
    <row r="8" spans="1:10" ht="12.75" customHeight="1" x14ac:dyDescent="0.25">
      <c r="A8" s="2" t="s">
        <v>11</v>
      </c>
      <c r="B8" s="39" t="s">
        <v>12</v>
      </c>
      <c r="C8" s="39"/>
    </row>
    <row r="9" spans="1:10" x14ac:dyDescent="0.25">
      <c r="A9" s="2" t="s">
        <v>13</v>
      </c>
      <c r="B9" s="39"/>
      <c r="C9" s="39"/>
    </row>
    <row r="10" spans="1:10" ht="12.75" customHeight="1" x14ac:dyDescent="0.25">
      <c r="A10" s="2" t="s">
        <v>11</v>
      </c>
      <c r="B10" s="39"/>
      <c r="C10" s="39"/>
    </row>
    <row r="11" spans="1:10" ht="10.5" customHeight="1" x14ac:dyDescent="0.25"/>
    <row r="12" spans="1:10" ht="16.5" customHeight="1" x14ac:dyDescent="0.25">
      <c r="A12" s="40" t="s">
        <v>630</v>
      </c>
      <c r="B12" s="40"/>
      <c r="C12" s="40"/>
      <c r="D12" s="40"/>
      <c r="E12" s="40"/>
      <c r="F12" s="40"/>
      <c r="G12" s="40"/>
      <c r="H12" s="41" t="s">
        <v>631</v>
      </c>
      <c r="I12" s="41"/>
      <c r="J12" s="41"/>
    </row>
    <row r="13" spans="1:10" ht="36" x14ac:dyDescent="0.25">
      <c r="A13" s="10" t="s">
        <v>14</v>
      </c>
      <c r="B13" s="11" t="s">
        <v>17</v>
      </c>
      <c r="C13" s="11" t="s">
        <v>632</v>
      </c>
      <c r="D13" s="11" t="s">
        <v>633</v>
      </c>
      <c r="E13" s="11" t="s">
        <v>634</v>
      </c>
      <c r="F13" s="11" t="s">
        <v>635</v>
      </c>
      <c r="G13" s="11" t="s">
        <v>636</v>
      </c>
      <c r="H13" s="11" t="s">
        <v>14</v>
      </c>
      <c r="I13" s="11" t="s">
        <v>17</v>
      </c>
      <c r="J13" s="11" t="s">
        <v>636</v>
      </c>
    </row>
    <row r="14" spans="1:10" ht="16.5" customHeight="1" x14ac:dyDescent="0.25">
      <c r="A14" s="4"/>
      <c r="B14" s="5"/>
      <c r="C14" s="5"/>
      <c r="D14" s="5"/>
      <c r="E14" s="5"/>
      <c r="F14" s="5"/>
      <c r="G14" s="5"/>
      <c r="H14" s="5"/>
      <c r="I14" s="5"/>
      <c r="J14" s="5"/>
    </row>
    <row r="15" spans="1:10" ht="6.75" customHeight="1" x14ac:dyDescent="0.25"/>
    <row r="16" spans="1:10" ht="12" customHeight="1" x14ac:dyDescent="0.25">
      <c r="A16" s="36" t="s">
        <v>637</v>
      </c>
      <c r="B16" s="36"/>
      <c r="C16" s="36"/>
      <c r="E16" s="35" t="s">
        <v>1</v>
      </c>
      <c r="F16" s="35"/>
      <c r="G16" s="35"/>
      <c r="H16" s="35"/>
      <c r="I16" s="35"/>
    </row>
    <row r="17" spans="1:3" ht="0.75" customHeight="1" x14ac:dyDescent="0.25">
      <c r="A17" s="36"/>
      <c r="B17" s="36"/>
      <c r="C17" s="36"/>
    </row>
  </sheetData>
  <mergeCells count="13">
    <mergeCell ref="A16:C17"/>
    <mergeCell ref="E16:I16"/>
    <mergeCell ref="A1:C1"/>
    <mergeCell ref="A2:C2"/>
    <mergeCell ref="B3:C3"/>
    <mergeCell ref="B4:C4"/>
    <mergeCell ref="B5:C5"/>
    <mergeCell ref="B7:C7"/>
    <mergeCell ref="B8:C8"/>
    <mergeCell ref="B9:C9"/>
    <mergeCell ref="B10:C10"/>
    <mergeCell ref="A12:G12"/>
    <mergeCell ref="H12:J12"/>
  </mergeCells>
  <pageMargins left="0.7" right="0.7" top="0.75" bottom="0.75" header="0.3" footer="0.3"/>
  <pageSetup fitToHeight="999" orientation="landscape" r:id="rId1"/>
  <headerFooter>
    <oddHeader>&amp;C4K911 PANEL ERRORS_A.1</oddHeader>
    <oddFooter>&amp;L&amp;D&amp;CPage &amp;P of &amp;N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7299C6-E7DD-4ECC-A807-3E1F1BB19453}">
  <sheetPr>
    <pageSetUpPr fitToPage="1"/>
  </sheetPr>
  <dimension ref="A1:F57"/>
  <sheetViews>
    <sheetView showGridLines="0" workbookViewId="0">
      <selection sqref="A1:C1"/>
    </sheetView>
  </sheetViews>
  <sheetFormatPr defaultRowHeight="15" x14ac:dyDescent="0.25"/>
  <cols>
    <col min="1" max="1" width="17.140625" customWidth="1"/>
    <col min="2" max="2" width="5.7109375" customWidth="1"/>
    <col min="3" max="3" width="25.140625" customWidth="1"/>
    <col min="4" max="4" width="16" customWidth="1"/>
    <col min="5" max="5" width="38.85546875" customWidth="1"/>
    <col min="6" max="6" width="34.28515625" customWidth="1"/>
  </cols>
  <sheetData>
    <row r="1" spans="1:6" ht="18" customHeight="1" x14ac:dyDescent="0.25">
      <c r="A1" s="37" t="s">
        <v>572</v>
      </c>
      <c r="B1" s="37"/>
      <c r="C1" s="37"/>
      <c r="D1" s="42" t="s">
        <v>1</v>
      </c>
      <c r="E1" s="42"/>
    </row>
    <row r="2" spans="1:6" ht="3.75" customHeight="1" x14ac:dyDescent="0.25">
      <c r="A2" s="43" t="s">
        <v>2</v>
      </c>
      <c r="B2" s="39" t="s">
        <v>3</v>
      </c>
      <c r="C2" s="39"/>
    </row>
    <row r="3" spans="1:6" ht="9" customHeight="1" x14ac:dyDescent="0.25">
      <c r="A3" s="43"/>
      <c r="B3" s="39"/>
      <c r="C3" s="39"/>
      <c r="D3" s="42" t="s">
        <v>4</v>
      </c>
      <c r="E3" s="42"/>
    </row>
    <row r="4" spans="1:6" ht="9" customHeight="1" x14ac:dyDescent="0.25">
      <c r="A4" s="43" t="s">
        <v>5</v>
      </c>
      <c r="B4" s="39" t="s">
        <v>6</v>
      </c>
      <c r="C4" s="39"/>
      <c r="D4" s="42"/>
      <c r="E4" s="42"/>
    </row>
    <row r="5" spans="1:6" ht="3" customHeight="1" x14ac:dyDescent="0.25">
      <c r="A5" s="43"/>
      <c r="B5" s="39"/>
      <c r="C5" s="39"/>
    </row>
    <row r="6" spans="1:6" ht="12.75" customHeight="1" x14ac:dyDescent="0.25">
      <c r="A6" s="2" t="s">
        <v>7</v>
      </c>
      <c r="B6" s="39" t="s">
        <v>8</v>
      </c>
      <c r="C6" s="39"/>
    </row>
    <row r="7" spans="1:6" ht="4.5" customHeight="1" x14ac:dyDescent="0.25"/>
    <row r="8" spans="1:6" ht="12.75" customHeight="1" x14ac:dyDescent="0.25">
      <c r="A8" s="2" t="s">
        <v>9</v>
      </c>
      <c r="B8" s="39" t="s">
        <v>10</v>
      </c>
      <c r="C8" s="39"/>
    </row>
    <row r="9" spans="1:6" ht="12" customHeight="1" x14ac:dyDescent="0.25">
      <c r="A9" s="2" t="s">
        <v>11</v>
      </c>
      <c r="B9" s="39" t="s">
        <v>12</v>
      </c>
      <c r="C9" s="39"/>
    </row>
    <row r="10" spans="1:6" ht="12.75" customHeight="1" x14ac:dyDescent="0.25">
      <c r="A10" s="2" t="s">
        <v>13</v>
      </c>
      <c r="B10" s="39"/>
      <c r="C10" s="39"/>
    </row>
    <row r="11" spans="1:6" ht="12" customHeight="1" x14ac:dyDescent="0.25">
      <c r="A11" s="2" t="s">
        <v>11</v>
      </c>
      <c r="B11" s="39"/>
      <c r="C11" s="39"/>
    </row>
    <row r="12" spans="1:6" ht="9" customHeight="1" x14ac:dyDescent="0.25"/>
    <row r="13" spans="1:6" ht="16.5" customHeight="1" x14ac:dyDescent="0.25">
      <c r="A13" s="40" t="s">
        <v>14</v>
      </c>
      <c r="B13" s="40"/>
      <c r="C13" s="41" t="s">
        <v>15</v>
      </c>
      <c r="D13" s="41"/>
      <c r="E13" s="41" t="s">
        <v>16</v>
      </c>
      <c r="F13" s="41"/>
    </row>
    <row r="14" spans="1:6" ht="16.5" customHeight="1" x14ac:dyDescent="0.25">
      <c r="A14" s="44" t="s">
        <v>573</v>
      </c>
      <c r="B14" s="44"/>
      <c r="C14" s="45" t="s">
        <v>574</v>
      </c>
      <c r="D14" s="45"/>
      <c r="E14" s="45" t="s">
        <v>575</v>
      </c>
      <c r="F14" s="45"/>
    </row>
    <row r="15" spans="1:6" ht="12" customHeight="1" x14ac:dyDescent="0.25">
      <c r="A15" s="46"/>
      <c r="B15" s="46"/>
      <c r="C15" s="46"/>
      <c r="D15" s="46"/>
      <c r="E15" s="46"/>
      <c r="F15" s="46"/>
    </row>
    <row r="16" spans="1:6" ht="16.5" customHeight="1" x14ac:dyDescent="0.25">
      <c r="A16" s="47" t="s">
        <v>576</v>
      </c>
      <c r="B16" s="47"/>
      <c r="C16" s="48" t="s">
        <v>577</v>
      </c>
      <c r="D16" s="48"/>
      <c r="E16" s="48" t="s">
        <v>578</v>
      </c>
      <c r="F16" s="48"/>
    </row>
    <row r="17" spans="1:6" ht="17.25" customHeight="1" x14ac:dyDescent="0.25">
      <c r="A17" s="47" t="s">
        <v>579</v>
      </c>
      <c r="B17" s="47"/>
      <c r="C17" s="48" t="s">
        <v>577</v>
      </c>
      <c r="D17" s="48"/>
      <c r="E17" s="48" t="s">
        <v>578</v>
      </c>
      <c r="F17" s="48"/>
    </row>
    <row r="18" spans="1:6" ht="16.5" customHeight="1" x14ac:dyDescent="0.25">
      <c r="A18" s="47" t="s">
        <v>580</v>
      </c>
      <c r="B18" s="47"/>
      <c r="C18" s="48" t="s">
        <v>577</v>
      </c>
      <c r="D18" s="48"/>
      <c r="E18" s="48" t="s">
        <v>578</v>
      </c>
      <c r="F18" s="48"/>
    </row>
    <row r="19" spans="1:6" ht="16.5" customHeight="1" x14ac:dyDescent="0.25">
      <c r="A19" s="47" t="s">
        <v>581</v>
      </c>
      <c r="B19" s="47"/>
      <c r="C19" s="48" t="s">
        <v>577</v>
      </c>
      <c r="D19" s="48"/>
      <c r="E19" s="48" t="s">
        <v>578</v>
      </c>
      <c r="F19" s="48"/>
    </row>
    <row r="20" spans="1:6" ht="16.5" customHeight="1" x14ac:dyDescent="0.25">
      <c r="A20" s="47" t="s">
        <v>582</v>
      </c>
      <c r="B20" s="47"/>
      <c r="C20" s="48" t="s">
        <v>577</v>
      </c>
      <c r="D20" s="48"/>
      <c r="E20" s="48" t="s">
        <v>578</v>
      </c>
      <c r="F20" s="48"/>
    </row>
    <row r="21" spans="1:6" ht="16.5" customHeight="1" x14ac:dyDescent="0.25">
      <c r="A21" s="47" t="s">
        <v>583</v>
      </c>
      <c r="B21" s="47"/>
      <c r="C21" s="48" t="s">
        <v>577</v>
      </c>
      <c r="D21" s="48"/>
      <c r="E21" s="48" t="s">
        <v>578</v>
      </c>
      <c r="F21" s="48"/>
    </row>
    <row r="22" spans="1:6" ht="16.5" customHeight="1" x14ac:dyDescent="0.25">
      <c r="A22" s="47" t="s">
        <v>584</v>
      </c>
      <c r="B22" s="47"/>
      <c r="C22" s="48" t="s">
        <v>577</v>
      </c>
      <c r="D22" s="48"/>
      <c r="E22" s="48" t="s">
        <v>578</v>
      </c>
      <c r="F22" s="48"/>
    </row>
    <row r="23" spans="1:6" ht="16.5" customHeight="1" x14ac:dyDescent="0.25">
      <c r="A23" s="47" t="s">
        <v>585</v>
      </c>
      <c r="B23" s="47"/>
      <c r="C23" s="48" t="s">
        <v>577</v>
      </c>
      <c r="D23" s="48"/>
      <c r="E23" s="48" t="s">
        <v>578</v>
      </c>
      <c r="F23" s="48"/>
    </row>
    <row r="24" spans="1:6" ht="16.5" customHeight="1" x14ac:dyDescent="0.25">
      <c r="A24" s="47" t="s">
        <v>586</v>
      </c>
      <c r="B24" s="47"/>
      <c r="C24" s="48" t="s">
        <v>577</v>
      </c>
      <c r="D24" s="48"/>
      <c r="E24" s="48" t="s">
        <v>587</v>
      </c>
      <c r="F24" s="48"/>
    </row>
    <row r="25" spans="1:6" ht="16.5" customHeight="1" x14ac:dyDescent="0.25">
      <c r="A25" s="47" t="s">
        <v>588</v>
      </c>
      <c r="B25" s="47"/>
      <c r="C25" s="48" t="s">
        <v>577</v>
      </c>
      <c r="D25" s="48"/>
      <c r="E25" s="48" t="s">
        <v>587</v>
      </c>
      <c r="F25" s="48"/>
    </row>
    <row r="26" spans="1:6" ht="16.5" customHeight="1" x14ac:dyDescent="0.25">
      <c r="A26" s="47" t="s">
        <v>589</v>
      </c>
      <c r="B26" s="47"/>
      <c r="C26" s="48" t="s">
        <v>577</v>
      </c>
      <c r="D26" s="48"/>
      <c r="E26" s="48" t="s">
        <v>587</v>
      </c>
      <c r="F26" s="48"/>
    </row>
    <row r="27" spans="1:6" ht="16.5" customHeight="1" x14ac:dyDescent="0.25">
      <c r="A27" s="47" t="s">
        <v>590</v>
      </c>
      <c r="B27" s="47"/>
      <c r="C27" s="48" t="s">
        <v>577</v>
      </c>
      <c r="D27" s="48"/>
      <c r="E27" s="48" t="s">
        <v>578</v>
      </c>
      <c r="F27" s="48"/>
    </row>
    <row r="28" spans="1:6" ht="16.5" customHeight="1" x14ac:dyDescent="0.25">
      <c r="A28" s="47" t="s">
        <v>591</v>
      </c>
      <c r="B28" s="47"/>
      <c r="C28" s="48" t="s">
        <v>577</v>
      </c>
      <c r="D28" s="48"/>
      <c r="E28" s="48" t="s">
        <v>587</v>
      </c>
      <c r="F28" s="48"/>
    </row>
    <row r="29" spans="1:6" ht="17.25" customHeight="1" x14ac:dyDescent="0.25">
      <c r="A29" s="47" t="s">
        <v>592</v>
      </c>
      <c r="B29" s="47"/>
      <c r="C29" s="48" t="s">
        <v>577</v>
      </c>
      <c r="D29" s="48"/>
      <c r="E29" s="48" t="s">
        <v>587</v>
      </c>
      <c r="F29" s="48"/>
    </row>
    <row r="30" spans="1:6" ht="16.5" customHeight="1" x14ac:dyDescent="0.25">
      <c r="A30" s="47" t="s">
        <v>593</v>
      </c>
      <c r="B30" s="47"/>
      <c r="C30" s="48" t="s">
        <v>594</v>
      </c>
      <c r="D30" s="48"/>
      <c r="E30" s="48" t="s">
        <v>595</v>
      </c>
      <c r="F30" s="48"/>
    </row>
    <row r="31" spans="1:6" ht="16.5" customHeight="1" x14ac:dyDescent="0.25">
      <c r="A31" s="47" t="s">
        <v>596</v>
      </c>
      <c r="B31" s="47"/>
      <c r="C31" s="48" t="s">
        <v>594</v>
      </c>
      <c r="D31" s="48"/>
      <c r="E31" s="48" t="s">
        <v>595</v>
      </c>
      <c r="F31" s="48"/>
    </row>
    <row r="32" spans="1:6" ht="16.5" customHeight="1" x14ac:dyDescent="0.25">
      <c r="A32" s="47" t="s">
        <v>597</v>
      </c>
      <c r="B32" s="47"/>
      <c r="C32" s="48" t="s">
        <v>594</v>
      </c>
      <c r="D32" s="48"/>
      <c r="E32" s="48" t="s">
        <v>595</v>
      </c>
      <c r="F32" s="48"/>
    </row>
    <row r="33" spans="1:6" ht="16.5" customHeight="1" x14ac:dyDescent="0.25">
      <c r="A33" s="47" t="s">
        <v>598</v>
      </c>
      <c r="B33" s="47"/>
      <c r="C33" s="48" t="s">
        <v>594</v>
      </c>
      <c r="D33" s="48"/>
      <c r="E33" s="48" t="s">
        <v>595</v>
      </c>
      <c r="F33" s="48"/>
    </row>
    <row r="34" spans="1:6" ht="16.5" customHeight="1" x14ac:dyDescent="0.25">
      <c r="A34" s="47" t="s">
        <v>599</v>
      </c>
      <c r="B34" s="47"/>
      <c r="C34" s="48" t="s">
        <v>594</v>
      </c>
      <c r="D34" s="48"/>
      <c r="E34" s="48" t="s">
        <v>595</v>
      </c>
      <c r="F34" s="48"/>
    </row>
    <row r="35" spans="1:6" ht="16.5" customHeight="1" x14ac:dyDescent="0.25">
      <c r="A35" s="47" t="s">
        <v>600</v>
      </c>
      <c r="B35" s="47"/>
      <c r="C35" s="48" t="s">
        <v>594</v>
      </c>
      <c r="D35" s="48"/>
      <c r="E35" s="48" t="s">
        <v>595</v>
      </c>
      <c r="F35" s="48"/>
    </row>
    <row r="36" spans="1:6" ht="16.5" customHeight="1" x14ac:dyDescent="0.25">
      <c r="A36" s="47" t="s">
        <v>601</v>
      </c>
      <c r="B36" s="47"/>
      <c r="C36" s="48" t="s">
        <v>594</v>
      </c>
      <c r="D36" s="48"/>
      <c r="E36" s="48" t="s">
        <v>595</v>
      </c>
      <c r="F36" s="48"/>
    </row>
    <row r="37" spans="1:6" ht="16.5" customHeight="1" x14ac:dyDescent="0.25">
      <c r="A37" s="47" t="s">
        <v>602</v>
      </c>
      <c r="B37" s="47"/>
      <c r="C37" s="48" t="s">
        <v>594</v>
      </c>
      <c r="D37" s="48"/>
      <c r="E37" s="48" t="s">
        <v>595</v>
      </c>
      <c r="F37" s="48"/>
    </row>
    <row r="38" spans="1:6" ht="16.5" customHeight="1" x14ac:dyDescent="0.25">
      <c r="A38" s="47" t="s">
        <v>603</v>
      </c>
      <c r="B38" s="47"/>
      <c r="C38" s="48" t="s">
        <v>604</v>
      </c>
      <c r="D38" s="48"/>
      <c r="E38" s="48" t="s">
        <v>605</v>
      </c>
      <c r="F38" s="48"/>
    </row>
    <row r="39" spans="1:6" ht="16.5" customHeight="1" x14ac:dyDescent="0.25">
      <c r="A39" s="47" t="s">
        <v>606</v>
      </c>
      <c r="B39" s="47"/>
      <c r="C39" s="48" t="s">
        <v>594</v>
      </c>
      <c r="D39" s="48"/>
      <c r="E39" s="48" t="s">
        <v>595</v>
      </c>
      <c r="F39" s="48"/>
    </row>
    <row r="40" spans="1:6" ht="16.5" customHeight="1" x14ac:dyDescent="0.25">
      <c r="A40" s="47" t="s">
        <v>607</v>
      </c>
      <c r="B40" s="47"/>
      <c r="C40" s="48" t="s">
        <v>608</v>
      </c>
      <c r="D40" s="48"/>
      <c r="E40" s="48" t="s">
        <v>605</v>
      </c>
      <c r="F40" s="48"/>
    </row>
    <row r="41" spans="1:6" ht="16.5" customHeight="1" x14ac:dyDescent="0.25">
      <c r="A41" s="47" t="s">
        <v>609</v>
      </c>
      <c r="B41" s="47"/>
      <c r="C41" s="48" t="s">
        <v>608</v>
      </c>
      <c r="D41" s="48"/>
      <c r="E41" s="48" t="s">
        <v>605</v>
      </c>
      <c r="F41" s="48"/>
    </row>
    <row r="42" spans="1:6" ht="17.25" customHeight="1" x14ac:dyDescent="0.25">
      <c r="A42" s="47" t="s">
        <v>610</v>
      </c>
      <c r="B42" s="47"/>
      <c r="C42" s="48" t="s">
        <v>608</v>
      </c>
      <c r="D42" s="48"/>
      <c r="E42" s="48" t="s">
        <v>605</v>
      </c>
      <c r="F42" s="48"/>
    </row>
    <row r="43" spans="1:6" ht="16.5" customHeight="1" x14ac:dyDescent="0.25">
      <c r="A43" s="47" t="s">
        <v>611</v>
      </c>
      <c r="B43" s="47"/>
      <c r="C43" s="48" t="s">
        <v>612</v>
      </c>
      <c r="D43" s="48"/>
      <c r="E43" s="48" t="s">
        <v>613</v>
      </c>
      <c r="F43" s="48"/>
    </row>
    <row r="44" spans="1:6" ht="16.5" customHeight="1" x14ac:dyDescent="0.25">
      <c r="A44" s="47" t="s">
        <v>614</v>
      </c>
      <c r="B44" s="47"/>
      <c r="C44" s="48" t="s">
        <v>612</v>
      </c>
      <c r="D44" s="48"/>
      <c r="E44" s="48" t="s">
        <v>613</v>
      </c>
      <c r="F44" s="48"/>
    </row>
    <row r="45" spans="1:6" ht="16.5" customHeight="1" x14ac:dyDescent="0.25">
      <c r="A45" s="47" t="s">
        <v>615</v>
      </c>
      <c r="B45" s="47"/>
      <c r="C45" s="48" t="s">
        <v>612</v>
      </c>
      <c r="D45" s="48"/>
      <c r="E45" s="48" t="s">
        <v>613</v>
      </c>
      <c r="F45" s="48"/>
    </row>
    <row r="46" spans="1:6" ht="16.5" customHeight="1" x14ac:dyDescent="0.25">
      <c r="A46" s="47" t="s">
        <v>616</v>
      </c>
      <c r="B46" s="47"/>
      <c r="C46" s="48" t="s">
        <v>612</v>
      </c>
      <c r="D46" s="48"/>
      <c r="E46" s="48" t="s">
        <v>613</v>
      </c>
      <c r="F46" s="48"/>
    </row>
    <row r="47" spans="1:6" ht="16.5" customHeight="1" x14ac:dyDescent="0.25">
      <c r="A47" s="47" t="s">
        <v>617</v>
      </c>
      <c r="B47" s="47"/>
      <c r="C47" s="48" t="s">
        <v>608</v>
      </c>
      <c r="D47" s="48"/>
      <c r="E47" s="48" t="s">
        <v>605</v>
      </c>
      <c r="F47" s="48"/>
    </row>
    <row r="48" spans="1:6" ht="16.5" customHeight="1" x14ac:dyDescent="0.25">
      <c r="A48" s="47" t="s">
        <v>618</v>
      </c>
      <c r="B48" s="47"/>
      <c r="C48" s="48" t="s">
        <v>608</v>
      </c>
      <c r="D48" s="48"/>
      <c r="E48" s="48" t="s">
        <v>605</v>
      </c>
      <c r="F48" s="48"/>
    </row>
    <row r="49" spans="1:6" ht="16.5" customHeight="1" x14ac:dyDescent="0.25">
      <c r="A49" s="47" t="s">
        <v>619</v>
      </c>
      <c r="B49" s="47"/>
      <c r="C49" s="48" t="s">
        <v>608</v>
      </c>
      <c r="D49" s="48"/>
      <c r="E49" s="48" t="s">
        <v>605</v>
      </c>
      <c r="F49" s="48"/>
    </row>
    <row r="50" spans="1:6" ht="16.5" customHeight="1" x14ac:dyDescent="0.25">
      <c r="A50" s="47" t="s">
        <v>620</v>
      </c>
      <c r="B50" s="47"/>
      <c r="C50" s="48" t="s">
        <v>621</v>
      </c>
      <c r="D50" s="48"/>
      <c r="E50" s="48" t="s">
        <v>622</v>
      </c>
      <c r="F50" s="48"/>
    </row>
    <row r="51" spans="1:6" ht="16.5" customHeight="1" x14ac:dyDescent="0.25">
      <c r="A51" s="47" t="s">
        <v>623</v>
      </c>
      <c r="B51" s="47"/>
      <c r="C51" s="48" t="s">
        <v>621</v>
      </c>
      <c r="D51" s="48"/>
      <c r="E51" s="48" t="s">
        <v>622</v>
      </c>
      <c r="F51" s="48"/>
    </row>
    <row r="52" spans="1:6" ht="16.5" customHeight="1" x14ac:dyDescent="0.25">
      <c r="A52" s="47" t="s">
        <v>624</v>
      </c>
      <c r="B52" s="47"/>
      <c r="C52" s="48" t="s">
        <v>621</v>
      </c>
      <c r="D52" s="48"/>
      <c r="E52" s="48" t="s">
        <v>622</v>
      </c>
      <c r="F52" s="48"/>
    </row>
    <row r="53" spans="1:6" ht="16.5" customHeight="1" x14ac:dyDescent="0.25">
      <c r="A53" s="47" t="s">
        <v>625</v>
      </c>
      <c r="B53" s="47"/>
      <c r="C53" s="48" t="s">
        <v>621</v>
      </c>
      <c r="D53" s="48"/>
      <c r="E53" s="48" t="s">
        <v>622</v>
      </c>
      <c r="F53" s="48"/>
    </row>
    <row r="54" spans="1:6" ht="17.25" customHeight="1" x14ac:dyDescent="0.25">
      <c r="A54" s="47" t="s">
        <v>626</v>
      </c>
      <c r="B54" s="47"/>
      <c r="C54" s="48" t="s">
        <v>577</v>
      </c>
      <c r="D54" s="48"/>
      <c r="E54" s="48" t="s">
        <v>578</v>
      </c>
      <c r="F54" s="48"/>
    </row>
    <row r="55" spans="1:6" ht="16.5" customHeight="1" x14ac:dyDescent="0.25">
      <c r="A55" s="47" t="s">
        <v>627</v>
      </c>
      <c r="B55" s="47"/>
      <c r="C55" s="48" t="s">
        <v>577</v>
      </c>
      <c r="D55" s="48"/>
      <c r="E55" s="48" t="s">
        <v>587</v>
      </c>
      <c r="F55" s="48"/>
    </row>
    <row r="56" spans="1:6" ht="16.5" customHeight="1" x14ac:dyDescent="0.25">
      <c r="A56" s="47" t="s">
        <v>628</v>
      </c>
      <c r="B56" s="47"/>
      <c r="C56" s="48" t="s">
        <v>577</v>
      </c>
      <c r="D56" s="48"/>
      <c r="E56" s="48" t="s">
        <v>578</v>
      </c>
      <c r="F56" s="48"/>
    </row>
    <row r="57" spans="1:6" ht="12" customHeight="1" x14ac:dyDescent="0.25">
      <c r="A57" s="46"/>
      <c r="B57" s="46"/>
      <c r="C57" s="46"/>
      <c r="D57" s="46"/>
      <c r="E57" s="46"/>
      <c r="F57" s="46"/>
    </row>
  </sheetData>
  <mergeCells count="143">
    <mergeCell ref="A57:F57"/>
    <mergeCell ref="A55:B55"/>
    <mergeCell ref="C55:D55"/>
    <mergeCell ref="E55:F55"/>
    <mergeCell ref="A56:B56"/>
    <mergeCell ref="C56:D56"/>
    <mergeCell ref="E56:F56"/>
    <mergeCell ref="A53:B53"/>
    <mergeCell ref="C53:D53"/>
    <mergeCell ref="E53:F53"/>
    <mergeCell ref="A54:B54"/>
    <mergeCell ref="C54:D54"/>
    <mergeCell ref="E54:F54"/>
    <mergeCell ref="A51:B51"/>
    <mergeCell ref="C51:D51"/>
    <mergeCell ref="E51:F51"/>
    <mergeCell ref="A52:B52"/>
    <mergeCell ref="C52:D52"/>
    <mergeCell ref="E52:F52"/>
    <mergeCell ref="A49:B49"/>
    <mergeCell ref="C49:D49"/>
    <mergeCell ref="E49:F49"/>
    <mergeCell ref="A50:B50"/>
    <mergeCell ref="C50:D50"/>
    <mergeCell ref="E50:F50"/>
    <mergeCell ref="A47:B47"/>
    <mergeCell ref="C47:D47"/>
    <mergeCell ref="E47:F47"/>
    <mergeCell ref="A48:B48"/>
    <mergeCell ref="C48:D48"/>
    <mergeCell ref="E48:F48"/>
    <mergeCell ref="A45:B45"/>
    <mergeCell ref="C45:D45"/>
    <mergeCell ref="E45:F45"/>
    <mergeCell ref="A46:B46"/>
    <mergeCell ref="C46:D46"/>
    <mergeCell ref="E46:F46"/>
    <mergeCell ref="A43:B43"/>
    <mergeCell ref="C43:D43"/>
    <mergeCell ref="E43:F43"/>
    <mergeCell ref="A44:B44"/>
    <mergeCell ref="C44:D44"/>
    <mergeCell ref="E44:F44"/>
    <mergeCell ref="A41:B41"/>
    <mergeCell ref="C41:D41"/>
    <mergeCell ref="E41:F41"/>
    <mergeCell ref="A42:B42"/>
    <mergeCell ref="C42:D42"/>
    <mergeCell ref="E42:F42"/>
    <mergeCell ref="A39:B39"/>
    <mergeCell ref="C39:D39"/>
    <mergeCell ref="E39:F39"/>
    <mergeCell ref="A40:B40"/>
    <mergeCell ref="C40:D40"/>
    <mergeCell ref="E40:F40"/>
    <mergeCell ref="A37:B37"/>
    <mergeCell ref="C37:D37"/>
    <mergeCell ref="E37:F37"/>
    <mergeCell ref="A38:B38"/>
    <mergeCell ref="C38:D38"/>
    <mergeCell ref="E38:F38"/>
    <mergeCell ref="A35:B35"/>
    <mergeCell ref="C35:D35"/>
    <mergeCell ref="E35:F35"/>
    <mergeCell ref="A36:B36"/>
    <mergeCell ref="C36:D36"/>
    <mergeCell ref="E36:F36"/>
    <mergeCell ref="A33:B33"/>
    <mergeCell ref="C33:D33"/>
    <mergeCell ref="E33:F33"/>
    <mergeCell ref="A34:B34"/>
    <mergeCell ref="C34:D34"/>
    <mergeCell ref="E34:F34"/>
    <mergeCell ref="A31:B31"/>
    <mergeCell ref="C31:D31"/>
    <mergeCell ref="E31:F31"/>
    <mergeCell ref="A32:B32"/>
    <mergeCell ref="C32:D32"/>
    <mergeCell ref="E32:F32"/>
    <mergeCell ref="A29:B29"/>
    <mergeCell ref="C29:D29"/>
    <mergeCell ref="E29:F29"/>
    <mergeCell ref="A30:B30"/>
    <mergeCell ref="C30:D30"/>
    <mergeCell ref="E30:F30"/>
    <mergeCell ref="A27:B27"/>
    <mergeCell ref="C27:D27"/>
    <mergeCell ref="E27:F27"/>
    <mergeCell ref="A28:B28"/>
    <mergeCell ref="C28:D28"/>
    <mergeCell ref="E28:F28"/>
    <mergeCell ref="A25:B25"/>
    <mergeCell ref="C25:D25"/>
    <mergeCell ref="E25:F25"/>
    <mergeCell ref="A26:B26"/>
    <mergeCell ref="C26:D26"/>
    <mergeCell ref="E26:F26"/>
    <mergeCell ref="A23:B23"/>
    <mergeCell ref="C23:D23"/>
    <mergeCell ref="E23:F23"/>
    <mergeCell ref="A24:B24"/>
    <mergeCell ref="C24:D24"/>
    <mergeCell ref="E24:F24"/>
    <mergeCell ref="A21:B21"/>
    <mergeCell ref="C21:D21"/>
    <mergeCell ref="E21:F21"/>
    <mergeCell ref="A22:B22"/>
    <mergeCell ref="C22:D22"/>
    <mergeCell ref="E22:F22"/>
    <mergeCell ref="A19:B19"/>
    <mergeCell ref="C19:D19"/>
    <mergeCell ref="E19:F19"/>
    <mergeCell ref="A20:B20"/>
    <mergeCell ref="C20:D20"/>
    <mergeCell ref="E20:F20"/>
    <mergeCell ref="A17:B17"/>
    <mergeCell ref="C17:D17"/>
    <mergeCell ref="E17:F17"/>
    <mergeCell ref="A18:B18"/>
    <mergeCell ref="C18:D18"/>
    <mergeCell ref="E18:F18"/>
    <mergeCell ref="A15:F15"/>
    <mergeCell ref="A16:B16"/>
    <mergeCell ref="C16:D16"/>
    <mergeCell ref="E16:F16"/>
    <mergeCell ref="B6:C6"/>
    <mergeCell ref="B8:C8"/>
    <mergeCell ref="B9:C9"/>
    <mergeCell ref="B10:C10"/>
    <mergeCell ref="B11:C11"/>
    <mergeCell ref="A13:B13"/>
    <mergeCell ref="C13:D13"/>
    <mergeCell ref="A1:C1"/>
    <mergeCell ref="D1:E1"/>
    <mergeCell ref="A2:A3"/>
    <mergeCell ref="B2:C3"/>
    <mergeCell ref="D3:E4"/>
    <mergeCell ref="A4:A5"/>
    <mergeCell ref="B4:C5"/>
    <mergeCell ref="E13:F13"/>
    <mergeCell ref="A14:B14"/>
    <mergeCell ref="C14:D14"/>
    <mergeCell ref="E14:F14"/>
  </mergeCells>
  <pageMargins left="0.7" right="0.7" top="0.75" bottom="0.75" header="0.3" footer="0.3"/>
  <pageSetup fitToHeight="999" orientation="landscape" r:id="rId1"/>
  <headerFooter>
    <oddHeader>&amp;C4K911 CABLE PART NUMBERS_A.1</oddHeader>
    <oddFooter>&amp;L&amp;D&amp;CPage &amp;P of &amp;N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  <pageSetUpPr fitToPage="1"/>
  </sheetPr>
  <dimension ref="A1:D345"/>
  <sheetViews>
    <sheetView showGridLines="0" workbookViewId="0">
      <selection sqref="A1:B1"/>
    </sheetView>
  </sheetViews>
  <sheetFormatPr defaultRowHeight="15" x14ac:dyDescent="0.25"/>
  <cols>
    <col min="1" max="1" width="17.140625" customWidth="1"/>
    <col min="2" max="2" width="30.85546875" customWidth="1"/>
    <col min="3" max="3" width="54.85546875" customWidth="1"/>
    <col min="4" max="4" width="34.28515625" customWidth="1"/>
  </cols>
  <sheetData>
    <row r="1" spans="1:4" ht="18" customHeight="1" x14ac:dyDescent="0.25">
      <c r="A1" s="37" t="s">
        <v>0</v>
      </c>
      <c r="B1" s="37"/>
      <c r="C1" s="1" t="s">
        <v>1</v>
      </c>
    </row>
    <row r="2" spans="1:4" ht="3.75" customHeight="1" x14ac:dyDescent="0.25">
      <c r="A2" s="43" t="s">
        <v>2</v>
      </c>
      <c r="B2" s="39" t="s">
        <v>3</v>
      </c>
    </row>
    <row r="3" spans="1:4" ht="9" customHeight="1" x14ac:dyDescent="0.25">
      <c r="A3" s="43"/>
      <c r="B3" s="39"/>
      <c r="C3" s="42" t="s">
        <v>4</v>
      </c>
    </row>
    <row r="4" spans="1:4" ht="9" customHeight="1" x14ac:dyDescent="0.25">
      <c r="A4" s="43" t="s">
        <v>5</v>
      </c>
      <c r="B4" s="39" t="s">
        <v>6</v>
      </c>
      <c r="C4" s="42"/>
    </row>
    <row r="5" spans="1:4" ht="3" customHeight="1" x14ac:dyDescent="0.25">
      <c r="A5" s="43"/>
      <c r="B5" s="39"/>
    </row>
    <row r="6" spans="1:4" ht="12.75" customHeight="1" x14ac:dyDescent="0.25">
      <c r="A6" s="2" t="s">
        <v>7</v>
      </c>
      <c r="B6" s="3" t="s">
        <v>8</v>
      </c>
    </row>
    <row r="7" spans="1:4" ht="4.5" customHeight="1" x14ac:dyDescent="0.25"/>
    <row r="8" spans="1:4" ht="12.75" customHeight="1" x14ac:dyDescent="0.25">
      <c r="A8" s="2" t="s">
        <v>9</v>
      </c>
      <c r="B8" s="3" t="s">
        <v>10</v>
      </c>
    </row>
    <row r="9" spans="1:4" ht="12" customHeight="1" x14ac:dyDescent="0.25">
      <c r="A9" s="2" t="s">
        <v>11</v>
      </c>
      <c r="B9" s="3" t="s">
        <v>12</v>
      </c>
    </row>
    <row r="10" spans="1:4" ht="12.75" customHeight="1" x14ac:dyDescent="0.25">
      <c r="A10" s="2" t="s">
        <v>13</v>
      </c>
      <c r="B10" s="3"/>
    </row>
    <row r="11" spans="1:4" ht="12" customHeight="1" x14ac:dyDescent="0.25">
      <c r="A11" s="2" t="s">
        <v>11</v>
      </c>
      <c r="B11" s="3"/>
    </row>
    <row r="12" spans="1:4" ht="9" customHeight="1" x14ac:dyDescent="0.25"/>
    <row r="13" spans="1:4" ht="16.5" customHeight="1" x14ac:dyDescent="0.25">
      <c r="A13" s="4" t="s">
        <v>14</v>
      </c>
      <c r="B13" s="5" t="s">
        <v>15</v>
      </c>
      <c r="C13" s="5" t="s">
        <v>16</v>
      </c>
      <c r="D13" s="5" t="s">
        <v>17</v>
      </c>
    </row>
    <row r="14" spans="1:4" ht="16.5" customHeight="1" x14ac:dyDescent="0.25">
      <c r="A14" s="6" t="s">
        <v>18</v>
      </c>
      <c r="B14" s="7" t="s">
        <v>19</v>
      </c>
      <c r="C14" s="7" t="s">
        <v>20</v>
      </c>
      <c r="D14" s="7" t="s">
        <v>21</v>
      </c>
    </row>
    <row r="15" spans="1:4" ht="16.5" customHeight="1" x14ac:dyDescent="0.25">
      <c r="A15" s="8" t="s">
        <v>22</v>
      </c>
      <c r="B15" s="9" t="s">
        <v>19</v>
      </c>
      <c r="C15" s="9" t="s">
        <v>23</v>
      </c>
      <c r="D15" s="9" t="s">
        <v>21</v>
      </c>
    </row>
    <row r="16" spans="1:4" ht="16.5" customHeight="1" x14ac:dyDescent="0.25">
      <c r="A16" s="8" t="s">
        <v>24</v>
      </c>
      <c r="B16" s="9" t="s">
        <v>19</v>
      </c>
      <c r="C16" s="9" t="s">
        <v>25</v>
      </c>
      <c r="D16" s="9" t="s">
        <v>21</v>
      </c>
    </row>
    <row r="17" spans="1:4" ht="12.75" customHeight="1" x14ac:dyDescent="0.25">
      <c r="A17" s="46"/>
      <c r="B17" s="46"/>
      <c r="C17" s="46"/>
      <c r="D17" s="46"/>
    </row>
    <row r="18" spans="1:4" ht="16.5" customHeight="1" x14ac:dyDescent="0.25">
      <c r="A18" s="8" t="s">
        <v>26</v>
      </c>
      <c r="B18" s="9" t="s">
        <v>19</v>
      </c>
      <c r="C18" s="9" t="s">
        <v>27</v>
      </c>
      <c r="D18" s="9" t="s">
        <v>28</v>
      </c>
    </row>
    <row r="19" spans="1:4" ht="16.5" customHeight="1" x14ac:dyDescent="0.25">
      <c r="A19" s="8" t="s">
        <v>29</v>
      </c>
      <c r="B19" s="9" t="s">
        <v>19</v>
      </c>
      <c r="C19" s="9" t="s">
        <v>30</v>
      </c>
      <c r="D19" s="9" t="s">
        <v>28</v>
      </c>
    </row>
    <row r="20" spans="1:4" ht="12" customHeight="1" x14ac:dyDescent="0.25">
      <c r="A20" s="46"/>
      <c r="B20" s="46"/>
      <c r="C20" s="46"/>
      <c r="D20" s="46"/>
    </row>
    <row r="21" spans="1:4" ht="24.75" customHeight="1" x14ac:dyDescent="0.25">
      <c r="A21" s="8" t="s">
        <v>31</v>
      </c>
      <c r="B21" s="9" t="s">
        <v>32</v>
      </c>
      <c r="C21" s="9" t="s">
        <v>33</v>
      </c>
      <c r="D21" s="9" t="s">
        <v>34</v>
      </c>
    </row>
    <row r="22" spans="1:4" ht="24.75" customHeight="1" x14ac:dyDescent="0.25">
      <c r="A22" s="8" t="s">
        <v>35</v>
      </c>
      <c r="B22" s="9" t="s">
        <v>36</v>
      </c>
      <c r="C22" s="9" t="s">
        <v>37</v>
      </c>
      <c r="D22" s="9" t="s">
        <v>34</v>
      </c>
    </row>
    <row r="23" spans="1:4" ht="24.75" customHeight="1" x14ac:dyDescent="0.25">
      <c r="A23" s="8" t="s">
        <v>38</v>
      </c>
      <c r="B23" s="9" t="s">
        <v>36</v>
      </c>
      <c r="C23" s="9" t="s">
        <v>37</v>
      </c>
      <c r="D23" s="9" t="s">
        <v>34</v>
      </c>
    </row>
    <row r="24" spans="1:4" ht="24.75" customHeight="1" x14ac:dyDescent="0.25">
      <c r="A24" s="8" t="s">
        <v>39</v>
      </c>
      <c r="B24" s="9" t="s">
        <v>36</v>
      </c>
      <c r="C24" s="9" t="s">
        <v>37</v>
      </c>
      <c r="D24" s="9" t="s">
        <v>34</v>
      </c>
    </row>
    <row r="25" spans="1:4" ht="24.75" customHeight="1" x14ac:dyDescent="0.25">
      <c r="A25" s="8" t="s">
        <v>40</v>
      </c>
      <c r="B25" s="9" t="s">
        <v>36</v>
      </c>
      <c r="C25" s="9" t="s">
        <v>37</v>
      </c>
      <c r="D25" s="9" t="s">
        <v>34</v>
      </c>
    </row>
    <row r="26" spans="1:4" ht="16.5" customHeight="1" x14ac:dyDescent="0.25">
      <c r="A26" s="8" t="s">
        <v>41</v>
      </c>
      <c r="B26" s="9" t="s">
        <v>42</v>
      </c>
      <c r="C26" s="9" t="s">
        <v>43</v>
      </c>
      <c r="D26" s="9" t="s">
        <v>34</v>
      </c>
    </row>
    <row r="27" spans="1:4" ht="16.5" customHeight="1" x14ac:dyDescent="0.25">
      <c r="A27" s="8" t="s">
        <v>44</v>
      </c>
      <c r="B27" s="9" t="s">
        <v>45</v>
      </c>
      <c r="C27" s="9" t="s">
        <v>46</v>
      </c>
      <c r="D27" s="9" t="s">
        <v>34</v>
      </c>
    </row>
    <row r="28" spans="1:4" ht="16.5" customHeight="1" x14ac:dyDescent="0.25">
      <c r="A28" s="8" t="s">
        <v>47</v>
      </c>
      <c r="B28" s="9" t="s">
        <v>48</v>
      </c>
      <c r="C28" s="9" t="s">
        <v>49</v>
      </c>
      <c r="D28" s="9" t="s">
        <v>34</v>
      </c>
    </row>
    <row r="29" spans="1:4" ht="16.5" customHeight="1" x14ac:dyDescent="0.25">
      <c r="A29" s="8" t="s">
        <v>50</v>
      </c>
      <c r="B29" s="9" t="s">
        <v>48</v>
      </c>
      <c r="C29" s="9" t="s">
        <v>49</v>
      </c>
      <c r="D29" s="9" t="s">
        <v>34</v>
      </c>
    </row>
    <row r="30" spans="1:4" ht="16.5" customHeight="1" x14ac:dyDescent="0.25">
      <c r="A30" s="8" t="s">
        <v>51</v>
      </c>
      <c r="B30" s="9" t="s">
        <v>48</v>
      </c>
      <c r="C30" s="9" t="s">
        <v>49</v>
      </c>
      <c r="D30" s="9" t="s">
        <v>34</v>
      </c>
    </row>
    <row r="31" spans="1:4" ht="16.5" customHeight="1" x14ac:dyDescent="0.25">
      <c r="A31" s="8" t="s">
        <v>52</v>
      </c>
      <c r="B31" s="9" t="s">
        <v>53</v>
      </c>
      <c r="C31" s="9" t="s">
        <v>54</v>
      </c>
      <c r="D31" s="9" t="s">
        <v>34</v>
      </c>
    </row>
    <row r="32" spans="1:4" ht="16.5" customHeight="1" x14ac:dyDescent="0.25">
      <c r="A32" s="8" t="s">
        <v>55</v>
      </c>
      <c r="B32" s="9" t="s">
        <v>53</v>
      </c>
      <c r="C32" s="9" t="s">
        <v>54</v>
      </c>
      <c r="D32" s="9" t="s">
        <v>34</v>
      </c>
    </row>
    <row r="33" spans="1:4" ht="16.5" customHeight="1" x14ac:dyDescent="0.25">
      <c r="A33" s="8" t="s">
        <v>56</v>
      </c>
      <c r="B33" s="9" t="s">
        <v>57</v>
      </c>
      <c r="C33" s="9" t="s">
        <v>58</v>
      </c>
      <c r="D33" s="9" t="s">
        <v>34</v>
      </c>
    </row>
    <row r="34" spans="1:4" ht="16.5" customHeight="1" x14ac:dyDescent="0.25">
      <c r="A34" s="8" t="s">
        <v>59</v>
      </c>
      <c r="B34" s="9" t="s">
        <v>60</v>
      </c>
      <c r="C34" s="9" t="s">
        <v>58</v>
      </c>
      <c r="D34" s="9" t="s">
        <v>34</v>
      </c>
    </row>
    <row r="35" spans="1:4" ht="16.5" customHeight="1" x14ac:dyDescent="0.25">
      <c r="A35" s="8" t="s">
        <v>61</v>
      </c>
      <c r="B35" s="9" t="s">
        <v>57</v>
      </c>
      <c r="C35" s="9" t="s">
        <v>58</v>
      </c>
      <c r="D35" s="9" t="s">
        <v>34</v>
      </c>
    </row>
    <row r="36" spans="1:4" ht="16.5" customHeight="1" x14ac:dyDescent="0.25">
      <c r="A36" s="8" t="s">
        <v>62</v>
      </c>
      <c r="B36" s="9" t="s">
        <v>57</v>
      </c>
      <c r="C36" s="9" t="s">
        <v>58</v>
      </c>
      <c r="D36" s="9" t="s">
        <v>34</v>
      </c>
    </row>
    <row r="37" spans="1:4" ht="16.5" customHeight="1" x14ac:dyDescent="0.25">
      <c r="A37" s="8" t="s">
        <v>63</v>
      </c>
      <c r="B37" s="9" t="s">
        <v>57</v>
      </c>
      <c r="C37" s="9" t="s">
        <v>58</v>
      </c>
      <c r="D37" s="9" t="s">
        <v>34</v>
      </c>
    </row>
    <row r="38" spans="1:4" ht="17.25" customHeight="1" x14ac:dyDescent="0.25">
      <c r="A38" s="8" t="s">
        <v>64</v>
      </c>
      <c r="B38" s="9" t="s">
        <v>65</v>
      </c>
      <c r="C38" s="9" t="s">
        <v>66</v>
      </c>
      <c r="D38" s="9" t="s">
        <v>34</v>
      </c>
    </row>
    <row r="39" spans="1:4" ht="16.5" customHeight="1" x14ac:dyDescent="0.25">
      <c r="A39" s="8" t="s">
        <v>67</v>
      </c>
      <c r="B39" s="9" t="s">
        <v>68</v>
      </c>
      <c r="C39" s="9" t="s">
        <v>69</v>
      </c>
      <c r="D39" s="9" t="s">
        <v>34</v>
      </c>
    </row>
    <row r="40" spans="1:4" ht="16.5" customHeight="1" x14ac:dyDescent="0.25">
      <c r="A40" s="8" t="s">
        <v>70</v>
      </c>
      <c r="B40" s="9" t="s">
        <v>68</v>
      </c>
      <c r="C40" s="9" t="s">
        <v>71</v>
      </c>
      <c r="D40" s="9" t="s">
        <v>34</v>
      </c>
    </row>
    <row r="41" spans="1:4" ht="16.5" customHeight="1" x14ac:dyDescent="0.25">
      <c r="A41" s="8" t="s">
        <v>72</v>
      </c>
      <c r="B41" s="9" t="s">
        <v>68</v>
      </c>
      <c r="C41" s="9" t="s">
        <v>73</v>
      </c>
      <c r="D41" s="9" t="s">
        <v>34</v>
      </c>
    </row>
    <row r="42" spans="1:4" ht="16.5" customHeight="1" x14ac:dyDescent="0.25">
      <c r="A42" s="8" t="s">
        <v>74</v>
      </c>
      <c r="B42" s="9" t="s">
        <v>68</v>
      </c>
      <c r="C42" s="9" t="s">
        <v>75</v>
      </c>
      <c r="D42" s="9" t="s">
        <v>34</v>
      </c>
    </row>
    <row r="43" spans="1:4" ht="16.5" customHeight="1" x14ac:dyDescent="0.25">
      <c r="A43" s="8" t="s">
        <v>76</v>
      </c>
      <c r="B43" s="9" t="s">
        <v>68</v>
      </c>
      <c r="C43" s="9" t="s">
        <v>77</v>
      </c>
      <c r="D43" s="9" t="s">
        <v>34</v>
      </c>
    </row>
    <row r="44" spans="1:4" ht="16.5" customHeight="1" x14ac:dyDescent="0.25">
      <c r="A44" s="8" t="s">
        <v>78</v>
      </c>
      <c r="B44" s="9" t="s">
        <v>68</v>
      </c>
      <c r="C44" s="9" t="s">
        <v>79</v>
      </c>
      <c r="D44" s="9" t="s">
        <v>34</v>
      </c>
    </row>
    <row r="45" spans="1:4" ht="16.5" customHeight="1" x14ac:dyDescent="0.25">
      <c r="A45" s="8" t="s">
        <v>80</v>
      </c>
      <c r="B45" s="9" t="s">
        <v>68</v>
      </c>
      <c r="C45" s="9" t="s">
        <v>81</v>
      </c>
      <c r="D45" s="9" t="s">
        <v>34</v>
      </c>
    </row>
    <row r="46" spans="1:4" ht="16.5" customHeight="1" x14ac:dyDescent="0.25">
      <c r="A46" s="8" t="s">
        <v>82</v>
      </c>
      <c r="B46" s="9" t="s">
        <v>68</v>
      </c>
      <c r="C46" s="9" t="s">
        <v>83</v>
      </c>
      <c r="D46" s="9" t="s">
        <v>34</v>
      </c>
    </row>
    <row r="47" spans="1:4" ht="16.5" customHeight="1" x14ac:dyDescent="0.25">
      <c r="A47" s="8" t="s">
        <v>84</v>
      </c>
      <c r="B47" s="9" t="s">
        <v>68</v>
      </c>
      <c r="C47" s="9" t="s">
        <v>85</v>
      </c>
      <c r="D47" s="9" t="s">
        <v>34</v>
      </c>
    </row>
    <row r="48" spans="1:4" ht="16.5" customHeight="1" x14ac:dyDescent="0.25">
      <c r="A48" s="8" t="s">
        <v>86</v>
      </c>
      <c r="B48" s="9" t="s">
        <v>87</v>
      </c>
      <c r="C48" s="9" t="s">
        <v>88</v>
      </c>
      <c r="D48" s="9" t="s">
        <v>34</v>
      </c>
    </row>
    <row r="49" spans="1:4" ht="16.5" customHeight="1" x14ac:dyDescent="0.25">
      <c r="A49" s="8" t="s">
        <v>89</v>
      </c>
      <c r="B49" s="9" t="s">
        <v>68</v>
      </c>
      <c r="C49" s="9" t="s">
        <v>90</v>
      </c>
      <c r="D49" s="9" t="s">
        <v>34</v>
      </c>
    </row>
    <row r="50" spans="1:4" ht="24.75" customHeight="1" x14ac:dyDescent="0.25">
      <c r="A50" s="8" t="s">
        <v>91</v>
      </c>
      <c r="B50" s="9" t="s">
        <v>68</v>
      </c>
      <c r="C50" s="9" t="s">
        <v>92</v>
      </c>
      <c r="D50" s="9" t="s">
        <v>34</v>
      </c>
    </row>
    <row r="51" spans="1:4" ht="16.5" customHeight="1" x14ac:dyDescent="0.25">
      <c r="A51" s="8" t="s">
        <v>93</v>
      </c>
      <c r="B51" s="9" t="s">
        <v>68</v>
      </c>
      <c r="C51" s="9" t="s">
        <v>94</v>
      </c>
      <c r="D51" s="9" t="s">
        <v>34</v>
      </c>
    </row>
    <row r="52" spans="1:4" ht="16.5" customHeight="1" x14ac:dyDescent="0.25">
      <c r="A52" s="8" t="s">
        <v>95</v>
      </c>
      <c r="B52" s="9" t="s">
        <v>68</v>
      </c>
      <c r="C52" s="9" t="s">
        <v>96</v>
      </c>
      <c r="D52" s="9" t="s">
        <v>34</v>
      </c>
    </row>
    <row r="53" spans="1:4" ht="17.25" customHeight="1" x14ac:dyDescent="0.25">
      <c r="A53" s="8" t="s">
        <v>97</v>
      </c>
      <c r="B53" s="9" t="s">
        <v>68</v>
      </c>
      <c r="C53" s="9" t="s">
        <v>98</v>
      </c>
      <c r="D53" s="9" t="s">
        <v>34</v>
      </c>
    </row>
    <row r="54" spans="1:4" ht="16.5" customHeight="1" x14ac:dyDescent="0.25">
      <c r="A54" s="8" t="s">
        <v>99</v>
      </c>
      <c r="B54" s="9" t="s">
        <v>68</v>
      </c>
      <c r="C54" s="9" t="s">
        <v>100</v>
      </c>
      <c r="D54" s="9" t="s">
        <v>34</v>
      </c>
    </row>
    <row r="55" spans="1:4" ht="16.5" customHeight="1" x14ac:dyDescent="0.25">
      <c r="A55" s="8" t="s">
        <v>101</v>
      </c>
      <c r="B55" s="9" t="s">
        <v>68</v>
      </c>
      <c r="C55" s="9" t="s">
        <v>102</v>
      </c>
      <c r="D55" s="9" t="s">
        <v>34</v>
      </c>
    </row>
    <row r="56" spans="1:4" ht="16.5" customHeight="1" x14ac:dyDescent="0.25">
      <c r="A56" s="8" t="s">
        <v>103</v>
      </c>
      <c r="B56" s="9" t="s">
        <v>68</v>
      </c>
      <c r="C56" s="9" t="s">
        <v>104</v>
      </c>
      <c r="D56" s="9" t="s">
        <v>34</v>
      </c>
    </row>
    <row r="57" spans="1:4" ht="16.5" customHeight="1" x14ac:dyDescent="0.25">
      <c r="A57" s="8" t="s">
        <v>105</v>
      </c>
      <c r="B57" s="9" t="s">
        <v>106</v>
      </c>
      <c r="C57" s="9" t="s">
        <v>107</v>
      </c>
      <c r="D57" s="9" t="s">
        <v>34</v>
      </c>
    </row>
    <row r="58" spans="1:4" ht="24.75" customHeight="1" x14ac:dyDescent="0.25">
      <c r="A58" s="8" t="s">
        <v>108</v>
      </c>
      <c r="B58" s="9" t="s">
        <v>109</v>
      </c>
      <c r="C58" s="9" t="s">
        <v>110</v>
      </c>
      <c r="D58" s="9" t="s">
        <v>34</v>
      </c>
    </row>
    <row r="59" spans="1:4" ht="24.75" customHeight="1" x14ac:dyDescent="0.25">
      <c r="A59" s="8" t="s">
        <v>111</v>
      </c>
      <c r="B59" s="9" t="s">
        <v>109</v>
      </c>
      <c r="C59" s="9" t="s">
        <v>112</v>
      </c>
      <c r="D59" s="9" t="s">
        <v>34</v>
      </c>
    </row>
    <row r="60" spans="1:4" ht="24.75" customHeight="1" x14ac:dyDescent="0.25">
      <c r="A60" s="8" t="s">
        <v>113</v>
      </c>
      <c r="B60" s="9" t="s">
        <v>114</v>
      </c>
      <c r="C60" s="9" t="s">
        <v>115</v>
      </c>
      <c r="D60" s="9" t="s">
        <v>34</v>
      </c>
    </row>
    <row r="61" spans="1:4" ht="24" customHeight="1" x14ac:dyDescent="0.25">
      <c r="A61" s="8" t="s">
        <v>116</v>
      </c>
      <c r="B61" s="9" t="s">
        <v>114</v>
      </c>
      <c r="C61" s="9" t="s">
        <v>117</v>
      </c>
      <c r="D61" s="9" t="s">
        <v>34</v>
      </c>
    </row>
    <row r="62" spans="1:4" ht="24.75" customHeight="1" x14ac:dyDescent="0.25">
      <c r="A62" s="8" t="s">
        <v>118</v>
      </c>
      <c r="B62" s="9" t="s">
        <v>109</v>
      </c>
      <c r="C62" s="9" t="s">
        <v>119</v>
      </c>
      <c r="D62" s="9" t="s">
        <v>34</v>
      </c>
    </row>
    <row r="63" spans="1:4" ht="24.75" customHeight="1" x14ac:dyDescent="0.25">
      <c r="A63" s="8" t="s">
        <v>120</v>
      </c>
      <c r="B63" s="9" t="s">
        <v>109</v>
      </c>
      <c r="C63" s="9" t="s">
        <v>121</v>
      </c>
      <c r="D63" s="9" t="s">
        <v>34</v>
      </c>
    </row>
    <row r="64" spans="1:4" ht="24.75" customHeight="1" x14ac:dyDescent="0.25">
      <c r="A64" s="8" t="s">
        <v>122</v>
      </c>
      <c r="B64" s="9" t="s">
        <v>109</v>
      </c>
      <c r="C64" s="9" t="s">
        <v>123</v>
      </c>
      <c r="D64" s="9" t="s">
        <v>34</v>
      </c>
    </row>
    <row r="65" spans="1:4" ht="16.5" customHeight="1" x14ac:dyDescent="0.25">
      <c r="A65" s="8" t="s">
        <v>124</v>
      </c>
      <c r="B65" s="9" t="s">
        <v>109</v>
      </c>
      <c r="C65" s="9" t="s">
        <v>125</v>
      </c>
      <c r="D65" s="9" t="s">
        <v>34</v>
      </c>
    </row>
    <row r="66" spans="1:4" ht="16.5" customHeight="1" x14ac:dyDescent="0.25">
      <c r="A66" s="8" t="s">
        <v>126</v>
      </c>
      <c r="B66" s="9" t="s">
        <v>127</v>
      </c>
      <c r="C66" s="9" t="s">
        <v>128</v>
      </c>
      <c r="D66" s="9" t="s">
        <v>34</v>
      </c>
    </row>
    <row r="67" spans="1:4" ht="24.75" customHeight="1" x14ac:dyDescent="0.25">
      <c r="A67" s="8" t="s">
        <v>129</v>
      </c>
      <c r="B67" s="9" t="s">
        <v>130</v>
      </c>
      <c r="C67" s="9" t="s">
        <v>131</v>
      </c>
      <c r="D67" s="9" t="s">
        <v>34</v>
      </c>
    </row>
    <row r="68" spans="1:4" ht="24.75" customHeight="1" x14ac:dyDescent="0.25">
      <c r="A68" s="8" t="s">
        <v>132</v>
      </c>
      <c r="B68" s="9" t="s">
        <v>133</v>
      </c>
      <c r="C68" s="9" t="s">
        <v>131</v>
      </c>
      <c r="D68" s="9" t="s">
        <v>34</v>
      </c>
    </row>
    <row r="69" spans="1:4" ht="24.75" customHeight="1" x14ac:dyDescent="0.25">
      <c r="A69" s="8" t="s">
        <v>134</v>
      </c>
      <c r="B69" s="9" t="s">
        <v>133</v>
      </c>
      <c r="C69" s="9" t="s">
        <v>131</v>
      </c>
      <c r="D69" s="9" t="s">
        <v>34</v>
      </c>
    </row>
    <row r="70" spans="1:4" ht="24.75" customHeight="1" x14ac:dyDescent="0.25">
      <c r="A70" s="8" t="s">
        <v>135</v>
      </c>
      <c r="B70" s="9" t="s">
        <v>133</v>
      </c>
      <c r="C70" s="9" t="s">
        <v>131</v>
      </c>
      <c r="D70" s="9" t="s">
        <v>34</v>
      </c>
    </row>
    <row r="71" spans="1:4" ht="24.75" customHeight="1" x14ac:dyDescent="0.25">
      <c r="A71" s="8" t="s">
        <v>136</v>
      </c>
      <c r="B71" s="9" t="s">
        <v>133</v>
      </c>
      <c r="C71" s="9" t="s">
        <v>131</v>
      </c>
      <c r="D71" s="9" t="s">
        <v>34</v>
      </c>
    </row>
    <row r="72" spans="1:4" ht="24.75" customHeight="1" x14ac:dyDescent="0.25">
      <c r="A72" s="8" t="s">
        <v>137</v>
      </c>
      <c r="B72" s="9" t="s">
        <v>133</v>
      </c>
      <c r="C72" s="9" t="s">
        <v>131</v>
      </c>
      <c r="D72" s="9" t="s">
        <v>34</v>
      </c>
    </row>
    <row r="73" spans="1:4" ht="24.75" customHeight="1" x14ac:dyDescent="0.25">
      <c r="A73" s="8" t="s">
        <v>138</v>
      </c>
      <c r="B73" s="9" t="s">
        <v>133</v>
      </c>
      <c r="C73" s="9" t="s">
        <v>131</v>
      </c>
      <c r="D73" s="9" t="s">
        <v>34</v>
      </c>
    </row>
    <row r="74" spans="1:4" ht="24.75" customHeight="1" x14ac:dyDescent="0.25">
      <c r="A74" s="8" t="s">
        <v>139</v>
      </c>
      <c r="B74" s="9" t="s">
        <v>140</v>
      </c>
      <c r="C74" s="9" t="s">
        <v>131</v>
      </c>
      <c r="D74" s="9" t="s">
        <v>34</v>
      </c>
    </row>
    <row r="75" spans="1:4" ht="24" customHeight="1" x14ac:dyDescent="0.25">
      <c r="A75" s="8" t="s">
        <v>141</v>
      </c>
      <c r="B75" s="9" t="s">
        <v>142</v>
      </c>
      <c r="C75" s="9" t="s">
        <v>131</v>
      </c>
      <c r="D75" s="9" t="s">
        <v>34</v>
      </c>
    </row>
    <row r="76" spans="1:4" ht="24.75" customHeight="1" x14ac:dyDescent="0.25">
      <c r="A76" s="8" t="s">
        <v>143</v>
      </c>
      <c r="B76" s="9" t="s">
        <v>144</v>
      </c>
      <c r="C76" s="9" t="s">
        <v>145</v>
      </c>
      <c r="D76" s="9" t="s">
        <v>34</v>
      </c>
    </row>
    <row r="77" spans="1:4" ht="24.75" customHeight="1" x14ac:dyDescent="0.25">
      <c r="A77" s="8" t="s">
        <v>146</v>
      </c>
      <c r="B77" s="9" t="s">
        <v>140</v>
      </c>
      <c r="C77" s="9" t="s">
        <v>131</v>
      </c>
      <c r="D77" s="9" t="s">
        <v>34</v>
      </c>
    </row>
    <row r="78" spans="1:4" ht="24.75" customHeight="1" x14ac:dyDescent="0.25">
      <c r="A78" s="8" t="s">
        <v>147</v>
      </c>
      <c r="B78" s="9" t="s">
        <v>144</v>
      </c>
      <c r="C78" s="9" t="s">
        <v>145</v>
      </c>
      <c r="D78" s="9" t="s">
        <v>34</v>
      </c>
    </row>
    <row r="79" spans="1:4" ht="24.75" customHeight="1" x14ac:dyDescent="0.25">
      <c r="A79" s="8" t="s">
        <v>148</v>
      </c>
      <c r="B79" s="9" t="s">
        <v>133</v>
      </c>
      <c r="C79" s="9" t="s">
        <v>131</v>
      </c>
      <c r="D79" s="9" t="s">
        <v>34</v>
      </c>
    </row>
    <row r="80" spans="1:4" ht="24.75" customHeight="1" x14ac:dyDescent="0.25">
      <c r="A80" s="8" t="s">
        <v>149</v>
      </c>
      <c r="B80" s="9" t="s">
        <v>133</v>
      </c>
      <c r="C80" s="9" t="s">
        <v>131</v>
      </c>
      <c r="D80" s="9" t="s">
        <v>34</v>
      </c>
    </row>
    <row r="81" spans="1:4" ht="24.75" customHeight="1" x14ac:dyDescent="0.25">
      <c r="A81" s="8" t="s">
        <v>150</v>
      </c>
      <c r="B81" s="9" t="s">
        <v>151</v>
      </c>
      <c r="C81" s="9" t="s">
        <v>152</v>
      </c>
      <c r="D81" s="9" t="s">
        <v>34</v>
      </c>
    </row>
    <row r="82" spans="1:4" ht="24.75" customHeight="1" x14ac:dyDescent="0.25">
      <c r="A82" s="8" t="s">
        <v>153</v>
      </c>
      <c r="B82" s="9" t="s">
        <v>142</v>
      </c>
      <c r="C82" s="9" t="s">
        <v>131</v>
      </c>
      <c r="D82" s="9" t="s">
        <v>34</v>
      </c>
    </row>
    <row r="83" spans="1:4" ht="12" customHeight="1" x14ac:dyDescent="0.25">
      <c r="A83" s="46"/>
      <c r="B83" s="46"/>
      <c r="C83" s="46"/>
      <c r="D83" s="46"/>
    </row>
    <row r="84" spans="1:4" ht="16.5" customHeight="1" x14ac:dyDescent="0.25">
      <c r="A84" s="8" t="s">
        <v>154</v>
      </c>
      <c r="B84" s="9" t="s">
        <v>155</v>
      </c>
      <c r="C84" s="9" t="s">
        <v>156</v>
      </c>
      <c r="D84" s="9" t="s">
        <v>157</v>
      </c>
    </row>
    <row r="85" spans="1:4" ht="16.5" customHeight="1" x14ac:dyDescent="0.25">
      <c r="A85" s="8" t="s">
        <v>158</v>
      </c>
      <c r="B85" s="9" t="s">
        <v>159</v>
      </c>
      <c r="C85" s="9" t="s">
        <v>160</v>
      </c>
      <c r="D85" s="9" t="s">
        <v>157</v>
      </c>
    </row>
    <row r="86" spans="1:4" ht="16.5" customHeight="1" x14ac:dyDescent="0.25">
      <c r="A86" s="8" t="s">
        <v>161</v>
      </c>
      <c r="B86" s="9" t="s">
        <v>48</v>
      </c>
      <c r="C86" s="9" t="s">
        <v>49</v>
      </c>
      <c r="D86" s="9" t="s">
        <v>157</v>
      </c>
    </row>
    <row r="87" spans="1:4" ht="16.5" customHeight="1" x14ac:dyDescent="0.25">
      <c r="A87" s="8" t="s">
        <v>162</v>
      </c>
      <c r="B87" s="9" t="s">
        <v>163</v>
      </c>
      <c r="C87" s="9" t="s">
        <v>164</v>
      </c>
      <c r="D87" s="9" t="s">
        <v>157</v>
      </c>
    </row>
    <row r="88" spans="1:4" ht="16.5" customHeight="1" x14ac:dyDescent="0.25">
      <c r="A88" s="8" t="s">
        <v>165</v>
      </c>
      <c r="B88" s="9" t="s">
        <v>166</v>
      </c>
      <c r="C88" s="9" t="s">
        <v>167</v>
      </c>
      <c r="D88" s="9" t="s">
        <v>157</v>
      </c>
    </row>
    <row r="89" spans="1:4" ht="16.5" customHeight="1" x14ac:dyDescent="0.25">
      <c r="A89" s="8" t="s">
        <v>168</v>
      </c>
      <c r="B89" s="9" t="s">
        <v>166</v>
      </c>
      <c r="C89" s="9" t="s">
        <v>169</v>
      </c>
      <c r="D89" s="9" t="s">
        <v>157</v>
      </c>
    </row>
    <row r="90" spans="1:4" ht="17.25" customHeight="1" x14ac:dyDescent="0.25">
      <c r="A90" s="8" t="s">
        <v>170</v>
      </c>
      <c r="B90" s="9" t="s">
        <v>166</v>
      </c>
      <c r="C90" s="9" t="s">
        <v>171</v>
      </c>
      <c r="D90" s="9" t="s">
        <v>157</v>
      </c>
    </row>
    <row r="91" spans="1:4" ht="16.5" customHeight="1" x14ac:dyDescent="0.25">
      <c r="A91" s="8" t="s">
        <v>172</v>
      </c>
      <c r="B91" s="9" t="s">
        <v>173</v>
      </c>
      <c r="C91" s="9" t="s">
        <v>174</v>
      </c>
      <c r="D91" s="9" t="s">
        <v>157</v>
      </c>
    </row>
    <row r="92" spans="1:4" ht="16.5" customHeight="1" x14ac:dyDescent="0.25">
      <c r="A92" s="8" t="s">
        <v>175</v>
      </c>
      <c r="B92" s="9" t="s">
        <v>176</v>
      </c>
      <c r="C92" s="9" t="s">
        <v>177</v>
      </c>
      <c r="D92" s="9" t="s">
        <v>157</v>
      </c>
    </row>
    <row r="93" spans="1:4" ht="16.5" customHeight="1" x14ac:dyDescent="0.25">
      <c r="A93" s="8" t="s">
        <v>178</v>
      </c>
      <c r="B93" s="9" t="s">
        <v>176</v>
      </c>
      <c r="C93" s="9" t="s">
        <v>179</v>
      </c>
      <c r="D93" s="9" t="s">
        <v>157</v>
      </c>
    </row>
    <row r="94" spans="1:4" ht="16.5" customHeight="1" x14ac:dyDescent="0.25">
      <c r="A94" s="8" t="s">
        <v>180</v>
      </c>
      <c r="B94" s="9" t="s">
        <v>181</v>
      </c>
      <c r="C94" s="9" t="s">
        <v>182</v>
      </c>
      <c r="D94" s="9" t="s">
        <v>157</v>
      </c>
    </row>
    <row r="95" spans="1:4" ht="16.5" customHeight="1" x14ac:dyDescent="0.25">
      <c r="A95" s="8" t="s">
        <v>183</v>
      </c>
      <c r="B95" s="9" t="s">
        <v>184</v>
      </c>
      <c r="C95" s="9" t="s">
        <v>185</v>
      </c>
      <c r="D95" s="9" t="s">
        <v>157</v>
      </c>
    </row>
    <row r="96" spans="1:4" ht="16.5" customHeight="1" x14ac:dyDescent="0.25">
      <c r="A96" s="8" t="s">
        <v>186</v>
      </c>
      <c r="B96" s="9" t="s">
        <v>187</v>
      </c>
      <c r="C96" s="9" t="s">
        <v>188</v>
      </c>
      <c r="D96" s="9" t="s">
        <v>157</v>
      </c>
    </row>
    <row r="97" spans="1:4" ht="16.5" customHeight="1" x14ac:dyDescent="0.25">
      <c r="A97" s="8" t="s">
        <v>189</v>
      </c>
      <c r="B97" s="9" t="s">
        <v>190</v>
      </c>
      <c r="C97" s="9" t="s">
        <v>191</v>
      </c>
      <c r="D97" s="9" t="s">
        <v>157</v>
      </c>
    </row>
    <row r="98" spans="1:4" ht="16.5" customHeight="1" x14ac:dyDescent="0.25">
      <c r="A98" s="8" t="s">
        <v>192</v>
      </c>
      <c r="B98" s="9" t="s">
        <v>187</v>
      </c>
      <c r="C98" s="9" t="s">
        <v>193</v>
      </c>
      <c r="D98" s="9" t="s">
        <v>157</v>
      </c>
    </row>
    <row r="99" spans="1:4" ht="16.5" customHeight="1" x14ac:dyDescent="0.25">
      <c r="A99" s="8" t="s">
        <v>194</v>
      </c>
      <c r="B99" s="9" t="s">
        <v>187</v>
      </c>
      <c r="C99" s="9" t="s">
        <v>195</v>
      </c>
      <c r="D99" s="9" t="s">
        <v>157</v>
      </c>
    </row>
    <row r="100" spans="1:4" ht="16.5" customHeight="1" x14ac:dyDescent="0.25">
      <c r="A100" s="8" t="s">
        <v>196</v>
      </c>
      <c r="B100" s="9" t="s">
        <v>197</v>
      </c>
      <c r="C100" s="9" t="s">
        <v>198</v>
      </c>
      <c r="D100" s="9" t="s">
        <v>157</v>
      </c>
    </row>
    <row r="101" spans="1:4" ht="16.5" customHeight="1" x14ac:dyDescent="0.25">
      <c r="A101" s="8" t="s">
        <v>199</v>
      </c>
      <c r="B101" s="9" t="s">
        <v>197</v>
      </c>
      <c r="C101" s="9" t="s">
        <v>200</v>
      </c>
      <c r="D101" s="9" t="s">
        <v>157</v>
      </c>
    </row>
    <row r="102" spans="1:4" ht="24.75" customHeight="1" x14ac:dyDescent="0.25">
      <c r="A102" s="8" t="s">
        <v>201</v>
      </c>
      <c r="B102" s="9" t="s">
        <v>197</v>
      </c>
      <c r="C102" s="9" t="s">
        <v>202</v>
      </c>
      <c r="D102" s="9" t="s">
        <v>157</v>
      </c>
    </row>
    <row r="103" spans="1:4" ht="16.5" customHeight="1" x14ac:dyDescent="0.25">
      <c r="A103" s="8" t="s">
        <v>203</v>
      </c>
      <c r="B103" s="9" t="s">
        <v>204</v>
      </c>
      <c r="C103" s="9" t="s">
        <v>205</v>
      </c>
      <c r="D103" s="9" t="s">
        <v>157</v>
      </c>
    </row>
    <row r="104" spans="1:4" ht="12.75" customHeight="1" x14ac:dyDescent="0.25">
      <c r="A104" s="46"/>
      <c r="B104" s="46"/>
      <c r="C104" s="46"/>
      <c r="D104" s="46"/>
    </row>
    <row r="105" spans="1:4" ht="16.5" customHeight="1" x14ac:dyDescent="0.25">
      <c r="A105" s="8" t="s">
        <v>206</v>
      </c>
      <c r="B105" s="9" t="s">
        <v>207</v>
      </c>
      <c r="C105" s="9" t="s">
        <v>208</v>
      </c>
      <c r="D105" s="9" t="s">
        <v>209</v>
      </c>
    </row>
    <row r="106" spans="1:4" ht="16.5" customHeight="1" x14ac:dyDescent="0.25">
      <c r="A106" s="8" t="s">
        <v>210</v>
      </c>
      <c r="B106" s="9" t="s">
        <v>207</v>
      </c>
      <c r="C106" s="9" t="s">
        <v>208</v>
      </c>
      <c r="D106" s="9" t="s">
        <v>209</v>
      </c>
    </row>
    <row r="107" spans="1:4" ht="16.5" customHeight="1" x14ac:dyDescent="0.25">
      <c r="A107" s="8" t="s">
        <v>211</v>
      </c>
      <c r="B107" s="9" t="s">
        <v>207</v>
      </c>
      <c r="C107" s="9" t="s">
        <v>208</v>
      </c>
      <c r="D107" s="9" t="s">
        <v>209</v>
      </c>
    </row>
    <row r="108" spans="1:4" ht="16.5" customHeight="1" x14ac:dyDescent="0.25">
      <c r="A108" s="8" t="s">
        <v>212</v>
      </c>
      <c r="B108" s="9" t="s">
        <v>213</v>
      </c>
      <c r="C108" s="9" t="s">
        <v>214</v>
      </c>
      <c r="D108" s="9" t="s">
        <v>209</v>
      </c>
    </row>
    <row r="109" spans="1:4" ht="16.5" customHeight="1" x14ac:dyDescent="0.25">
      <c r="A109" s="8" t="s">
        <v>215</v>
      </c>
      <c r="B109" s="9" t="s">
        <v>57</v>
      </c>
      <c r="C109" s="9" t="s">
        <v>58</v>
      </c>
      <c r="D109" s="9" t="s">
        <v>209</v>
      </c>
    </row>
    <row r="110" spans="1:4" ht="16.5" customHeight="1" x14ac:dyDescent="0.25">
      <c r="A110" s="8" t="s">
        <v>216</v>
      </c>
      <c r="B110" s="9" t="s">
        <v>68</v>
      </c>
      <c r="C110" s="9" t="s">
        <v>217</v>
      </c>
      <c r="D110" s="9" t="s">
        <v>209</v>
      </c>
    </row>
    <row r="111" spans="1:4" ht="16.5" customHeight="1" x14ac:dyDescent="0.25">
      <c r="A111" s="8" t="s">
        <v>218</v>
      </c>
      <c r="B111" s="9" t="s">
        <v>68</v>
      </c>
      <c r="C111" s="9" t="s">
        <v>219</v>
      </c>
      <c r="D111" s="9" t="s">
        <v>209</v>
      </c>
    </row>
    <row r="112" spans="1:4" ht="16.5" customHeight="1" x14ac:dyDescent="0.25">
      <c r="A112" s="8" t="s">
        <v>220</v>
      </c>
      <c r="B112" s="9" t="s">
        <v>68</v>
      </c>
      <c r="C112" s="9" t="s">
        <v>221</v>
      </c>
      <c r="D112" s="9" t="s">
        <v>209</v>
      </c>
    </row>
    <row r="113" spans="1:4" ht="16.5" customHeight="1" x14ac:dyDescent="0.25">
      <c r="A113" s="8" t="s">
        <v>222</v>
      </c>
      <c r="B113" s="9" t="s">
        <v>68</v>
      </c>
      <c r="C113" s="9" t="s">
        <v>223</v>
      </c>
      <c r="D113" s="9" t="s">
        <v>209</v>
      </c>
    </row>
    <row r="114" spans="1:4" ht="17.25" customHeight="1" x14ac:dyDescent="0.25">
      <c r="A114" s="8" t="s">
        <v>224</v>
      </c>
      <c r="B114" s="9" t="s">
        <v>68</v>
      </c>
      <c r="C114" s="9" t="s">
        <v>225</v>
      </c>
      <c r="D114" s="9" t="s">
        <v>209</v>
      </c>
    </row>
    <row r="115" spans="1:4" ht="16.5" customHeight="1" x14ac:dyDescent="0.25">
      <c r="A115" s="8" t="s">
        <v>226</v>
      </c>
      <c r="B115" s="9" t="s">
        <v>68</v>
      </c>
      <c r="C115" s="9" t="s">
        <v>227</v>
      </c>
      <c r="D115" s="9" t="s">
        <v>209</v>
      </c>
    </row>
    <row r="116" spans="1:4" ht="16.5" customHeight="1" x14ac:dyDescent="0.25">
      <c r="A116" s="8" t="s">
        <v>228</v>
      </c>
      <c r="B116" s="9" t="s">
        <v>68</v>
      </c>
      <c r="C116" s="9" t="s">
        <v>227</v>
      </c>
      <c r="D116" s="9" t="s">
        <v>209</v>
      </c>
    </row>
    <row r="117" spans="1:4" ht="16.5" customHeight="1" x14ac:dyDescent="0.25">
      <c r="A117" s="8" t="s">
        <v>229</v>
      </c>
      <c r="B117" s="9" t="s">
        <v>230</v>
      </c>
      <c r="C117" s="9" t="s">
        <v>231</v>
      </c>
      <c r="D117" s="9" t="s">
        <v>209</v>
      </c>
    </row>
    <row r="118" spans="1:4" ht="16.5" customHeight="1" x14ac:dyDescent="0.25">
      <c r="A118" s="8" t="s">
        <v>232</v>
      </c>
      <c r="B118" s="9" t="s">
        <v>230</v>
      </c>
      <c r="C118" s="9" t="s">
        <v>231</v>
      </c>
      <c r="D118" s="9" t="s">
        <v>209</v>
      </c>
    </row>
    <row r="119" spans="1:4" ht="16.5" customHeight="1" x14ac:dyDescent="0.25">
      <c r="A119" s="8" t="s">
        <v>233</v>
      </c>
      <c r="B119" s="9" t="s">
        <v>230</v>
      </c>
      <c r="C119" s="9" t="s">
        <v>231</v>
      </c>
      <c r="D119" s="9" t="s">
        <v>209</v>
      </c>
    </row>
    <row r="120" spans="1:4" ht="16.5" customHeight="1" x14ac:dyDescent="0.25">
      <c r="A120" s="8" t="s">
        <v>234</v>
      </c>
      <c r="B120" s="9" t="s">
        <v>230</v>
      </c>
      <c r="C120" s="9" t="s">
        <v>231</v>
      </c>
      <c r="D120" s="9" t="s">
        <v>209</v>
      </c>
    </row>
    <row r="121" spans="1:4" ht="16.5" customHeight="1" x14ac:dyDescent="0.25">
      <c r="A121" s="8" t="s">
        <v>235</v>
      </c>
      <c r="B121" s="9" t="s">
        <v>230</v>
      </c>
      <c r="C121" s="9" t="s">
        <v>231</v>
      </c>
      <c r="D121" s="9" t="s">
        <v>209</v>
      </c>
    </row>
    <row r="122" spans="1:4" ht="16.5" customHeight="1" x14ac:dyDescent="0.25">
      <c r="A122" s="8" t="s">
        <v>236</v>
      </c>
      <c r="B122" s="9" t="s">
        <v>230</v>
      </c>
      <c r="C122" s="9" t="s">
        <v>231</v>
      </c>
      <c r="D122" s="9" t="s">
        <v>209</v>
      </c>
    </row>
    <row r="123" spans="1:4" ht="16.5" customHeight="1" x14ac:dyDescent="0.25">
      <c r="A123" s="8" t="s">
        <v>237</v>
      </c>
      <c r="B123" s="9" t="s">
        <v>230</v>
      </c>
      <c r="C123" s="9" t="s">
        <v>231</v>
      </c>
      <c r="D123" s="9" t="s">
        <v>209</v>
      </c>
    </row>
    <row r="124" spans="1:4" ht="16.5" customHeight="1" x14ac:dyDescent="0.25">
      <c r="A124" s="8" t="s">
        <v>238</v>
      </c>
      <c r="B124" s="9" t="s">
        <v>230</v>
      </c>
      <c r="C124" s="9" t="s">
        <v>231</v>
      </c>
      <c r="D124" s="9" t="s">
        <v>209</v>
      </c>
    </row>
    <row r="125" spans="1:4" ht="16.5" customHeight="1" x14ac:dyDescent="0.25">
      <c r="A125" s="8" t="s">
        <v>239</v>
      </c>
      <c r="B125" s="9" t="s">
        <v>230</v>
      </c>
      <c r="C125" s="9" t="s">
        <v>231</v>
      </c>
      <c r="D125" s="9" t="s">
        <v>209</v>
      </c>
    </row>
    <row r="126" spans="1:4" ht="17.25" customHeight="1" x14ac:dyDescent="0.25">
      <c r="A126" s="8" t="s">
        <v>240</v>
      </c>
      <c r="B126" s="9" t="s">
        <v>241</v>
      </c>
      <c r="C126" s="9" t="s">
        <v>242</v>
      </c>
      <c r="D126" s="9" t="s">
        <v>209</v>
      </c>
    </row>
    <row r="127" spans="1:4" ht="16.5" customHeight="1" x14ac:dyDescent="0.25">
      <c r="A127" s="8" t="s">
        <v>243</v>
      </c>
      <c r="B127" s="9" t="s">
        <v>241</v>
      </c>
      <c r="C127" s="9" t="s">
        <v>242</v>
      </c>
      <c r="D127" s="9" t="s">
        <v>209</v>
      </c>
    </row>
    <row r="128" spans="1:4" ht="16.5" customHeight="1" x14ac:dyDescent="0.25">
      <c r="A128" s="8" t="s">
        <v>244</v>
      </c>
      <c r="B128" s="9" t="s">
        <v>241</v>
      </c>
      <c r="C128" s="9" t="s">
        <v>242</v>
      </c>
      <c r="D128" s="9" t="s">
        <v>209</v>
      </c>
    </row>
    <row r="129" spans="1:4" ht="16.5" customHeight="1" x14ac:dyDescent="0.25">
      <c r="A129" s="8" t="s">
        <v>245</v>
      </c>
      <c r="B129" s="9" t="s">
        <v>241</v>
      </c>
      <c r="C129" s="9" t="s">
        <v>242</v>
      </c>
      <c r="D129" s="9" t="s">
        <v>209</v>
      </c>
    </row>
    <row r="130" spans="1:4" ht="16.5" customHeight="1" x14ac:dyDescent="0.25">
      <c r="A130" s="8" t="s">
        <v>246</v>
      </c>
      <c r="B130" s="9" t="s">
        <v>241</v>
      </c>
      <c r="C130" s="9" t="s">
        <v>242</v>
      </c>
      <c r="D130" s="9" t="s">
        <v>209</v>
      </c>
    </row>
    <row r="131" spans="1:4" ht="16.5" customHeight="1" x14ac:dyDescent="0.25">
      <c r="A131" s="8" t="s">
        <v>247</v>
      </c>
      <c r="B131" s="9" t="s">
        <v>241</v>
      </c>
      <c r="C131" s="9" t="s">
        <v>242</v>
      </c>
      <c r="D131" s="9" t="s">
        <v>209</v>
      </c>
    </row>
    <row r="132" spans="1:4" ht="24.75" customHeight="1" x14ac:dyDescent="0.25">
      <c r="A132" s="8" t="s">
        <v>248</v>
      </c>
      <c r="B132" s="9" t="s">
        <v>249</v>
      </c>
      <c r="C132" s="9" t="s">
        <v>131</v>
      </c>
      <c r="D132" s="9" t="s">
        <v>209</v>
      </c>
    </row>
    <row r="133" spans="1:4" ht="24.75" customHeight="1" x14ac:dyDescent="0.25">
      <c r="A133" s="8" t="s">
        <v>250</v>
      </c>
      <c r="B133" s="9" t="s">
        <v>249</v>
      </c>
      <c r="C133" s="9" t="s">
        <v>131</v>
      </c>
      <c r="D133" s="9" t="s">
        <v>209</v>
      </c>
    </row>
    <row r="134" spans="1:4" ht="24.75" customHeight="1" x14ac:dyDescent="0.25">
      <c r="A134" s="8" t="s">
        <v>251</v>
      </c>
      <c r="B134" s="9" t="s">
        <v>249</v>
      </c>
      <c r="C134" s="9" t="s">
        <v>131</v>
      </c>
      <c r="D134" s="9" t="s">
        <v>209</v>
      </c>
    </row>
    <row r="135" spans="1:4" ht="12" customHeight="1" x14ac:dyDescent="0.25">
      <c r="A135" s="46"/>
      <c r="B135" s="46"/>
      <c r="C135" s="46"/>
      <c r="D135" s="46"/>
    </row>
    <row r="136" spans="1:4" ht="16.5" customHeight="1" x14ac:dyDescent="0.25">
      <c r="A136" s="8" t="s">
        <v>252</v>
      </c>
      <c r="B136" s="9" t="s">
        <v>253</v>
      </c>
      <c r="C136" s="9" t="s">
        <v>254</v>
      </c>
      <c r="D136" s="9" t="s">
        <v>255</v>
      </c>
    </row>
    <row r="137" spans="1:4" ht="16.5" customHeight="1" x14ac:dyDescent="0.25">
      <c r="A137" s="8" t="s">
        <v>256</v>
      </c>
      <c r="B137" s="9" t="s">
        <v>257</v>
      </c>
      <c r="C137" s="9" t="s">
        <v>258</v>
      </c>
      <c r="D137" s="9" t="s">
        <v>255</v>
      </c>
    </row>
    <row r="138" spans="1:4" ht="16.5" customHeight="1" x14ac:dyDescent="0.25">
      <c r="A138" s="8" t="s">
        <v>259</v>
      </c>
      <c r="B138" s="9" t="s">
        <v>260</v>
      </c>
      <c r="C138" s="9" t="s">
        <v>261</v>
      </c>
      <c r="D138" s="9" t="s">
        <v>255</v>
      </c>
    </row>
    <row r="139" spans="1:4" ht="16.5" customHeight="1" x14ac:dyDescent="0.25">
      <c r="A139" s="8" t="s">
        <v>262</v>
      </c>
      <c r="B139" s="9" t="s">
        <v>263</v>
      </c>
      <c r="C139" s="9" t="s">
        <v>264</v>
      </c>
      <c r="D139" s="9" t="s">
        <v>255</v>
      </c>
    </row>
    <row r="140" spans="1:4" ht="16.5" customHeight="1" x14ac:dyDescent="0.25">
      <c r="A140" s="8" t="s">
        <v>265</v>
      </c>
      <c r="B140" s="9" t="s">
        <v>48</v>
      </c>
      <c r="C140" s="9" t="s">
        <v>49</v>
      </c>
      <c r="D140" s="9" t="s">
        <v>255</v>
      </c>
    </row>
    <row r="141" spans="1:4" ht="16.5" customHeight="1" x14ac:dyDescent="0.25">
      <c r="A141" s="8" t="s">
        <v>266</v>
      </c>
      <c r="B141" s="9" t="s">
        <v>48</v>
      </c>
      <c r="C141" s="9" t="s">
        <v>49</v>
      </c>
      <c r="D141" s="9" t="s">
        <v>255</v>
      </c>
    </row>
    <row r="142" spans="1:4" ht="16.5" customHeight="1" x14ac:dyDescent="0.25">
      <c r="A142" s="8" t="s">
        <v>267</v>
      </c>
      <c r="B142" s="9" t="s">
        <v>53</v>
      </c>
      <c r="C142" s="9" t="s">
        <v>54</v>
      </c>
      <c r="D142" s="9" t="s">
        <v>255</v>
      </c>
    </row>
    <row r="143" spans="1:4" ht="17.25" customHeight="1" x14ac:dyDescent="0.25">
      <c r="A143" s="8" t="s">
        <v>268</v>
      </c>
      <c r="B143" s="9" t="s">
        <v>269</v>
      </c>
      <c r="C143" s="9" t="s">
        <v>46</v>
      </c>
      <c r="D143" s="9" t="s">
        <v>255</v>
      </c>
    </row>
    <row r="144" spans="1:4" ht="16.5" customHeight="1" x14ac:dyDescent="0.25">
      <c r="A144" s="8" t="s">
        <v>270</v>
      </c>
      <c r="B144" s="9" t="s">
        <v>269</v>
      </c>
      <c r="C144" s="9" t="s">
        <v>46</v>
      </c>
      <c r="D144" s="9" t="s">
        <v>255</v>
      </c>
    </row>
    <row r="145" spans="1:4" ht="16.5" customHeight="1" x14ac:dyDescent="0.25">
      <c r="A145" s="8" t="s">
        <v>271</v>
      </c>
      <c r="B145" s="9" t="s">
        <v>269</v>
      </c>
      <c r="C145" s="9" t="s">
        <v>46</v>
      </c>
      <c r="D145" s="9" t="s">
        <v>255</v>
      </c>
    </row>
    <row r="146" spans="1:4" ht="16.5" customHeight="1" x14ac:dyDescent="0.25">
      <c r="A146" s="8" t="s">
        <v>272</v>
      </c>
      <c r="B146" s="9" t="s">
        <v>57</v>
      </c>
      <c r="C146" s="9" t="s">
        <v>58</v>
      </c>
      <c r="D146" s="9" t="s">
        <v>255</v>
      </c>
    </row>
    <row r="147" spans="1:4" ht="16.5" customHeight="1" x14ac:dyDescent="0.25">
      <c r="A147" s="8" t="s">
        <v>273</v>
      </c>
      <c r="B147" s="9" t="s">
        <v>68</v>
      </c>
      <c r="C147" s="9" t="s">
        <v>274</v>
      </c>
      <c r="D147" s="9" t="s">
        <v>255</v>
      </c>
    </row>
    <row r="148" spans="1:4" ht="24.75" customHeight="1" x14ac:dyDescent="0.25">
      <c r="A148" s="8" t="s">
        <v>275</v>
      </c>
      <c r="B148" s="9" t="s">
        <v>133</v>
      </c>
      <c r="C148" s="9" t="s">
        <v>131</v>
      </c>
      <c r="D148" s="9" t="s">
        <v>255</v>
      </c>
    </row>
    <row r="149" spans="1:4" ht="12" customHeight="1" x14ac:dyDescent="0.25">
      <c r="A149" s="46"/>
      <c r="B149" s="46"/>
      <c r="C149" s="46"/>
      <c r="D149" s="46"/>
    </row>
    <row r="150" spans="1:4" ht="16.5" customHeight="1" x14ac:dyDescent="0.25">
      <c r="A150" s="8" t="s">
        <v>276</v>
      </c>
      <c r="B150" s="9" t="s">
        <v>277</v>
      </c>
      <c r="C150" s="9" t="s">
        <v>278</v>
      </c>
      <c r="D150" s="9" t="s">
        <v>279</v>
      </c>
    </row>
    <row r="151" spans="1:4" ht="16.5" customHeight="1" x14ac:dyDescent="0.25">
      <c r="A151" s="8" t="s">
        <v>280</v>
      </c>
      <c r="B151" s="9" t="s">
        <v>277</v>
      </c>
      <c r="C151" s="9" t="s">
        <v>278</v>
      </c>
      <c r="D151" s="9" t="s">
        <v>279</v>
      </c>
    </row>
    <row r="152" spans="1:4" ht="16.5" customHeight="1" x14ac:dyDescent="0.25">
      <c r="A152" s="8" t="s">
        <v>281</v>
      </c>
      <c r="B152" s="9" t="s">
        <v>282</v>
      </c>
      <c r="C152" s="9" t="s">
        <v>283</v>
      </c>
      <c r="D152" s="9" t="s">
        <v>279</v>
      </c>
    </row>
    <row r="153" spans="1:4" ht="16.5" customHeight="1" x14ac:dyDescent="0.25">
      <c r="A153" s="8" t="s">
        <v>284</v>
      </c>
      <c r="B153" s="9" t="s">
        <v>282</v>
      </c>
      <c r="C153" s="9" t="s">
        <v>283</v>
      </c>
      <c r="D153" s="9" t="s">
        <v>279</v>
      </c>
    </row>
    <row r="154" spans="1:4" ht="16.5" customHeight="1" x14ac:dyDescent="0.25">
      <c r="A154" s="8" t="s">
        <v>285</v>
      </c>
      <c r="B154" s="9" t="s">
        <v>57</v>
      </c>
      <c r="C154" s="9" t="s">
        <v>58</v>
      </c>
      <c r="D154" s="9" t="s">
        <v>279</v>
      </c>
    </row>
    <row r="155" spans="1:4" ht="17.25" customHeight="1" x14ac:dyDescent="0.25">
      <c r="A155" s="8" t="s">
        <v>286</v>
      </c>
      <c r="B155" s="9" t="s">
        <v>57</v>
      </c>
      <c r="C155" s="9" t="s">
        <v>58</v>
      </c>
      <c r="D155" s="9" t="s">
        <v>279</v>
      </c>
    </row>
    <row r="156" spans="1:4" ht="24" customHeight="1" x14ac:dyDescent="0.25">
      <c r="A156" s="8" t="s">
        <v>287</v>
      </c>
      <c r="B156" s="9" t="s">
        <v>288</v>
      </c>
      <c r="C156" s="9" t="s">
        <v>131</v>
      </c>
      <c r="D156" s="9" t="s">
        <v>279</v>
      </c>
    </row>
    <row r="157" spans="1:4" ht="12.75" customHeight="1" x14ac:dyDescent="0.25">
      <c r="A157" s="46"/>
      <c r="B157" s="46"/>
      <c r="C157" s="46"/>
      <c r="D157" s="46"/>
    </row>
    <row r="158" spans="1:4" ht="16.5" customHeight="1" x14ac:dyDescent="0.25">
      <c r="A158" s="8" t="s">
        <v>289</v>
      </c>
      <c r="B158" s="9" t="s">
        <v>19</v>
      </c>
      <c r="C158" s="9" t="s">
        <v>290</v>
      </c>
      <c r="D158" s="9" t="s">
        <v>291</v>
      </c>
    </row>
    <row r="159" spans="1:4" ht="16.5" customHeight="1" x14ac:dyDescent="0.25">
      <c r="A159" s="8" t="s">
        <v>292</v>
      </c>
      <c r="B159" s="9" t="s">
        <v>19</v>
      </c>
      <c r="C159" s="9" t="s">
        <v>293</v>
      </c>
      <c r="D159" s="9" t="s">
        <v>291</v>
      </c>
    </row>
    <row r="160" spans="1:4" ht="16.5" customHeight="1" x14ac:dyDescent="0.25">
      <c r="A160" s="8" t="s">
        <v>294</v>
      </c>
      <c r="B160" s="9" t="s">
        <v>19</v>
      </c>
      <c r="C160" s="9" t="s">
        <v>295</v>
      </c>
      <c r="D160" s="9" t="s">
        <v>291</v>
      </c>
    </row>
    <row r="161" spans="1:4" ht="16.5" customHeight="1" x14ac:dyDescent="0.25">
      <c r="A161" s="8" t="s">
        <v>296</v>
      </c>
      <c r="B161" s="9" t="s">
        <v>19</v>
      </c>
      <c r="C161" s="9" t="s">
        <v>297</v>
      </c>
      <c r="D161" s="9" t="s">
        <v>291</v>
      </c>
    </row>
    <row r="162" spans="1:4" ht="16.5" customHeight="1" x14ac:dyDescent="0.25">
      <c r="A162" s="8" t="s">
        <v>298</v>
      </c>
      <c r="B162" s="9" t="s">
        <v>19</v>
      </c>
      <c r="C162" s="9" t="s">
        <v>299</v>
      </c>
      <c r="D162" s="9" t="s">
        <v>291</v>
      </c>
    </row>
    <row r="163" spans="1:4" ht="16.5" customHeight="1" x14ac:dyDescent="0.25">
      <c r="A163" s="8" t="s">
        <v>300</v>
      </c>
      <c r="B163" s="9" t="s">
        <v>19</v>
      </c>
      <c r="C163" s="9" t="s">
        <v>301</v>
      </c>
      <c r="D163" s="9" t="s">
        <v>291</v>
      </c>
    </row>
    <row r="164" spans="1:4" ht="16.5" customHeight="1" x14ac:dyDescent="0.25">
      <c r="A164" s="8" t="s">
        <v>302</v>
      </c>
      <c r="B164" s="9" t="s">
        <v>19</v>
      </c>
      <c r="C164" s="9" t="s">
        <v>303</v>
      </c>
      <c r="D164" s="9" t="s">
        <v>291</v>
      </c>
    </row>
    <row r="165" spans="1:4" ht="16.5" customHeight="1" x14ac:dyDescent="0.25">
      <c r="A165" s="8" t="s">
        <v>304</v>
      </c>
      <c r="B165" s="9" t="s">
        <v>19</v>
      </c>
      <c r="C165" s="9" t="s">
        <v>305</v>
      </c>
      <c r="D165" s="9" t="s">
        <v>291</v>
      </c>
    </row>
    <row r="166" spans="1:4" ht="12.75" customHeight="1" x14ac:dyDescent="0.25">
      <c r="A166" s="46"/>
      <c r="B166" s="46"/>
      <c r="C166" s="46"/>
      <c r="D166" s="46"/>
    </row>
    <row r="167" spans="1:4" ht="16.5" customHeight="1" x14ac:dyDescent="0.25">
      <c r="A167" s="8" t="s">
        <v>306</v>
      </c>
      <c r="B167" s="9" t="s">
        <v>307</v>
      </c>
      <c r="C167" s="9" t="s">
        <v>308</v>
      </c>
      <c r="D167" s="9" t="s">
        <v>309</v>
      </c>
    </row>
    <row r="168" spans="1:4" ht="16.5" customHeight="1" x14ac:dyDescent="0.25">
      <c r="A168" s="8" t="s">
        <v>310</v>
      </c>
      <c r="B168" s="9" t="s">
        <v>311</v>
      </c>
      <c r="C168" s="9" t="s">
        <v>312</v>
      </c>
      <c r="D168" s="9" t="s">
        <v>309</v>
      </c>
    </row>
    <row r="169" spans="1:4" ht="16.5" customHeight="1" x14ac:dyDescent="0.25">
      <c r="A169" s="8" t="s">
        <v>313</v>
      </c>
      <c r="B169" s="9" t="s">
        <v>311</v>
      </c>
      <c r="C169" s="9" t="s">
        <v>312</v>
      </c>
      <c r="D169" s="9" t="s">
        <v>309</v>
      </c>
    </row>
    <row r="170" spans="1:4" ht="16.5" customHeight="1" x14ac:dyDescent="0.25">
      <c r="A170" s="8" t="s">
        <v>314</v>
      </c>
      <c r="B170" s="9" t="s">
        <v>315</v>
      </c>
      <c r="C170" s="9" t="s">
        <v>308</v>
      </c>
      <c r="D170" s="9" t="s">
        <v>309</v>
      </c>
    </row>
    <row r="171" spans="1:4" ht="16.5" customHeight="1" x14ac:dyDescent="0.25">
      <c r="A171" s="8" t="s">
        <v>316</v>
      </c>
      <c r="B171" s="9" t="s">
        <v>315</v>
      </c>
      <c r="C171" s="9" t="s">
        <v>308</v>
      </c>
      <c r="D171" s="9" t="s">
        <v>309</v>
      </c>
    </row>
    <row r="172" spans="1:4" ht="16.5" customHeight="1" x14ac:dyDescent="0.25">
      <c r="A172" s="8" t="s">
        <v>317</v>
      </c>
      <c r="B172" s="9" t="s">
        <v>315</v>
      </c>
      <c r="C172" s="9" t="s">
        <v>308</v>
      </c>
      <c r="D172" s="9" t="s">
        <v>309</v>
      </c>
    </row>
    <row r="173" spans="1:4" ht="16.5" customHeight="1" x14ac:dyDescent="0.25">
      <c r="A173" s="8" t="s">
        <v>318</v>
      </c>
      <c r="B173" s="9" t="s">
        <v>319</v>
      </c>
      <c r="C173" s="9" t="s">
        <v>320</v>
      </c>
      <c r="D173" s="9" t="s">
        <v>309</v>
      </c>
    </row>
    <row r="174" spans="1:4" ht="16.5" customHeight="1" x14ac:dyDescent="0.25">
      <c r="A174" s="8" t="s">
        <v>321</v>
      </c>
      <c r="B174" s="9" t="s">
        <v>315</v>
      </c>
      <c r="C174" s="9" t="s">
        <v>308</v>
      </c>
      <c r="D174" s="9" t="s">
        <v>309</v>
      </c>
    </row>
    <row r="175" spans="1:4" ht="16.5" customHeight="1" x14ac:dyDescent="0.25">
      <c r="A175" s="8" t="s">
        <v>322</v>
      </c>
      <c r="B175" s="9" t="s">
        <v>311</v>
      </c>
      <c r="C175" s="9" t="s">
        <v>312</v>
      </c>
      <c r="D175" s="9" t="s">
        <v>309</v>
      </c>
    </row>
    <row r="176" spans="1:4" ht="24.75" customHeight="1" x14ac:dyDescent="0.25">
      <c r="A176" s="8" t="s">
        <v>323</v>
      </c>
      <c r="B176" s="9" t="s">
        <v>324</v>
      </c>
      <c r="C176" s="9" t="s">
        <v>325</v>
      </c>
      <c r="D176" s="9" t="s">
        <v>309</v>
      </c>
    </row>
    <row r="177" spans="1:4" ht="16.5" customHeight="1" x14ac:dyDescent="0.25">
      <c r="A177" s="8" t="s">
        <v>326</v>
      </c>
      <c r="B177" s="9" t="s">
        <v>327</v>
      </c>
      <c r="C177" s="9" t="s">
        <v>328</v>
      </c>
      <c r="D177" s="9" t="s">
        <v>309</v>
      </c>
    </row>
    <row r="178" spans="1:4" ht="17.25" customHeight="1" x14ac:dyDescent="0.25">
      <c r="A178" s="8" t="s">
        <v>329</v>
      </c>
      <c r="B178" s="9" t="s">
        <v>330</v>
      </c>
      <c r="C178" s="9" t="s">
        <v>331</v>
      </c>
      <c r="D178" s="9" t="s">
        <v>309</v>
      </c>
    </row>
    <row r="179" spans="1:4" ht="16.5" customHeight="1" x14ac:dyDescent="0.25">
      <c r="A179" s="8" t="s">
        <v>332</v>
      </c>
      <c r="B179" s="9" t="s">
        <v>277</v>
      </c>
      <c r="C179" s="9" t="s">
        <v>278</v>
      </c>
      <c r="D179" s="9" t="s">
        <v>309</v>
      </c>
    </row>
    <row r="180" spans="1:4" ht="16.5" customHeight="1" x14ac:dyDescent="0.25">
      <c r="A180" s="8" t="s">
        <v>333</v>
      </c>
      <c r="B180" s="9" t="s">
        <v>277</v>
      </c>
      <c r="C180" s="9" t="s">
        <v>278</v>
      </c>
      <c r="D180" s="9" t="s">
        <v>309</v>
      </c>
    </row>
    <row r="181" spans="1:4" ht="16.5" customHeight="1" x14ac:dyDescent="0.25">
      <c r="A181" s="8" t="s">
        <v>334</v>
      </c>
      <c r="B181" s="9" t="s">
        <v>282</v>
      </c>
      <c r="C181" s="9" t="s">
        <v>283</v>
      </c>
      <c r="D181" s="9" t="s">
        <v>309</v>
      </c>
    </row>
    <row r="182" spans="1:4" ht="16.5" customHeight="1" x14ac:dyDescent="0.25">
      <c r="A182" s="8" t="s">
        <v>335</v>
      </c>
      <c r="B182" s="9" t="s">
        <v>282</v>
      </c>
      <c r="C182" s="9" t="s">
        <v>283</v>
      </c>
      <c r="D182" s="9" t="s">
        <v>309</v>
      </c>
    </row>
    <row r="183" spans="1:4" ht="16.5" customHeight="1" x14ac:dyDescent="0.25">
      <c r="A183" s="8" t="s">
        <v>336</v>
      </c>
      <c r="B183" s="9" t="s">
        <v>269</v>
      </c>
      <c r="C183" s="9" t="s">
        <v>46</v>
      </c>
      <c r="D183" s="9" t="s">
        <v>309</v>
      </c>
    </row>
    <row r="184" spans="1:4" ht="16.5" customHeight="1" x14ac:dyDescent="0.25">
      <c r="A184" s="8" t="s">
        <v>337</v>
      </c>
      <c r="B184" s="9" t="s">
        <v>60</v>
      </c>
      <c r="C184" s="9" t="s">
        <v>58</v>
      </c>
      <c r="D184" s="9" t="s">
        <v>309</v>
      </c>
    </row>
    <row r="185" spans="1:4" ht="16.5" customHeight="1" x14ac:dyDescent="0.25">
      <c r="A185" s="8" t="s">
        <v>338</v>
      </c>
      <c r="B185" s="9" t="s">
        <v>339</v>
      </c>
      <c r="C185" s="9" t="s">
        <v>340</v>
      </c>
      <c r="D185" s="9" t="s">
        <v>309</v>
      </c>
    </row>
    <row r="186" spans="1:4" ht="24.75" customHeight="1" x14ac:dyDescent="0.25">
      <c r="A186" s="8" t="s">
        <v>341</v>
      </c>
      <c r="B186" s="9" t="s">
        <v>288</v>
      </c>
      <c r="C186" s="9" t="s">
        <v>131</v>
      </c>
      <c r="D186" s="9" t="s">
        <v>309</v>
      </c>
    </row>
    <row r="187" spans="1:4" ht="24.75" customHeight="1" x14ac:dyDescent="0.25">
      <c r="A187" s="8" t="s">
        <v>342</v>
      </c>
      <c r="B187" s="9" t="s">
        <v>133</v>
      </c>
      <c r="C187" s="9" t="s">
        <v>131</v>
      </c>
      <c r="D187" s="9" t="s">
        <v>309</v>
      </c>
    </row>
    <row r="188" spans="1:4" ht="12" customHeight="1" x14ac:dyDescent="0.25">
      <c r="A188" s="46"/>
      <c r="B188" s="46"/>
      <c r="C188" s="46"/>
      <c r="D188" s="46"/>
    </row>
    <row r="189" spans="1:4" ht="16.5" customHeight="1" x14ac:dyDescent="0.25">
      <c r="A189" s="8" t="s">
        <v>343</v>
      </c>
      <c r="B189" s="9" t="s">
        <v>57</v>
      </c>
      <c r="C189" s="9" t="s">
        <v>58</v>
      </c>
      <c r="D189" s="9" t="s">
        <v>344</v>
      </c>
    </row>
    <row r="190" spans="1:4" ht="12.75" customHeight="1" x14ac:dyDescent="0.25">
      <c r="A190" s="46"/>
      <c r="B190" s="46"/>
      <c r="C190" s="46"/>
      <c r="D190" s="46"/>
    </row>
    <row r="191" spans="1:4" ht="16.5" customHeight="1" x14ac:dyDescent="0.25">
      <c r="A191" s="8" t="s">
        <v>345</v>
      </c>
      <c r="B191" s="9" t="s">
        <v>346</v>
      </c>
      <c r="C191" s="9" t="s">
        <v>347</v>
      </c>
      <c r="D191" s="9" t="s">
        <v>348</v>
      </c>
    </row>
    <row r="192" spans="1:4" ht="16.5" customHeight="1" x14ac:dyDescent="0.25">
      <c r="A192" s="8" t="s">
        <v>349</v>
      </c>
      <c r="B192" s="9" t="s">
        <v>257</v>
      </c>
      <c r="C192" s="9" t="s">
        <v>258</v>
      </c>
      <c r="D192" s="9" t="s">
        <v>348</v>
      </c>
    </row>
    <row r="193" spans="1:4" ht="16.5" customHeight="1" x14ac:dyDescent="0.25">
      <c r="A193" s="8" t="s">
        <v>350</v>
      </c>
      <c r="B193" s="9" t="s">
        <v>351</v>
      </c>
      <c r="C193" s="9" t="s">
        <v>352</v>
      </c>
      <c r="D193" s="9" t="s">
        <v>348</v>
      </c>
    </row>
    <row r="194" spans="1:4" ht="16.5" customHeight="1" x14ac:dyDescent="0.25">
      <c r="A194" s="8" t="s">
        <v>353</v>
      </c>
      <c r="B194" s="9" t="s">
        <v>260</v>
      </c>
      <c r="C194" s="9" t="s">
        <v>354</v>
      </c>
      <c r="D194" s="9" t="s">
        <v>348</v>
      </c>
    </row>
    <row r="195" spans="1:4" ht="16.5" customHeight="1" x14ac:dyDescent="0.25">
      <c r="A195" s="8" t="s">
        <v>355</v>
      </c>
      <c r="B195" s="9" t="s">
        <v>263</v>
      </c>
      <c r="C195" s="9" t="s">
        <v>264</v>
      </c>
      <c r="D195" s="9" t="s">
        <v>348</v>
      </c>
    </row>
    <row r="196" spans="1:4" ht="16.5" customHeight="1" x14ac:dyDescent="0.25">
      <c r="A196" s="8" t="s">
        <v>356</v>
      </c>
      <c r="B196" s="9" t="s">
        <v>57</v>
      </c>
      <c r="C196" s="9" t="s">
        <v>58</v>
      </c>
      <c r="D196" s="9" t="s">
        <v>348</v>
      </c>
    </row>
    <row r="197" spans="1:4" ht="12" customHeight="1" x14ac:dyDescent="0.25">
      <c r="A197" s="46"/>
      <c r="B197" s="46"/>
      <c r="C197" s="46"/>
      <c r="D197" s="46"/>
    </row>
    <row r="198" spans="1:4" ht="16.5" customHeight="1" x14ac:dyDescent="0.25">
      <c r="A198" s="8" t="s">
        <v>357</v>
      </c>
      <c r="B198" s="9" t="s">
        <v>351</v>
      </c>
      <c r="C198" s="9" t="s">
        <v>352</v>
      </c>
      <c r="D198" s="9" t="s">
        <v>358</v>
      </c>
    </row>
    <row r="199" spans="1:4" ht="17.25" customHeight="1" x14ac:dyDescent="0.25">
      <c r="A199" s="8" t="s">
        <v>359</v>
      </c>
      <c r="B199" s="9" t="s">
        <v>257</v>
      </c>
      <c r="C199" s="9" t="s">
        <v>258</v>
      </c>
      <c r="D199" s="9" t="s">
        <v>358</v>
      </c>
    </row>
    <row r="200" spans="1:4" ht="16.5" customHeight="1" x14ac:dyDescent="0.25">
      <c r="A200" s="8" t="s">
        <v>360</v>
      </c>
      <c r="B200" s="9" t="s">
        <v>260</v>
      </c>
      <c r="C200" s="9" t="s">
        <v>354</v>
      </c>
      <c r="D200" s="9" t="s">
        <v>358</v>
      </c>
    </row>
    <row r="201" spans="1:4" ht="16.5" customHeight="1" x14ac:dyDescent="0.25">
      <c r="A201" s="8" t="s">
        <v>361</v>
      </c>
      <c r="B201" s="9" t="s">
        <v>260</v>
      </c>
      <c r="C201" s="9" t="s">
        <v>261</v>
      </c>
      <c r="D201" s="9" t="s">
        <v>358</v>
      </c>
    </row>
    <row r="202" spans="1:4" ht="16.5" customHeight="1" x14ac:dyDescent="0.25">
      <c r="A202" s="8" t="s">
        <v>362</v>
      </c>
      <c r="B202" s="9" t="s">
        <v>363</v>
      </c>
      <c r="C202" s="9" t="s">
        <v>364</v>
      </c>
      <c r="D202" s="9" t="s">
        <v>358</v>
      </c>
    </row>
    <row r="203" spans="1:4" ht="16.5" customHeight="1" x14ac:dyDescent="0.25">
      <c r="A203" s="8" t="s">
        <v>365</v>
      </c>
      <c r="B203" s="9" t="s">
        <v>363</v>
      </c>
      <c r="C203" s="9" t="s">
        <v>364</v>
      </c>
      <c r="D203" s="9" t="s">
        <v>358</v>
      </c>
    </row>
    <row r="204" spans="1:4" ht="16.5" customHeight="1" x14ac:dyDescent="0.25">
      <c r="A204" s="8" t="s">
        <v>366</v>
      </c>
      <c r="B204" s="9" t="s">
        <v>257</v>
      </c>
      <c r="C204" s="9" t="s">
        <v>258</v>
      </c>
      <c r="D204" s="9" t="s">
        <v>358</v>
      </c>
    </row>
    <row r="205" spans="1:4" ht="16.5" customHeight="1" x14ac:dyDescent="0.25">
      <c r="A205" s="8" t="s">
        <v>367</v>
      </c>
      <c r="B205" s="9" t="s">
        <v>257</v>
      </c>
      <c r="C205" s="9" t="s">
        <v>258</v>
      </c>
      <c r="D205" s="9" t="s">
        <v>358</v>
      </c>
    </row>
    <row r="206" spans="1:4" ht="16.5" customHeight="1" x14ac:dyDescent="0.25">
      <c r="A206" s="8" t="s">
        <v>368</v>
      </c>
      <c r="B206" s="9" t="s">
        <v>253</v>
      </c>
      <c r="C206" s="9" t="s">
        <v>254</v>
      </c>
      <c r="D206" s="9" t="s">
        <v>358</v>
      </c>
    </row>
    <row r="207" spans="1:4" ht="16.5" customHeight="1" x14ac:dyDescent="0.25">
      <c r="A207" s="8" t="s">
        <v>369</v>
      </c>
      <c r="B207" s="9" t="s">
        <v>253</v>
      </c>
      <c r="C207" s="9" t="s">
        <v>254</v>
      </c>
      <c r="D207" s="9" t="s">
        <v>358</v>
      </c>
    </row>
    <row r="208" spans="1:4" ht="16.5" customHeight="1" x14ac:dyDescent="0.25">
      <c r="A208" s="8" t="s">
        <v>370</v>
      </c>
      <c r="B208" s="9" t="s">
        <v>260</v>
      </c>
      <c r="C208" s="9" t="s">
        <v>354</v>
      </c>
      <c r="D208" s="9" t="s">
        <v>358</v>
      </c>
    </row>
    <row r="209" spans="1:4" ht="16.5" customHeight="1" x14ac:dyDescent="0.25">
      <c r="A209" s="8" t="s">
        <v>371</v>
      </c>
      <c r="B209" s="9" t="s">
        <v>346</v>
      </c>
      <c r="C209" s="9" t="s">
        <v>347</v>
      </c>
      <c r="D209" s="9" t="s">
        <v>358</v>
      </c>
    </row>
    <row r="210" spans="1:4" ht="16.5" customHeight="1" x14ac:dyDescent="0.25">
      <c r="A210" s="8" t="s">
        <v>372</v>
      </c>
      <c r="B210" s="9" t="s">
        <v>263</v>
      </c>
      <c r="C210" s="9" t="s">
        <v>264</v>
      </c>
      <c r="D210" s="9" t="s">
        <v>358</v>
      </c>
    </row>
    <row r="211" spans="1:4" ht="17.25" customHeight="1" x14ac:dyDescent="0.25">
      <c r="A211" s="8" t="s">
        <v>373</v>
      </c>
      <c r="B211" s="9" t="s">
        <v>263</v>
      </c>
      <c r="C211" s="9" t="s">
        <v>264</v>
      </c>
      <c r="D211" s="9" t="s">
        <v>358</v>
      </c>
    </row>
    <row r="212" spans="1:4" ht="16.5" customHeight="1" x14ac:dyDescent="0.25">
      <c r="A212" s="8" t="s">
        <v>374</v>
      </c>
      <c r="B212" s="9" t="s">
        <v>48</v>
      </c>
      <c r="C212" s="9" t="s">
        <v>49</v>
      </c>
      <c r="D212" s="9" t="s">
        <v>358</v>
      </c>
    </row>
    <row r="213" spans="1:4" ht="16.5" customHeight="1" x14ac:dyDescent="0.25">
      <c r="A213" s="8" t="s">
        <v>375</v>
      </c>
      <c r="B213" s="9" t="s">
        <v>53</v>
      </c>
      <c r="C213" s="9" t="s">
        <v>54</v>
      </c>
      <c r="D213" s="9" t="s">
        <v>358</v>
      </c>
    </row>
    <row r="214" spans="1:4" ht="16.5" customHeight="1" x14ac:dyDescent="0.25">
      <c r="A214" s="8" t="s">
        <v>376</v>
      </c>
      <c r="B214" s="9" t="s">
        <v>48</v>
      </c>
      <c r="C214" s="9" t="s">
        <v>49</v>
      </c>
      <c r="D214" s="9" t="s">
        <v>358</v>
      </c>
    </row>
    <row r="215" spans="1:4" ht="16.5" customHeight="1" x14ac:dyDescent="0.25">
      <c r="A215" s="8" t="s">
        <v>377</v>
      </c>
      <c r="B215" s="9" t="s">
        <v>48</v>
      </c>
      <c r="C215" s="9" t="s">
        <v>49</v>
      </c>
      <c r="D215" s="9" t="s">
        <v>358</v>
      </c>
    </row>
    <row r="216" spans="1:4" ht="16.5" customHeight="1" x14ac:dyDescent="0.25">
      <c r="A216" s="8" t="s">
        <v>378</v>
      </c>
      <c r="B216" s="9" t="s">
        <v>48</v>
      </c>
      <c r="C216" s="9" t="s">
        <v>49</v>
      </c>
      <c r="D216" s="9" t="s">
        <v>358</v>
      </c>
    </row>
    <row r="217" spans="1:4" ht="16.5" customHeight="1" x14ac:dyDescent="0.25">
      <c r="A217" s="8" t="s">
        <v>379</v>
      </c>
      <c r="B217" s="9" t="s">
        <v>48</v>
      </c>
      <c r="C217" s="9" t="s">
        <v>49</v>
      </c>
      <c r="D217" s="9" t="s">
        <v>358</v>
      </c>
    </row>
    <row r="218" spans="1:4" ht="16.5" customHeight="1" x14ac:dyDescent="0.25">
      <c r="A218" s="8" t="s">
        <v>380</v>
      </c>
      <c r="B218" s="9" t="s">
        <v>381</v>
      </c>
      <c r="C218" s="9" t="s">
        <v>49</v>
      </c>
      <c r="D218" s="9" t="s">
        <v>358</v>
      </c>
    </row>
    <row r="219" spans="1:4" ht="16.5" customHeight="1" x14ac:dyDescent="0.25">
      <c r="A219" s="8" t="s">
        <v>382</v>
      </c>
      <c r="B219" s="9" t="s">
        <v>48</v>
      </c>
      <c r="C219" s="9" t="s">
        <v>49</v>
      </c>
      <c r="D219" s="9" t="s">
        <v>358</v>
      </c>
    </row>
    <row r="220" spans="1:4" ht="16.5" customHeight="1" x14ac:dyDescent="0.25">
      <c r="A220" s="8" t="s">
        <v>383</v>
      </c>
      <c r="B220" s="9" t="s">
        <v>48</v>
      </c>
      <c r="C220" s="9" t="s">
        <v>49</v>
      </c>
      <c r="D220" s="9" t="s">
        <v>358</v>
      </c>
    </row>
    <row r="221" spans="1:4" ht="16.5" customHeight="1" x14ac:dyDescent="0.25">
      <c r="A221" s="8" t="s">
        <v>384</v>
      </c>
      <c r="B221" s="9" t="s">
        <v>48</v>
      </c>
      <c r="C221" s="9" t="s">
        <v>49</v>
      </c>
      <c r="D221" s="9" t="s">
        <v>358</v>
      </c>
    </row>
    <row r="222" spans="1:4" ht="16.5" customHeight="1" x14ac:dyDescent="0.25">
      <c r="A222" s="8" t="s">
        <v>385</v>
      </c>
      <c r="B222" s="9" t="s">
        <v>48</v>
      </c>
      <c r="C222" s="9" t="s">
        <v>49</v>
      </c>
      <c r="D222" s="9" t="s">
        <v>358</v>
      </c>
    </row>
    <row r="223" spans="1:4" ht="16.5" customHeight="1" x14ac:dyDescent="0.25">
      <c r="A223" s="8" t="s">
        <v>386</v>
      </c>
      <c r="B223" s="9" t="s">
        <v>48</v>
      </c>
      <c r="C223" s="9" t="s">
        <v>49</v>
      </c>
      <c r="D223" s="9" t="s">
        <v>358</v>
      </c>
    </row>
    <row r="224" spans="1:4" ht="17.25" customHeight="1" x14ac:dyDescent="0.25">
      <c r="A224" s="8" t="s">
        <v>387</v>
      </c>
      <c r="B224" s="9" t="s">
        <v>269</v>
      </c>
      <c r="C224" s="9" t="s">
        <v>46</v>
      </c>
      <c r="D224" s="9" t="s">
        <v>358</v>
      </c>
    </row>
    <row r="225" spans="1:4" ht="16.5" customHeight="1" x14ac:dyDescent="0.25">
      <c r="A225" s="8" t="s">
        <v>388</v>
      </c>
      <c r="B225" s="9" t="s">
        <v>389</v>
      </c>
      <c r="C225" s="9" t="s">
        <v>390</v>
      </c>
      <c r="D225" s="9" t="s">
        <v>358</v>
      </c>
    </row>
    <row r="226" spans="1:4" ht="16.5" customHeight="1" x14ac:dyDescent="0.25">
      <c r="A226" s="8" t="s">
        <v>391</v>
      </c>
      <c r="B226" s="9" t="s">
        <v>53</v>
      </c>
      <c r="C226" s="9" t="s">
        <v>54</v>
      </c>
      <c r="D226" s="9" t="s">
        <v>358</v>
      </c>
    </row>
    <row r="227" spans="1:4" ht="16.5" customHeight="1" x14ac:dyDescent="0.25">
      <c r="A227" s="8" t="s">
        <v>392</v>
      </c>
      <c r="B227" s="9" t="s">
        <v>269</v>
      </c>
      <c r="C227" s="9" t="s">
        <v>46</v>
      </c>
      <c r="D227" s="9" t="s">
        <v>358</v>
      </c>
    </row>
    <row r="228" spans="1:4" ht="16.5" customHeight="1" x14ac:dyDescent="0.25">
      <c r="A228" s="8" t="s">
        <v>393</v>
      </c>
      <c r="B228" s="9" t="s">
        <v>57</v>
      </c>
      <c r="C228" s="9" t="s">
        <v>58</v>
      </c>
      <c r="D228" s="9" t="s">
        <v>358</v>
      </c>
    </row>
    <row r="229" spans="1:4" ht="16.5" customHeight="1" x14ac:dyDescent="0.25">
      <c r="A229" s="8" t="s">
        <v>394</v>
      </c>
      <c r="B229" s="9" t="s">
        <v>57</v>
      </c>
      <c r="C229" s="9" t="s">
        <v>58</v>
      </c>
      <c r="D229" s="9" t="s">
        <v>358</v>
      </c>
    </row>
    <row r="230" spans="1:4" ht="16.5" customHeight="1" x14ac:dyDescent="0.25">
      <c r="A230" s="8" t="s">
        <v>395</v>
      </c>
      <c r="B230" s="9" t="s">
        <v>57</v>
      </c>
      <c r="C230" s="9" t="s">
        <v>58</v>
      </c>
      <c r="D230" s="9" t="s">
        <v>358</v>
      </c>
    </row>
    <row r="231" spans="1:4" ht="16.5" customHeight="1" x14ac:dyDescent="0.25">
      <c r="A231" s="8" t="s">
        <v>396</v>
      </c>
      <c r="B231" s="9" t="s">
        <v>57</v>
      </c>
      <c r="C231" s="9" t="s">
        <v>58</v>
      </c>
      <c r="D231" s="9" t="s">
        <v>358</v>
      </c>
    </row>
    <row r="232" spans="1:4" ht="16.5" customHeight="1" x14ac:dyDescent="0.25">
      <c r="A232" s="8" t="s">
        <v>397</v>
      </c>
      <c r="B232" s="9" t="s">
        <v>68</v>
      </c>
      <c r="C232" s="9" t="s">
        <v>398</v>
      </c>
      <c r="D232" s="9" t="s">
        <v>358</v>
      </c>
    </row>
    <row r="233" spans="1:4" ht="16.5" customHeight="1" x14ac:dyDescent="0.25">
      <c r="A233" s="8" t="s">
        <v>399</v>
      </c>
      <c r="B233" s="9" t="s">
        <v>68</v>
      </c>
      <c r="C233" s="9" t="s">
        <v>100</v>
      </c>
      <c r="D233" s="9" t="s">
        <v>358</v>
      </c>
    </row>
    <row r="234" spans="1:4" ht="16.5" customHeight="1" x14ac:dyDescent="0.25">
      <c r="A234" s="8" t="s">
        <v>400</v>
      </c>
      <c r="B234" s="9" t="s">
        <v>68</v>
      </c>
      <c r="C234" s="9" t="s">
        <v>100</v>
      </c>
      <c r="D234" s="9" t="s">
        <v>358</v>
      </c>
    </row>
    <row r="235" spans="1:4" ht="16.5" customHeight="1" x14ac:dyDescent="0.25">
      <c r="A235" s="8" t="s">
        <v>401</v>
      </c>
      <c r="B235" s="9" t="s">
        <v>68</v>
      </c>
      <c r="C235" s="9" t="s">
        <v>402</v>
      </c>
      <c r="D235" s="9" t="s">
        <v>358</v>
      </c>
    </row>
    <row r="236" spans="1:4" ht="17.25" customHeight="1" x14ac:dyDescent="0.25">
      <c r="A236" s="8" t="s">
        <v>403</v>
      </c>
      <c r="B236" s="9" t="s">
        <v>68</v>
      </c>
      <c r="C236" s="9" t="s">
        <v>404</v>
      </c>
      <c r="D236" s="9" t="s">
        <v>358</v>
      </c>
    </row>
    <row r="237" spans="1:4" ht="16.5" customHeight="1" x14ac:dyDescent="0.25">
      <c r="A237" s="8" t="s">
        <v>405</v>
      </c>
      <c r="B237" s="9" t="s">
        <v>68</v>
      </c>
      <c r="C237" s="9" t="s">
        <v>406</v>
      </c>
      <c r="D237" s="9" t="s">
        <v>358</v>
      </c>
    </row>
    <row r="238" spans="1:4" ht="16.5" customHeight="1" x14ac:dyDescent="0.25">
      <c r="A238" s="8" t="s">
        <v>407</v>
      </c>
      <c r="B238" s="9" t="s">
        <v>68</v>
      </c>
      <c r="C238" s="9" t="s">
        <v>408</v>
      </c>
      <c r="D238" s="9" t="s">
        <v>358</v>
      </c>
    </row>
    <row r="239" spans="1:4" ht="16.5" customHeight="1" x14ac:dyDescent="0.25">
      <c r="A239" s="8" t="s">
        <v>409</v>
      </c>
      <c r="B239" s="9" t="s">
        <v>68</v>
      </c>
      <c r="C239" s="9" t="s">
        <v>410</v>
      </c>
      <c r="D239" s="9" t="s">
        <v>358</v>
      </c>
    </row>
    <row r="240" spans="1:4" ht="16.5" customHeight="1" x14ac:dyDescent="0.25">
      <c r="A240" s="8" t="s">
        <v>411</v>
      </c>
      <c r="B240" s="9" t="s">
        <v>68</v>
      </c>
      <c r="C240" s="9" t="s">
        <v>412</v>
      </c>
      <c r="D240" s="9" t="s">
        <v>358</v>
      </c>
    </row>
    <row r="241" spans="1:4" ht="16.5" customHeight="1" x14ac:dyDescent="0.25">
      <c r="A241" s="8" t="s">
        <v>413</v>
      </c>
      <c r="B241" s="9" t="s">
        <v>68</v>
      </c>
      <c r="C241" s="9" t="s">
        <v>100</v>
      </c>
      <c r="D241" s="9" t="s">
        <v>358</v>
      </c>
    </row>
    <row r="242" spans="1:4" ht="16.5" customHeight="1" x14ac:dyDescent="0.25">
      <c r="A242" s="8" t="s">
        <v>414</v>
      </c>
      <c r="B242" s="9" t="s">
        <v>68</v>
      </c>
      <c r="C242" s="9" t="s">
        <v>406</v>
      </c>
      <c r="D242" s="9" t="s">
        <v>358</v>
      </c>
    </row>
    <row r="243" spans="1:4" ht="16.5" customHeight="1" x14ac:dyDescent="0.25">
      <c r="A243" s="8" t="s">
        <v>415</v>
      </c>
      <c r="B243" s="9" t="s">
        <v>68</v>
      </c>
      <c r="C243" s="9" t="s">
        <v>416</v>
      </c>
      <c r="D243" s="9" t="s">
        <v>358</v>
      </c>
    </row>
    <row r="244" spans="1:4" ht="16.5" customHeight="1" x14ac:dyDescent="0.25">
      <c r="A244" s="8" t="s">
        <v>417</v>
      </c>
      <c r="B244" s="9" t="s">
        <v>68</v>
      </c>
      <c r="C244" s="9" t="s">
        <v>418</v>
      </c>
      <c r="D244" s="9" t="s">
        <v>358</v>
      </c>
    </row>
    <row r="245" spans="1:4" ht="16.5" customHeight="1" x14ac:dyDescent="0.25">
      <c r="A245" s="8" t="s">
        <v>419</v>
      </c>
      <c r="B245" s="9" t="s">
        <v>68</v>
      </c>
      <c r="C245" s="9" t="s">
        <v>420</v>
      </c>
      <c r="D245" s="9" t="s">
        <v>358</v>
      </c>
    </row>
    <row r="246" spans="1:4" ht="16.5" customHeight="1" x14ac:dyDescent="0.25">
      <c r="A246" s="8" t="s">
        <v>421</v>
      </c>
      <c r="B246" s="9" t="s">
        <v>68</v>
      </c>
      <c r="C246" s="9" t="s">
        <v>422</v>
      </c>
      <c r="D246" s="9" t="s">
        <v>358</v>
      </c>
    </row>
    <row r="247" spans="1:4" ht="16.5" customHeight="1" x14ac:dyDescent="0.25">
      <c r="A247" s="8" t="s">
        <v>423</v>
      </c>
      <c r="B247" s="9" t="s">
        <v>68</v>
      </c>
      <c r="C247" s="9" t="s">
        <v>424</v>
      </c>
      <c r="D247" s="9" t="s">
        <v>358</v>
      </c>
    </row>
    <row r="248" spans="1:4" ht="16.5" customHeight="1" x14ac:dyDescent="0.25">
      <c r="A248" s="8" t="s">
        <v>425</v>
      </c>
      <c r="B248" s="9" t="s">
        <v>68</v>
      </c>
      <c r="C248" s="9" t="s">
        <v>426</v>
      </c>
      <c r="D248" s="9" t="s">
        <v>358</v>
      </c>
    </row>
    <row r="249" spans="1:4" ht="17.25" customHeight="1" x14ac:dyDescent="0.25">
      <c r="A249" s="8" t="s">
        <v>427</v>
      </c>
      <c r="B249" s="9" t="s">
        <v>428</v>
      </c>
      <c r="C249" s="9" t="s">
        <v>429</v>
      </c>
      <c r="D249" s="9" t="s">
        <v>358</v>
      </c>
    </row>
    <row r="250" spans="1:4" ht="16.5" customHeight="1" x14ac:dyDescent="0.25">
      <c r="A250" s="8" t="s">
        <v>430</v>
      </c>
      <c r="B250" s="9" t="s">
        <v>428</v>
      </c>
      <c r="C250" s="9" t="s">
        <v>431</v>
      </c>
      <c r="D250" s="9" t="s">
        <v>358</v>
      </c>
    </row>
    <row r="251" spans="1:4" ht="16.5" customHeight="1" x14ac:dyDescent="0.25">
      <c r="A251" s="8" t="s">
        <v>432</v>
      </c>
      <c r="B251" s="9" t="s">
        <v>428</v>
      </c>
      <c r="C251" s="9" t="s">
        <v>433</v>
      </c>
      <c r="D251" s="9" t="s">
        <v>358</v>
      </c>
    </row>
    <row r="252" spans="1:4" ht="16.5" customHeight="1" x14ac:dyDescent="0.25">
      <c r="A252" s="8" t="s">
        <v>434</v>
      </c>
      <c r="B252" s="9" t="s">
        <v>428</v>
      </c>
      <c r="C252" s="9" t="s">
        <v>435</v>
      </c>
      <c r="D252" s="9" t="s">
        <v>358</v>
      </c>
    </row>
    <row r="253" spans="1:4" ht="24.75" customHeight="1" x14ac:dyDescent="0.25">
      <c r="A253" s="8" t="s">
        <v>436</v>
      </c>
      <c r="B253" s="9" t="s">
        <v>428</v>
      </c>
      <c r="C253" s="9" t="s">
        <v>437</v>
      </c>
      <c r="D253" s="9" t="s">
        <v>358</v>
      </c>
    </row>
    <row r="254" spans="1:4" ht="16.5" customHeight="1" x14ac:dyDescent="0.25">
      <c r="A254" s="8" t="s">
        <v>438</v>
      </c>
      <c r="B254" s="9" t="s">
        <v>428</v>
      </c>
      <c r="C254" s="9" t="s">
        <v>439</v>
      </c>
      <c r="D254" s="9" t="s">
        <v>358</v>
      </c>
    </row>
    <row r="255" spans="1:4" ht="16.5" customHeight="1" x14ac:dyDescent="0.25">
      <c r="A255" s="8" t="s">
        <v>440</v>
      </c>
      <c r="B255" s="9" t="s">
        <v>441</v>
      </c>
      <c r="C255" s="9" t="s">
        <v>442</v>
      </c>
      <c r="D255" s="9" t="s">
        <v>358</v>
      </c>
    </row>
    <row r="256" spans="1:4" ht="16.5" customHeight="1" x14ac:dyDescent="0.25">
      <c r="A256" s="8" t="s">
        <v>443</v>
      </c>
      <c r="B256" s="9" t="s">
        <v>444</v>
      </c>
      <c r="C256" s="9" t="s">
        <v>445</v>
      </c>
      <c r="D256" s="9" t="s">
        <v>358</v>
      </c>
    </row>
    <row r="257" spans="1:4" ht="16.5" customHeight="1" x14ac:dyDescent="0.25">
      <c r="A257" s="8" t="s">
        <v>446</v>
      </c>
      <c r="B257" s="9" t="s">
        <v>447</v>
      </c>
      <c r="C257" s="9" t="s">
        <v>448</v>
      </c>
      <c r="D257" s="9" t="s">
        <v>358</v>
      </c>
    </row>
    <row r="258" spans="1:4" ht="16.5" customHeight="1" x14ac:dyDescent="0.25">
      <c r="A258" s="8" t="s">
        <v>449</v>
      </c>
      <c r="B258" s="9" t="s">
        <v>450</v>
      </c>
      <c r="C258" s="9" t="s">
        <v>451</v>
      </c>
      <c r="D258" s="9" t="s">
        <v>358</v>
      </c>
    </row>
    <row r="259" spans="1:4" ht="24.75" customHeight="1" x14ac:dyDescent="0.25">
      <c r="A259" s="8" t="s">
        <v>452</v>
      </c>
      <c r="B259" s="9" t="s">
        <v>144</v>
      </c>
      <c r="C259" s="9" t="s">
        <v>145</v>
      </c>
      <c r="D259" s="9" t="s">
        <v>358</v>
      </c>
    </row>
    <row r="260" spans="1:4" ht="16.5" customHeight="1" x14ac:dyDescent="0.25">
      <c r="A260" s="8" t="s">
        <v>453</v>
      </c>
      <c r="B260" s="9" t="s">
        <v>454</v>
      </c>
      <c r="C260" s="9" t="s">
        <v>455</v>
      </c>
      <c r="D260" s="9" t="s">
        <v>358</v>
      </c>
    </row>
    <row r="261" spans="1:4" ht="24.75" customHeight="1" x14ac:dyDescent="0.25">
      <c r="A261" s="8" t="s">
        <v>456</v>
      </c>
      <c r="B261" s="9" t="s">
        <v>133</v>
      </c>
      <c r="C261" s="9" t="s">
        <v>131</v>
      </c>
      <c r="D261" s="9" t="s">
        <v>358</v>
      </c>
    </row>
    <row r="262" spans="1:4" ht="24.75" customHeight="1" x14ac:dyDescent="0.25">
      <c r="A262" s="8" t="s">
        <v>457</v>
      </c>
      <c r="B262" s="9" t="s">
        <v>142</v>
      </c>
      <c r="C262" s="9" t="s">
        <v>131</v>
      </c>
      <c r="D262" s="9" t="s">
        <v>358</v>
      </c>
    </row>
    <row r="263" spans="1:4" ht="24.75" customHeight="1" x14ac:dyDescent="0.25">
      <c r="A263" s="8" t="s">
        <v>458</v>
      </c>
      <c r="B263" s="9" t="s">
        <v>133</v>
      </c>
      <c r="C263" s="9" t="s">
        <v>131</v>
      </c>
      <c r="D263" s="9" t="s">
        <v>358</v>
      </c>
    </row>
    <row r="264" spans="1:4" ht="24.75" customHeight="1" x14ac:dyDescent="0.25">
      <c r="A264" s="8" t="s">
        <v>459</v>
      </c>
      <c r="B264" s="9" t="s">
        <v>460</v>
      </c>
      <c r="C264" s="9" t="s">
        <v>131</v>
      </c>
      <c r="D264" s="9" t="s">
        <v>358</v>
      </c>
    </row>
    <row r="265" spans="1:4" ht="24.75" customHeight="1" x14ac:dyDescent="0.25">
      <c r="A265" s="8" t="s">
        <v>461</v>
      </c>
      <c r="B265" s="9" t="s">
        <v>144</v>
      </c>
      <c r="C265" s="9" t="s">
        <v>145</v>
      </c>
      <c r="D265" s="9" t="s">
        <v>358</v>
      </c>
    </row>
    <row r="266" spans="1:4" ht="24" customHeight="1" x14ac:dyDescent="0.25">
      <c r="A266" s="8" t="s">
        <v>462</v>
      </c>
      <c r="B266" s="9" t="s">
        <v>133</v>
      </c>
      <c r="C266" s="9" t="s">
        <v>131</v>
      </c>
      <c r="D266" s="9" t="s">
        <v>358</v>
      </c>
    </row>
    <row r="267" spans="1:4" ht="24.75" customHeight="1" x14ac:dyDescent="0.25">
      <c r="A267" s="8" t="s">
        <v>463</v>
      </c>
      <c r="B267" s="9" t="s">
        <v>140</v>
      </c>
      <c r="C267" s="9" t="s">
        <v>131</v>
      </c>
      <c r="D267" s="9" t="s">
        <v>358</v>
      </c>
    </row>
    <row r="268" spans="1:4" ht="24.75" customHeight="1" x14ac:dyDescent="0.25">
      <c r="A268" s="8" t="s">
        <v>464</v>
      </c>
      <c r="B268" s="9" t="s">
        <v>465</v>
      </c>
      <c r="C268" s="9" t="s">
        <v>131</v>
      </c>
      <c r="D268" s="9" t="s">
        <v>358</v>
      </c>
    </row>
    <row r="269" spans="1:4" ht="24.75" customHeight="1" x14ac:dyDescent="0.25">
      <c r="A269" s="8" t="s">
        <v>466</v>
      </c>
      <c r="B269" s="9" t="s">
        <v>144</v>
      </c>
      <c r="C269" s="9" t="s">
        <v>145</v>
      </c>
      <c r="D269" s="9" t="s">
        <v>358</v>
      </c>
    </row>
    <row r="270" spans="1:4" ht="24.75" customHeight="1" x14ac:dyDescent="0.25">
      <c r="A270" s="8" t="s">
        <v>467</v>
      </c>
      <c r="B270" s="9" t="s">
        <v>133</v>
      </c>
      <c r="C270" s="9" t="s">
        <v>131</v>
      </c>
      <c r="D270" s="9" t="s">
        <v>358</v>
      </c>
    </row>
    <row r="271" spans="1:4" ht="12" customHeight="1" x14ac:dyDescent="0.25">
      <c r="A271" s="46"/>
      <c r="B271" s="46"/>
      <c r="C271" s="46"/>
      <c r="D271" s="46"/>
    </row>
    <row r="272" spans="1:4" ht="16.5" customHeight="1" x14ac:dyDescent="0.25">
      <c r="A272" s="8" t="s">
        <v>468</v>
      </c>
      <c r="B272" s="9" t="s">
        <v>346</v>
      </c>
      <c r="C272" s="9" t="s">
        <v>347</v>
      </c>
      <c r="D272" s="9" t="s">
        <v>469</v>
      </c>
    </row>
    <row r="273" spans="1:4" ht="17.25" customHeight="1" x14ac:dyDescent="0.25">
      <c r="A273" s="8" t="s">
        <v>470</v>
      </c>
      <c r="B273" s="9" t="s">
        <v>346</v>
      </c>
      <c r="C273" s="9" t="s">
        <v>347</v>
      </c>
      <c r="D273" s="9" t="s">
        <v>469</v>
      </c>
    </row>
    <row r="274" spans="1:4" ht="16.5" customHeight="1" x14ac:dyDescent="0.25">
      <c r="A274" s="8" t="s">
        <v>471</v>
      </c>
      <c r="B274" s="9" t="s">
        <v>257</v>
      </c>
      <c r="C274" s="9" t="s">
        <v>258</v>
      </c>
      <c r="D274" s="9" t="s">
        <v>469</v>
      </c>
    </row>
    <row r="275" spans="1:4" ht="16.5" customHeight="1" x14ac:dyDescent="0.25">
      <c r="A275" s="8" t="s">
        <v>472</v>
      </c>
      <c r="B275" s="9" t="s">
        <v>473</v>
      </c>
      <c r="C275" s="9" t="s">
        <v>474</v>
      </c>
      <c r="D275" s="9" t="s">
        <v>469</v>
      </c>
    </row>
    <row r="276" spans="1:4" ht="16.5" customHeight="1" x14ac:dyDescent="0.25">
      <c r="A276" s="8" t="s">
        <v>475</v>
      </c>
      <c r="B276" s="9" t="s">
        <v>473</v>
      </c>
      <c r="C276" s="9" t="s">
        <v>474</v>
      </c>
      <c r="D276" s="9" t="s">
        <v>469</v>
      </c>
    </row>
    <row r="277" spans="1:4" ht="16.5" customHeight="1" x14ac:dyDescent="0.25">
      <c r="A277" s="8" t="s">
        <v>476</v>
      </c>
      <c r="B277" s="9" t="s">
        <v>477</v>
      </c>
      <c r="C277" s="9" t="s">
        <v>478</v>
      </c>
      <c r="D277" s="9" t="s">
        <v>469</v>
      </c>
    </row>
    <row r="278" spans="1:4" ht="16.5" customHeight="1" x14ac:dyDescent="0.25">
      <c r="A278" s="8" t="s">
        <v>479</v>
      </c>
      <c r="B278" s="9" t="s">
        <v>346</v>
      </c>
      <c r="C278" s="9" t="s">
        <v>347</v>
      </c>
      <c r="D278" s="9" t="s">
        <v>469</v>
      </c>
    </row>
    <row r="279" spans="1:4" ht="16.5" customHeight="1" x14ac:dyDescent="0.25">
      <c r="A279" s="8" t="s">
        <v>480</v>
      </c>
      <c r="B279" s="9" t="s">
        <v>481</v>
      </c>
      <c r="C279" s="9" t="s">
        <v>482</v>
      </c>
      <c r="D279" s="9" t="s">
        <v>469</v>
      </c>
    </row>
    <row r="280" spans="1:4" ht="16.5" customHeight="1" x14ac:dyDescent="0.25">
      <c r="A280" s="8" t="s">
        <v>483</v>
      </c>
      <c r="B280" s="9" t="s">
        <v>484</v>
      </c>
      <c r="C280" s="9" t="s">
        <v>485</v>
      </c>
      <c r="D280" s="9" t="s">
        <v>469</v>
      </c>
    </row>
    <row r="281" spans="1:4" ht="16.5" customHeight="1" x14ac:dyDescent="0.25">
      <c r="A281" s="8" t="s">
        <v>486</v>
      </c>
      <c r="B281" s="9" t="s">
        <v>473</v>
      </c>
      <c r="C281" s="9" t="s">
        <v>474</v>
      </c>
      <c r="D281" s="9" t="s">
        <v>469</v>
      </c>
    </row>
    <row r="282" spans="1:4" ht="16.5" customHeight="1" x14ac:dyDescent="0.25">
      <c r="A282" s="8" t="s">
        <v>487</v>
      </c>
      <c r="B282" s="9" t="s">
        <v>481</v>
      </c>
      <c r="C282" s="9" t="s">
        <v>482</v>
      </c>
      <c r="D282" s="9" t="s">
        <v>469</v>
      </c>
    </row>
    <row r="283" spans="1:4" ht="16.5" customHeight="1" x14ac:dyDescent="0.25">
      <c r="A283" s="8" t="s">
        <v>488</v>
      </c>
      <c r="B283" s="9" t="s">
        <v>363</v>
      </c>
      <c r="C283" s="9" t="s">
        <v>364</v>
      </c>
      <c r="D283" s="9" t="s">
        <v>469</v>
      </c>
    </row>
    <row r="284" spans="1:4" ht="16.5" customHeight="1" x14ac:dyDescent="0.25">
      <c r="A284" s="8" t="s">
        <v>489</v>
      </c>
      <c r="B284" s="9" t="s">
        <v>473</v>
      </c>
      <c r="C284" s="9" t="s">
        <v>474</v>
      </c>
      <c r="D284" s="9" t="s">
        <v>469</v>
      </c>
    </row>
    <row r="285" spans="1:4" ht="16.5" customHeight="1" x14ac:dyDescent="0.25">
      <c r="A285" s="8" t="s">
        <v>490</v>
      </c>
      <c r="B285" s="9" t="s">
        <v>491</v>
      </c>
      <c r="C285" s="9" t="s">
        <v>492</v>
      </c>
      <c r="D285" s="9" t="s">
        <v>469</v>
      </c>
    </row>
    <row r="286" spans="1:4" ht="17.25" customHeight="1" x14ac:dyDescent="0.25">
      <c r="A286" s="8" t="s">
        <v>493</v>
      </c>
      <c r="B286" s="9" t="s">
        <v>260</v>
      </c>
      <c r="C286" s="9" t="s">
        <v>354</v>
      </c>
      <c r="D286" s="9" t="s">
        <v>469</v>
      </c>
    </row>
    <row r="287" spans="1:4" ht="16.5" customHeight="1" x14ac:dyDescent="0.25">
      <c r="A287" s="8" t="s">
        <v>494</v>
      </c>
      <c r="B287" s="9" t="s">
        <v>263</v>
      </c>
      <c r="C287" s="9" t="s">
        <v>264</v>
      </c>
      <c r="D287" s="9" t="s">
        <v>469</v>
      </c>
    </row>
    <row r="288" spans="1:4" ht="16.5" customHeight="1" x14ac:dyDescent="0.25">
      <c r="A288" s="8" t="s">
        <v>495</v>
      </c>
      <c r="B288" s="9" t="s">
        <v>263</v>
      </c>
      <c r="C288" s="9" t="s">
        <v>264</v>
      </c>
      <c r="D288" s="9" t="s">
        <v>469</v>
      </c>
    </row>
    <row r="289" spans="1:4" ht="16.5" customHeight="1" x14ac:dyDescent="0.25">
      <c r="A289" s="8" t="s">
        <v>496</v>
      </c>
      <c r="B289" s="9" t="s">
        <v>277</v>
      </c>
      <c r="C289" s="9" t="s">
        <v>278</v>
      </c>
      <c r="D289" s="9" t="s">
        <v>469</v>
      </c>
    </row>
    <row r="290" spans="1:4" ht="16.5" customHeight="1" x14ac:dyDescent="0.25">
      <c r="A290" s="8" t="s">
        <v>497</v>
      </c>
      <c r="B290" s="9" t="s">
        <v>498</v>
      </c>
      <c r="C290" s="9" t="s">
        <v>499</v>
      </c>
      <c r="D290" s="9" t="s">
        <v>469</v>
      </c>
    </row>
    <row r="291" spans="1:4" ht="16.5" customHeight="1" x14ac:dyDescent="0.25">
      <c r="A291" s="8" t="s">
        <v>500</v>
      </c>
      <c r="B291" s="9" t="s">
        <v>282</v>
      </c>
      <c r="C291" s="9" t="s">
        <v>283</v>
      </c>
      <c r="D291" s="9" t="s">
        <v>469</v>
      </c>
    </row>
    <row r="292" spans="1:4" ht="16.5" customHeight="1" x14ac:dyDescent="0.25">
      <c r="A292" s="8" t="s">
        <v>501</v>
      </c>
      <c r="B292" s="9" t="s">
        <v>48</v>
      </c>
      <c r="C292" s="9" t="s">
        <v>49</v>
      </c>
      <c r="D292" s="9" t="s">
        <v>469</v>
      </c>
    </row>
    <row r="293" spans="1:4" ht="16.5" customHeight="1" x14ac:dyDescent="0.25">
      <c r="A293" s="8" t="s">
        <v>502</v>
      </c>
      <c r="B293" s="9" t="s">
        <v>48</v>
      </c>
      <c r="C293" s="9" t="s">
        <v>49</v>
      </c>
      <c r="D293" s="9" t="s">
        <v>469</v>
      </c>
    </row>
    <row r="294" spans="1:4" ht="16.5" customHeight="1" x14ac:dyDescent="0.25">
      <c r="A294" s="8" t="s">
        <v>503</v>
      </c>
      <c r="B294" s="9" t="s">
        <v>48</v>
      </c>
      <c r="C294" s="9" t="s">
        <v>49</v>
      </c>
      <c r="D294" s="9" t="s">
        <v>469</v>
      </c>
    </row>
    <row r="295" spans="1:4" ht="16.5" customHeight="1" x14ac:dyDescent="0.25">
      <c r="A295" s="8" t="s">
        <v>504</v>
      </c>
      <c r="B295" s="9" t="s">
        <v>48</v>
      </c>
      <c r="C295" s="9" t="s">
        <v>49</v>
      </c>
      <c r="D295" s="9" t="s">
        <v>469</v>
      </c>
    </row>
    <row r="296" spans="1:4" ht="16.5" customHeight="1" x14ac:dyDescent="0.25">
      <c r="A296" s="8" t="s">
        <v>505</v>
      </c>
      <c r="B296" s="9" t="s">
        <v>48</v>
      </c>
      <c r="C296" s="9" t="s">
        <v>49</v>
      </c>
      <c r="D296" s="9" t="s">
        <v>469</v>
      </c>
    </row>
    <row r="297" spans="1:4" ht="16.5" customHeight="1" x14ac:dyDescent="0.25">
      <c r="A297" s="8" t="s">
        <v>506</v>
      </c>
      <c r="B297" s="9" t="s">
        <v>48</v>
      </c>
      <c r="C297" s="9" t="s">
        <v>49</v>
      </c>
      <c r="D297" s="9" t="s">
        <v>469</v>
      </c>
    </row>
    <row r="298" spans="1:4" ht="17.25" customHeight="1" x14ac:dyDescent="0.25">
      <c r="A298" s="8" t="s">
        <v>507</v>
      </c>
      <c r="B298" s="9" t="s">
        <v>48</v>
      </c>
      <c r="C298" s="9" t="s">
        <v>49</v>
      </c>
      <c r="D298" s="9" t="s">
        <v>469</v>
      </c>
    </row>
    <row r="299" spans="1:4" ht="16.5" customHeight="1" x14ac:dyDescent="0.25">
      <c r="A299" s="8" t="s">
        <v>508</v>
      </c>
      <c r="B299" s="9" t="s">
        <v>53</v>
      </c>
      <c r="C299" s="9" t="s">
        <v>54</v>
      </c>
      <c r="D299" s="9" t="s">
        <v>469</v>
      </c>
    </row>
    <row r="300" spans="1:4" ht="16.5" customHeight="1" x14ac:dyDescent="0.25">
      <c r="A300" s="8" t="s">
        <v>509</v>
      </c>
      <c r="B300" s="9" t="s">
        <v>269</v>
      </c>
      <c r="C300" s="9" t="s">
        <v>46</v>
      </c>
      <c r="D300" s="9" t="s">
        <v>469</v>
      </c>
    </row>
    <row r="301" spans="1:4" ht="16.5" customHeight="1" x14ac:dyDescent="0.25">
      <c r="A301" s="8" t="s">
        <v>510</v>
      </c>
      <c r="B301" s="9" t="s">
        <v>282</v>
      </c>
      <c r="C301" s="9" t="s">
        <v>283</v>
      </c>
      <c r="D301" s="9" t="s">
        <v>469</v>
      </c>
    </row>
    <row r="302" spans="1:4" ht="16.5" customHeight="1" x14ac:dyDescent="0.25">
      <c r="A302" s="8" t="s">
        <v>511</v>
      </c>
      <c r="B302" s="9" t="s">
        <v>512</v>
      </c>
      <c r="C302" s="9" t="s">
        <v>46</v>
      </c>
      <c r="D302" s="9" t="s">
        <v>469</v>
      </c>
    </row>
    <row r="303" spans="1:4" ht="16.5" customHeight="1" x14ac:dyDescent="0.25">
      <c r="A303" s="8" t="s">
        <v>513</v>
      </c>
      <c r="B303" s="9" t="s">
        <v>282</v>
      </c>
      <c r="C303" s="9" t="s">
        <v>283</v>
      </c>
      <c r="D303" s="9" t="s">
        <v>469</v>
      </c>
    </row>
    <row r="304" spans="1:4" ht="16.5" customHeight="1" x14ac:dyDescent="0.25">
      <c r="A304" s="8" t="s">
        <v>514</v>
      </c>
      <c r="B304" s="9" t="s">
        <v>57</v>
      </c>
      <c r="C304" s="9" t="s">
        <v>58</v>
      </c>
      <c r="D304" s="9" t="s">
        <v>469</v>
      </c>
    </row>
    <row r="305" spans="1:4" ht="16.5" customHeight="1" x14ac:dyDescent="0.25">
      <c r="A305" s="8" t="s">
        <v>515</v>
      </c>
      <c r="B305" s="9" t="s">
        <v>57</v>
      </c>
      <c r="C305" s="9" t="s">
        <v>58</v>
      </c>
      <c r="D305" s="9" t="s">
        <v>469</v>
      </c>
    </row>
    <row r="306" spans="1:4" ht="16.5" customHeight="1" x14ac:dyDescent="0.25">
      <c r="A306" s="8" t="s">
        <v>516</v>
      </c>
      <c r="B306" s="9" t="s">
        <v>57</v>
      </c>
      <c r="C306" s="9" t="s">
        <v>58</v>
      </c>
      <c r="D306" s="9" t="s">
        <v>469</v>
      </c>
    </row>
    <row r="307" spans="1:4" ht="16.5" customHeight="1" x14ac:dyDescent="0.25">
      <c r="A307" s="8" t="s">
        <v>517</v>
      </c>
      <c r="B307" s="9" t="s">
        <v>447</v>
      </c>
      <c r="C307" s="9" t="s">
        <v>518</v>
      </c>
      <c r="D307" s="9" t="s">
        <v>469</v>
      </c>
    </row>
    <row r="308" spans="1:4" ht="16.5" customHeight="1" x14ac:dyDescent="0.25">
      <c r="A308" s="8" t="s">
        <v>519</v>
      </c>
      <c r="B308" s="9" t="s">
        <v>68</v>
      </c>
      <c r="C308" s="9" t="s">
        <v>520</v>
      </c>
      <c r="D308" s="9" t="s">
        <v>469</v>
      </c>
    </row>
    <row r="309" spans="1:4" ht="16.5" customHeight="1" x14ac:dyDescent="0.25">
      <c r="A309" s="8" t="s">
        <v>521</v>
      </c>
      <c r="B309" s="9" t="s">
        <v>68</v>
      </c>
      <c r="C309" s="9" t="s">
        <v>522</v>
      </c>
      <c r="D309" s="9" t="s">
        <v>469</v>
      </c>
    </row>
    <row r="310" spans="1:4" ht="16.5" customHeight="1" x14ac:dyDescent="0.25">
      <c r="A310" s="8" t="s">
        <v>523</v>
      </c>
      <c r="B310" s="9" t="s">
        <v>68</v>
      </c>
      <c r="C310" s="9" t="s">
        <v>100</v>
      </c>
      <c r="D310" s="9" t="s">
        <v>469</v>
      </c>
    </row>
    <row r="311" spans="1:4" ht="17.25" customHeight="1" x14ac:dyDescent="0.25">
      <c r="A311" s="8" t="s">
        <v>524</v>
      </c>
      <c r="B311" s="9" t="s">
        <v>68</v>
      </c>
      <c r="C311" s="9" t="s">
        <v>100</v>
      </c>
      <c r="D311" s="9" t="s">
        <v>469</v>
      </c>
    </row>
    <row r="312" spans="1:4" ht="16.5" customHeight="1" x14ac:dyDescent="0.25">
      <c r="A312" s="8" t="s">
        <v>525</v>
      </c>
      <c r="B312" s="9" t="s">
        <v>68</v>
      </c>
      <c r="C312" s="9" t="s">
        <v>100</v>
      </c>
      <c r="D312" s="9" t="s">
        <v>469</v>
      </c>
    </row>
    <row r="313" spans="1:4" ht="16.5" customHeight="1" x14ac:dyDescent="0.25">
      <c r="A313" s="8" t="s">
        <v>526</v>
      </c>
      <c r="B313" s="9" t="s">
        <v>68</v>
      </c>
      <c r="C313" s="9" t="s">
        <v>100</v>
      </c>
      <c r="D313" s="9" t="s">
        <v>469</v>
      </c>
    </row>
    <row r="314" spans="1:4" ht="16.5" customHeight="1" x14ac:dyDescent="0.25">
      <c r="A314" s="8" t="s">
        <v>527</v>
      </c>
      <c r="B314" s="9" t="s">
        <v>68</v>
      </c>
      <c r="C314" s="9" t="s">
        <v>98</v>
      </c>
      <c r="D314" s="9" t="s">
        <v>469</v>
      </c>
    </row>
    <row r="315" spans="1:4" ht="16.5" customHeight="1" x14ac:dyDescent="0.25">
      <c r="A315" s="8" t="s">
        <v>528</v>
      </c>
      <c r="B315" s="9" t="s">
        <v>68</v>
      </c>
      <c r="C315" s="9" t="s">
        <v>98</v>
      </c>
      <c r="D315" s="9" t="s">
        <v>469</v>
      </c>
    </row>
    <row r="316" spans="1:4" ht="16.5" customHeight="1" x14ac:dyDescent="0.25">
      <c r="A316" s="8" t="s">
        <v>529</v>
      </c>
      <c r="B316" s="9" t="s">
        <v>68</v>
      </c>
      <c r="C316" s="9" t="s">
        <v>98</v>
      </c>
      <c r="D316" s="9" t="s">
        <v>469</v>
      </c>
    </row>
    <row r="317" spans="1:4" ht="16.5" customHeight="1" x14ac:dyDescent="0.25">
      <c r="A317" s="8" t="s">
        <v>530</v>
      </c>
      <c r="B317" s="9" t="s">
        <v>68</v>
      </c>
      <c r="C317" s="9" t="s">
        <v>98</v>
      </c>
      <c r="D317" s="9" t="s">
        <v>469</v>
      </c>
    </row>
    <row r="318" spans="1:4" ht="16.5" customHeight="1" x14ac:dyDescent="0.25">
      <c r="A318" s="8" t="s">
        <v>531</v>
      </c>
      <c r="B318" s="9" t="s">
        <v>68</v>
      </c>
      <c r="C318" s="9" t="s">
        <v>98</v>
      </c>
      <c r="D318" s="9" t="s">
        <v>469</v>
      </c>
    </row>
    <row r="319" spans="1:4" ht="16.5" customHeight="1" x14ac:dyDescent="0.25">
      <c r="A319" s="8" t="s">
        <v>532</v>
      </c>
      <c r="B319" s="9" t="s">
        <v>68</v>
      </c>
      <c r="C319" s="9" t="s">
        <v>98</v>
      </c>
      <c r="D319" s="9" t="s">
        <v>469</v>
      </c>
    </row>
    <row r="320" spans="1:4" ht="16.5" customHeight="1" x14ac:dyDescent="0.25">
      <c r="A320" s="8" t="s">
        <v>533</v>
      </c>
      <c r="B320" s="9" t="s">
        <v>68</v>
      </c>
      <c r="C320" s="9" t="s">
        <v>534</v>
      </c>
      <c r="D320" s="9" t="s">
        <v>469</v>
      </c>
    </row>
    <row r="321" spans="1:4" ht="16.5" customHeight="1" x14ac:dyDescent="0.25">
      <c r="A321" s="8" t="s">
        <v>535</v>
      </c>
      <c r="B321" s="9" t="s">
        <v>68</v>
      </c>
      <c r="C321" s="9" t="s">
        <v>534</v>
      </c>
      <c r="D321" s="9" t="s">
        <v>469</v>
      </c>
    </row>
    <row r="322" spans="1:4" ht="16.5" customHeight="1" x14ac:dyDescent="0.25">
      <c r="A322" s="8" t="s">
        <v>536</v>
      </c>
      <c r="B322" s="9" t="s">
        <v>68</v>
      </c>
      <c r="C322" s="9" t="s">
        <v>537</v>
      </c>
      <c r="D322" s="9" t="s">
        <v>469</v>
      </c>
    </row>
    <row r="323" spans="1:4" ht="17.25" customHeight="1" x14ac:dyDescent="0.25">
      <c r="A323" s="8" t="s">
        <v>538</v>
      </c>
      <c r="B323" s="9" t="s">
        <v>68</v>
      </c>
      <c r="C323" s="9" t="s">
        <v>537</v>
      </c>
      <c r="D323" s="9" t="s">
        <v>469</v>
      </c>
    </row>
    <row r="324" spans="1:4" ht="16.5" customHeight="1" x14ac:dyDescent="0.25">
      <c r="A324" s="8" t="s">
        <v>539</v>
      </c>
      <c r="B324" s="9" t="s">
        <v>68</v>
      </c>
      <c r="C324" s="9" t="s">
        <v>540</v>
      </c>
      <c r="D324" s="9" t="s">
        <v>469</v>
      </c>
    </row>
    <row r="325" spans="1:4" ht="16.5" customHeight="1" x14ac:dyDescent="0.25">
      <c r="A325" s="8" t="s">
        <v>541</v>
      </c>
      <c r="B325" s="9" t="s">
        <v>68</v>
      </c>
      <c r="C325" s="9" t="s">
        <v>537</v>
      </c>
      <c r="D325" s="9" t="s">
        <v>469</v>
      </c>
    </row>
    <row r="326" spans="1:4" ht="16.5" customHeight="1" x14ac:dyDescent="0.25">
      <c r="A326" s="8" t="s">
        <v>542</v>
      </c>
      <c r="B326" s="9" t="s">
        <v>68</v>
      </c>
      <c r="C326" s="9" t="s">
        <v>537</v>
      </c>
      <c r="D326" s="9" t="s">
        <v>469</v>
      </c>
    </row>
    <row r="327" spans="1:4" ht="16.5" customHeight="1" x14ac:dyDescent="0.25">
      <c r="A327" s="8" t="s">
        <v>543</v>
      </c>
      <c r="B327" s="9" t="s">
        <v>68</v>
      </c>
      <c r="C327" s="9" t="s">
        <v>98</v>
      </c>
      <c r="D327" s="9" t="s">
        <v>469</v>
      </c>
    </row>
    <row r="328" spans="1:4" ht="16.5" customHeight="1" x14ac:dyDescent="0.25">
      <c r="A328" s="8" t="s">
        <v>544</v>
      </c>
      <c r="B328" s="9" t="s">
        <v>68</v>
      </c>
      <c r="C328" s="9" t="s">
        <v>540</v>
      </c>
      <c r="D328" s="9" t="s">
        <v>469</v>
      </c>
    </row>
    <row r="329" spans="1:4" ht="16.5" customHeight="1" x14ac:dyDescent="0.25">
      <c r="A329" s="8" t="s">
        <v>545</v>
      </c>
      <c r="B329" s="9" t="s">
        <v>68</v>
      </c>
      <c r="C329" s="9" t="s">
        <v>98</v>
      </c>
      <c r="D329" s="9" t="s">
        <v>469</v>
      </c>
    </row>
    <row r="330" spans="1:4" ht="16.5" customHeight="1" x14ac:dyDescent="0.25">
      <c r="A330" s="8" t="s">
        <v>546</v>
      </c>
      <c r="B330" s="9" t="s">
        <v>68</v>
      </c>
      <c r="C330" s="9" t="s">
        <v>547</v>
      </c>
      <c r="D330" s="9" t="s">
        <v>469</v>
      </c>
    </row>
    <row r="331" spans="1:4" ht="16.5" customHeight="1" x14ac:dyDescent="0.25">
      <c r="A331" s="8" t="s">
        <v>548</v>
      </c>
      <c r="B331" s="9" t="s">
        <v>549</v>
      </c>
      <c r="C331" s="9" t="s">
        <v>550</v>
      </c>
      <c r="D331" s="9" t="s">
        <v>469</v>
      </c>
    </row>
    <row r="332" spans="1:4" ht="16.5" customHeight="1" x14ac:dyDescent="0.25">
      <c r="A332" s="8" t="s">
        <v>551</v>
      </c>
      <c r="B332" s="9" t="s">
        <v>552</v>
      </c>
      <c r="C332" s="9" t="s">
        <v>553</v>
      </c>
      <c r="D332" s="9" t="s">
        <v>469</v>
      </c>
    </row>
    <row r="333" spans="1:4" ht="16.5" customHeight="1" x14ac:dyDescent="0.25">
      <c r="A333" s="8" t="s">
        <v>554</v>
      </c>
      <c r="B333" s="9" t="s">
        <v>555</v>
      </c>
      <c r="C333" s="9" t="s">
        <v>556</v>
      </c>
      <c r="D333" s="9" t="s">
        <v>469</v>
      </c>
    </row>
    <row r="334" spans="1:4" ht="16.5" customHeight="1" x14ac:dyDescent="0.25">
      <c r="A334" s="8" t="s">
        <v>557</v>
      </c>
      <c r="B334" s="9" t="s">
        <v>558</v>
      </c>
      <c r="C334" s="9" t="s">
        <v>559</v>
      </c>
      <c r="D334" s="9" t="s">
        <v>469</v>
      </c>
    </row>
    <row r="335" spans="1:4" ht="24.75" customHeight="1" x14ac:dyDescent="0.25">
      <c r="A335" s="8" t="s">
        <v>560</v>
      </c>
      <c r="B335" s="9" t="s">
        <v>288</v>
      </c>
      <c r="C335" s="9" t="s">
        <v>131</v>
      </c>
      <c r="D335" s="9" t="s">
        <v>469</v>
      </c>
    </row>
    <row r="336" spans="1:4" ht="24.75" customHeight="1" x14ac:dyDescent="0.25">
      <c r="A336" s="8" t="s">
        <v>561</v>
      </c>
      <c r="B336" s="9" t="s">
        <v>133</v>
      </c>
      <c r="C336" s="9" t="s">
        <v>131</v>
      </c>
      <c r="D336" s="9" t="s">
        <v>469</v>
      </c>
    </row>
    <row r="337" spans="1:4" ht="24.75" customHeight="1" x14ac:dyDescent="0.25">
      <c r="A337" s="8" t="s">
        <v>562</v>
      </c>
      <c r="B337" s="9" t="s">
        <v>142</v>
      </c>
      <c r="C337" s="9" t="s">
        <v>131</v>
      </c>
      <c r="D337" s="9" t="s">
        <v>469</v>
      </c>
    </row>
    <row r="338" spans="1:4" ht="24.75" customHeight="1" x14ac:dyDescent="0.25">
      <c r="A338" s="8" t="s">
        <v>563</v>
      </c>
      <c r="B338" s="9" t="s">
        <v>133</v>
      </c>
      <c r="C338" s="9" t="s">
        <v>131</v>
      </c>
      <c r="D338" s="9" t="s">
        <v>469</v>
      </c>
    </row>
    <row r="339" spans="1:4" ht="24.75" customHeight="1" x14ac:dyDescent="0.25">
      <c r="A339" s="8" t="s">
        <v>564</v>
      </c>
      <c r="B339" s="9" t="s">
        <v>133</v>
      </c>
      <c r="C339" s="9" t="s">
        <v>131</v>
      </c>
      <c r="D339" s="9" t="s">
        <v>469</v>
      </c>
    </row>
    <row r="340" spans="1:4" ht="24.75" customHeight="1" x14ac:dyDescent="0.25">
      <c r="A340" s="8" t="s">
        <v>565</v>
      </c>
      <c r="B340" s="9" t="s">
        <v>133</v>
      </c>
      <c r="C340" s="9" t="s">
        <v>131</v>
      </c>
      <c r="D340" s="9" t="s">
        <v>469</v>
      </c>
    </row>
    <row r="341" spans="1:4" ht="24.75" customHeight="1" x14ac:dyDescent="0.25">
      <c r="A341" s="8" t="s">
        <v>566</v>
      </c>
      <c r="B341" s="9" t="s">
        <v>140</v>
      </c>
      <c r="C341" s="9" t="s">
        <v>131</v>
      </c>
      <c r="D341" s="9" t="s">
        <v>469</v>
      </c>
    </row>
    <row r="342" spans="1:4" ht="16.5" customHeight="1" x14ac:dyDescent="0.25">
      <c r="A342" s="8" t="s">
        <v>567</v>
      </c>
      <c r="B342" s="9" t="s">
        <v>568</v>
      </c>
      <c r="C342" s="9" t="s">
        <v>569</v>
      </c>
      <c r="D342" s="9" t="s">
        <v>469</v>
      </c>
    </row>
    <row r="343" spans="1:4" ht="24.75" customHeight="1" x14ac:dyDescent="0.25">
      <c r="A343" s="8" t="s">
        <v>570</v>
      </c>
      <c r="B343" s="9" t="s">
        <v>133</v>
      </c>
      <c r="C343" s="9" t="s">
        <v>131</v>
      </c>
      <c r="D343" s="9" t="s">
        <v>469</v>
      </c>
    </row>
    <row r="344" spans="1:4" ht="24.75" customHeight="1" x14ac:dyDescent="0.25">
      <c r="A344" s="8" t="s">
        <v>571</v>
      </c>
      <c r="B344" s="9" t="s">
        <v>142</v>
      </c>
      <c r="C344" s="9" t="s">
        <v>131</v>
      </c>
      <c r="D344" s="9" t="s">
        <v>469</v>
      </c>
    </row>
    <row r="345" spans="1:4" ht="12" customHeight="1" x14ac:dyDescent="0.25">
      <c r="A345" s="46"/>
      <c r="B345" s="46"/>
      <c r="C345" s="46"/>
      <c r="D345" s="46"/>
    </row>
  </sheetData>
  <mergeCells count="19">
    <mergeCell ref="A1:B1"/>
    <mergeCell ref="A2:A3"/>
    <mergeCell ref="B2:B3"/>
    <mergeCell ref="C3:C4"/>
    <mergeCell ref="A4:A5"/>
    <mergeCell ref="B4:B5"/>
    <mergeCell ref="A17:D17"/>
    <mergeCell ref="A20:D20"/>
    <mergeCell ref="A83:D83"/>
    <mergeCell ref="A104:D104"/>
    <mergeCell ref="A135:D135"/>
    <mergeCell ref="A197:D197"/>
    <mergeCell ref="A271:D271"/>
    <mergeCell ref="A345:D345"/>
    <mergeCell ref="A149:D149"/>
    <mergeCell ref="A157:D157"/>
    <mergeCell ref="A166:D166"/>
    <mergeCell ref="A188:D188"/>
    <mergeCell ref="A190:D190"/>
  </mergeCells>
  <pageMargins left="0.5" right="0.5" top="0.5" bottom="0.5" header="0.3" footer="0.3"/>
  <pageSetup fitToHeight="999" orientation="landscape" r:id="rId1"/>
  <headerFooter>
    <oddHeader>&amp;C4K911 PART NUMBER LIST_A.1</oddHeader>
    <oddFooter>&amp;L&amp;D_x000D_&amp;1#&amp;"Aptos"&amp;10&amp;K737373 Caterpillar: Confidential Green&amp;CPage &amp;P of &amp;N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48F200-422D-4414-BCDA-8C84835B063F}">
  <sheetPr>
    <tabColor rgb="FF00B0F0"/>
  </sheetPr>
  <dimension ref="A1:H70"/>
  <sheetViews>
    <sheetView showGridLines="0" workbookViewId="0">
      <selection activeCell="K13" sqref="K13"/>
    </sheetView>
  </sheetViews>
  <sheetFormatPr defaultRowHeight="17.100000000000001" customHeight="1" x14ac:dyDescent="0.25"/>
  <cols>
    <col min="1" max="1" width="12.7109375" style="16" bestFit="1" customWidth="1"/>
    <col min="2" max="2" width="12" style="16" bestFit="1" customWidth="1"/>
    <col min="3" max="3" width="6.85546875" style="16" bestFit="1" customWidth="1"/>
    <col min="4" max="4" width="6.7109375" style="16" customWidth="1"/>
    <col min="5" max="5" width="6.5703125" style="16" bestFit="1" customWidth="1"/>
    <col min="6" max="6" width="12.7109375" style="16" bestFit="1" customWidth="1"/>
    <col min="7" max="7" width="14.7109375" customWidth="1"/>
    <col min="8" max="8" width="9.5703125" bestFit="1" customWidth="1"/>
  </cols>
  <sheetData>
    <row r="1" spans="1:8" ht="18" customHeight="1" x14ac:dyDescent="0.25">
      <c r="A1" s="49" t="s">
        <v>157</v>
      </c>
      <c r="B1" s="49"/>
      <c r="C1" s="49"/>
      <c r="D1" s="49"/>
    </row>
    <row r="2" spans="1:8" ht="12" customHeight="1" x14ac:dyDescent="0.25">
      <c r="A2" s="50"/>
      <c r="B2" s="50"/>
      <c r="C2" s="50"/>
      <c r="D2" s="50"/>
    </row>
    <row r="3" spans="1:8" ht="12.75" customHeight="1" x14ac:dyDescent="0.25">
      <c r="A3" s="3" t="s">
        <v>2</v>
      </c>
      <c r="B3" s="39" t="s">
        <v>3</v>
      </c>
      <c r="C3" s="39"/>
      <c r="D3" s="39"/>
    </row>
    <row r="4" spans="1:8" ht="12" customHeight="1" x14ac:dyDescent="0.25">
      <c r="A4" s="3" t="s">
        <v>5</v>
      </c>
      <c r="B4" s="39" t="s">
        <v>6</v>
      </c>
      <c r="C4" s="39"/>
      <c r="D4" s="39"/>
    </row>
    <row r="5" spans="1:8" ht="12.75" customHeight="1" x14ac:dyDescent="0.25">
      <c r="A5" s="3" t="s">
        <v>7</v>
      </c>
      <c r="B5" s="39" t="s">
        <v>8</v>
      </c>
      <c r="C5" s="39"/>
      <c r="D5" s="39"/>
    </row>
    <row r="6" spans="1:8" ht="5.25" customHeight="1" x14ac:dyDescent="0.25"/>
    <row r="7" spans="1:8" ht="12" customHeight="1" x14ac:dyDescent="0.25">
      <c r="A7" s="3" t="s">
        <v>9</v>
      </c>
      <c r="B7" s="39" t="s">
        <v>10</v>
      </c>
      <c r="C7" s="39"/>
      <c r="D7" s="39"/>
    </row>
    <row r="8" spans="1:8" ht="12.75" customHeight="1" x14ac:dyDescent="0.25">
      <c r="A8" s="3" t="s">
        <v>11</v>
      </c>
      <c r="B8" s="39" t="s">
        <v>12</v>
      </c>
      <c r="C8" s="39"/>
      <c r="D8" s="39"/>
    </row>
    <row r="9" spans="1:8" ht="12" customHeight="1" x14ac:dyDescent="0.25">
      <c r="A9" s="3" t="s">
        <v>13</v>
      </c>
      <c r="B9" s="39"/>
      <c r="C9" s="39"/>
      <c r="D9" s="39"/>
    </row>
    <row r="10" spans="1:8" ht="12.75" customHeight="1" x14ac:dyDescent="0.25">
      <c r="A10" s="3" t="s">
        <v>11</v>
      </c>
      <c r="B10" s="39"/>
      <c r="C10" s="39"/>
      <c r="D10" s="39"/>
    </row>
    <row r="11" spans="1:8" ht="10.5" customHeight="1" x14ac:dyDescent="0.25"/>
    <row r="12" spans="1:8" ht="16.5" customHeight="1" x14ac:dyDescent="0.25">
      <c r="A12" s="44" t="s">
        <v>630</v>
      </c>
      <c r="B12" s="44"/>
      <c r="C12" s="44"/>
      <c r="D12" s="44"/>
      <c r="E12" s="44"/>
      <c r="F12" s="44"/>
      <c r="G12" s="51" t="s">
        <v>631</v>
      </c>
      <c r="H12" s="52"/>
    </row>
    <row r="13" spans="1:8" ht="43.5" customHeight="1" x14ac:dyDescent="0.25">
      <c r="A13" s="17" t="s">
        <v>14</v>
      </c>
      <c r="B13" s="18" t="s">
        <v>634</v>
      </c>
      <c r="C13" s="18" t="s">
        <v>633</v>
      </c>
      <c r="D13" s="18" t="s">
        <v>635</v>
      </c>
      <c r="E13" s="18" t="s">
        <v>2828</v>
      </c>
      <c r="F13" s="19" t="s">
        <v>14</v>
      </c>
      <c r="G13" s="19" t="s">
        <v>17</v>
      </c>
      <c r="H13" s="19" t="s">
        <v>2829</v>
      </c>
    </row>
    <row r="14" spans="1:8" ht="17.100000000000001" customHeight="1" x14ac:dyDescent="0.25">
      <c r="A14" s="20" t="s">
        <v>1120</v>
      </c>
      <c r="B14" s="20" t="s">
        <v>2831</v>
      </c>
      <c r="C14" s="20" t="s">
        <v>662</v>
      </c>
      <c r="D14" s="20" t="s">
        <v>673</v>
      </c>
      <c r="E14" s="20" t="s">
        <v>2934</v>
      </c>
      <c r="F14" s="21" t="s">
        <v>1046</v>
      </c>
      <c r="G14" s="21" t="s">
        <v>2897</v>
      </c>
      <c r="H14" s="21" t="s">
        <v>158</v>
      </c>
    </row>
    <row r="15" spans="1:8" ht="17.100000000000001" customHeight="1" x14ac:dyDescent="0.25">
      <c r="A15" s="20" t="s">
        <v>2898</v>
      </c>
      <c r="B15" s="20" t="s">
        <v>161</v>
      </c>
      <c r="C15" s="20" t="s">
        <v>662</v>
      </c>
      <c r="D15" s="20" t="s">
        <v>673</v>
      </c>
      <c r="E15" s="20" t="s">
        <v>2935</v>
      </c>
      <c r="F15" s="21" t="s">
        <v>2899</v>
      </c>
      <c r="G15" s="21" t="s">
        <v>2900</v>
      </c>
      <c r="H15" s="21"/>
    </row>
    <row r="16" spans="1:8" ht="17.100000000000001" customHeight="1" x14ac:dyDescent="0.25">
      <c r="A16" s="26"/>
      <c r="B16" s="26"/>
      <c r="C16" s="26"/>
      <c r="D16" s="26"/>
      <c r="E16" s="26"/>
      <c r="F16" s="27"/>
      <c r="G16" s="27"/>
      <c r="H16" s="27"/>
    </row>
    <row r="17" spans="1:8" ht="17.100000000000001" customHeight="1" x14ac:dyDescent="0.25">
      <c r="A17" s="20" t="s">
        <v>2366</v>
      </c>
      <c r="B17" s="20" t="s">
        <v>2367</v>
      </c>
      <c r="C17" s="20" t="s">
        <v>662</v>
      </c>
      <c r="D17" s="20" t="s">
        <v>673</v>
      </c>
      <c r="E17" s="20" t="s">
        <v>2918</v>
      </c>
      <c r="F17" s="21" t="s">
        <v>2368</v>
      </c>
      <c r="G17" s="21" t="s">
        <v>157</v>
      </c>
      <c r="H17" s="21" t="s">
        <v>154</v>
      </c>
    </row>
    <row r="18" spans="1:8" ht="17.100000000000001" customHeight="1" x14ac:dyDescent="0.25">
      <c r="A18" s="20" t="s">
        <v>2369</v>
      </c>
      <c r="B18" s="20" t="s">
        <v>2370</v>
      </c>
      <c r="C18" s="20" t="s">
        <v>662</v>
      </c>
      <c r="D18" s="20" t="s">
        <v>673</v>
      </c>
      <c r="E18" s="20" t="s">
        <v>2918</v>
      </c>
      <c r="F18" s="21" t="s">
        <v>2371</v>
      </c>
      <c r="G18" s="21" t="s">
        <v>157</v>
      </c>
      <c r="H18" s="21"/>
    </row>
    <row r="19" spans="1:8" ht="17.100000000000001" customHeight="1" x14ac:dyDescent="0.25">
      <c r="A19" s="20" t="s">
        <v>2372</v>
      </c>
      <c r="B19" s="20" t="s">
        <v>2373</v>
      </c>
      <c r="C19" s="20" t="s">
        <v>662</v>
      </c>
      <c r="D19" s="20" t="s">
        <v>673</v>
      </c>
      <c r="E19" s="20" t="s">
        <v>2918</v>
      </c>
      <c r="F19" s="21" t="s">
        <v>2374</v>
      </c>
      <c r="G19" s="21" t="s">
        <v>157</v>
      </c>
      <c r="H19" s="21"/>
    </row>
    <row r="20" spans="1:8" ht="17.100000000000001" customHeight="1" x14ac:dyDescent="0.25">
      <c r="A20" s="20" t="s">
        <v>2375</v>
      </c>
      <c r="B20" s="20" t="s">
        <v>2376</v>
      </c>
      <c r="C20" s="20" t="s">
        <v>662</v>
      </c>
      <c r="D20" s="20" t="s">
        <v>673</v>
      </c>
      <c r="E20" s="20" t="s">
        <v>2918</v>
      </c>
      <c r="F20" s="21" t="s">
        <v>2377</v>
      </c>
      <c r="G20" s="21" t="s">
        <v>157</v>
      </c>
      <c r="H20" s="21"/>
    </row>
    <row r="21" spans="1:8" ht="17.100000000000001" customHeight="1" x14ac:dyDescent="0.25">
      <c r="A21" s="26"/>
      <c r="B21" s="26"/>
      <c r="C21" s="26"/>
      <c r="D21" s="26"/>
      <c r="E21" s="26"/>
      <c r="F21" s="27"/>
      <c r="G21" s="27"/>
      <c r="H21" s="27"/>
    </row>
    <row r="22" spans="1:8" ht="17.100000000000001" customHeight="1" x14ac:dyDescent="0.25">
      <c r="A22" s="20" t="s">
        <v>1775</v>
      </c>
      <c r="B22" s="20" t="s">
        <v>1774</v>
      </c>
      <c r="C22" s="20" t="s">
        <v>662</v>
      </c>
      <c r="D22" s="20" t="s">
        <v>663</v>
      </c>
      <c r="E22" s="20" t="s">
        <v>2936</v>
      </c>
      <c r="F22" s="21" t="s">
        <v>1773</v>
      </c>
      <c r="G22" s="21" t="s">
        <v>2912</v>
      </c>
      <c r="H22" s="21" t="s">
        <v>178</v>
      </c>
    </row>
    <row r="23" spans="1:8" ht="17.100000000000001" customHeight="1" x14ac:dyDescent="0.25">
      <c r="A23" s="20" t="s">
        <v>1769</v>
      </c>
      <c r="B23" s="20" t="s">
        <v>1768</v>
      </c>
      <c r="C23" s="20" t="s">
        <v>662</v>
      </c>
      <c r="D23" s="20" t="s">
        <v>663</v>
      </c>
      <c r="E23" s="20" t="s">
        <v>2936</v>
      </c>
      <c r="F23" s="21" t="s">
        <v>1767</v>
      </c>
      <c r="G23" s="21" t="s">
        <v>2912</v>
      </c>
      <c r="H23" s="21"/>
    </row>
    <row r="24" spans="1:8" ht="17.100000000000001" customHeight="1" x14ac:dyDescent="0.25">
      <c r="A24" s="20" t="s">
        <v>1772</v>
      </c>
      <c r="B24" s="20" t="s">
        <v>1771</v>
      </c>
      <c r="C24" s="20" t="s">
        <v>662</v>
      </c>
      <c r="D24" s="20" t="s">
        <v>663</v>
      </c>
      <c r="E24" s="20" t="s">
        <v>2936</v>
      </c>
      <c r="F24" s="21" t="s">
        <v>1770</v>
      </c>
      <c r="G24" s="21" t="s">
        <v>2912</v>
      </c>
      <c r="H24" s="21"/>
    </row>
    <row r="25" spans="1:8" ht="17.100000000000001" customHeight="1" x14ac:dyDescent="0.25">
      <c r="A25" s="20" t="s">
        <v>1765</v>
      </c>
      <c r="B25" s="20" t="s">
        <v>1763</v>
      </c>
      <c r="C25" s="20" t="s">
        <v>662</v>
      </c>
      <c r="D25" s="20" t="s">
        <v>663</v>
      </c>
      <c r="E25" s="20" t="s">
        <v>2936</v>
      </c>
      <c r="F25" s="21" t="s">
        <v>1762</v>
      </c>
      <c r="G25" s="21" t="s">
        <v>2912</v>
      </c>
      <c r="H25" s="21"/>
    </row>
    <row r="26" spans="1:8" ht="17.100000000000001" customHeight="1" x14ac:dyDescent="0.25">
      <c r="A26" s="28"/>
      <c r="B26" s="28"/>
      <c r="C26" s="28"/>
      <c r="D26" s="28"/>
      <c r="E26" s="28"/>
      <c r="F26" s="29"/>
      <c r="G26" s="29"/>
      <c r="H26" s="29"/>
    </row>
    <row r="27" spans="1:8" ht="17.100000000000001" customHeight="1" x14ac:dyDescent="0.25">
      <c r="A27" s="20" t="s">
        <v>1755</v>
      </c>
      <c r="B27" s="20" t="s">
        <v>1754</v>
      </c>
      <c r="C27" s="20" t="s">
        <v>662</v>
      </c>
      <c r="D27" s="20" t="s">
        <v>663</v>
      </c>
      <c r="E27" s="20" t="s">
        <v>2936</v>
      </c>
      <c r="F27" s="21" t="s">
        <v>1753</v>
      </c>
      <c r="G27" s="21" t="s">
        <v>2912</v>
      </c>
      <c r="H27" s="21" t="s">
        <v>180</v>
      </c>
    </row>
    <row r="28" spans="1:8" ht="17.100000000000001" customHeight="1" x14ac:dyDescent="0.25">
      <c r="A28" s="20" t="s">
        <v>1761</v>
      </c>
      <c r="B28" s="20" t="s">
        <v>1760</v>
      </c>
      <c r="C28" s="20" t="s">
        <v>662</v>
      </c>
      <c r="D28" s="20" t="s">
        <v>663</v>
      </c>
      <c r="E28" s="20" t="s">
        <v>2936</v>
      </c>
      <c r="F28" s="21" t="s">
        <v>1759</v>
      </c>
      <c r="G28" s="21" t="s">
        <v>2912</v>
      </c>
      <c r="H28" s="21"/>
    </row>
    <row r="29" spans="1:8" ht="17.100000000000001" customHeight="1" x14ac:dyDescent="0.25">
      <c r="A29" s="20" t="s">
        <v>1751</v>
      </c>
      <c r="B29" s="20" t="s">
        <v>1749</v>
      </c>
      <c r="C29" s="20" t="s">
        <v>662</v>
      </c>
      <c r="D29" s="20" t="s">
        <v>663</v>
      </c>
      <c r="E29" s="20" t="s">
        <v>2936</v>
      </c>
      <c r="F29" s="21" t="s">
        <v>1748</v>
      </c>
      <c r="G29" s="21" t="s">
        <v>2912</v>
      </c>
      <c r="H29" s="21"/>
    </row>
    <row r="30" spans="1:8" ht="17.100000000000001" customHeight="1" x14ac:dyDescent="0.25">
      <c r="A30" s="20" t="s">
        <v>1758</v>
      </c>
      <c r="B30" s="20" t="s">
        <v>1757</v>
      </c>
      <c r="C30" s="20" t="s">
        <v>662</v>
      </c>
      <c r="D30" s="20" t="s">
        <v>663</v>
      </c>
      <c r="E30" s="20" t="s">
        <v>2936</v>
      </c>
      <c r="F30" s="21" t="s">
        <v>1756</v>
      </c>
      <c r="G30" s="21" t="s">
        <v>2912</v>
      </c>
      <c r="H30" s="21"/>
    </row>
    <row r="31" spans="1:8" ht="17.100000000000001" customHeight="1" x14ac:dyDescent="0.25">
      <c r="A31" s="28"/>
      <c r="B31" s="28"/>
      <c r="C31" s="28"/>
      <c r="D31" s="28"/>
      <c r="E31" s="28"/>
      <c r="F31" s="29"/>
      <c r="G31" s="29"/>
      <c r="H31" s="29"/>
    </row>
    <row r="32" spans="1:8" ht="17.100000000000001" customHeight="1" x14ac:dyDescent="0.25">
      <c r="A32" s="21" t="s">
        <v>1726</v>
      </c>
      <c r="B32" s="20" t="s">
        <v>967</v>
      </c>
      <c r="C32" s="20" t="s">
        <v>662</v>
      </c>
      <c r="D32" s="20" t="s">
        <v>663</v>
      </c>
      <c r="E32" s="20" t="s">
        <v>2936</v>
      </c>
      <c r="F32" s="20" t="s">
        <v>1298</v>
      </c>
      <c r="G32" s="21" t="s">
        <v>2912</v>
      </c>
      <c r="H32" s="21" t="s">
        <v>189</v>
      </c>
    </row>
    <row r="33" spans="1:8" ht="17.100000000000001" customHeight="1" x14ac:dyDescent="0.25">
      <c r="A33" s="21" t="s">
        <v>1725</v>
      </c>
      <c r="B33" s="20" t="s">
        <v>1295</v>
      </c>
      <c r="C33" s="20" t="s">
        <v>662</v>
      </c>
      <c r="D33" s="20" t="s">
        <v>663</v>
      </c>
      <c r="E33" s="20" t="s">
        <v>2936</v>
      </c>
      <c r="F33" s="20" t="s">
        <v>1296</v>
      </c>
      <c r="G33" s="21" t="s">
        <v>2912</v>
      </c>
      <c r="H33" s="21"/>
    </row>
    <row r="34" spans="1:8" ht="17.100000000000001" customHeight="1" x14ac:dyDescent="0.25">
      <c r="A34" s="21" t="s">
        <v>1663</v>
      </c>
      <c r="B34" s="20" t="s">
        <v>1662</v>
      </c>
      <c r="C34" s="20" t="s">
        <v>662</v>
      </c>
      <c r="D34" s="20" t="s">
        <v>663</v>
      </c>
      <c r="E34" s="20" t="s">
        <v>2936</v>
      </c>
      <c r="F34" s="20" t="s">
        <v>1661</v>
      </c>
      <c r="G34" s="21" t="s">
        <v>2912</v>
      </c>
      <c r="H34" s="21"/>
    </row>
    <row r="35" spans="1:8" ht="17.100000000000001" customHeight="1" x14ac:dyDescent="0.25">
      <c r="A35" s="21" t="s">
        <v>1659</v>
      </c>
      <c r="B35" s="20" t="s">
        <v>1657</v>
      </c>
      <c r="C35" s="20" t="s">
        <v>662</v>
      </c>
      <c r="D35" s="20" t="s">
        <v>663</v>
      </c>
      <c r="E35" s="20" t="s">
        <v>2936</v>
      </c>
      <c r="F35" s="20" t="s">
        <v>1656</v>
      </c>
      <c r="G35" s="21" t="s">
        <v>2912</v>
      </c>
      <c r="H35" s="21"/>
    </row>
    <row r="36" spans="1:8" ht="17.100000000000001" customHeight="1" x14ac:dyDescent="0.25">
      <c r="A36" s="29"/>
      <c r="B36" s="28"/>
      <c r="C36" s="28"/>
      <c r="D36" s="28"/>
      <c r="E36" s="28"/>
      <c r="F36" s="28"/>
      <c r="G36" s="29"/>
      <c r="H36" s="29"/>
    </row>
    <row r="37" spans="1:8" ht="17.100000000000001" customHeight="1" x14ac:dyDescent="0.25">
      <c r="A37" s="21" t="s">
        <v>1712</v>
      </c>
      <c r="B37" s="20" t="s">
        <v>1711</v>
      </c>
      <c r="C37" s="20" t="s">
        <v>662</v>
      </c>
      <c r="D37" s="20" t="s">
        <v>663</v>
      </c>
      <c r="E37" s="20" t="s">
        <v>2936</v>
      </c>
      <c r="F37" s="20" t="s">
        <v>1710</v>
      </c>
      <c r="G37" s="21" t="s">
        <v>2912</v>
      </c>
      <c r="H37" s="21" t="s">
        <v>175</v>
      </c>
    </row>
    <row r="38" spans="1:8" ht="17.100000000000001" customHeight="1" x14ac:dyDescent="0.25">
      <c r="A38" s="21" t="s">
        <v>1691</v>
      </c>
      <c r="B38" s="20" t="s">
        <v>1690</v>
      </c>
      <c r="C38" s="20" t="s">
        <v>662</v>
      </c>
      <c r="D38" s="20" t="s">
        <v>663</v>
      </c>
      <c r="E38" s="20" t="s">
        <v>2936</v>
      </c>
      <c r="F38" s="20" t="s">
        <v>1689</v>
      </c>
      <c r="G38" s="21" t="s">
        <v>2912</v>
      </c>
      <c r="H38" s="21"/>
    </row>
    <row r="39" spans="1:8" ht="17.100000000000001" customHeight="1" x14ac:dyDescent="0.25">
      <c r="A39" s="21" t="s">
        <v>1709</v>
      </c>
      <c r="B39" s="20" t="s">
        <v>1708</v>
      </c>
      <c r="C39" s="20" t="s">
        <v>662</v>
      </c>
      <c r="D39" s="20" t="s">
        <v>663</v>
      </c>
      <c r="E39" s="20" t="s">
        <v>2936</v>
      </c>
      <c r="F39" s="20" t="s">
        <v>1707</v>
      </c>
      <c r="G39" s="21" t="s">
        <v>2912</v>
      </c>
      <c r="H39" s="21"/>
    </row>
    <row r="40" spans="1:8" ht="17.100000000000001" customHeight="1" x14ac:dyDescent="0.25">
      <c r="A40" s="21" t="s">
        <v>1688</v>
      </c>
      <c r="B40" s="20" t="s">
        <v>1687</v>
      </c>
      <c r="C40" s="20" t="s">
        <v>662</v>
      </c>
      <c r="D40" s="20" t="s">
        <v>663</v>
      </c>
      <c r="E40" s="20" t="s">
        <v>2936</v>
      </c>
      <c r="F40" s="20" t="s">
        <v>1686</v>
      </c>
      <c r="G40" s="21" t="s">
        <v>2912</v>
      </c>
      <c r="H40" s="21"/>
    </row>
    <row r="41" spans="1:8" ht="17.100000000000001" customHeight="1" x14ac:dyDescent="0.25">
      <c r="A41" s="29"/>
      <c r="B41" s="28"/>
      <c r="C41" s="28"/>
      <c r="D41" s="28"/>
      <c r="E41" s="28"/>
      <c r="F41" s="28"/>
      <c r="G41" s="29"/>
      <c r="H41" s="29"/>
    </row>
    <row r="42" spans="1:8" ht="17.100000000000001" customHeight="1" x14ac:dyDescent="0.25">
      <c r="A42" s="21" t="s">
        <v>1700</v>
      </c>
      <c r="B42" s="20" t="s">
        <v>1699</v>
      </c>
      <c r="C42" s="20" t="s">
        <v>662</v>
      </c>
      <c r="D42" s="20" t="s">
        <v>663</v>
      </c>
      <c r="E42" s="20" t="s">
        <v>2936</v>
      </c>
      <c r="F42" s="20" t="s">
        <v>1698</v>
      </c>
      <c r="G42" s="21" t="s">
        <v>2912</v>
      </c>
      <c r="H42" s="21" t="s">
        <v>186</v>
      </c>
    </row>
    <row r="43" spans="1:8" ht="17.100000000000001" customHeight="1" x14ac:dyDescent="0.25">
      <c r="A43" s="21" t="s">
        <v>1676</v>
      </c>
      <c r="B43" s="20" t="s">
        <v>1674</v>
      </c>
      <c r="C43" s="20" t="s">
        <v>662</v>
      </c>
      <c r="D43" s="20" t="s">
        <v>663</v>
      </c>
      <c r="E43" s="20" t="s">
        <v>2936</v>
      </c>
      <c r="F43" s="20" t="s">
        <v>1673</v>
      </c>
      <c r="G43" s="21" t="s">
        <v>2912</v>
      </c>
      <c r="H43" s="21"/>
    </row>
    <row r="44" spans="1:8" ht="17.100000000000001" customHeight="1" x14ac:dyDescent="0.25">
      <c r="A44" s="33"/>
      <c r="B44" s="34"/>
      <c r="C44" s="34"/>
      <c r="D44" s="34"/>
      <c r="E44" s="34"/>
      <c r="F44" s="34"/>
      <c r="G44" s="33"/>
      <c r="H44" s="33"/>
    </row>
    <row r="45" spans="1:8" ht="17.100000000000001" customHeight="1" x14ac:dyDescent="0.25">
      <c r="A45" s="21" t="s">
        <v>1703</v>
      </c>
      <c r="B45" s="20" t="s">
        <v>1702</v>
      </c>
      <c r="C45" s="20" t="s">
        <v>662</v>
      </c>
      <c r="D45" s="20" t="s">
        <v>663</v>
      </c>
      <c r="E45" s="20" t="s">
        <v>2936</v>
      </c>
      <c r="F45" s="20" t="s">
        <v>1701</v>
      </c>
      <c r="G45" s="21" t="s">
        <v>2912</v>
      </c>
      <c r="H45" s="21" t="s">
        <v>192</v>
      </c>
    </row>
    <row r="46" spans="1:8" ht="17.100000000000001" customHeight="1" x14ac:dyDescent="0.25">
      <c r="A46" s="21" t="s">
        <v>1680</v>
      </c>
      <c r="B46" s="20" t="s">
        <v>1679</v>
      </c>
      <c r="C46" s="20" t="s">
        <v>662</v>
      </c>
      <c r="D46" s="20" t="s">
        <v>663</v>
      </c>
      <c r="E46" s="20" t="s">
        <v>2936</v>
      </c>
      <c r="F46" s="20" t="s">
        <v>1678</v>
      </c>
      <c r="G46" s="21" t="s">
        <v>2912</v>
      </c>
      <c r="H46" s="21"/>
    </row>
    <row r="47" spans="1:8" ht="17.100000000000001" customHeight="1" x14ac:dyDescent="0.25">
      <c r="A47" s="29"/>
      <c r="B47" s="28"/>
      <c r="C47" s="28"/>
      <c r="D47" s="28"/>
      <c r="E47" s="28"/>
      <c r="F47" s="28"/>
      <c r="G47" s="29"/>
      <c r="H47" s="29"/>
    </row>
    <row r="48" spans="1:8" ht="17.100000000000001" customHeight="1" x14ac:dyDescent="0.25">
      <c r="A48" s="21" t="s">
        <v>1706</v>
      </c>
      <c r="B48" s="20" t="s">
        <v>1705</v>
      </c>
      <c r="C48" s="20" t="s">
        <v>662</v>
      </c>
      <c r="D48" s="20" t="s">
        <v>663</v>
      </c>
      <c r="E48" s="20" t="s">
        <v>2936</v>
      </c>
      <c r="F48" s="20" t="s">
        <v>1704</v>
      </c>
      <c r="G48" s="21" t="s">
        <v>2912</v>
      </c>
      <c r="H48" s="21" t="s">
        <v>194</v>
      </c>
    </row>
    <row r="49" spans="1:8" ht="17.100000000000001" customHeight="1" x14ac:dyDescent="0.25">
      <c r="A49" s="21" t="s">
        <v>1684</v>
      </c>
      <c r="B49" s="20" t="s">
        <v>1682</v>
      </c>
      <c r="C49" s="20" t="s">
        <v>662</v>
      </c>
      <c r="D49" s="20" t="s">
        <v>663</v>
      </c>
      <c r="E49" s="20" t="s">
        <v>2936</v>
      </c>
      <c r="F49" s="20" t="s">
        <v>1681</v>
      </c>
      <c r="G49" s="21" t="s">
        <v>2912</v>
      </c>
      <c r="H49" s="21"/>
    </row>
    <row r="50" spans="1:8" ht="17.100000000000001" customHeight="1" x14ac:dyDescent="0.25">
      <c r="A50" s="29"/>
      <c r="B50" s="28"/>
      <c r="C50" s="28"/>
      <c r="D50" s="28"/>
      <c r="E50" s="28"/>
      <c r="F50" s="28"/>
      <c r="G50" s="29"/>
      <c r="H50" s="29"/>
    </row>
    <row r="51" spans="1:8" ht="17.100000000000001" customHeight="1" x14ac:dyDescent="0.25">
      <c r="A51" s="21" t="s">
        <v>1697</v>
      </c>
      <c r="B51" s="20" t="s">
        <v>1696</v>
      </c>
      <c r="C51" s="20" t="s">
        <v>662</v>
      </c>
      <c r="D51" s="20" t="s">
        <v>663</v>
      </c>
      <c r="E51" s="20" t="s">
        <v>2936</v>
      </c>
      <c r="F51" s="20" t="s">
        <v>1695</v>
      </c>
      <c r="G51" s="21" t="s">
        <v>2912</v>
      </c>
      <c r="H51" s="21" t="s">
        <v>196</v>
      </c>
    </row>
    <row r="52" spans="1:8" ht="17.100000000000001" customHeight="1" x14ac:dyDescent="0.25">
      <c r="A52" s="21" t="s">
        <v>1672</v>
      </c>
      <c r="B52" s="20" t="s">
        <v>1670</v>
      </c>
      <c r="C52" s="20" t="s">
        <v>662</v>
      </c>
      <c r="D52" s="20" t="s">
        <v>663</v>
      </c>
      <c r="E52" s="20" t="s">
        <v>2936</v>
      </c>
      <c r="F52" s="20" t="s">
        <v>1669</v>
      </c>
      <c r="G52" s="21" t="s">
        <v>2912</v>
      </c>
      <c r="H52" s="21"/>
    </row>
    <row r="53" spans="1:8" ht="17.100000000000001" customHeight="1" x14ac:dyDescent="0.25">
      <c r="A53" s="21" t="s">
        <v>1736</v>
      </c>
      <c r="B53" s="20" t="s">
        <v>1735</v>
      </c>
      <c r="C53" s="20" t="s">
        <v>662</v>
      </c>
      <c r="D53" s="20" t="s">
        <v>663</v>
      </c>
      <c r="E53" s="20" t="s">
        <v>2936</v>
      </c>
      <c r="F53" s="20" t="s">
        <v>1734</v>
      </c>
      <c r="G53" s="21" t="s">
        <v>2912</v>
      </c>
      <c r="H53" s="21"/>
    </row>
    <row r="54" spans="1:8" ht="17.100000000000001" customHeight="1" x14ac:dyDescent="0.25">
      <c r="A54" s="21" t="s">
        <v>1739</v>
      </c>
      <c r="B54" s="20" t="s">
        <v>1738</v>
      </c>
      <c r="C54" s="20" t="s">
        <v>662</v>
      </c>
      <c r="D54" s="20" t="s">
        <v>663</v>
      </c>
      <c r="E54" s="20" t="s">
        <v>2936</v>
      </c>
      <c r="F54" s="20" t="s">
        <v>1737</v>
      </c>
      <c r="G54" s="21" t="s">
        <v>2912</v>
      </c>
      <c r="H54" s="21"/>
    </row>
    <row r="55" spans="1:8" ht="17.100000000000001" customHeight="1" x14ac:dyDescent="0.25">
      <c r="A55" s="21" t="s">
        <v>1721</v>
      </c>
      <c r="B55" s="20" t="s">
        <v>1720</v>
      </c>
      <c r="C55" s="20" t="s">
        <v>662</v>
      </c>
      <c r="D55" s="20" t="s">
        <v>663</v>
      </c>
      <c r="E55" s="20" t="s">
        <v>2936</v>
      </c>
      <c r="F55" s="20" t="s">
        <v>1719</v>
      </c>
      <c r="G55" s="21" t="s">
        <v>2912</v>
      </c>
      <c r="H55" s="21"/>
    </row>
    <row r="56" spans="1:8" ht="17.100000000000001" customHeight="1" x14ac:dyDescent="0.25">
      <c r="A56" s="21" t="s">
        <v>1715</v>
      </c>
      <c r="B56" s="20" t="s">
        <v>1714</v>
      </c>
      <c r="C56" s="20" t="s">
        <v>662</v>
      </c>
      <c r="D56" s="20" t="s">
        <v>663</v>
      </c>
      <c r="E56" s="20" t="s">
        <v>2936</v>
      </c>
      <c r="F56" s="20" t="s">
        <v>1713</v>
      </c>
      <c r="G56" s="21" t="s">
        <v>2912</v>
      </c>
      <c r="H56" s="21"/>
    </row>
    <row r="57" spans="1:8" ht="17.100000000000001" customHeight="1" x14ac:dyDescent="0.25">
      <c r="A57" s="29"/>
      <c r="B57" s="28"/>
      <c r="C57" s="28"/>
      <c r="D57" s="28"/>
      <c r="E57" s="28"/>
      <c r="F57" s="28"/>
      <c r="G57" s="29"/>
      <c r="H57" s="29"/>
    </row>
    <row r="58" spans="1:8" ht="17.100000000000001" customHeight="1" x14ac:dyDescent="0.25">
      <c r="A58" s="21" t="s">
        <v>1730</v>
      </c>
      <c r="B58" s="20" t="s">
        <v>1728</v>
      </c>
      <c r="C58" s="20" t="s">
        <v>662</v>
      </c>
      <c r="D58" s="20" t="s">
        <v>663</v>
      </c>
      <c r="E58" s="20" t="s">
        <v>2936</v>
      </c>
      <c r="F58" s="20" t="s">
        <v>1727</v>
      </c>
      <c r="G58" s="21" t="s">
        <v>2912</v>
      </c>
      <c r="H58" s="21" t="s">
        <v>199</v>
      </c>
    </row>
    <row r="59" spans="1:8" ht="17.100000000000001" customHeight="1" x14ac:dyDescent="0.25">
      <c r="A59" s="21" t="s">
        <v>1733</v>
      </c>
      <c r="B59" s="20" t="s">
        <v>1732</v>
      </c>
      <c r="C59" s="20" t="s">
        <v>662</v>
      </c>
      <c r="D59" s="20" t="s">
        <v>663</v>
      </c>
      <c r="E59" s="20" t="s">
        <v>2936</v>
      </c>
      <c r="F59" s="20" t="s">
        <v>1731</v>
      </c>
      <c r="G59" s="21" t="s">
        <v>2912</v>
      </c>
      <c r="H59" s="21"/>
    </row>
    <row r="60" spans="1:8" ht="17.100000000000001" customHeight="1" x14ac:dyDescent="0.25">
      <c r="A60" s="21" t="s">
        <v>1694</v>
      </c>
      <c r="B60" s="20" t="s">
        <v>1693</v>
      </c>
      <c r="C60" s="20" t="s">
        <v>662</v>
      </c>
      <c r="D60" s="20" t="s">
        <v>663</v>
      </c>
      <c r="E60" s="20" t="s">
        <v>2936</v>
      </c>
      <c r="F60" s="20" t="s">
        <v>1692</v>
      </c>
      <c r="G60" s="21" t="s">
        <v>2912</v>
      </c>
      <c r="H60" s="21"/>
    </row>
    <row r="61" spans="1:8" ht="17.100000000000001" customHeight="1" x14ac:dyDescent="0.25">
      <c r="A61" s="21" t="s">
        <v>1667</v>
      </c>
      <c r="B61" s="20" t="s">
        <v>1665</v>
      </c>
      <c r="C61" s="20" t="s">
        <v>662</v>
      </c>
      <c r="D61" s="20" t="s">
        <v>663</v>
      </c>
      <c r="E61" s="20" t="s">
        <v>2936</v>
      </c>
      <c r="F61" s="20" t="s">
        <v>1664</v>
      </c>
      <c r="G61" s="21" t="s">
        <v>2912</v>
      </c>
      <c r="H61" s="21"/>
    </row>
    <row r="62" spans="1:8" ht="17.100000000000001" customHeight="1" x14ac:dyDescent="0.25">
      <c r="A62" s="21" t="s">
        <v>1724</v>
      </c>
      <c r="B62" s="20" t="s">
        <v>1723</v>
      </c>
      <c r="C62" s="20" t="s">
        <v>662</v>
      </c>
      <c r="D62" s="20" t="s">
        <v>663</v>
      </c>
      <c r="E62" s="20" t="s">
        <v>2936</v>
      </c>
      <c r="F62" s="20" t="s">
        <v>1722</v>
      </c>
      <c r="G62" s="21" t="s">
        <v>2912</v>
      </c>
      <c r="H62" s="21"/>
    </row>
    <row r="63" spans="1:8" ht="17.100000000000001" customHeight="1" x14ac:dyDescent="0.25">
      <c r="A63" s="21" t="s">
        <v>1718</v>
      </c>
      <c r="B63" s="20" t="s">
        <v>1717</v>
      </c>
      <c r="C63" s="20" t="s">
        <v>662</v>
      </c>
      <c r="D63" s="20" t="s">
        <v>663</v>
      </c>
      <c r="E63" s="20" t="s">
        <v>2936</v>
      </c>
      <c r="F63" s="20" t="s">
        <v>1716</v>
      </c>
      <c r="G63" s="21" t="s">
        <v>2912</v>
      </c>
      <c r="H63" s="21"/>
    </row>
    <row r="64" spans="1:8" ht="17.100000000000001" customHeight="1" x14ac:dyDescent="0.25">
      <c r="A64" s="28"/>
      <c r="B64" s="28"/>
      <c r="C64" s="28"/>
      <c r="D64" s="28"/>
      <c r="E64" s="28"/>
      <c r="F64" s="29"/>
      <c r="G64" s="29"/>
      <c r="H64" s="29"/>
    </row>
    <row r="65" spans="1:8" ht="17.100000000000001" customHeight="1" x14ac:dyDescent="0.25">
      <c r="A65" s="21" t="s">
        <v>1076</v>
      </c>
      <c r="B65" s="20" t="s">
        <v>2831</v>
      </c>
      <c r="C65" s="20" t="s">
        <v>662</v>
      </c>
      <c r="D65" s="20" t="s">
        <v>663</v>
      </c>
      <c r="E65" s="20" t="s">
        <v>2938</v>
      </c>
      <c r="F65" s="20" t="s">
        <v>1050</v>
      </c>
      <c r="G65" s="21" t="s">
        <v>2902</v>
      </c>
      <c r="H65" s="21" t="s">
        <v>201</v>
      </c>
    </row>
    <row r="66" spans="1:8" ht="17.100000000000001" customHeight="1" x14ac:dyDescent="0.25">
      <c r="A66" s="21" t="s">
        <v>1073</v>
      </c>
      <c r="B66" s="20" t="s">
        <v>392</v>
      </c>
      <c r="C66" s="20" t="s">
        <v>662</v>
      </c>
      <c r="D66" s="20" t="s">
        <v>663</v>
      </c>
      <c r="E66" s="20" t="s">
        <v>2938</v>
      </c>
      <c r="F66" s="20" t="s">
        <v>1047</v>
      </c>
      <c r="G66" s="21" t="s">
        <v>2902</v>
      </c>
      <c r="H66" s="21"/>
    </row>
    <row r="67" spans="1:8" ht="17.100000000000001" customHeight="1" x14ac:dyDescent="0.25">
      <c r="A67" s="21" t="s">
        <v>1075</v>
      </c>
      <c r="B67" s="20" t="s">
        <v>993</v>
      </c>
      <c r="C67" s="20" t="s">
        <v>662</v>
      </c>
      <c r="D67" s="20" t="s">
        <v>663</v>
      </c>
      <c r="E67" s="20" t="s">
        <v>2938</v>
      </c>
      <c r="F67" s="20" t="s">
        <v>1049</v>
      </c>
      <c r="G67" s="21" t="s">
        <v>2902</v>
      </c>
      <c r="H67" s="21"/>
    </row>
    <row r="68" spans="1:8" ht="17.100000000000001" customHeight="1" x14ac:dyDescent="0.25">
      <c r="A68" s="21" t="s">
        <v>1080</v>
      </c>
      <c r="B68" s="20" t="s">
        <v>1079</v>
      </c>
      <c r="C68" s="20" t="s">
        <v>662</v>
      </c>
      <c r="D68" s="20" t="s">
        <v>663</v>
      </c>
      <c r="E68" s="20" t="s">
        <v>2938</v>
      </c>
      <c r="F68" s="20" t="s">
        <v>1078</v>
      </c>
      <c r="G68" s="21" t="s">
        <v>2902</v>
      </c>
      <c r="H68" s="21"/>
    </row>
    <row r="69" spans="1:8" ht="17.100000000000001" customHeight="1" x14ac:dyDescent="0.25">
      <c r="A69" s="21" t="s">
        <v>1083</v>
      </c>
      <c r="B69" s="20" t="s">
        <v>1082</v>
      </c>
      <c r="C69" s="20" t="s">
        <v>662</v>
      </c>
      <c r="D69" s="20" t="s">
        <v>663</v>
      </c>
      <c r="E69" s="20" t="s">
        <v>2938</v>
      </c>
      <c r="F69" s="20" t="s">
        <v>1081</v>
      </c>
      <c r="G69" s="21" t="s">
        <v>2902</v>
      </c>
      <c r="H69" s="21"/>
    </row>
    <row r="70" spans="1:8" ht="17.100000000000001" customHeight="1" x14ac:dyDescent="0.25">
      <c r="A70" s="21" t="s">
        <v>1086</v>
      </c>
      <c r="B70" s="20" t="s">
        <v>1085</v>
      </c>
      <c r="C70" s="20" t="s">
        <v>662</v>
      </c>
      <c r="D70" s="20" t="s">
        <v>663</v>
      </c>
      <c r="E70" s="20" t="s">
        <v>2938</v>
      </c>
      <c r="F70" s="20" t="s">
        <v>1084</v>
      </c>
      <c r="G70" s="21" t="s">
        <v>2902</v>
      </c>
      <c r="H70" s="21"/>
    </row>
  </sheetData>
  <autoFilter ref="H1:H70" xr:uid="{A348F200-422D-4414-BCDA-8C84835B063F}"/>
  <sortState xmlns:xlrd2="http://schemas.microsoft.com/office/spreadsheetml/2017/richdata2" ref="A65:G70">
    <sortCondition ref="B65:B70"/>
  </sortState>
  <mergeCells count="11">
    <mergeCell ref="B8:D8"/>
    <mergeCell ref="B9:D9"/>
    <mergeCell ref="B10:D10"/>
    <mergeCell ref="A12:F12"/>
    <mergeCell ref="G12:H12"/>
    <mergeCell ref="B7:D7"/>
    <mergeCell ref="A1:D1"/>
    <mergeCell ref="A2:D2"/>
    <mergeCell ref="B3:D3"/>
    <mergeCell ref="B4:D4"/>
    <mergeCell ref="B5:D5"/>
  </mergeCells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F2CD02-C63B-4AF7-8B47-6F957F6DBAB6}">
  <sheetPr>
    <tabColor rgb="FF00B0F0"/>
  </sheetPr>
  <dimension ref="A1:H123"/>
  <sheetViews>
    <sheetView showGridLines="0" workbookViewId="0">
      <selection activeCell="H14" sqref="H14:H120"/>
    </sheetView>
  </sheetViews>
  <sheetFormatPr defaultRowHeight="17.100000000000001" customHeight="1" x14ac:dyDescent="0.25"/>
  <cols>
    <col min="1" max="1" width="12" style="16" bestFit="1" customWidth="1"/>
    <col min="2" max="2" width="11.42578125" style="16" bestFit="1" customWidth="1"/>
    <col min="3" max="3" width="6.85546875" style="16" bestFit="1" customWidth="1"/>
    <col min="4" max="4" width="6.28515625" style="16" customWidth="1"/>
    <col min="5" max="5" width="6.5703125" style="16" bestFit="1" customWidth="1"/>
    <col min="6" max="6" width="12.7109375" style="16" bestFit="1" customWidth="1"/>
    <col min="7" max="7" width="18.5703125" bestFit="1" customWidth="1"/>
    <col min="8" max="8" width="9.5703125" bestFit="1" customWidth="1"/>
  </cols>
  <sheetData>
    <row r="1" spans="1:8" ht="18" customHeight="1" x14ac:dyDescent="0.25">
      <c r="A1" s="49" t="s">
        <v>209</v>
      </c>
      <c r="B1" s="49"/>
      <c r="C1" s="49"/>
      <c r="D1" s="49"/>
    </row>
    <row r="2" spans="1:8" ht="12" customHeight="1" x14ac:dyDescent="0.25">
      <c r="A2" s="50"/>
      <c r="B2" s="50"/>
      <c r="C2" s="50"/>
      <c r="D2" s="50"/>
    </row>
    <row r="3" spans="1:8" ht="12.75" customHeight="1" x14ac:dyDescent="0.25">
      <c r="A3" s="3" t="s">
        <v>2</v>
      </c>
      <c r="B3" s="39" t="s">
        <v>3</v>
      </c>
      <c r="C3" s="39"/>
      <c r="D3" s="39"/>
    </row>
    <row r="4" spans="1:8" ht="12" customHeight="1" x14ac:dyDescent="0.25">
      <c r="A4" s="3" t="s">
        <v>5</v>
      </c>
      <c r="B4" s="39" t="s">
        <v>6</v>
      </c>
      <c r="C4" s="39"/>
      <c r="D4" s="39"/>
    </row>
    <row r="5" spans="1:8" ht="12.75" customHeight="1" x14ac:dyDescent="0.25">
      <c r="A5" s="3" t="s">
        <v>7</v>
      </c>
      <c r="B5" s="39" t="s">
        <v>8</v>
      </c>
      <c r="C5" s="39"/>
      <c r="D5" s="39"/>
    </row>
    <row r="6" spans="1:8" ht="5.25" customHeight="1" x14ac:dyDescent="0.25"/>
    <row r="7" spans="1:8" ht="12" customHeight="1" x14ac:dyDescent="0.25">
      <c r="A7" s="3" t="s">
        <v>9</v>
      </c>
      <c r="B7" s="39" t="s">
        <v>10</v>
      </c>
      <c r="C7" s="39"/>
      <c r="D7" s="39"/>
    </row>
    <row r="8" spans="1:8" ht="12.75" customHeight="1" x14ac:dyDescent="0.25">
      <c r="A8" s="3" t="s">
        <v>11</v>
      </c>
      <c r="B8" s="39" t="s">
        <v>12</v>
      </c>
      <c r="C8" s="39"/>
      <c r="D8" s="39"/>
    </row>
    <row r="9" spans="1:8" ht="12" customHeight="1" x14ac:dyDescent="0.25">
      <c r="A9" s="3" t="s">
        <v>13</v>
      </c>
      <c r="B9" s="39"/>
      <c r="C9" s="39"/>
      <c r="D9" s="39"/>
    </row>
    <row r="10" spans="1:8" ht="12.75" customHeight="1" x14ac:dyDescent="0.25">
      <c r="A10" s="3" t="s">
        <v>11</v>
      </c>
      <c r="B10" s="39"/>
      <c r="C10" s="39"/>
      <c r="D10" s="39"/>
    </row>
    <row r="11" spans="1:8" ht="10.5" customHeight="1" x14ac:dyDescent="0.25"/>
    <row r="12" spans="1:8" ht="16.5" customHeight="1" x14ac:dyDescent="0.25">
      <c r="A12" s="44" t="s">
        <v>630</v>
      </c>
      <c r="B12" s="44"/>
      <c r="C12" s="44"/>
      <c r="D12" s="44"/>
      <c r="E12" s="44"/>
      <c r="F12" s="44"/>
      <c r="G12" s="51" t="s">
        <v>631</v>
      </c>
      <c r="H12" s="52"/>
    </row>
    <row r="13" spans="1:8" ht="43.5" customHeight="1" x14ac:dyDescent="0.25">
      <c r="A13" s="17" t="s">
        <v>14</v>
      </c>
      <c r="B13" s="18" t="s">
        <v>634</v>
      </c>
      <c r="C13" s="18" t="s">
        <v>633</v>
      </c>
      <c r="D13" s="18" t="s">
        <v>635</v>
      </c>
      <c r="E13" s="18" t="s">
        <v>2828</v>
      </c>
      <c r="F13" s="19" t="s">
        <v>14</v>
      </c>
      <c r="G13" s="19" t="s">
        <v>17</v>
      </c>
      <c r="H13" s="19" t="s">
        <v>2829</v>
      </c>
    </row>
    <row r="14" spans="1:8" ht="17.100000000000001" customHeight="1" x14ac:dyDescent="0.25">
      <c r="A14" s="20" t="s">
        <v>2097</v>
      </c>
      <c r="B14" s="20" t="s">
        <v>2098</v>
      </c>
      <c r="C14" s="20" t="s">
        <v>662</v>
      </c>
      <c r="D14" s="20" t="s">
        <v>663</v>
      </c>
      <c r="E14" s="20" t="s">
        <v>2919</v>
      </c>
      <c r="F14" s="21" t="s">
        <v>2099</v>
      </c>
      <c r="G14" s="21" t="s">
        <v>209</v>
      </c>
      <c r="H14" s="21" t="s">
        <v>206</v>
      </c>
    </row>
    <row r="15" spans="1:8" ht="17.100000000000001" customHeight="1" x14ac:dyDescent="0.25">
      <c r="A15" s="20" t="s">
        <v>2106</v>
      </c>
      <c r="B15" s="20" t="s">
        <v>2107</v>
      </c>
      <c r="C15" s="20" t="s">
        <v>662</v>
      </c>
      <c r="D15" s="20" t="s">
        <v>663</v>
      </c>
      <c r="E15" s="20" t="s">
        <v>2919</v>
      </c>
      <c r="F15" s="21" t="s">
        <v>2108</v>
      </c>
      <c r="G15" s="21" t="s">
        <v>209</v>
      </c>
      <c r="H15" s="21"/>
    </row>
    <row r="16" spans="1:8" ht="17.100000000000001" customHeight="1" x14ac:dyDescent="0.25">
      <c r="A16" s="20" t="s">
        <v>2111</v>
      </c>
      <c r="B16" s="20" t="s">
        <v>2112</v>
      </c>
      <c r="C16" s="20" t="s">
        <v>662</v>
      </c>
      <c r="D16" s="20" t="s">
        <v>663</v>
      </c>
      <c r="E16" s="20" t="s">
        <v>2919</v>
      </c>
      <c r="F16" s="21" t="s">
        <v>2113</v>
      </c>
      <c r="G16" s="21" t="s">
        <v>209</v>
      </c>
      <c r="H16" s="21"/>
    </row>
    <row r="17" spans="1:8" ht="17.100000000000001" customHeight="1" x14ac:dyDescent="0.25">
      <c r="A17" s="20" t="s">
        <v>2100</v>
      </c>
      <c r="B17" s="20" t="s">
        <v>2101</v>
      </c>
      <c r="C17" s="20" t="s">
        <v>662</v>
      </c>
      <c r="D17" s="20" t="s">
        <v>663</v>
      </c>
      <c r="E17" s="20" t="s">
        <v>2919</v>
      </c>
      <c r="F17" s="21" t="s">
        <v>2102</v>
      </c>
      <c r="G17" s="21" t="s">
        <v>209</v>
      </c>
      <c r="H17" s="21"/>
    </row>
    <row r="18" spans="1:8" ht="17.100000000000001" customHeight="1" x14ac:dyDescent="0.25">
      <c r="A18" s="20" t="s">
        <v>2114</v>
      </c>
      <c r="B18" s="20" t="s">
        <v>2115</v>
      </c>
      <c r="C18" s="20" t="s">
        <v>662</v>
      </c>
      <c r="D18" s="20" t="s">
        <v>663</v>
      </c>
      <c r="E18" s="20" t="s">
        <v>2919</v>
      </c>
      <c r="F18" s="21" t="s">
        <v>2116</v>
      </c>
      <c r="G18" s="21" t="s">
        <v>209</v>
      </c>
      <c r="H18" s="21"/>
    </row>
    <row r="19" spans="1:8" ht="17.100000000000001" customHeight="1" x14ac:dyDescent="0.25">
      <c r="A19" s="20" t="s">
        <v>2094</v>
      </c>
      <c r="B19" s="20" t="s">
        <v>240</v>
      </c>
      <c r="C19" s="20" t="s">
        <v>662</v>
      </c>
      <c r="D19" s="20" t="s">
        <v>663</v>
      </c>
      <c r="E19" s="20" t="s">
        <v>2919</v>
      </c>
      <c r="F19" s="21" t="s">
        <v>2096</v>
      </c>
      <c r="G19" s="21" t="s">
        <v>209</v>
      </c>
      <c r="H19" s="21"/>
    </row>
    <row r="20" spans="1:8" ht="17.100000000000001" customHeight="1" x14ac:dyDescent="0.25">
      <c r="A20" s="20" t="s">
        <v>2109</v>
      </c>
      <c r="B20" s="20" t="s">
        <v>243</v>
      </c>
      <c r="C20" s="20" t="s">
        <v>662</v>
      </c>
      <c r="D20" s="20" t="s">
        <v>663</v>
      </c>
      <c r="E20" s="20" t="s">
        <v>2919</v>
      </c>
      <c r="F20" s="21" t="s">
        <v>2110</v>
      </c>
      <c r="G20" s="21" t="s">
        <v>209</v>
      </c>
      <c r="H20" s="21"/>
    </row>
    <row r="21" spans="1:8" ht="17.100000000000001" customHeight="1" x14ac:dyDescent="0.25">
      <c r="A21" s="20" t="s">
        <v>2103</v>
      </c>
      <c r="B21" s="20" t="s">
        <v>244</v>
      </c>
      <c r="C21" s="20" t="s">
        <v>662</v>
      </c>
      <c r="D21" s="20" t="s">
        <v>663</v>
      </c>
      <c r="E21" s="20" t="s">
        <v>2919</v>
      </c>
      <c r="F21" s="21" t="s">
        <v>2105</v>
      </c>
      <c r="G21" s="21" t="s">
        <v>209</v>
      </c>
      <c r="H21" s="21"/>
    </row>
    <row r="22" spans="1:8" ht="17.100000000000001" customHeight="1" x14ac:dyDescent="0.25">
      <c r="A22" s="28"/>
      <c r="B22" s="28"/>
      <c r="C22" s="28"/>
      <c r="D22" s="28"/>
      <c r="E22" s="28"/>
      <c r="F22" s="29"/>
      <c r="G22" s="29"/>
      <c r="H22" s="29"/>
    </row>
    <row r="23" spans="1:8" ht="17.100000000000001" customHeight="1" x14ac:dyDescent="0.25">
      <c r="A23" s="20" t="s">
        <v>2146</v>
      </c>
      <c r="B23" s="20" t="s">
        <v>2147</v>
      </c>
      <c r="C23" s="20" t="s">
        <v>662</v>
      </c>
      <c r="D23" s="20" t="s">
        <v>673</v>
      </c>
      <c r="E23" s="20" t="s">
        <v>2918</v>
      </c>
      <c r="F23" s="21" t="s">
        <v>2149</v>
      </c>
      <c r="G23" s="21" t="s">
        <v>209</v>
      </c>
      <c r="H23" s="21" t="s">
        <v>210</v>
      </c>
    </row>
    <row r="24" spans="1:8" ht="17.100000000000001" customHeight="1" x14ac:dyDescent="0.25">
      <c r="A24" s="20" t="s">
        <v>2151</v>
      </c>
      <c r="B24" s="20" t="s">
        <v>2152</v>
      </c>
      <c r="C24" s="20" t="s">
        <v>662</v>
      </c>
      <c r="D24" s="20" t="s">
        <v>673</v>
      </c>
      <c r="E24" s="20" t="s">
        <v>2918</v>
      </c>
      <c r="F24" s="21" t="s">
        <v>2153</v>
      </c>
      <c r="G24" s="21" t="s">
        <v>209</v>
      </c>
      <c r="H24" s="21"/>
    </row>
    <row r="25" spans="1:8" ht="17.100000000000001" customHeight="1" x14ac:dyDescent="0.25">
      <c r="A25" s="28"/>
      <c r="B25" s="28"/>
      <c r="C25" s="28"/>
      <c r="D25" s="28"/>
      <c r="E25" s="28"/>
      <c r="F25" s="29"/>
      <c r="G25" s="29"/>
      <c r="H25" s="29"/>
    </row>
    <row r="26" spans="1:8" ht="17.100000000000001" customHeight="1" x14ac:dyDescent="0.25">
      <c r="A26" s="20" t="s">
        <v>2165</v>
      </c>
      <c r="B26" s="20" t="s">
        <v>2166</v>
      </c>
      <c r="C26" s="20" t="s">
        <v>662</v>
      </c>
      <c r="D26" s="20" t="s">
        <v>663</v>
      </c>
      <c r="E26" s="20" t="s">
        <v>2919</v>
      </c>
      <c r="F26" s="21" t="s">
        <v>2167</v>
      </c>
      <c r="G26" s="21" t="s">
        <v>209</v>
      </c>
      <c r="H26" s="21" t="s">
        <v>211</v>
      </c>
    </row>
    <row r="27" spans="1:8" ht="17.100000000000001" customHeight="1" x14ac:dyDescent="0.25">
      <c r="A27" s="20" t="s">
        <v>2163</v>
      </c>
      <c r="B27" s="20" t="s">
        <v>245</v>
      </c>
      <c r="C27" s="20" t="s">
        <v>662</v>
      </c>
      <c r="D27" s="20" t="s">
        <v>663</v>
      </c>
      <c r="E27" s="20" t="s">
        <v>2919</v>
      </c>
      <c r="F27" s="21" t="s">
        <v>2164</v>
      </c>
      <c r="G27" s="21" t="s">
        <v>209</v>
      </c>
      <c r="H27" s="21"/>
    </row>
    <row r="28" spans="1:8" ht="17.100000000000001" customHeight="1" x14ac:dyDescent="0.25">
      <c r="A28" s="20" t="s">
        <v>2156</v>
      </c>
      <c r="B28" s="20" t="s">
        <v>2157</v>
      </c>
      <c r="C28" s="20" t="s">
        <v>662</v>
      </c>
      <c r="D28" s="20" t="s">
        <v>663</v>
      </c>
      <c r="E28" s="20" t="s">
        <v>2919</v>
      </c>
      <c r="F28" s="21" t="s">
        <v>2159</v>
      </c>
      <c r="G28" s="21" t="s">
        <v>209</v>
      </c>
      <c r="H28" s="21"/>
    </row>
    <row r="29" spans="1:8" ht="17.100000000000001" customHeight="1" x14ac:dyDescent="0.25">
      <c r="A29" s="20" t="s">
        <v>2160</v>
      </c>
      <c r="B29" s="20" t="s">
        <v>2161</v>
      </c>
      <c r="C29" s="20" t="s">
        <v>662</v>
      </c>
      <c r="D29" s="20" t="s">
        <v>663</v>
      </c>
      <c r="E29" s="20" t="s">
        <v>2919</v>
      </c>
      <c r="F29" s="21" t="s">
        <v>2162</v>
      </c>
      <c r="G29" s="21" t="s">
        <v>209</v>
      </c>
      <c r="H29" s="21"/>
    </row>
    <row r="30" spans="1:8" ht="17.100000000000001" customHeight="1" x14ac:dyDescent="0.25">
      <c r="A30" s="28"/>
      <c r="B30" s="28"/>
      <c r="C30" s="28"/>
      <c r="D30" s="28"/>
      <c r="E30" s="28"/>
      <c r="F30" s="29"/>
      <c r="G30" s="29"/>
      <c r="H30" s="29"/>
    </row>
    <row r="31" spans="1:8" ht="17.100000000000001" customHeight="1" x14ac:dyDescent="0.25">
      <c r="A31" s="20" t="s">
        <v>2195</v>
      </c>
      <c r="B31" s="20" t="s">
        <v>2196</v>
      </c>
      <c r="C31" s="20" t="s">
        <v>662</v>
      </c>
      <c r="D31" s="20" t="s">
        <v>663</v>
      </c>
      <c r="E31" s="20" t="s">
        <v>2939</v>
      </c>
      <c r="F31" s="21" t="s">
        <v>2197</v>
      </c>
      <c r="G31" s="21" t="s">
        <v>209</v>
      </c>
      <c r="H31" s="21" t="s">
        <v>2904</v>
      </c>
    </row>
    <row r="32" spans="1:8" ht="17.100000000000001" customHeight="1" x14ac:dyDescent="0.25">
      <c r="A32" s="20"/>
      <c r="B32" s="20"/>
      <c r="C32" s="20"/>
      <c r="D32" s="20"/>
      <c r="E32" s="20"/>
      <c r="F32" s="21"/>
      <c r="G32" s="21"/>
      <c r="H32" s="21"/>
    </row>
    <row r="33" spans="1:8" ht="17.100000000000001" customHeight="1" x14ac:dyDescent="0.25">
      <c r="A33" s="20" t="s">
        <v>2182</v>
      </c>
      <c r="B33" s="20" t="s">
        <v>2831</v>
      </c>
      <c r="C33" s="20" t="s">
        <v>662</v>
      </c>
      <c r="D33" s="20" t="s">
        <v>663</v>
      </c>
      <c r="E33" s="20" t="s">
        <v>2939</v>
      </c>
      <c r="F33" s="21" t="s">
        <v>2084</v>
      </c>
      <c r="G33" s="21" t="s">
        <v>209</v>
      </c>
      <c r="H33" s="21"/>
    </row>
    <row r="34" spans="1:8" ht="17.100000000000001" customHeight="1" x14ac:dyDescent="0.25">
      <c r="A34" s="20" t="s">
        <v>2194</v>
      </c>
      <c r="B34" s="20" t="s">
        <v>2831</v>
      </c>
      <c r="C34" s="20" t="s">
        <v>662</v>
      </c>
      <c r="D34" s="20" t="s">
        <v>663</v>
      </c>
      <c r="E34" s="20" t="s">
        <v>2939</v>
      </c>
      <c r="F34" s="21" t="s">
        <v>1802</v>
      </c>
      <c r="G34" s="21" t="s">
        <v>209</v>
      </c>
      <c r="H34" s="21"/>
    </row>
    <row r="35" spans="1:8" ht="17.100000000000001" customHeight="1" x14ac:dyDescent="0.25">
      <c r="A35" s="20" t="s">
        <v>2198</v>
      </c>
      <c r="B35" s="20" t="s">
        <v>2166</v>
      </c>
      <c r="C35" s="20" t="s">
        <v>662</v>
      </c>
      <c r="D35" s="20" t="s">
        <v>663</v>
      </c>
      <c r="E35" s="20" t="s">
        <v>2939</v>
      </c>
      <c r="F35" s="21" t="s">
        <v>2167</v>
      </c>
      <c r="G35" s="21" t="s">
        <v>209</v>
      </c>
      <c r="H35" s="21"/>
    </row>
    <row r="36" spans="1:8" ht="17.100000000000001" customHeight="1" x14ac:dyDescent="0.25">
      <c r="A36" s="20" t="s">
        <v>2120</v>
      </c>
      <c r="B36" s="20" t="s">
        <v>2118</v>
      </c>
      <c r="C36" s="20" t="s">
        <v>662</v>
      </c>
      <c r="D36" s="20" t="s">
        <v>663</v>
      </c>
      <c r="E36" s="20" t="s">
        <v>2940</v>
      </c>
      <c r="F36" s="21" t="s">
        <v>2117</v>
      </c>
      <c r="G36" s="21" t="s">
        <v>209</v>
      </c>
      <c r="H36" s="21"/>
    </row>
    <row r="37" spans="1:8" ht="17.100000000000001" customHeight="1" x14ac:dyDescent="0.25">
      <c r="A37" s="28"/>
      <c r="B37" s="28"/>
      <c r="C37" s="28"/>
      <c r="D37" s="28"/>
      <c r="E37" s="28"/>
      <c r="F37" s="29"/>
      <c r="G37" s="29"/>
      <c r="H37" s="29"/>
    </row>
    <row r="38" spans="1:8" ht="17.100000000000001" customHeight="1" x14ac:dyDescent="0.25">
      <c r="A38" s="20" t="s">
        <v>1134</v>
      </c>
      <c r="B38" s="20" t="s">
        <v>212</v>
      </c>
      <c r="C38" s="20" t="s">
        <v>662</v>
      </c>
      <c r="D38" s="20" t="s">
        <v>663</v>
      </c>
      <c r="E38" s="20" t="s">
        <v>2918</v>
      </c>
      <c r="F38" s="21" t="s">
        <v>2083</v>
      </c>
      <c r="G38" s="21" t="s">
        <v>209</v>
      </c>
      <c r="H38" s="21" t="s">
        <v>2903</v>
      </c>
    </row>
    <row r="39" spans="1:8" ht="17.100000000000001" customHeight="1" x14ac:dyDescent="0.25">
      <c r="A39" s="20" t="s">
        <v>2199</v>
      </c>
      <c r="B39" s="20" t="s">
        <v>2200</v>
      </c>
      <c r="C39" s="20" t="s">
        <v>662</v>
      </c>
      <c r="D39" s="20" t="s">
        <v>663</v>
      </c>
      <c r="E39" s="20" t="s">
        <v>2918</v>
      </c>
      <c r="F39" s="21" t="s">
        <v>2201</v>
      </c>
      <c r="G39" s="21" t="s">
        <v>209</v>
      </c>
      <c r="H39" s="21"/>
    </row>
    <row r="40" spans="1:8" ht="17.100000000000001" customHeight="1" x14ac:dyDescent="0.25">
      <c r="A40" s="20" t="s">
        <v>2199</v>
      </c>
      <c r="B40" s="20" t="s">
        <v>2200</v>
      </c>
      <c r="C40" s="20" t="s">
        <v>662</v>
      </c>
      <c r="D40" s="20" t="s">
        <v>663</v>
      </c>
      <c r="E40" s="20" t="s">
        <v>2918</v>
      </c>
      <c r="F40" s="21" t="s">
        <v>2202</v>
      </c>
      <c r="G40" s="21" t="s">
        <v>209</v>
      </c>
      <c r="H40" s="21"/>
    </row>
    <row r="41" spans="1:8" ht="17.100000000000001" customHeight="1" x14ac:dyDescent="0.25">
      <c r="A41" s="20" t="s">
        <v>2174</v>
      </c>
      <c r="B41" s="20" t="s">
        <v>2175</v>
      </c>
      <c r="C41" s="20" t="s">
        <v>662</v>
      </c>
      <c r="D41" s="20" t="s">
        <v>663</v>
      </c>
      <c r="E41" s="20" t="s">
        <v>2918</v>
      </c>
      <c r="F41" s="21" t="s">
        <v>2177</v>
      </c>
      <c r="G41" s="21" t="s">
        <v>209</v>
      </c>
      <c r="H41" s="21"/>
    </row>
    <row r="42" spans="1:8" ht="17.100000000000001" customHeight="1" x14ac:dyDescent="0.25">
      <c r="A42" s="20" t="s">
        <v>2179</v>
      </c>
      <c r="B42" s="20" t="s">
        <v>2180</v>
      </c>
      <c r="C42" s="20" t="s">
        <v>662</v>
      </c>
      <c r="D42" s="20" t="s">
        <v>663</v>
      </c>
      <c r="E42" s="20" t="s">
        <v>2918</v>
      </c>
      <c r="F42" s="21" t="s">
        <v>2181</v>
      </c>
      <c r="G42" s="21" t="s">
        <v>209</v>
      </c>
      <c r="H42" s="21"/>
    </row>
    <row r="43" spans="1:8" ht="17.100000000000001" customHeight="1" x14ac:dyDescent="0.25">
      <c r="A43" s="20" t="s">
        <v>2186</v>
      </c>
      <c r="B43" s="20" t="s">
        <v>2187</v>
      </c>
      <c r="C43" s="20" t="s">
        <v>662</v>
      </c>
      <c r="D43" s="20" t="s">
        <v>663</v>
      </c>
      <c r="E43" s="20" t="s">
        <v>2918</v>
      </c>
      <c r="F43" s="21" t="s">
        <v>2188</v>
      </c>
      <c r="G43" s="21" t="s">
        <v>209</v>
      </c>
      <c r="H43" s="21"/>
    </row>
    <row r="44" spans="1:8" ht="17.100000000000001" customHeight="1" x14ac:dyDescent="0.25">
      <c r="A44" s="20" t="s">
        <v>2189</v>
      </c>
      <c r="B44" s="20" t="s">
        <v>2190</v>
      </c>
      <c r="C44" s="20" t="s">
        <v>662</v>
      </c>
      <c r="D44" s="20" t="s">
        <v>663</v>
      </c>
      <c r="E44" s="20" t="s">
        <v>2918</v>
      </c>
      <c r="F44" s="21" t="s">
        <v>2191</v>
      </c>
      <c r="G44" s="21" t="s">
        <v>209</v>
      </c>
      <c r="H44" s="21"/>
    </row>
    <row r="45" spans="1:8" ht="17.100000000000001" customHeight="1" x14ac:dyDescent="0.25">
      <c r="A45" s="20" t="s">
        <v>2192</v>
      </c>
      <c r="B45" s="20" t="s">
        <v>1143</v>
      </c>
      <c r="C45" s="20" t="s">
        <v>662</v>
      </c>
      <c r="D45" s="20" t="s">
        <v>663</v>
      </c>
      <c r="E45" s="20" t="s">
        <v>2918</v>
      </c>
      <c r="F45" s="21" t="s">
        <v>1145</v>
      </c>
      <c r="G45" s="21" t="s">
        <v>209</v>
      </c>
      <c r="H45" s="21"/>
    </row>
    <row r="46" spans="1:8" ht="17.100000000000001" customHeight="1" x14ac:dyDescent="0.25">
      <c r="A46" s="20" t="s">
        <v>2193</v>
      </c>
      <c r="B46" s="20" t="s">
        <v>1139</v>
      </c>
      <c r="C46" s="20" t="s">
        <v>662</v>
      </c>
      <c r="D46" s="20" t="s">
        <v>663</v>
      </c>
      <c r="E46" s="20" t="s">
        <v>2918</v>
      </c>
      <c r="F46" s="21" t="s">
        <v>1141</v>
      </c>
      <c r="G46" s="21" t="s">
        <v>209</v>
      </c>
      <c r="H46" s="21"/>
    </row>
    <row r="47" spans="1:8" ht="17.100000000000001" customHeight="1" x14ac:dyDescent="0.25">
      <c r="A47" s="20" t="s">
        <v>2088</v>
      </c>
      <c r="B47" s="20" t="s">
        <v>2086</v>
      </c>
      <c r="C47" s="20" t="s">
        <v>662</v>
      </c>
      <c r="D47" s="20" t="s">
        <v>663</v>
      </c>
      <c r="E47" s="20" t="s">
        <v>2940</v>
      </c>
      <c r="F47" s="21" t="s">
        <v>2085</v>
      </c>
      <c r="G47" s="21" t="s">
        <v>209</v>
      </c>
      <c r="H47" s="21"/>
    </row>
    <row r="48" spans="1:8" ht="17.100000000000001" customHeight="1" x14ac:dyDescent="0.25">
      <c r="A48" s="20" t="s">
        <v>2140</v>
      </c>
      <c r="B48" s="20" t="s">
        <v>2138</v>
      </c>
      <c r="C48" s="20" t="s">
        <v>662</v>
      </c>
      <c r="D48" s="20" t="s">
        <v>663</v>
      </c>
      <c r="E48" s="20" t="s">
        <v>2940</v>
      </c>
      <c r="F48" s="21" t="s">
        <v>2137</v>
      </c>
      <c r="G48" s="21" t="s">
        <v>209</v>
      </c>
      <c r="H48" s="21"/>
    </row>
    <row r="49" spans="1:8" ht="17.100000000000001" customHeight="1" x14ac:dyDescent="0.25">
      <c r="A49" s="28"/>
      <c r="B49" s="28"/>
      <c r="C49" s="28"/>
      <c r="D49" s="28"/>
      <c r="E49" s="28"/>
      <c r="F49" s="29"/>
      <c r="G49" s="29"/>
      <c r="H49" s="29"/>
    </row>
    <row r="50" spans="1:8" ht="17.100000000000001" customHeight="1" x14ac:dyDescent="0.25">
      <c r="A50" s="20" t="s">
        <v>2232</v>
      </c>
      <c r="B50" s="20" t="s">
        <v>2831</v>
      </c>
      <c r="C50" s="20" t="s">
        <v>662</v>
      </c>
      <c r="D50" s="20" t="s">
        <v>663</v>
      </c>
      <c r="E50" s="20" t="s">
        <v>2918</v>
      </c>
      <c r="F50" s="21" t="s">
        <v>2084</v>
      </c>
      <c r="G50" s="21" t="s">
        <v>209</v>
      </c>
      <c r="H50" s="21" t="s">
        <v>2905</v>
      </c>
    </row>
    <row r="51" spans="1:8" ht="17.100000000000001" customHeight="1" x14ac:dyDescent="0.25">
      <c r="A51" s="20" t="s">
        <v>2084</v>
      </c>
      <c r="B51" s="20" t="s">
        <v>2831</v>
      </c>
      <c r="C51" s="20" t="s">
        <v>662</v>
      </c>
      <c r="D51" s="20" t="s">
        <v>663</v>
      </c>
      <c r="E51" s="20" t="s">
        <v>2918</v>
      </c>
      <c r="F51" s="21" t="s">
        <v>2233</v>
      </c>
      <c r="G51" s="21" t="s">
        <v>209</v>
      </c>
      <c r="H51" s="21"/>
    </row>
    <row r="52" spans="1:8" ht="17.100000000000001" customHeight="1" x14ac:dyDescent="0.25">
      <c r="A52" s="20"/>
      <c r="B52" s="20"/>
      <c r="C52" s="20"/>
      <c r="D52" s="20"/>
      <c r="E52" s="20"/>
      <c r="F52" s="21"/>
      <c r="G52" s="21"/>
      <c r="H52" s="21"/>
    </row>
    <row r="53" spans="1:8" ht="17.100000000000001" customHeight="1" x14ac:dyDescent="0.25">
      <c r="A53" s="20" t="s">
        <v>2245</v>
      </c>
      <c r="B53" s="20" t="s">
        <v>2242</v>
      </c>
      <c r="C53" s="20" t="s">
        <v>662</v>
      </c>
      <c r="D53" s="20" t="s">
        <v>697</v>
      </c>
      <c r="E53" s="20" t="s">
        <v>2918</v>
      </c>
      <c r="F53" s="21" t="s">
        <v>2241</v>
      </c>
      <c r="G53" s="21" t="s">
        <v>209</v>
      </c>
      <c r="H53" s="21"/>
    </row>
    <row r="54" spans="1:8" ht="17.100000000000001" customHeight="1" x14ac:dyDescent="0.25">
      <c r="A54" s="20"/>
      <c r="B54" s="20"/>
      <c r="C54" s="20"/>
      <c r="D54" s="20"/>
      <c r="E54" s="20"/>
      <c r="F54" s="21"/>
      <c r="G54" s="21"/>
      <c r="H54" s="21"/>
    </row>
    <row r="55" spans="1:8" ht="17.100000000000001" customHeight="1" x14ac:dyDescent="0.25">
      <c r="A55" s="20" t="s">
        <v>2239</v>
      </c>
      <c r="B55" s="20" t="s">
        <v>2831</v>
      </c>
      <c r="C55" s="20" t="s">
        <v>662</v>
      </c>
      <c r="D55" s="20" t="s">
        <v>673</v>
      </c>
      <c r="E55" s="20" t="s">
        <v>2918</v>
      </c>
      <c r="F55" s="21" t="s">
        <v>2240</v>
      </c>
      <c r="G55" s="21" t="s">
        <v>209</v>
      </c>
      <c r="H55" s="21"/>
    </row>
    <row r="56" spans="1:8" ht="17.100000000000001" customHeight="1" x14ac:dyDescent="0.25">
      <c r="A56" s="20" t="s">
        <v>2233</v>
      </c>
      <c r="B56" s="20" t="s">
        <v>2831</v>
      </c>
      <c r="C56" s="20" t="s">
        <v>662</v>
      </c>
      <c r="D56" s="20" t="s">
        <v>673</v>
      </c>
      <c r="E56" s="20" t="s">
        <v>2918</v>
      </c>
      <c r="F56" s="21" t="s">
        <v>2239</v>
      </c>
      <c r="G56" s="21" t="s">
        <v>209</v>
      </c>
      <c r="H56" s="21"/>
    </row>
    <row r="57" spans="1:8" ht="17.100000000000001" customHeight="1" x14ac:dyDescent="0.25">
      <c r="A57" s="20" t="s">
        <v>2235</v>
      </c>
      <c r="B57" s="20" t="s">
        <v>212</v>
      </c>
      <c r="C57" s="20" t="s">
        <v>662</v>
      </c>
      <c r="D57" s="20" t="s">
        <v>673</v>
      </c>
      <c r="E57" s="20" t="s">
        <v>2918</v>
      </c>
      <c r="F57" s="21" t="s">
        <v>2237</v>
      </c>
      <c r="G57" s="21" t="s">
        <v>209</v>
      </c>
      <c r="H57" s="21"/>
    </row>
    <row r="58" spans="1:8" ht="17.100000000000001" customHeight="1" x14ac:dyDescent="0.25">
      <c r="A58" s="20" t="s">
        <v>2244</v>
      </c>
      <c r="B58" s="20" t="s">
        <v>212</v>
      </c>
      <c r="C58" s="20" t="s">
        <v>662</v>
      </c>
      <c r="D58" s="20" t="s">
        <v>673</v>
      </c>
      <c r="E58" s="20" t="s">
        <v>2918</v>
      </c>
      <c r="F58" s="21" t="s">
        <v>2083</v>
      </c>
      <c r="G58" s="21" t="s">
        <v>209</v>
      </c>
      <c r="H58" s="21"/>
    </row>
    <row r="59" spans="1:8" ht="17.100000000000001" customHeight="1" x14ac:dyDescent="0.25">
      <c r="A59" s="20" t="s">
        <v>2244</v>
      </c>
      <c r="B59" s="20" t="s">
        <v>212</v>
      </c>
      <c r="C59" s="20" t="s">
        <v>662</v>
      </c>
      <c r="D59" s="20" t="s">
        <v>673</v>
      </c>
      <c r="E59" s="20" t="s">
        <v>2918</v>
      </c>
      <c r="F59" s="21" t="s">
        <v>2235</v>
      </c>
      <c r="G59" s="21" t="s">
        <v>209</v>
      </c>
      <c r="H59" s="21"/>
    </row>
    <row r="60" spans="1:8" ht="17.100000000000001" customHeight="1" x14ac:dyDescent="0.25">
      <c r="A60" s="20" t="s">
        <v>2241</v>
      </c>
      <c r="B60" s="20" t="s">
        <v>2242</v>
      </c>
      <c r="C60" s="20" t="s">
        <v>662</v>
      </c>
      <c r="D60" s="20" t="s">
        <v>673</v>
      </c>
      <c r="E60" s="20" t="s">
        <v>2918</v>
      </c>
      <c r="F60" s="21" t="s">
        <v>2243</v>
      </c>
      <c r="G60" s="21" t="s">
        <v>209</v>
      </c>
      <c r="H60" s="21"/>
    </row>
    <row r="61" spans="1:8" ht="17.100000000000001" customHeight="1" x14ac:dyDescent="0.25">
      <c r="A61" s="20"/>
      <c r="B61" s="20"/>
      <c r="C61" s="20"/>
      <c r="D61" s="20"/>
      <c r="E61" s="20"/>
      <c r="F61" s="21"/>
      <c r="G61" s="21"/>
      <c r="H61" s="21"/>
    </row>
    <row r="62" spans="1:8" ht="17.100000000000001" customHeight="1" x14ac:dyDescent="0.25">
      <c r="A62" s="20" t="s">
        <v>2171</v>
      </c>
      <c r="B62" s="20" t="s">
        <v>212</v>
      </c>
      <c r="C62" s="20" t="s">
        <v>662</v>
      </c>
      <c r="D62" s="20" t="s">
        <v>673</v>
      </c>
      <c r="E62" s="20" t="s">
        <v>2918</v>
      </c>
      <c r="F62" s="21" t="s">
        <v>1136</v>
      </c>
      <c r="G62" s="21" t="s">
        <v>209</v>
      </c>
      <c r="H62" s="21"/>
    </row>
    <row r="63" spans="1:8" ht="17.100000000000001" customHeight="1" x14ac:dyDescent="0.25">
      <c r="A63" s="26"/>
      <c r="B63" s="26"/>
      <c r="C63" s="26"/>
      <c r="D63" s="26"/>
      <c r="E63" s="26"/>
      <c r="F63" s="27"/>
      <c r="G63" s="27"/>
      <c r="H63" s="27"/>
    </row>
    <row r="64" spans="1:8" ht="17.100000000000001" customHeight="1" x14ac:dyDescent="0.25">
      <c r="A64" s="20" t="s">
        <v>2282</v>
      </c>
      <c r="B64" s="20" t="s">
        <v>2283</v>
      </c>
      <c r="C64" s="20" t="s">
        <v>662</v>
      </c>
      <c r="D64" s="20" t="s">
        <v>663</v>
      </c>
      <c r="E64" s="20" t="s">
        <v>2938</v>
      </c>
      <c r="F64" s="21" t="s">
        <v>2284</v>
      </c>
      <c r="G64" s="21" t="s">
        <v>157</v>
      </c>
      <c r="H64" s="21" t="s">
        <v>2906</v>
      </c>
    </row>
    <row r="65" spans="1:8" ht="17.100000000000001" customHeight="1" x14ac:dyDescent="0.25">
      <c r="A65" s="20"/>
      <c r="B65" s="20"/>
      <c r="C65" s="20"/>
      <c r="D65" s="20"/>
      <c r="E65" s="20"/>
      <c r="F65" s="21"/>
      <c r="G65" s="21"/>
      <c r="H65" s="21"/>
    </row>
    <row r="66" spans="1:8" ht="17.100000000000001" customHeight="1" x14ac:dyDescent="0.25">
      <c r="A66" s="20" t="s">
        <v>2275</v>
      </c>
      <c r="B66" s="20" t="s">
        <v>2276</v>
      </c>
      <c r="C66" s="20" t="s">
        <v>662</v>
      </c>
      <c r="D66" s="20" t="s">
        <v>673</v>
      </c>
      <c r="E66" s="20" t="s">
        <v>2938</v>
      </c>
      <c r="F66" s="21" t="s">
        <v>2277</v>
      </c>
      <c r="G66" s="21" t="s">
        <v>157</v>
      </c>
      <c r="H66" s="21"/>
    </row>
    <row r="67" spans="1:8" ht="17.100000000000001" customHeight="1" x14ac:dyDescent="0.25">
      <c r="A67" s="20" t="s">
        <v>2279</v>
      </c>
      <c r="B67" s="20" t="s">
        <v>2280</v>
      </c>
      <c r="C67" s="20" t="s">
        <v>662</v>
      </c>
      <c r="D67" s="20" t="s">
        <v>673</v>
      </c>
      <c r="E67" s="20" t="s">
        <v>2938</v>
      </c>
      <c r="F67" s="21" t="s">
        <v>2281</v>
      </c>
      <c r="G67" s="21" t="s">
        <v>157</v>
      </c>
      <c r="H67" s="21"/>
    </row>
    <row r="68" spans="1:8" ht="17.100000000000001" customHeight="1" x14ac:dyDescent="0.25">
      <c r="A68" s="20"/>
      <c r="B68" s="20"/>
      <c r="C68" s="20"/>
      <c r="D68" s="20"/>
      <c r="E68" s="20"/>
      <c r="F68" s="21"/>
      <c r="G68" s="21"/>
      <c r="H68" s="21"/>
    </row>
    <row r="69" spans="1:8" ht="17.100000000000001" customHeight="1" x14ac:dyDescent="0.25">
      <c r="A69" s="20" t="s">
        <v>2286</v>
      </c>
      <c r="B69" s="20" t="s">
        <v>2287</v>
      </c>
      <c r="C69" s="20" t="s">
        <v>662</v>
      </c>
      <c r="D69" s="20" t="s">
        <v>673</v>
      </c>
      <c r="E69" s="20" t="s">
        <v>2938</v>
      </c>
      <c r="F69" s="21" t="s">
        <v>2288</v>
      </c>
      <c r="G69" s="21" t="s">
        <v>157</v>
      </c>
      <c r="H69" s="21"/>
    </row>
    <row r="70" spans="1:8" ht="17.100000000000001" customHeight="1" x14ac:dyDescent="0.25">
      <c r="A70" s="20" t="s">
        <v>2289</v>
      </c>
      <c r="B70" s="20" t="s">
        <v>2290</v>
      </c>
      <c r="C70" s="20" t="s">
        <v>662</v>
      </c>
      <c r="D70" s="20" t="s">
        <v>673</v>
      </c>
      <c r="E70" s="20" t="s">
        <v>2938</v>
      </c>
      <c r="F70" s="21" t="s">
        <v>2291</v>
      </c>
      <c r="G70" s="21" t="s">
        <v>157</v>
      </c>
      <c r="H70" s="21"/>
    </row>
    <row r="71" spans="1:8" ht="17.100000000000001" customHeight="1" x14ac:dyDescent="0.25">
      <c r="A71" s="28"/>
      <c r="B71" s="28"/>
      <c r="C71" s="28"/>
      <c r="D71" s="28"/>
      <c r="E71" s="28"/>
      <c r="F71" s="29"/>
      <c r="G71" s="29"/>
      <c r="H71" s="29"/>
    </row>
    <row r="72" spans="1:8" ht="17.100000000000001" customHeight="1" x14ac:dyDescent="0.25">
      <c r="A72" s="20" t="s">
        <v>2292</v>
      </c>
      <c r="B72" s="20" t="s">
        <v>2293</v>
      </c>
      <c r="C72" s="20" t="s">
        <v>662</v>
      </c>
      <c r="D72" s="20" t="s">
        <v>663</v>
      </c>
      <c r="E72" s="20" t="s">
        <v>2935</v>
      </c>
      <c r="F72" s="21" t="s">
        <v>2294</v>
      </c>
      <c r="G72" s="21" t="s">
        <v>157</v>
      </c>
      <c r="H72" s="21" t="s">
        <v>2907</v>
      </c>
    </row>
    <row r="73" spans="1:8" ht="17.100000000000001" customHeight="1" x14ac:dyDescent="0.25">
      <c r="A73" s="20" t="s">
        <v>2295</v>
      </c>
      <c r="B73" s="20" t="s">
        <v>2296</v>
      </c>
      <c r="C73" s="20" t="s">
        <v>662</v>
      </c>
      <c r="D73" s="20" t="s">
        <v>663</v>
      </c>
      <c r="E73" s="20" t="s">
        <v>2935</v>
      </c>
      <c r="F73" s="21" t="s">
        <v>2297</v>
      </c>
      <c r="G73" s="21" t="s">
        <v>157</v>
      </c>
      <c r="H73" s="21"/>
    </row>
    <row r="74" spans="1:8" ht="17.100000000000001" customHeight="1" x14ac:dyDescent="0.25">
      <c r="A74" s="20" t="s">
        <v>2203</v>
      </c>
      <c r="B74" s="20" t="s">
        <v>2204</v>
      </c>
      <c r="C74" s="20" t="s">
        <v>662</v>
      </c>
      <c r="D74" s="20" t="s">
        <v>663</v>
      </c>
      <c r="E74" s="20" t="s">
        <v>2935</v>
      </c>
      <c r="F74" s="21" t="s">
        <v>2298</v>
      </c>
      <c r="G74" s="21" t="s">
        <v>157</v>
      </c>
      <c r="H74" s="21"/>
    </row>
    <row r="75" spans="1:8" ht="17.100000000000001" customHeight="1" x14ac:dyDescent="0.25">
      <c r="A75" s="28"/>
      <c r="B75" s="28"/>
      <c r="C75" s="28"/>
      <c r="D75" s="28"/>
      <c r="E75" s="28"/>
      <c r="F75" s="29"/>
      <c r="G75" s="29"/>
      <c r="H75" s="29"/>
    </row>
    <row r="76" spans="1:8" ht="17.100000000000001" customHeight="1" x14ac:dyDescent="0.25">
      <c r="A76" s="20" t="s">
        <v>2327</v>
      </c>
      <c r="B76" s="20" t="s">
        <v>2328</v>
      </c>
      <c r="C76" s="20" t="s">
        <v>662</v>
      </c>
      <c r="D76" s="20" t="s">
        <v>663</v>
      </c>
      <c r="E76" s="20" t="s">
        <v>2937</v>
      </c>
      <c r="F76" s="21" t="s">
        <v>2329</v>
      </c>
      <c r="G76" s="21" t="s">
        <v>157</v>
      </c>
      <c r="H76" s="21" t="s">
        <v>2908</v>
      </c>
    </row>
    <row r="77" spans="1:8" ht="17.100000000000001" customHeight="1" x14ac:dyDescent="0.25">
      <c r="A77" s="20" t="s">
        <v>2330</v>
      </c>
      <c r="B77" s="20" t="s">
        <v>2331</v>
      </c>
      <c r="C77" s="20" t="s">
        <v>662</v>
      </c>
      <c r="D77" s="20" t="s">
        <v>663</v>
      </c>
      <c r="E77" s="20" t="s">
        <v>2937</v>
      </c>
      <c r="F77" s="21" t="s">
        <v>2332</v>
      </c>
      <c r="G77" s="21" t="s">
        <v>157</v>
      </c>
      <c r="H77" s="21"/>
    </row>
    <row r="78" spans="1:8" ht="17.100000000000001" customHeight="1" x14ac:dyDescent="0.25">
      <c r="A78" s="20" t="s">
        <v>2099</v>
      </c>
      <c r="B78" s="20" t="s">
        <v>2098</v>
      </c>
      <c r="C78" s="20" t="s">
        <v>662</v>
      </c>
      <c r="D78" s="20" t="s">
        <v>663</v>
      </c>
      <c r="E78" s="20" t="s">
        <v>2935</v>
      </c>
      <c r="F78" s="21" t="s">
        <v>2342</v>
      </c>
      <c r="G78" s="21" t="s">
        <v>157</v>
      </c>
      <c r="H78" s="21"/>
    </row>
    <row r="79" spans="1:8" ht="17.100000000000001" customHeight="1" x14ac:dyDescent="0.25">
      <c r="A79" s="20" t="s">
        <v>2215</v>
      </c>
      <c r="B79" s="20" t="s">
        <v>2213</v>
      </c>
      <c r="C79" s="20" t="s">
        <v>662</v>
      </c>
      <c r="D79" s="20" t="s">
        <v>663</v>
      </c>
      <c r="E79" s="20" t="s">
        <v>2935</v>
      </c>
      <c r="F79" s="21" t="s">
        <v>2341</v>
      </c>
      <c r="G79" s="21" t="s">
        <v>157</v>
      </c>
      <c r="H79" s="21"/>
    </row>
    <row r="80" spans="1:8" ht="17.100000000000001" customHeight="1" x14ac:dyDescent="0.25">
      <c r="A80" s="20" t="s">
        <v>2108</v>
      </c>
      <c r="B80" s="20" t="s">
        <v>2107</v>
      </c>
      <c r="C80" s="20" t="s">
        <v>662</v>
      </c>
      <c r="D80" s="20" t="s">
        <v>663</v>
      </c>
      <c r="E80" s="20" t="s">
        <v>2935</v>
      </c>
      <c r="F80" s="21" t="s">
        <v>2335</v>
      </c>
      <c r="G80" s="21" t="s">
        <v>157</v>
      </c>
      <c r="H80" s="21"/>
    </row>
    <row r="81" spans="1:8" ht="17.100000000000001" customHeight="1" x14ac:dyDescent="0.25">
      <c r="A81" s="20" t="s">
        <v>2224</v>
      </c>
      <c r="B81" s="20" t="s">
        <v>2223</v>
      </c>
      <c r="C81" s="20" t="s">
        <v>662</v>
      </c>
      <c r="D81" s="20" t="s">
        <v>663</v>
      </c>
      <c r="E81" s="20" t="s">
        <v>2935</v>
      </c>
      <c r="F81" s="21" t="s">
        <v>2333</v>
      </c>
      <c r="G81" s="21" t="s">
        <v>157</v>
      </c>
      <c r="H81" s="21"/>
    </row>
    <row r="82" spans="1:8" ht="17.100000000000001" customHeight="1" x14ac:dyDescent="0.25">
      <c r="A82" s="20" t="s">
        <v>2113</v>
      </c>
      <c r="B82" s="20" t="s">
        <v>2112</v>
      </c>
      <c r="C82" s="20" t="s">
        <v>662</v>
      </c>
      <c r="D82" s="20" t="s">
        <v>663</v>
      </c>
      <c r="E82" s="20" t="s">
        <v>2935</v>
      </c>
      <c r="F82" s="21" t="s">
        <v>2337</v>
      </c>
      <c r="G82" s="21" t="s">
        <v>157</v>
      </c>
      <c r="H82" s="21"/>
    </row>
    <row r="83" spans="1:8" ht="17.100000000000001" customHeight="1" x14ac:dyDescent="0.25">
      <c r="A83" s="20" t="s">
        <v>2220</v>
      </c>
      <c r="B83" s="20" t="s">
        <v>2218</v>
      </c>
      <c r="C83" s="20" t="s">
        <v>662</v>
      </c>
      <c r="D83" s="20" t="s">
        <v>663</v>
      </c>
      <c r="E83" s="20" t="s">
        <v>2935</v>
      </c>
      <c r="F83" s="21" t="s">
        <v>2336</v>
      </c>
      <c r="G83" s="21" t="s">
        <v>157</v>
      </c>
      <c r="H83" s="21"/>
    </row>
    <row r="84" spans="1:8" ht="17.100000000000001" customHeight="1" x14ac:dyDescent="0.25">
      <c r="A84" s="20" t="s">
        <v>2299</v>
      </c>
      <c r="B84" s="20" t="s">
        <v>2300</v>
      </c>
      <c r="C84" s="20" t="s">
        <v>662</v>
      </c>
      <c r="D84" s="20" t="s">
        <v>663</v>
      </c>
      <c r="E84" s="20" t="s">
        <v>2937</v>
      </c>
      <c r="F84" s="21" t="s">
        <v>2302</v>
      </c>
      <c r="G84" s="21" t="s">
        <v>157</v>
      </c>
      <c r="H84" s="21"/>
    </row>
    <row r="85" spans="1:8" ht="17.100000000000001" customHeight="1" x14ac:dyDescent="0.25">
      <c r="A85" s="20" t="s">
        <v>2299</v>
      </c>
      <c r="B85" s="20" t="s">
        <v>2300</v>
      </c>
      <c r="C85" s="20" t="s">
        <v>662</v>
      </c>
      <c r="D85" s="20" t="s">
        <v>663</v>
      </c>
      <c r="E85" s="20" t="s">
        <v>2935</v>
      </c>
      <c r="F85" s="21" t="s">
        <v>2303</v>
      </c>
      <c r="G85" s="21" t="s">
        <v>157</v>
      </c>
      <c r="H85" s="21"/>
    </row>
    <row r="86" spans="1:8" ht="17.100000000000001" customHeight="1" x14ac:dyDescent="0.25">
      <c r="A86" s="20" t="s">
        <v>2304</v>
      </c>
      <c r="B86" s="20" t="s">
        <v>2305</v>
      </c>
      <c r="C86" s="20" t="s">
        <v>662</v>
      </c>
      <c r="D86" s="20" t="s">
        <v>663</v>
      </c>
      <c r="E86" s="20" t="s">
        <v>2937</v>
      </c>
      <c r="F86" s="21" t="s">
        <v>2306</v>
      </c>
      <c r="G86" s="21" t="s">
        <v>157</v>
      </c>
      <c r="H86" s="21"/>
    </row>
    <row r="87" spans="1:8" ht="17.100000000000001" customHeight="1" x14ac:dyDescent="0.25">
      <c r="A87" s="20" t="s">
        <v>2304</v>
      </c>
      <c r="B87" s="20" t="s">
        <v>2305</v>
      </c>
      <c r="C87" s="20" t="s">
        <v>662</v>
      </c>
      <c r="D87" s="20" t="s">
        <v>663</v>
      </c>
      <c r="E87" s="20" t="s">
        <v>2935</v>
      </c>
      <c r="F87" s="21" t="s">
        <v>2307</v>
      </c>
      <c r="G87" s="21" t="s">
        <v>157</v>
      </c>
      <c r="H87" s="21"/>
    </row>
    <row r="88" spans="1:8" ht="17.100000000000001" customHeight="1" x14ac:dyDescent="0.25">
      <c r="A88" s="20" t="s">
        <v>2102</v>
      </c>
      <c r="B88" s="20" t="s">
        <v>2101</v>
      </c>
      <c r="C88" s="20" t="s">
        <v>662</v>
      </c>
      <c r="D88" s="20" t="s">
        <v>663</v>
      </c>
      <c r="E88" s="20" t="s">
        <v>2935</v>
      </c>
      <c r="F88" s="21" t="s">
        <v>2338</v>
      </c>
      <c r="G88" s="21" t="s">
        <v>157</v>
      </c>
      <c r="H88" s="21"/>
    </row>
    <row r="89" spans="1:8" ht="17.100000000000001" customHeight="1" x14ac:dyDescent="0.25">
      <c r="A89" s="20" t="s">
        <v>2116</v>
      </c>
      <c r="B89" s="20" t="s">
        <v>2115</v>
      </c>
      <c r="C89" s="20" t="s">
        <v>662</v>
      </c>
      <c r="D89" s="20" t="s">
        <v>663</v>
      </c>
      <c r="E89" s="20" t="s">
        <v>2935</v>
      </c>
      <c r="F89" s="21" t="s">
        <v>2340</v>
      </c>
      <c r="G89" s="21" t="s">
        <v>157</v>
      </c>
      <c r="H89" s="21"/>
    </row>
    <row r="90" spans="1:8" ht="17.100000000000001" customHeight="1" x14ac:dyDescent="0.25">
      <c r="A90" s="20"/>
      <c r="B90" s="20"/>
      <c r="C90" s="20"/>
      <c r="D90" s="20"/>
      <c r="E90" s="20"/>
      <c r="F90" s="21"/>
      <c r="G90" s="21"/>
      <c r="H90" s="21"/>
    </row>
    <row r="91" spans="1:8" ht="17.100000000000001" customHeight="1" x14ac:dyDescent="0.25">
      <c r="A91" s="20" t="s">
        <v>1802</v>
      </c>
      <c r="B91" s="20" t="s">
        <v>2831</v>
      </c>
      <c r="C91" s="20" t="s">
        <v>662</v>
      </c>
      <c r="D91" s="20" t="s">
        <v>673</v>
      </c>
      <c r="E91" s="20" t="s">
        <v>2937</v>
      </c>
      <c r="F91" s="21" t="s">
        <v>2325</v>
      </c>
      <c r="G91" s="21" t="s">
        <v>157</v>
      </c>
      <c r="H91" s="21"/>
    </row>
    <row r="92" spans="1:8" ht="17.100000000000001" customHeight="1" x14ac:dyDescent="0.25">
      <c r="A92" s="20" t="s">
        <v>1802</v>
      </c>
      <c r="B92" s="20" t="s">
        <v>2831</v>
      </c>
      <c r="C92" s="20" t="s">
        <v>662</v>
      </c>
      <c r="D92" s="20" t="s">
        <v>673</v>
      </c>
      <c r="E92" s="20" t="s">
        <v>2937</v>
      </c>
      <c r="F92" s="21" t="s">
        <v>2326</v>
      </c>
      <c r="G92" s="21" t="s">
        <v>157</v>
      </c>
      <c r="H92" s="21"/>
    </row>
    <row r="93" spans="1:8" ht="17.100000000000001" customHeight="1" x14ac:dyDescent="0.25">
      <c r="A93" s="20" t="s">
        <v>1136</v>
      </c>
      <c r="B93" s="20" t="s">
        <v>212</v>
      </c>
      <c r="C93" s="20" t="s">
        <v>662</v>
      </c>
      <c r="D93" s="20" t="s">
        <v>673</v>
      </c>
      <c r="E93" s="20" t="s">
        <v>2937</v>
      </c>
      <c r="F93" s="21" t="s">
        <v>2316</v>
      </c>
      <c r="G93" s="21" t="s">
        <v>157</v>
      </c>
      <c r="H93" s="21"/>
    </row>
    <row r="94" spans="1:8" ht="17.100000000000001" customHeight="1" x14ac:dyDescent="0.25">
      <c r="A94" s="20" t="s">
        <v>1136</v>
      </c>
      <c r="B94" s="20" t="s">
        <v>212</v>
      </c>
      <c r="C94" s="20" t="s">
        <v>662</v>
      </c>
      <c r="D94" s="20" t="s">
        <v>673</v>
      </c>
      <c r="E94" s="20" t="s">
        <v>2937</v>
      </c>
      <c r="F94" s="21" t="s">
        <v>2317</v>
      </c>
      <c r="G94" s="21" t="s">
        <v>157</v>
      </c>
      <c r="H94" s="21"/>
    </row>
    <row r="95" spans="1:8" ht="17.100000000000001" customHeight="1" x14ac:dyDescent="0.25">
      <c r="A95" s="20" t="s">
        <v>2313</v>
      </c>
      <c r="B95" s="20" t="s">
        <v>2314</v>
      </c>
      <c r="C95" s="20" t="s">
        <v>662</v>
      </c>
      <c r="D95" s="20" t="s">
        <v>673</v>
      </c>
      <c r="E95" s="20" t="s">
        <v>2937</v>
      </c>
      <c r="F95" s="21" t="s">
        <v>2315</v>
      </c>
      <c r="G95" s="21" t="s">
        <v>157</v>
      </c>
      <c r="H95" s="21"/>
    </row>
    <row r="96" spans="1:8" ht="17.100000000000001" customHeight="1" x14ac:dyDescent="0.25">
      <c r="A96" s="20" t="s">
        <v>2308</v>
      </c>
      <c r="B96" s="20" t="s">
        <v>2309</v>
      </c>
      <c r="C96" s="20" t="s">
        <v>662</v>
      </c>
      <c r="D96" s="20" t="s">
        <v>673</v>
      </c>
      <c r="E96" s="20" t="s">
        <v>2937</v>
      </c>
      <c r="F96" s="21" t="s">
        <v>2311</v>
      </c>
      <c r="G96" s="21" t="s">
        <v>157</v>
      </c>
      <c r="H96" s="21"/>
    </row>
    <row r="97" spans="1:8" ht="17.100000000000001" customHeight="1" x14ac:dyDescent="0.25">
      <c r="A97" s="20" t="s">
        <v>2322</v>
      </c>
      <c r="B97" s="20" t="s">
        <v>2323</v>
      </c>
      <c r="C97" s="20" t="s">
        <v>662</v>
      </c>
      <c r="D97" s="20" t="s">
        <v>673</v>
      </c>
      <c r="E97" s="20" t="s">
        <v>2937</v>
      </c>
      <c r="F97" s="21" t="s">
        <v>2324</v>
      </c>
      <c r="G97" s="21" t="s">
        <v>157</v>
      </c>
      <c r="H97" s="21"/>
    </row>
    <row r="98" spans="1:8" ht="17.100000000000001" customHeight="1" x14ac:dyDescent="0.25">
      <c r="A98" s="20" t="s">
        <v>2318</v>
      </c>
      <c r="B98" s="20" t="s">
        <v>2319</v>
      </c>
      <c r="C98" s="20" t="s">
        <v>662</v>
      </c>
      <c r="D98" s="20" t="s">
        <v>673</v>
      </c>
      <c r="E98" s="20" t="s">
        <v>2937</v>
      </c>
      <c r="F98" s="21" t="s">
        <v>2321</v>
      </c>
      <c r="G98" s="21" t="s">
        <v>157</v>
      </c>
      <c r="H98" s="21"/>
    </row>
    <row r="99" spans="1:8" ht="17.100000000000001" customHeight="1" x14ac:dyDescent="0.25">
      <c r="A99" s="26"/>
      <c r="B99" s="26"/>
      <c r="C99" s="26"/>
      <c r="D99" s="26"/>
      <c r="E99" s="26"/>
      <c r="F99" s="27"/>
      <c r="G99" s="27"/>
      <c r="H99" s="27"/>
    </row>
    <row r="100" spans="1:8" ht="17.100000000000001" customHeight="1" x14ac:dyDescent="0.25">
      <c r="A100" s="20" t="s">
        <v>1783</v>
      </c>
      <c r="B100" s="20" t="s">
        <v>2864</v>
      </c>
      <c r="C100" s="20" t="s">
        <v>662</v>
      </c>
      <c r="D100" s="20" t="s">
        <v>663</v>
      </c>
      <c r="E100" s="20" t="s">
        <v>2938</v>
      </c>
      <c r="F100" s="21" t="s">
        <v>1780</v>
      </c>
      <c r="G100" s="21" t="s">
        <v>2901</v>
      </c>
      <c r="H100" s="21" t="s">
        <v>2909</v>
      </c>
    </row>
    <row r="101" spans="1:8" ht="17.100000000000001" customHeight="1" x14ac:dyDescent="0.25">
      <c r="A101" s="20" t="s">
        <v>1787</v>
      </c>
      <c r="B101" s="20" t="s">
        <v>2865</v>
      </c>
      <c r="C101" s="20" t="s">
        <v>662</v>
      </c>
      <c r="D101" s="20" t="s">
        <v>663</v>
      </c>
      <c r="E101" s="20" t="s">
        <v>2938</v>
      </c>
      <c r="F101" s="21" t="s">
        <v>1785</v>
      </c>
      <c r="G101" s="21" t="s">
        <v>2901</v>
      </c>
      <c r="H101" s="21"/>
    </row>
    <row r="102" spans="1:8" ht="17.100000000000001" customHeight="1" x14ac:dyDescent="0.25">
      <c r="A102" s="20" t="s">
        <v>1796</v>
      </c>
      <c r="B102" s="20" t="s">
        <v>2868</v>
      </c>
      <c r="C102" s="20" t="s">
        <v>662</v>
      </c>
      <c r="D102" s="20" t="s">
        <v>663</v>
      </c>
      <c r="E102" s="20" t="s">
        <v>2935</v>
      </c>
      <c r="F102" s="21" t="s">
        <v>1794</v>
      </c>
      <c r="G102" s="21" t="s">
        <v>2901</v>
      </c>
      <c r="H102" s="21"/>
    </row>
    <row r="103" spans="1:8" ht="17.100000000000001" customHeight="1" x14ac:dyDescent="0.25">
      <c r="A103" s="20" t="s">
        <v>1799</v>
      </c>
      <c r="B103" s="20" t="s">
        <v>2869</v>
      </c>
      <c r="C103" s="20" t="s">
        <v>662</v>
      </c>
      <c r="D103" s="20" t="s">
        <v>663</v>
      </c>
      <c r="E103" s="20" t="s">
        <v>2935</v>
      </c>
      <c r="F103" s="21" t="s">
        <v>1797</v>
      </c>
      <c r="G103" s="21" t="s">
        <v>2901</v>
      </c>
      <c r="H103" s="21"/>
    </row>
    <row r="104" spans="1:8" ht="17.100000000000001" customHeight="1" x14ac:dyDescent="0.25">
      <c r="A104" s="20" t="s">
        <v>1800</v>
      </c>
      <c r="B104" s="20" t="s">
        <v>1271</v>
      </c>
      <c r="C104" s="20" t="s">
        <v>662</v>
      </c>
      <c r="D104" s="20" t="s">
        <v>663</v>
      </c>
      <c r="E104" s="20" t="s">
        <v>2938</v>
      </c>
      <c r="F104" s="21" t="s">
        <v>1272</v>
      </c>
      <c r="G104" s="21" t="s">
        <v>2901</v>
      </c>
      <c r="H104" s="21"/>
    </row>
    <row r="105" spans="1:8" ht="17.100000000000001" customHeight="1" x14ac:dyDescent="0.25">
      <c r="A105" s="28"/>
      <c r="B105" s="28"/>
      <c r="C105" s="28"/>
      <c r="D105" s="28"/>
      <c r="E105" s="28"/>
      <c r="F105" s="29"/>
      <c r="G105" s="29"/>
      <c r="H105" s="29"/>
    </row>
    <row r="106" spans="1:8" ht="17.100000000000001" customHeight="1" x14ac:dyDescent="0.25">
      <c r="A106" s="20" t="s">
        <v>1790</v>
      </c>
      <c r="B106" s="20" t="s">
        <v>2866</v>
      </c>
      <c r="C106" s="20" t="s">
        <v>662</v>
      </c>
      <c r="D106" s="20" t="s">
        <v>663</v>
      </c>
      <c r="E106" s="20" t="s">
        <v>2935</v>
      </c>
      <c r="F106" s="21" t="s">
        <v>1788</v>
      </c>
      <c r="G106" s="21" t="s">
        <v>2901</v>
      </c>
      <c r="H106" s="21" t="s">
        <v>2910</v>
      </c>
    </row>
    <row r="107" spans="1:8" ht="17.100000000000001" customHeight="1" x14ac:dyDescent="0.25">
      <c r="A107" s="20" t="s">
        <v>1793</v>
      </c>
      <c r="B107" s="20" t="s">
        <v>2867</v>
      </c>
      <c r="C107" s="20" t="s">
        <v>662</v>
      </c>
      <c r="D107" s="20" t="s">
        <v>663</v>
      </c>
      <c r="E107" s="20" t="s">
        <v>2935</v>
      </c>
      <c r="F107" s="21" t="s">
        <v>1791</v>
      </c>
      <c r="G107" s="21" t="s">
        <v>2901</v>
      </c>
      <c r="H107" s="21"/>
    </row>
    <row r="108" spans="1:8" ht="17.100000000000001" customHeight="1" x14ac:dyDescent="0.25">
      <c r="A108" s="20"/>
      <c r="B108" s="20"/>
      <c r="C108" s="20"/>
      <c r="D108" s="20"/>
      <c r="E108" s="20"/>
      <c r="F108" s="21"/>
      <c r="G108" s="21"/>
      <c r="H108" s="21"/>
    </row>
    <row r="109" spans="1:8" ht="17.100000000000001" customHeight="1" x14ac:dyDescent="0.25">
      <c r="A109" s="20" t="s">
        <v>1802</v>
      </c>
      <c r="B109" s="20" t="s">
        <v>2831</v>
      </c>
      <c r="C109" s="20" t="s">
        <v>662</v>
      </c>
      <c r="D109" s="20" t="s">
        <v>898</v>
      </c>
      <c r="E109" s="20" t="s">
        <v>2935</v>
      </c>
      <c r="F109" s="21" t="s">
        <v>1286</v>
      </c>
      <c r="G109" s="21" t="s">
        <v>2901</v>
      </c>
      <c r="H109" s="21"/>
    </row>
    <row r="110" spans="1:8" ht="17.100000000000001" customHeight="1" x14ac:dyDescent="0.25">
      <c r="A110" s="20"/>
      <c r="B110" s="20"/>
      <c r="C110" s="20"/>
      <c r="D110" s="20"/>
      <c r="E110" s="20"/>
      <c r="F110" s="21"/>
      <c r="G110" s="21"/>
      <c r="H110" s="21"/>
    </row>
    <row r="111" spans="1:8" ht="17.100000000000001" customHeight="1" x14ac:dyDescent="0.25">
      <c r="A111" s="20" t="s">
        <v>1803</v>
      </c>
      <c r="B111" s="20" t="s">
        <v>388</v>
      </c>
      <c r="C111" s="20" t="s">
        <v>662</v>
      </c>
      <c r="D111" s="20" t="s">
        <v>898</v>
      </c>
      <c r="E111" s="20" t="s">
        <v>2938</v>
      </c>
      <c r="F111" s="21" t="s">
        <v>1284</v>
      </c>
      <c r="G111" s="21" t="s">
        <v>2901</v>
      </c>
      <c r="H111" s="21"/>
    </row>
    <row r="112" spans="1:8" ht="17.100000000000001" customHeight="1" x14ac:dyDescent="0.25">
      <c r="A112" s="26"/>
      <c r="B112" s="26"/>
      <c r="C112" s="26"/>
      <c r="D112" s="26"/>
      <c r="E112" s="26"/>
      <c r="F112" s="27"/>
      <c r="G112" s="27"/>
      <c r="H112" s="27"/>
    </row>
    <row r="113" spans="1:8" ht="17.100000000000001" customHeight="1" x14ac:dyDescent="0.25">
      <c r="A113" s="20" t="s">
        <v>1134</v>
      </c>
      <c r="B113" s="20" t="s">
        <v>212</v>
      </c>
      <c r="C113" s="20" t="s">
        <v>662</v>
      </c>
      <c r="D113" s="20" t="s">
        <v>663</v>
      </c>
      <c r="E113" s="20" t="s">
        <v>2934</v>
      </c>
      <c r="F113" s="21" t="s">
        <v>1133</v>
      </c>
      <c r="G113" s="21" t="s">
        <v>2902</v>
      </c>
      <c r="H113" s="21" t="s">
        <v>2911</v>
      </c>
    </row>
    <row r="114" spans="1:8" ht="17.100000000000001" customHeight="1" x14ac:dyDescent="0.25">
      <c r="A114" s="20" t="s">
        <v>1131</v>
      </c>
      <c r="B114" s="20" t="s">
        <v>1129</v>
      </c>
      <c r="C114" s="20" t="s">
        <v>662</v>
      </c>
      <c r="D114" s="20" t="s">
        <v>663</v>
      </c>
      <c r="E114" s="20" t="s">
        <v>2934</v>
      </c>
      <c r="F114" s="21" t="s">
        <v>1128</v>
      </c>
      <c r="G114" s="21" t="s">
        <v>2902</v>
      </c>
      <c r="H114" s="21"/>
    </row>
    <row r="115" spans="1:8" ht="17.100000000000001" customHeight="1" x14ac:dyDescent="0.25">
      <c r="A115" s="31"/>
      <c r="B115" s="31"/>
      <c r="C115" s="31"/>
      <c r="D115" s="31"/>
      <c r="E115" s="31"/>
      <c r="F115" s="32"/>
      <c r="G115" s="32"/>
      <c r="H115" s="32"/>
    </row>
    <row r="116" spans="1:8" ht="17.100000000000001" customHeight="1" x14ac:dyDescent="0.25">
      <c r="A116" s="20" t="s">
        <v>1136</v>
      </c>
      <c r="B116" s="20" t="s">
        <v>212</v>
      </c>
      <c r="C116" s="20" t="s">
        <v>662</v>
      </c>
      <c r="D116" s="20" t="s">
        <v>663</v>
      </c>
      <c r="E116" s="20" t="s">
        <v>2934</v>
      </c>
      <c r="F116" s="21" t="s">
        <v>1135</v>
      </c>
      <c r="G116" s="21" t="s">
        <v>2902</v>
      </c>
      <c r="H116" s="21"/>
    </row>
    <row r="117" spans="1:8" ht="17.100000000000001" customHeight="1" x14ac:dyDescent="0.25">
      <c r="A117" s="20" t="s">
        <v>1145</v>
      </c>
      <c r="B117" s="20" t="s">
        <v>1143</v>
      </c>
      <c r="C117" s="20" t="s">
        <v>662</v>
      </c>
      <c r="D117" s="20" t="s">
        <v>663</v>
      </c>
      <c r="E117" s="20" t="s">
        <v>2934</v>
      </c>
      <c r="F117" s="21" t="s">
        <v>1142</v>
      </c>
      <c r="G117" s="21" t="s">
        <v>2902</v>
      </c>
      <c r="H117" s="21"/>
    </row>
    <row r="118" spans="1:8" ht="17.100000000000001" customHeight="1" x14ac:dyDescent="0.25">
      <c r="A118" s="20" t="s">
        <v>1141</v>
      </c>
      <c r="B118" s="20" t="s">
        <v>1139</v>
      </c>
      <c r="C118" s="20" t="s">
        <v>662</v>
      </c>
      <c r="D118" s="20" t="s">
        <v>663</v>
      </c>
      <c r="E118" s="20" t="s">
        <v>2934</v>
      </c>
      <c r="F118" s="21" t="s">
        <v>1138</v>
      </c>
      <c r="G118" s="21" t="s">
        <v>2902</v>
      </c>
      <c r="H118" s="21"/>
    </row>
    <row r="119" spans="1:8" ht="17.100000000000001" customHeight="1" x14ac:dyDescent="0.25">
      <c r="A119" s="26"/>
      <c r="B119" s="26"/>
      <c r="C119" s="26"/>
      <c r="D119" s="26"/>
      <c r="E119" s="26"/>
      <c r="F119" s="27"/>
      <c r="G119" s="27"/>
      <c r="H119" s="27"/>
    </row>
    <row r="120" spans="1:8" ht="17.100000000000001" customHeight="1" x14ac:dyDescent="0.25">
      <c r="A120" s="20" t="s">
        <v>1116</v>
      </c>
      <c r="B120" s="20" t="s">
        <v>392</v>
      </c>
      <c r="C120" s="20" t="s">
        <v>662</v>
      </c>
      <c r="D120" s="20" t="s">
        <v>663</v>
      </c>
      <c r="E120" s="20" t="s">
        <v>2942</v>
      </c>
      <c r="F120" s="21" t="s">
        <v>655</v>
      </c>
      <c r="G120" s="21" t="s">
        <v>2897</v>
      </c>
      <c r="H120" s="30" t="s">
        <v>2896</v>
      </c>
    </row>
    <row r="121" spans="1:8" ht="17.100000000000001" customHeight="1" x14ac:dyDescent="0.25">
      <c r="A121" s="20" t="s">
        <v>1114</v>
      </c>
      <c r="B121" s="20" t="s">
        <v>392</v>
      </c>
      <c r="C121" s="20" t="s">
        <v>662</v>
      </c>
      <c r="D121" s="20" t="s">
        <v>663</v>
      </c>
      <c r="E121" s="20" t="s">
        <v>2942</v>
      </c>
      <c r="F121" s="21" t="s">
        <v>655</v>
      </c>
      <c r="G121" s="21" t="s">
        <v>2897</v>
      </c>
      <c r="H121" s="21"/>
    </row>
    <row r="122" spans="1:8" ht="17.100000000000001" customHeight="1" x14ac:dyDescent="0.25">
      <c r="A122" s="20" t="s">
        <v>1118</v>
      </c>
      <c r="B122" s="20" t="s">
        <v>1013</v>
      </c>
      <c r="C122" s="20" t="s">
        <v>662</v>
      </c>
      <c r="D122" s="20" t="s">
        <v>663</v>
      </c>
      <c r="E122" s="20" t="s">
        <v>2942</v>
      </c>
      <c r="F122" s="21" t="s">
        <v>1016</v>
      </c>
      <c r="G122" s="21" t="s">
        <v>2897</v>
      </c>
      <c r="H122" s="21"/>
    </row>
    <row r="123" spans="1:8" ht="17.100000000000001" customHeight="1" x14ac:dyDescent="0.25">
      <c r="A123" s="20" t="s">
        <v>1119</v>
      </c>
      <c r="B123" s="20" t="s">
        <v>1021</v>
      </c>
      <c r="C123" s="20" t="s">
        <v>662</v>
      </c>
      <c r="D123" s="20" t="s">
        <v>663</v>
      </c>
      <c r="E123" s="20" t="s">
        <v>2942</v>
      </c>
      <c r="F123" s="21" t="s">
        <v>1023</v>
      </c>
      <c r="G123" s="21" t="s">
        <v>2897</v>
      </c>
      <c r="H123" s="21"/>
    </row>
  </sheetData>
  <autoFilter ref="H1:H123" xr:uid="{8DF2CD02-C63B-4AF7-8B47-6F957F6DBAB6}"/>
  <sortState xmlns:xlrd2="http://schemas.microsoft.com/office/spreadsheetml/2017/richdata2" ref="A113:G114">
    <sortCondition ref="B113:B114"/>
  </sortState>
  <mergeCells count="11">
    <mergeCell ref="B8:D8"/>
    <mergeCell ref="B9:D9"/>
    <mergeCell ref="B10:D10"/>
    <mergeCell ref="A12:F12"/>
    <mergeCell ref="G12:H12"/>
    <mergeCell ref="B7:D7"/>
    <mergeCell ref="A1:D1"/>
    <mergeCell ref="A2:D2"/>
    <mergeCell ref="B3:D3"/>
    <mergeCell ref="B4:D4"/>
    <mergeCell ref="B5:D5"/>
  </mergeCells>
  <pageMargins left="0.7" right="0.7" top="0.75" bottom="0.75" header="0.3" footer="0.3"/>
  <pageSetup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6B7B31-B78C-42AE-A7C1-0B488133DC76}">
  <sheetPr>
    <tabColor rgb="FF00B0F0"/>
  </sheetPr>
  <dimension ref="A1:H40"/>
  <sheetViews>
    <sheetView showGridLines="0" workbookViewId="0">
      <selection activeCell="K29" sqref="K29"/>
    </sheetView>
  </sheetViews>
  <sheetFormatPr defaultRowHeight="17.100000000000001" customHeight="1" x14ac:dyDescent="0.25"/>
  <cols>
    <col min="1" max="1" width="12.7109375" style="16" bestFit="1" customWidth="1"/>
    <col min="2" max="2" width="10.85546875" style="16" bestFit="1" customWidth="1"/>
    <col min="3" max="3" width="6.85546875" style="16" bestFit="1" customWidth="1"/>
    <col min="4" max="4" width="10" style="16" bestFit="1" customWidth="1"/>
    <col min="5" max="5" width="6.5703125" style="16" bestFit="1" customWidth="1"/>
    <col min="6" max="6" width="10" style="16" bestFit="1" customWidth="1"/>
    <col min="7" max="7" width="14.85546875" customWidth="1"/>
    <col min="8" max="8" width="9.5703125" bestFit="1" customWidth="1"/>
  </cols>
  <sheetData>
    <row r="1" spans="1:8" ht="18" customHeight="1" x14ac:dyDescent="0.25">
      <c r="A1" s="49" t="s">
        <v>309</v>
      </c>
      <c r="B1" s="49"/>
      <c r="C1" s="49"/>
      <c r="D1" s="49"/>
    </row>
    <row r="2" spans="1:8" ht="12" customHeight="1" x14ac:dyDescent="0.25">
      <c r="A2" s="50"/>
      <c r="B2" s="50"/>
      <c r="C2" s="50"/>
      <c r="D2" s="50"/>
    </row>
    <row r="3" spans="1:8" ht="12.75" customHeight="1" x14ac:dyDescent="0.25">
      <c r="A3" s="3" t="s">
        <v>2</v>
      </c>
      <c r="B3" s="39" t="s">
        <v>3</v>
      </c>
      <c r="C3" s="39"/>
      <c r="D3" s="39"/>
    </row>
    <row r="4" spans="1:8" ht="12" customHeight="1" x14ac:dyDescent="0.25">
      <c r="A4" s="3" t="s">
        <v>5</v>
      </c>
      <c r="B4" s="39" t="s">
        <v>6</v>
      </c>
      <c r="C4" s="39"/>
      <c r="D4" s="39"/>
    </row>
    <row r="5" spans="1:8" ht="12.75" customHeight="1" x14ac:dyDescent="0.25">
      <c r="A5" s="3" t="s">
        <v>7</v>
      </c>
      <c r="B5" s="39" t="s">
        <v>8</v>
      </c>
      <c r="C5" s="39"/>
      <c r="D5" s="39"/>
    </row>
    <row r="6" spans="1:8" ht="5.25" customHeight="1" x14ac:dyDescent="0.25"/>
    <row r="7" spans="1:8" ht="12" customHeight="1" x14ac:dyDescent="0.25">
      <c r="A7" s="3" t="s">
        <v>9</v>
      </c>
      <c r="B7" s="39" t="s">
        <v>10</v>
      </c>
      <c r="C7" s="39"/>
      <c r="D7" s="39"/>
    </row>
    <row r="8" spans="1:8" ht="12.75" customHeight="1" x14ac:dyDescent="0.25">
      <c r="A8" s="3" t="s">
        <v>11</v>
      </c>
      <c r="B8" s="39" t="s">
        <v>12</v>
      </c>
      <c r="C8" s="39"/>
      <c r="D8" s="39"/>
    </row>
    <row r="9" spans="1:8" ht="12" customHeight="1" x14ac:dyDescent="0.25">
      <c r="A9" s="3" t="s">
        <v>13</v>
      </c>
      <c r="B9" s="39"/>
      <c r="C9" s="39"/>
      <c r="D9" s="39"/>
    </row>
    <row r="10" spans="1:8" ht="12.75" customHeight="1" x14ac:dyDescent="0.25">
      <c r="A10" s="3" t="s">
        <v>11</v>
      </c>
      <c r="B10" s="39"/>
      <c r="C10" s="39"/>
      <c r="D10" s="39"/>
    </row>
    <row r="11" spans="1:8" ht="10.5" customHeight="1" x14ac:dyDescent="0.25"/>
    <row r="12" spans="1:8" ht="16.5" customHeight="1" x14ac:dyDescent="0.25">
      <c r="A12" s="44" t="s">
        <v>630</v>
      </c>
      <c r="B12" s="44"/>
      <c r="C12" s="44"/>
      <c r="D12" s="44"/>
      <c r="E12" s="44"/>
      <c r="F12" s="44"/>
      <c r="G12" s="51" t="s">
        <v>631</v>
      </c>
      <c r="H12" s="52"/>
    </row>
    <row r="13" spans="1:8" ht="43.5" customHeight="1" x14ac:dyDescent="0.25">
      <c r="A13" s="17" t="s">
        <v>14</v>
      </c>
      <c r="B13" s="18" t="s">
        <v>634</v>
      </c>
      <c r="C13" s="18" t="s">
        <v>633</v>
      </c>
      <c r="D13" s="18" t="s">
        <v>635</v>
      </c>
      <c r="E13" s="18" t="s">
        <v>2828</v>
      </c>
      <c r="F13" s="19" t="s">
        <v>14</v>
      </c>
      <c r="G13" s="19" t="s">
        <v>17</v>
      </c>
      <c r="H13" s="19" t="s">
        <v>2829</v>
      </c>
    </row>
    <row r="14" spans="1:8" ht="17.100000000000001" customHeight="1" x14ac:dyDescent="0.25">
      <c r="A14" s="20" t="s">
        <v>1910</v>
      </c>
      <c r="B14" s="20" t="s">
        <v>2831</v>
      </c>
      <c r="C14" s="20" t="s">
        <v>662</v>
      </c>
      <c r="D14" s="20" t="s">
        <v>697</v>
      </c>
      <c r="E14" s="20" t="s">
        <v>2918</v>
      </c>
      <c r="F14" s="21" t="s">
        <v>1163</v>
      </c>
      <c r="G14" s="21" t="s">
        <v>2913</v>
      </c>
      <c r="H14" s="21" t="s">
        <v>2914</v>
      </c>
    </row>
    <row r="15" spans="1:8" ht="17.100000000000001" customHeight="1" x14ac:dyDescent="0.25">
      <c r="A15" s="20" t="s">
        <v>1913</v>
      </c>
      <c r="B15" s="20" t="s">
        <v>2831</v>
      </c>
      <c r="C15" s="20" t="s">
        <v>662</v>
      </c>
      <c r="D15" s="20" t="s">
        <v>697</v>
      </c>
      <c r="E15" s="20" t="s">
        <v>2918</v>
      </c>
      <c r="F15" s="21" t="s">
        <v>1162</v>
      </c>
      <c r="G15" s="21" t="s">
        <v>2913</v>
      </c>
      <c r="H15" s="21"/>
    </row>
    <row r="16" spans="1:8" ht="17.100000000000001" customHeight="1" x14ac:dyDescent="0.25">
      <c r="A16" s="20" t="s">
        <v>1911</v>
      </c>
      <c r="B16" s="20" t="s">
        <v>334</v>
      </c>
      <c r="C16" s="20" t="s">
        <v>662</v>
      </c>
      <c r="D16" s="20" t="s">
        <v>697</v>
      </c>
      <c r="E16" s="20" t="s">
        <v>2918</v>
      </c>
      <c r="F16" s="21" t="s">
        <v>1912</v>
      </c>
      <c r="G16" s="21" t="s">
        <v>2913</v>
      </c>
      <c r="H16" s="21"/>
    </row>
    <row r="17" spans="1:8" ht="17.100000000000001" customHeight="1" x14ac:dyDescent="0.25">
      <c r="A17" s="20" t="s">
        <v>1914</v>
      </c>
      <c r="B17" s="20" t="s">
        <v>335</v>
      </c>
      <c r="C17" s="20" t="s">
        <v>662</v>
      </c>
      <c r="D17" s="20" t="s">
        <v>697</v>
      </c>
      <c r="E17" s="20" t="s">
        <v>2918</v>
      </c>
      <c r="F17" s="21" t="s">
        <v>1915</v>
      </c>
      <c r="G17" s="21" t="s">
        <v>2913</v>
      </c>
      <c r="H17" s="21"/>
    </row>
    <row r="18" spans="1:8" ht="17.100000000000001" customHeight="1" x14ac:dyDescent="0.25">
      <c r="A18" s="28"/>
      <c r="B18" s="28"/>
      <c r="C18" s="28"/>
      <c r="D18" s="28"/>
      <c r="E18" s="28"/>
      <c r="F18" s="29"/>
      <c r="G18" s="29"/>
      <c r="H18" s="29"/>
    </row>
    <row r="19" spans="1:8" ht="17.100000000000001" customHeight="1" x14ac:dyDescent="0.25">
      <c r="A19" s="20" t="s">
        <v>1906</v>
      </c>
      <c r="B19" s="20" t="s">
        <v>2831</v>
      </c>
      <c r="C19" s="20" t="s">
        <v>662</v>
      </c>
      <c r="D19" s="20" t="s">
        <v>673</v>
      </c>
      <c r="E19" s="20" t="s">
        <v>2918</v>
      </c>
      <c r="F19" s="21" t="s">
        <v>1164</v>
      </c>
      <c r="G19" s="21" t="s">
        <v>2913</v>
      </c>
      <c r="H19" s="21" t="s">
        <v>329</v>
      </c>
    </row>
    <row r="20" spans="1:8" ht="17.100000000000001" customHeight="1" x14ac:dyDescent="0.25">
      <c r="A20" s="20" t="s">
        <v>1907</v>
      </c>
      <c r="B20" s="20" t="s">
        <v>1908</v>
      </c>
      <c r="C20" s="20" t="s">
        <v>662</v>
      </c>
      <c r="D20" s="20" t="s">
        <v>673</v>
      </c>
      <c r="E20" s="20" t="s">
        <v>2918</v>
      </c>
      <c r="F20" s="21" t="s">
        <v>1909</v>
      </c>
      <c r="G20" s="21" t="s">
        <v>2913</v>
      </c>
      <c r="H20" s="21"/>
    </row>
    <row r="21" spans="1:8" ht="17.100000000000001" customHeight="1" x14ac:dyDescent="0.25">
      <c r="A21" s="28"/>
      <c r="B21" s="28"/>
      <c r="C21" s="28"/>
      <c r="D21" s="28"/>
      <c r="E21" s="28"/>
      <c r="F21" s="29"/>
      <c r="G21" s="29"/>
      <c r="H21" s="29"/>
    </row>
    <row r="22" spans="1:8" ht="17.100000000000001" customHeight="1" x14ac:dyDescent="0.25">
      <c r="A22" s="20" t="s">
        <v>1916</v>
      </c>
      <c r="B22" s="20" t="s">
        <v>508</v>
      </c>
      <c r="C22" s="20" t="s">
        <v>662</v>
      </c>
      <c r="D22" s="20" t="s">
        <v>697</v>
      </c>
      <c r="E22" s="20" t="s">
        <v>2918</v>
      </c>
      <c r="F22" s="21" t="s">
        <v>1158</v>
      </c>
      <c r="G22" s="21" t="s">
        <v>2913</v>
      </c>
      <c r="H22" s="21" t="s">
        <v>2915</v>
      </c>
    </row>
    <row r="23" spans="1:8" ht="17.100000000000001" customHeight="1" x14ac:dyDescent="0.25">
      <c r="A23" s="20" t="s">
        <v>1917</v>
      </c>
      <c r="B23" s="20" t="s">
        <v>508</v>
      </c>
      <c r="C23" s="20" t="s">
        <v>662</v>
      </c>
      <c r="D23" s="20" t="s">
        <v>697</v>
      </c>
      <c r="E23" s="20" t="s">
        <v>2918</v>
      </c>
      <c r="F23" s="21" t="s">
        <v>1157</v>
      </c>
      <c r="G23" s="21" t="s">
        <v>2913</v>
      </c>
      <c r="H23" s="21"/>
    </row>
    <row r="24" spans="1:8" ht="17.100000000000001" customHeight="1" x14ac:dyDescent="0.25">
      <c r="A24" s="20"/>
      <c r="B24" s="20"/>
      <c r="C24" s="20"/>
      <c r="D24" s="20"/>
      <c r="E24" s="20"/>
      <c r="F24" s="21"/>
      <c r="G24" s="21"/>
      <c r="H24" s="21"/>
    </row>
    <row r="25" spans="1:8" ht="17.100000000000001" customHeight="1" x14ac:dyDescent="0.25">
      <c r="A25" s="20" t="s">
        <v>1918</v>
      </c>
      <c r="B25" s="20" t="s">
        <v>1908</v>
      </c>
      <c r="C25" s="20" t="s">
        <v>662</v>
      </c>
      <c r="D25" s="20" t="s">
        <v>673</v>
      </c>
      <c r="E25" s="20" t="s">
        <v>2918</v>
      </c>
      <c r="F25" s="21" t="s">
        <v>1909</v>
      </c>
      <c r="G25" s="21" t="s">
        <v>2913</v>
      </c>
      <c r="H25" s="21"/>
    </row>
    <row r="26" spans="1:8" ht="17.100000000000001" customHeight="1" x14ac:dyDescent="0.25">
      <c r="A26" s="26"/>
      <c r="B26" s="26"/>
      <c r="C26" s="26"/>
      <c r="D26" s="26"/>
      <c r="E26" s="26"/>
      <c r="F26" s="27"/>
      <c r="G26" s="27"/>
      <c r="H26" s="27"/>
    </row>
    <row r="27" spans="1:8" ht="17.100000000000001" customHeight="1" x14ac:dyDescent="0.25">
      <c r="A27" s="20" t="s">
        <v>1815</v>
      </c>
      <c r="B27" s="20" t="s">
        <v>2831</v>
      </c>
      <c r="C27" s="20" t="s">
        <v>662</v>
      </c>
      <c r="D27" s="20" t="s">
        <v>673</v>
      </c>
      <c r="E27" s="20" t="s">
        <v>2919</v>
      </c>
      <c r="F27" s="21" t="s">
        <v>1274</v>
      </c>
      <c r="G27" s="21" t="s">
        <v>2912</v>
      </c>
      <c r="H27" s="21" t="s">
        <v>2916</v>
      </c>
    </row>
    <row r="28" spans="1:8" ht="17.100000000000001" customHeight="1" x14ac:dyDescent="0.25">
      <c r="A28" s="20" t="s">
        <v>1813</v>
      </c>
      <c r="B28" s="20" t="s">
        <v>374</v>
      </c>
      <c r="C28" s="20" t="s">
        <v>662</v>
      </c>
      <c r="D28" s="20" t="s">
        <v>673</v>
      </c>
      <c r="E28" s="20" t="s">
        <v>2919</v>
      </c>
      <c r="F28" s="21" t="s">
        <v>1812</v>
      </c>
      <c r="G28" s="21" t="s">
        <v>2912</v>
      </c>
      <c r="H28" s="21"/>
    </row>
    <row r="29" spans="1:8" ht="17.100000000000001" customHeight="1" x14ac:dyDescent="0.25">
      <c r="A29" s="26"/>
      <c r="B29" s="26"/>
      <c r="C29" s="26"/>
      <c r="D29" s="26"/>
      <c r="E29" s="26"/>
      <c r="F29" s="27"/>
      <c r="G29" s="27"/>
      <c r="H29" s="27"/>
    </row>
    <row r="30" spans="1:8" ht="17.100000000000001" customHeight="1" x14ac:dyDescent="0.25">
      <c r="A30" s="20" t="s">
        <v>1160</v>
      </c>
      <c r="B30" s="20" t="s">
        <v>508</v>
      </c>
      <c r="C30" s="20" t="s">
        <v>662</v>
      </c>
      <c r="D30" s="20" t="s">
        <v>673</v>
      </c>
      <c r="E30" s="20" t="s">
        <v>2919</v>
      </c>
      <c r="F30" s="21" t="s">
        <v>648</v>
      </c>
      <c r="G30" s="21" t="s">
        <v>2902</v>
      </c>
      <c r="H30" s="21" t="s">
        <v>2917</v>
      </c>
    </row>
    <row r="31" spans="1:8" ht="17.100000000000001" customHeight="1" x14ac:dyDescent="0.25">
      <c r="A31" s="20"/>
      <c r="B31" s="20"/>
      <c r="C31" s="20"/>
      <c r="D31" s="20"/>
      <c r="E31" s="20"/>
      <c r="F31" s="21"/>
      <c r="G31" s="21"/>
      <c r="H31" s="21"/>
    </row>
    <row r="32" spans="1:8" ht="17.100000000000001" customHeight="1" x14ac:dyDescent="0.25">
      <c r="A32" s="20" t="s">
        <v>1156</v>
      </c>
      <c r="B32" s="20" t="s">
        <v>2831</v>
      </c>
      <c r="C32" s="20" t="s">
        <v>662</v>
      </c>
      <c r="D32" s="20" t="s">
        <v>697</v>
      </c>
      <c r="E32" s="20" t="s">
        <v>2919</v>
      </c>
      <c r="F32" s="21" t="s">
        <v>875</v>
      </c>
      <c r="G32" s="21" t="s">
        <v>2902</v>
      </c>
      <c r="H32" s="21"/>
    </row>
    <row r="33" spans="1:8" ht="17.100000000000001" customHeight="1" x14ac:dyDescent="0.25">
      <c r="A33" s="20" t="s">
        <v>1154</v>
      </c>
      <c r="B33" s="20" t="s">
        <v>508</v>
      </c>
      <c r="C33" s="20" t="s">
        <v>662</v>
      </c>
      <c r="D33" s="20" t="s">
        <v>697</v>
      </c>
      <c r="E33" s="20" t="s">
        <v>2919</v>
      </c>
      <c r="F33" s="21" t="s">
        <v>889</v>
      </c>
      <c r="G33" s="21" t="s">
        <v>2902</v>
      </c>
      <c r="H33" s="21"/>
    </row>
    <row r="34" spans="1:8" ht="17.100000000000001" customHeight="1" x14ac:dyDescent="0.25">
      <c r="A34" s="20"/>
      <c r="B34" s="20"/>
      <c r="C34" s="20"/>
      <c r="D34" s="20"/>
      <c r="E34" s="20"/>
      <c r="F34" s="21"/>
      <c r="G34" s="21"/>
      <c r="H34" s="21"/>
    </row>
    <row r="35" spans="1:8" ht="17.100000000000001" customHeight="1" x14ac:dyDescent="0.25">
      <c r="A35" s="20" t="s">
        <v>1164</v>
      </c>
      <c r="B35" s="20" t="s">
        <v>2831</v>
      </c>
      <c r="C35" s="20" t="s">
        <v>662</v>
      </c>
      <c r="D35" s="20" t="s">
        <v>673</v>
      </c>
      <c r="E35" s="20" t="s">
        <v>2919</v>
      </c>
      <c r="F35" s="21" t="s">
        <v>652</v>
      </c>
      <c r="G35" s="21" t="s">
        <v>2902</v>
      </c>
      <c r="H35" s="21"/>
    </row>
    <row r="36" spans="1:8" ht="17.100000000000001" customHeight="1" x14ac:dyDescent="0.25">
      <c r="A36" s="20"/>
      <c r="B36" s="20"/>
      <c r="C36" s="20"/>
      <c r="D36" s="20"/>
      <c r="E36" s="20"/>
      <c r="F36" s="21"/>
      <c r="G36" s="21"/>
      <c r="H36" s="21"/>
    </row>
    <row r="37" spans="1:8" ht="17.100000000000001" customHeight="1" x14ac:dyDescent="0.25">
      <c r="A37" s="20" t="s">
        <v>1163</v>
      </c>
      <c r="B37" s="20" t="s">
        <v>2831</v>
      </c>
      <c r="C37" s="20" t="s">
        <v>662</v>
      </c>
      <c r="D37" s="20" t="s">
        <v>898</v>
      </c>
      <c r="E37" s="20" t="s">
        <v>2919</v>
      </c>
      <c r="F37" s="21" t="s">
        <v>652</v>
      </c>
      <c r="G37" s="21" t="s">
        <v>2902</v>
      </c>
      <c r="H37" s="21"/>
    </row>
    <row r="38" spans="1:8" ht="17.100000000000001" customHeight="1" x14ac:dyDescent="0.25">
      <c r="A38" s="20" t="s">
        <v>1162</v>
      </c>
      <c r="B38" s="20" t="s">
        <v>2831</v>
      </c>
      <c r="C38" s="20" t="s">
        <v>662</v>
      </c>
      <c r="D38" s="20" t="s">
        <v>898</v>
      </c>
      <c r="E38" s="20" t="s">
        <v>2919</v>
      </c>
      <c r="F38" s="21" t="s">
        <v>652</v>
      </c>
      <c r="G38" s="21" t="s">
        <v>2902</v>
      </c>
      <c r="H38" s="21"/>
    </row>
    <row r="39" spans="1:8" ht="17.100000000000001" customHeight="1" x14ac:dyDescent="0.25">
      <c r="A39" s="20" t="s">
        <v>1158</v>
      </c>
      <c r="B39" s="20" t="s">
        <v>508</v>
      </c>
      <c r="C39" s="20" t="s">
        <v>662</v>
      </c>
      <c r="D39" s="20" t="s">
        <v>898</v>
      </c>
      <c r="E39" s="20" t="s">
        <v>2919</v>
      </c>
      <c r="F39" s="21" t="s">
        <v>648</v>
      </c>
      <c r="G39" s="21" t="s">
        <v>2902</v>
      </c>
      <c r="H39" s="21"/>
    </row>
    <row r="40" spans="1:8" ht="17.100000000000001" customHeight="1" x14ac:dyDescent="0.25">
      <c r="A40" s="20" t="s">
        <v>1157</v>
      </c>
      <c r="B40" s="20" t="s">
        <v>508</v>
      </c>
      <c r="C40" s="20" t="s">
        <v>662</v>
      </c>
      <c r="D40" s="20" t="s">
        <v>898</v>
      </c>
      <c r="E40" s="20" t="s">
        <v>2919</v>
      </c>
      <c r="F40" s="21" t="s">
        <v>648</v>
      </c>
      <c r="G40" s="21" t="s">
        <v>2902</v>
      </c>
      <c r="H40" s="21"/>
    </row>
  </sheetData>
  <autoFilter ref="H1:H40" xr:uid="{DF6B7B31-B78C-42AE-A7C1-0B488133DC76}"/>
  <sortState xmlns:xlrd2="http://schemas.microsoft.com/office/spreadsheetml/2017/richdata2" ref="A32:H41">
    <sortCondition ref="B32:B41"/>
  </sortState>
  <mergeCells count="11">
    <mergeCell ref="B8:D8"/>
    <mergeCell ref="B9:D9"/>
    <mergeCell ref="B10:D10"/>
    <mergeCell ref="A12:F12"/>
    <mergeCell ref="G12:H12"/>
    <mergeCell ref="B7:D7"/>
    <mergeCell ref="A1:D1"/>
    <mergeCell ref="A2:D2"/>
    <mergeCell ref="B3:D3"/>
    <mergeCell ref="B4:D4"/>
    <mergeCell ref="B5:D5"/>
  </mergeCells>
  <pageMargins left="0.7" right="0.7" top="0.75" bottom="0.75" header="0.3" footer="0.3"/>
  <pageSetup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658244-FD28-41B9-9EE1-84EB8299351D}">
  <sheetPr>
    <tabColor rgb="FF00B0F0"/>
  </sheetPr>
  <dimension ref="A1:H174"/>
  <sheetViews>
    <sheetView showGridLines="0" workbookViewId="0">
      <selection activeCell="L21" sqref="L21"/>
    </sheetView>
  </sheetViews>
  <sheetFormatPr defaultRowHeight="17.100000000000001" customHeight="1" x14ac:dyDescent="0.25"/>
  <cols>
    <col min="1" max="1" width="13.42578125" style="16" bestFit="1" customWidth="1"/>
    <col min="2" max="2" width="12" style="16" bestFit="1" customWidth="1"/>
    <col min="3" max="3" width="6.85546875" style="16" bestFit="1" customWidth="1"/>
    <col min="4" max="4" width="10" style="16" bestFit="1" customWidth="1"/>
    <col min="5" max="5" width="6.5703125" style="16" bestFit="1" customWidth="1"/>
    <col min="6" max="6" width="13.42578125" style="16" bestFit="1" customWidth="1"/>
    <col min="7" max="7" width="13.7109375" customWidth="1"/>
    <col min="8" max="8" width="9.5703125" bestFit="1" customWidth="1"/>
  </cols>
  <sheetData>
    <row r="1" spans="1:8" ht="18" customHeight="1" x14ac:dyDescent="0.25">
      <c r="A1" s="49" t="s">
        <v>358</v>
      </c>
      <c r="B1" s="49"/>
      <c r="C1" s="49"/>
      <c r="D1" s="49"/>
    </row>
    <row r="2" spans="1:8" ht="12" customHeight="1" x14ac:dyDescent="0.25">
      <c r="A2" s="50"/>
      <c r="B2" s="50"/>
      <c r="C2" s="50"/>
      <c r="D2" s="50"/>
    </row>
    <row r="3" spans="1:8" ht="12.75" customHeight="1" x14ac:dyDescent="0.25">
      <c r="A3" s="3" t="s">
        <v>2</v>
      </c>
      <c r="B3" s="39" t="s">
        <v>3</v>
      </c>
      <c r="C3" s="39"/>
      <c r="D3" s="39"/>
    </row>
    <row r="4" spans="1:8" ht="12" customHeight="1" x14ac:dyDescent="0.25">
      <c r="A4" s="3" t="s">
        <v>5</v>
      </c>
      <c r="B4" s="39" t="s">
        <v>6</v>
      </c>
      <c r="C4" s="39"/>
      <c r="D4" s="39"/>
    </row>
    <row r="5" spans="1:8" ht="12.75" customHeight="1" x14ac:dyDescent="0.25">
      <c r="A5" s="3" t="s">
        <v>7</v>
      </c>
      <c r="B5" s="39" t="s">
        <v>8</v>
      </c>
      <c r="C5" s="39"/>
      <c r="D5" s="39"/>
    </row>
    <row r="6" spans="1:8" ht="5.25" customHeight="1" x14ac:dyDescent="0.25"/>
    <row r="7" spans="1:8" ht="12" customHeight="1" x14ac:dyDescent="0.25">
      <c r="A7" s="3" t="s">
        <v>9</v>
      </c>
      <c r="B7" s="39" t="s">
        <v>10</v>
      </c>
      <c r="C7" s="39"/>
      <c r="D7" s="39"/>
    </row>
    <row r="8" spans="1:8" ht="12.75" customHeight="1" x14ac:dyDescent="0.25">
      <c r="A8" s="3" t="s">
        <v>11</v>
      </c>
      <c r="B8" s="39" t="s">
        <v>12</v>
      </c>
      <c r="C8" s="39"/>
      <c r="D8" s="39"/>
    </row>
    <row r="9" spans="1:8" ht="12" customHeight="1" x14ac:dyDescent="0.25">
      <c r="A9" s="3" t="s">
        <v>13</v>
      </c>
      <c r="B9" s="39"/>
      <c r="C9" s="39"/>
      <c r="D9" s="39"/>
    </row>
    <row r="10" spans="1:8" ht="12.75" customHeight="1" x14ac:dyDescent="0.25">
      <c r="A10" s="3" t="s">
        <v>11</v>
      </c>
      <c r="B10" s="39"/>
      <c r="C10" s="39"/>
      <c r="D10" s="39"/>
    </row>
    <row r="11" spans="1:8" ht="10.5" customHeight="1" x14ac:dyDescent="0.25"/>
    <row r="12" spans="1:8" ht="16.5" customHeight="1" x14ac:dyDescent="0.25">
      <c r="A12" s="44" t="s">
        <v>630</v>
      </c>
      <c r="B12" s="44"/>
      <c r="C12" s="44"/>
      <c r="D12" s="44"/>
      <c r="E12" s="44"/>
      <c r="F12" s="44"/>
      <c r="G12" s="51" t="s">
        <v>631</v>
      </c>
      <c r="H12" s="52"/>
    </row>
    <row r="13" spans="1:8" ht="43.5" customHeight="1" x14ac:dyDescent="0.25">
      <c r="A13" s="17" t="s">
        <v>14</v>
      </c>
      <c r="B13" s="18" t="s">
        <v>634</v>
      </c>
      <c r="C13" s="18" t="s">
        <v>633</v>
      </c>
      <c r="D13" s="18" t="s">
        <v>635</v>
      </c>
      <c r="E13" s="18" t="s">
        <v>2828</v>
      </c>
      <c r="F13" s="19" t="s">
        <v>14</v>
      </c>
      <c r="G13" s="19" t="s">
        <v>17</v>
      </c>
      <c r="H13" s="19" t="s">
        <v>2829</v>
      </c>
    </row>
    <row r="14" spans="1:8" ht="17.100000000000001" customHeight="1" x14ac:dyDescent="0.25">
      <c r="A14" s="21" t="s">
        <v>1470</v>
      </c>
      <c r="B14" s="20" t="s">
        <v>2849</v>
      </c>
      <c r="C14" s="20" t="s">
        <v>662</v>
      </c>
      <c r="D14" s="20" t="s">
        <v>663</v>
      </c>
      <c r="E14" s="20" t="s">
        <v>2918</v>
      </c>
      <c r="F14" s="20" t="s">
        <v>1467</v>
      </c>
      <c r="G14" s="21" t="s">
        <v>2901</v>
      </c>
      <c r="H14" s="21" t="s">
        <v>443</v>
      </c>
    </row>
    <row r="15" spans="1:8" ht="17.100000000000001" customHeight="1" x14ac:dyDescent="0.25">
      <c r="A15" s="21" t="s">
        <v>1482</v>
      </c>
      <c r="B15" s="20" t="s">
        <v>2850</v>
      </c>
      <c r="C15" s="20" t="s">
        <v>662</v>
      </c>
      <c r="D15" s="20" t="s">
        <v>663</v>
      </c>
      <c r="E15" s="20" t="s">
        <v>2918</v>
      </c>
      <c r="F15" s="20" t="s">
        <v>1480</v>
      </c>
      <c r="G15" s="21" t="s">
        <v>2901</v>
      </c>
      <c r="H15" s="21"/>
    </row>
    <row r="16" spans="1:8" ht="17.100000000000001" customHeight="1" x14ac:dyDescent="0.25">
      <c r="A16" s="21" t="s">
        <v>1485</v>
      </c>
      <c r="B16" s="20" t="s">
        <v>2851</v>
      </c>
      <c r="C16" s="20" t="s">
        <v>662</v>
      </c>
      <c r="D16" s="20" t="s">
        <v>663</v>
      </c>
      <c r="E16" s="20" t="s">
        <v>2918</v>
      </c>
      <c r="F16" s="20" t="s">
        <v>1483</v>
      </c>
      <c r="G16" s="21" t="s">
        <v>2901</v>
      </c>
      <c r="H16" s="21"/>
    </row>
    <row r="17" spans="1:8" ht="17.100000000000001" customHeight="1" x14ac:dyDescent="0.25">
      <c r="A17" s="28"/>
      <c r="B17" s="28"/>
      <c r="C17" s="28"/>
      <c r="D17" s="28"/>
      <c r="E17" s="28"/>
      <c r="F17" s="29"/>
      <c r="G17" s="29"/>
      <c r="H17" s="29"/>
    </row>
    <row r="18" spans="1:8" ht="17.100000000000001" customHeight="1" x14ac:dyDescent="0.25">
      <c r="A18" s="20" t="s">
        <v>1342</v>
      </c>
      <c r="B18" s="20" t="s">
        <v>2831</v>
      </c>
      <c r="C18" s="20" t="s">
        <v>662</v>
      </c>
      <c r="D18" s="20" t="s">
        <v>673</v>
      </c>
      <c r="E18" s="20" t="s">
        <v>2918</v>
      </c>
      <c r="F18" s="21" t="s">
        <v>1311</v>
      </c>
      <c r="G18" s="21" t="s">
        <v>2901</v>
      </c>
      <c r="H18" s="21" t="s">
        <v>2925</v>
      </c>
    </row>
    <row r="19" spans="1:8" ht="17.100000000000001" customHeight="1" x14ac:dyDescent="0.25">
      <c r="A19" s="20" t="s">
        <v>1420</v>
      </c>
      <c r="B19" s="20" t="s">
        <v>2831</v>
      </c>
      <c r="C19" s="20" t="s">
        <v>662</v>
      </c>
      <c r="D19" s="20" t="s">
        <v>673</v>
      </c>
      <c r="E19" s="20" t="s">
        <v>2918</v>
      </c>
      <c r="F19" s="21" t="s">
        <v>1315</v>
      </c>
      <c r="G19" s="21" t="s">
        <v>2901</v>
      </c>
      <c r="H19" s="21"/>
    </row>
    <row r="20" spans="1:8" ht="17.100000000000001" customHeight="1" x14ac:dyDescent="0.25">
      <c r="A20" s="20" t="s">
        <v>1347</v>
      </c>
      <c r="B20" s="20" t="s">
        <v>382</v>
      </c>
      <c r="C20" s="20" t="s">
        <v>662</v>
      </c>
      <c r="D20" s="20" t="s">
        <v>673</v>
      </c>
      <c r="E20" s="20" t="s">
        <v>2918</v>
      </c>
      <c r="F20" s="21" t="s">
        <v>1509</v>
      </c>
      <c r="G20" s="21" t="s">
        <v>2901</v>
      </c>
      <c r="H20" s="21"/>
    </row>
    <row r="21" spans="1:8" ht="17.100000000000001" customHeight="1" x14ac:dyDescent="0.25">
      <c r="A21" s="20" t="s">
        <v>1429</v>
      </c>
      <c r="B21" s="20" t="s">
        <v>383</v>
      </c>
      <c r="C21" s="20" t="s">
        <v>662</v>
      </c>
      <c r="D21" s="20" t="s">
        <v>673</v>
      </c>
      <c r="E21" s="20" t="s">
        <v>2918</v>
      </c>
      <c r="F21" s="21" t="s">
        <v>1510</v>
      </c>
      <c r="G21" s="21" t="s">
        <v>2901</v>
      </c>
      <c r="H21" s="21"/>
    </row>
    <row r="22" spans="1:8" ht="17.100000000000001" customHeight="1" x14ac:dyDescent="0.25">
      <c r="A22" s="28"/>
      <c r="B22" s="28"/>
      <c r="C22" s="28"/>
      <c r="D22" s="28"/>
      <c r="E22" s="28"/>
      <c r="F22" s="29"/>
      <c r="G22" s="29"/>
      <c r="H22" s="29"/>
    </row>
    <row r="23" spans="1:8" ht="17.100000000000001" customHeight="1" x14ac:dyDescent="0.25">
      <c r="A23" s="20" t="s">
        <v>1495</v>
      </c>
      <c r="B23" s="20" t="s">
        <v>2831</v>
      </c>
      <c r="C23" s="20" t="s">
        <v>662</v>
      </c>
      <c r="D23" s="20" t="s">
        <v>663</v>
      </c>
      <c r="E23" s="20" t="s">
        <v>2918</v>
      </c>
      <c r="F23" s="21" t="s">
        <v>1321</v>
      </c>
      <c r="G23" s="21" t="s">
        <v>2901</v>
      </c>
      <c r="H23" s="21" t="s">
        <v>2926</v>
      </c>
    </row>
    <row r="24" spans="1:8" ht="17.100000000000001" customHeight="1" x14ac:dyDescent="0.25">
      <c r="A24" s="20" t="s">
        <v>1499</v>
      </c>
      <c r="B24" s="20" t="s">
        <v>2831</v>
      </c>
      <c r="C24" s="20" t="s">
        <v>662</v>
      </c>
      <c r="D24" s="20" t="s">
        <v>663</v>
      </c>
      <c r="E24" s="20" t="s">
        <v>2918</v>
      </c>
      <c r="F24" s="21" t="s">
        <v>1321</v>
      </c>
      <c r="G24" s="21" t="s">
        <v>2901</v>
      </c>
      <c r="H24" s="21"/>
    </row>
    <row r="25" spans="1:8" ht="17.100000000000001" customHeight="1" x14ac:dyDescent="0.25">
      <c r="A25" s="20"/>
      <c r="B25" s="20"/>
      <c r="C25" s="20"/>
      <c r="D25" s="20"/>
      <c r="E25" s="20"/>
      <c r="F25" s="21"/>
      <c r="G25" s="21"/>
      <c r="H25" s="21"/>
    </row>
    <row r="26" spans="1:8" ht="17.100000000000001" customHeight="1" x14ac:dyDescent="0.25">
      <c r="A26" s="20" t="s">
        <v>1462</v>
      </c>
      <c r="B26" s="20" t="s">
        <v>2831</v>
      </c>
      <c r="C26" s="20" t="s">
        <v>662</v>
      </c>
      <c r="D26" s="20" t="s">
        <v>673</v>
      </c>
      <c r="E26" s="20" t="s">
        <v>2941</v>
      </c>
      <c r="F26" s="21" t="s">
        <v>1315</v>
      </c>
      <c r="G26" s="21" t="s">
        <v>2901</v>
      </c>
      <c r="H26" s="21"/>
    </row>
    <row r="27" spans="1:8" ht="17.100000000000001" customHeight="1" x14ac:dyDescent="0.25">
      <c r="A27" s="20" t="s">
        <v>1486</v>
      </c>
      <c r="B27" s="20" t="s">
        <v>2831</v>
      </c>
      <c r="C27" s="20" t="s">
        <v>662</v>
      </c>
      <c r="D27" s="20" t="s">
        <v>673</v>
      </c>
      <c r="E27" s="20" t="s">
        <v>2941</v>
      </c>
      <c r="F27" s="21" t="s">
        <v>1317</v>
      </c>
      <c r="G27" s="21" t="s">
        <v>2901</v>
      </c>
      <c r="H27" s="21"/>
    </row>
    <row r="28" spans="1:8" ht="17.100000000000001" customHeight="1" x14ac:dyDescent="0.25">
      <c r="A28" s="20" t="s">
        <v>1506</v>
      </c>
      <c r="B28" s="20" t="s">
        <v>2831</v>
      </c>
      <c r="C28" s="20" t="s">
        <v>662</v>
      </c>
      <c r="D28" s="20" t="s">
        <v>673</v>
      </c>
      <c r="E28" s="20" t="s">
        <v>2941</v>
      </c>
      <c r="F28" s="21" t="s">
        <v>1317</v>
      </c>
      <c r="G28" s="21" t="s">
        <v>2901</v>
      </c>
      <c r="H28" s="21"/>
    </row>
    <row r="29" spans="1:8" ht="17.100000000000001" customHeight="1" x14ac:dyDescent="0.25">
      <c r="A29" s="20" t="s">
        <v>1415</v>
      </c>
      <c r="B29" s="20" t="s">
        <v>1416</v>
      </c>
      <c r="C29" s="20" t="s">
        <v>662</v>
      </c>
      <c r="D29" s="20" t="s">
        <v>673</v>
      </c>
      <c r="E29" s="20" t="s">
        <v>2918</v>
      </c>
      <c r="F29" s="21" t="s">
        <v>1418</v>
      </c>
      <c r="G29" s="21" t="s">
        <v>2901</v>
      </c>
      <c r="H29" s="21"/>
    </row>
    <row r="30" spans="1:8" ht="17.100000000000001" customHeight="1" x14ac:dyDescent="0.25">
      <c r="A30" s="20" t="s">
        <v>1425</v>
      </c>
      <c r="B30" s="20" t="s">
        <v>1426</v>
      </c>
      <c r="C30" s="20" t="s">
        <v>662</v>
      </c>
      <c r="D30" s="20" t="s">
        <v>673</v>
      </c>
      <c r="E30" s="20" t="s">
        <v>2918</v>
      </c>
      <c r="F30" s="21" t="s">
        <v>1427</v>
      </c>
      <c r="G30" s="21" t="s">
        <v>2901</v>
      </c>
      <c r="H30" s="21"/>
    </row>
    <row r="31" spans="1:8" ht="17.100000000000001" customHeight="1" x14ac:dyDescent="0.25">
      <c r="A31" s="20" t="s">
        <v>1465</v>
      </c>
      <c r="B31" s="20" t="s">
        <v>384</v>
      </c>
      <c r="C31" s="20" t="s">
        <v>662</v>
      </c>
      <c r="D31" s="20" t="s">
        <v>673</v>
      </c>
      <c r="E31" s="20" t="s">
        <v>2918</v>
      </c>
      <c r="F31" s="21" t="s">
        <v>1466</v>
      </c>
      <c r="G31" s="21" t="s">
        <v>2901</v>
      </c>
      <c r="H31" s="21"/>
    </row>
    <row r="32" spans="1:8" ht="17.100000000000001" customHeight="1" x14ac:dyDescent="0.25">
      <c r="A32" s="20" t="s">
        <v>1489</v>
      </c>
      <c r="B32" s="20" t="s">
        <v>385</v>
      </c>
      <c r="C32" s="20" t="s">
        <v>662</v>
      </c>
      <c r="D32" s="20" t="s">
        <v>673</v>
      </c>
      <c r="E32" s="20" t="s">
        <v>2918</v>
      </c>
      <c r="F32" s="21" t="s">
        <v>1490</v>
      </c>
      <c r="G32" s="21" t="s">
        <v>2901</v>
      </c>
      <c r="H32" s="21"/>
    </row>
    <row r="33" spans="1:8" ht="17.100000000000001" customHeight="1" x14ac:dyDescent="0.25">
      <c r="A33" s="20" t="s">
        <v>1507</v>
      </c>
      <c r="B33" s="20" t="s">
        <v>386</v>
      </c>
      <c r="C33" s="20" t="s">
        <v>662</v>
      </c>
      <c r="D33" s="20" t="s">
        <v>673</v>
      </c>
      <c r="E33" s="20" t="s">
        <v>2918</v>
      </c>
      <c r="F33" s="21" t="s">
        <v>1508</v>
      </c>
      <c r="G33" s="21" t="s">
        <v>2901</v>
      </c>
      <c r="H33" s="21"/>
    </row>
    <row r="34" spans="1:8" ht="17.100000000000001" customHeight="1" x14ac:dyDescent="0.25">
      <c r="A34" s="20"/>
      <c r="B34" s="20"/>
      <c r="C34" s="20"/>
      <c r="D34" s="20"/>
      <c r="E34" s="20"/>
      <c r="F34" s="21"/>
      <c r="G34" s="21"/>
      <c r="H34" s="21"/>
    </row>
    <row r="35" spans="1:8" ht="17.100000000000001" customHeight="1" x14ac:dyDescent="0.25">
      <c r="A35" s="20" t="s">
        <v>1381</v>
      </c>
      <c r="B35" s="20" t="s">
        <v>2831</v>
      </c>
      <c r="C35" s="20" t="s">
        <v>662</v>
      </c>
      <c r="D35" s="20" t="s">
        <v>673</v>
      </c>
      <c r="E35" s="20" t="s">
        <v>2918</v>
      </c>
      <c r="F35" s="21" t="s">
        <v>1383</v>
      </c>
      <c r="G35" s="21" t="s">
        <v>2901</v>
      </c>
      <c r="H35" s="21"/>
    </row>
    <row r="36" spans="1:8" ht="17.100000000000001" customHeight="1" x14ac:dyDescent="0.25">
      <c r="A36" s="28"/>
      <c r="B36" s="28"/>
      <c r="C36" s="28"/>
      <c r="D36" s="28"/>
      <c r="E36" s="28"/>
      <c r="F36" s="29"/>
      <c r="G36" s="29"/>
      <c r="H36" s="29"/>
    </row>
    <row r="37" spans="1:8" ht="17.100000000000001" customHeight="1" x14ac:dyDescent="0.25">
      <c r="A37" s="20" t="s">
        <v>1332</v>
      </c>
      <c r="B37" s="20" t="s">
        <v>2853</v>
      </c>
      <c r="C37" s="20" t="s">
        <v>662</v>
      </c>
      <c r="D37" s="20" t="s">
        <v>663</v>
      </c>
      <c r="E37" s="20" t="s">
        <v>2941</v>
      </c>
      <c r="F37" s="21" t="s">
        <v>1330</v>
      </c>
      <c r="G37" s="21" t="s">
        <v>2901</v>
      </c>
      <c r="H37" s="21" t="s">
        <v>2930</v>
      </c>
    </row>
    <row r="38" spans="1:8" ht="17.100000000000001" customHeight="1" x14ac:dyDescent="0.25">
      <c r="A38" s="20" t="s">
        <v>1332</v>
      </c>
      <c r="B38" s="20" t="s">
        <v>2853</v>
      </c>
      <c r="C38" s="20" t="s">
        <v>662</v>
      </c>
      <c r="D38" s="20" t="s">
        <v>663</v>
      </c>
      <c r="E38" s="20" t="s">
        <v>2939</v>
      </c>
      <c r="F38" s="21" t="s">
        <v>1547</v>
      </c>
      <c r="G38" s="21" t="s">
        <v>2901</v>
      </c>
      <c r="H38" s="21"/>
    </row>
    <row r="39" spans="1:8" ht="17.100000000000001" customHeight="1" x14ac:dyDescent="0.25">
      <c r="A39" s="20" t="s">
        <v>1437</v>
      </c>
      <c r="B39" s="20" t="s">
        <v>2855</v>
      </c>
      <c r="C39" s="20" t="s">
        <v>662</v>
      </c>
      <c r="D39" s="20" t="s">
        <v>663</v>
      </c>
      <c r="E39" s="20" t="s">
        <v>2918</v>
      </c>
      <c r="F39" s="21" t="s">
        <v>1434</v>
      </c>
      <c r="G39" s="21" t="s">
        <v>2901</v>
      </c>
      <c r="H39" s="21"/>
    </row>
    <row r="40" spans="1:8" ht="17.100000000000001" customHeight="1" x14ac:dyDescent="0.25">
      <c r="A40" s="20" t="s">
        <v>1446</v>
      </c>
      <c r="B40" s="20" t="s">
        <v>2857</v>
      </c>
      <c r="C40" s="20" t="s">
        <v>662</v>
      </c>
      <c r="D40" s="20" t="s">
        <v>663</v>
      </c>
      <c r="E40" s="20" t="s">
        <v>2918</v>
      </c>
      <c r="F40" s="21" t="s">
        <v>1444</v>
      </c>
      <c r="G40" s="21" t="s">
        <v>2901</v>
      </c>
      <c r="H40" s="21"/>
    </row>
    <row r="41" spans="1:8" ht="17.100000000000001" customHeight="1" x14ac:dyDescent="0.25">
      <c r="A41" s="20" t="s">
        <v>1451</v>
      </c>
      <c r="B41" s="20" t="s">
        <v>2859</v>
      </c>
      <c r="C41" s="20" t="s">
        <v>662</v>
      </c>
      <c r="D41" s="20" t="s">
        <v>663</v>
      </c>
      <c r="E41" s="20" t="s">
        <v>2941</v>
      </c>
      <c r="F41" s="21" t="s">
        <v>1448</v>
      </c>
      <c r="G41" s="21" t="s">
        <v>2901</v>
      </c>
      <c r="H41" s="21"/>
    </row>
    <row r="42" spans="1:8" ht="17.100000000000001" customHeight="1" x14ac:dyDescent="0.25">
      <c r="A42" s="20" t="s">
        <v>1433</v>
      </c>
      <c r="B42" s="20" t="s">
        <v>1431</v>
      </c>
      <c r="C42" s="20" t="s">
        <v>662</v>
      </c>
      <c r="D42" s="20" t="s">
        <v>663</v>
      </c>
      <c r="E42" s="20" t="s">
        <v>2918</v>
      </c>
      <c r="F42" s="21" t="s">
        <v>1430</v>
      </c>
      <c r="G42" s="21" t="s">
        <v>2901</v>
      </c>
      <c r="H42" s="21"/>
    </row>
    <row r="43" spans="1:8" ht="17.100000000000001" customHeight="1" x14ac:dyDescent="0.25">
      <c r="A43" s="20" t="s">
        <v>1177</v>
      </c>
      <c r="B43" s="20" t="s">
        <v>1175</v>
      </c>
      <c r="C43" s="20" t="s">
        <v>662</v>
      </c>
      <c r="D43" s="20" t="s">
        <v>663</v>
      </c>
      <c r="E43" s="20" t="s">
        <v>2918</v>
      </c>
      <c r="F43" s="21" t="s">
        <v>1587</v>
      </c>
      <c r="G43" s="21" t="s">
        <v>2901</v>
      </c>
      <c r="H43" s="21"/>
    </row>
    <row r="44" spans="1:8" ht="17.100000000000001" customHeight="1" x14ac:dyDescent="0.25">
      <c r="A44" s="20" t="s">
        <v>1550</v>
      </c>
      <c r="B44" s="20" t="s">
        <v>1549</v>
      </c>
      <c r="C44" s="20" t="s">
        <v>662</v>
      </c>
      <c r="D44" s="20" t="s">
        <v>663</v>
      </c>
      <c r="E44" s="20" t="s">
        <v>2918</v>
      </c>
      <c r="F44" s="21" t="s">
        <v>1590</v>
      </c>
      <c r="G44" s="21" t="s">
        <v>2901</v>
      </c>
      <c r="H44" s="21"/>
    </row>
    <row r="45" spans="1:8" ht="17.100000000000001" customHeight="1" x14ac:dyDescent="0.25">
      <c r="A45" s="21" t="s">
        <v>1604</v>
      </c>
      <c r="B45" s="20" t="s">
        <v>1605</v>
      </c>
      <c r="C45" s="20" t="s">
        <v>662</v>
      </c>
      <c r="D45" s="20" t="s">
        <v>663</v>
      </c>
      <c r="E45" s="20" t="s">
        <v>2918</v>
      </c>
      <c r="F45" s="20" t="s">
        <v>1606</v>
      </c>
      <c r="G45" s="21" t="s">
        <v>2901</v>
      </c>
      <c r="H45" s="21"/>
    </row>
    <row r="46" spans="1:8" ht="17.100000000000001" customHeight="1" x14ac:dyDescent="0.25">
      <c r="A46" s="20" t="s">
        <v>1556</v>
      </c>
      <c r="B46" s="20" t="s">
        <v>936</v>
      </c>
      <c r="C46" s="20" t="s">
        <v>662</v>
      </c>
      <c r="D46" s="20" t="s">
        <v>663</v>
      </c>
      <c r="E46" s="20" t="s">
        <v>2919</v>
      </c>
      <c r="F46" s="21" t="s">
        <v>1243</v>
      </c>
      <c r="G46" s="21" t="s">
        <v>2901</v>
      </c>
      <c r="H46" s="21"/>
    </row>
    <row r="47" spans="1:8" ht="17.100000000000001" customHeight="1" x14ac:dyDescent="0.25">
      <c r="A47" s="20" t="s">
        <v>1597</v>
      </c>
      <c r="B47" s="20" t="s">
        <v>1598</v>
      </c>
      <c r="C47" s="20" t="s">
        <v>662</v>
      </c>
      <c r="D47" s="20" t="s">
        <v>663</v>
      </c>
      <c r="E47" s="20" t="s">
        <v>2919</v>
      </c>
      <c r="F47" s="21" t="s">
        <v>1599</v>
      </c>
      <c r="G47" s="21" t="s">
        <v>2901</v>
      </c>
      <c r="H47" s="21"/>
    </row>
    <row r="48" spans="1:8" ht="17.100000000000001" customHeight="1" x14ac:dyDescent="0.25">
      <c r="A48" s="28"/>
      <c r="B48" s="28"/>
      <c r="C48" s="28"/>
      <c r="D48" s="28"/>
      <c r="E48" s="28"/>
      <c r="F48" s="29"/>
      <c r="G48" s="29"/>
      <c r="H48" s="29"/>
    </row>
    <row r="49" spans="1:8" ht="17.100000000000001" customHeight="1" x14ac:dyDescent="0.25">
      <c r="A49" s="20" t="s">
        <v>1455</v>
      </c>
      <c r="B49" s="20" t="s">
        <v>2856</v>
      </c>
      <c r="C49" s="20" t="s">
        <v>662</v>
      </c>
      <c r="D49" s="20" t="s">
        <v>663</v>
      </c>
      <c r="E49" s="20" t="s">
        <v>2918</v>
      </c>
      <c r="F49" s="21" t="s">
        <v>1453</v>
      </c>
      <c r="G49" s="21" t="s">
        <v>2901</v>
      </c>
      <c r="H49" s="21" t="s">
        <v>2931</v>
      </c>
    </row>
    <row r="50" spans="1:8" ht="17.100000000000001" customHeight="1" x14ac:dyDescent="0.25">
      <c r="A50" s="20" t="s">
        <v>1458</v>
      </c>
      <c r="B50" s="20" t="s">
        <v>2858</v>
      </c>
      <c r="C50" s="20" t="s">
        <v>662</v>
      </c>
      <c r="D50" s="20" t="s">
        <v>663</v>
      </c>
      <c r="E50" s="20" t="s">
        <v>2918</v>
      </c>
      <c r="F50" s="21" t="s">
        <v>1456</v>
      </c>
      <c r="G50" s="21" t="s">
        <v>2901</v>
      </c>
      <c r="H50" s="21"/>
    </row>
    <row r="51" spans="1:8" ht="17.100000000000001" customHeight="1" x14ac:dyDescent="0.25">
      <c r="A51" s="20" t="s">
        <v>1461</v>
      </c>
      <c r="B51" s="20" t="s">
        <v>2860</v>
      </c>
      <c r="C51" s="20" t="s">
        <v>662</v>
      </c>
      <c r="D51" s="20" t="s">
        <v>663</v>
      </c>
      <c r="E51" s="20" t="s">
        <v>2941</v>
      </c>
      <c r="F51" s="21" t="s">
        <v>1459</v>
      </c>
      <c r="G51" s="21" t="s">
        <v>2901</v>
      </c>
      <c r="H51" s="21"/>
    </row>
    <row r="52" spans="1:8" ht="17.100000000000001" customHeight="1" x14ac:dyDescent="0.25">
      <c r="A52" s="20" t="s">
        <v>1475</v>
      </c>
      <c r="B52" s="20" t="s">
        <v>2861</v>
      </c>
      <c r="C52" s="20" t="s">
        <v>662</v>
      </c>
      <c r="D52" s="20" t="s">
        <v>663</v>
      </c>
      <c r="E52" s="20" t="s">
        <v>2941</v>
      </c>
      <c r="F52" s="21" t="s">
        <v>1472</v>
      </c>
      <c r="G52" s="21" t="s">
        <v>2901</v>
      </c>
      <c r="H52" s="21"/>
    </row>
    <row r="53" spans="1:8" ht="17.100000000000001" customHeight="1" x14ac:dyDescent="0.25">
      <c r="A53" s="20" t="s">
        <v>1479</v>
      </c>
      <c r="B53" s="20" t="s">
        <v>2862</v>
      </c>
      <c r="C53" s="20" t="s">
        <v>662</v>
      </c>
      <c r="D53" s="20" t="s">
        <v>663</v>
      </c>
      <c r="E53" s="20" t="s">
        <v>2918</v>
      </c>
      <c r="F53" s="21" t="s">
        <v>1476</v>
      </c>
      <c r="G53" s="21" t="s">
        <v>2901</v>
      </c>
      <c r="H53" s="21"/>
    </row>
    <row r="54" spans="1:8" ht="17.100000000000001" customHeight="1" x14ac:dyDescent="0.25">
      <c r="A54" s="21" t="s">
        <v>1558</v>
      </c>
      <c r="B54" s="20" t="s">
        <v>2831</v>
      </c>
      <c r="C54" s="20" t="s">
        <v>662</v>
      </c>
      <c r="D54" s="20" t="s">
        <v>663</v>
      </c>
      <c r="E54" s="20" t="s">
        <v>2918</v>
      </c>
      <c r="F54" s="20" t="s">
        <v>1560</v>
      </c>
      <c r="G54" s="21" t="s">
        <v>2901</v>
      </c>
      <c r="H54" s="21"/>
    </row>
    <row r="55" spans="1:8" ht="17.100000000000001" customHeight="1" x14ac:dyDescent="0.25">
      <c r="A55" s="20" t="s">
        <v>1591</v>
      </c>
      <c r="B55" s="20" t="s">
        <v>2831</v>
      </c>
      <c r="C55" s="20" t="s">
        <v>662</v>
      </c>
      <c r="D55" s="20" t="s">
        <v>663</v>
      </c>
      <c r="E55" s="20" t="s">
        <v>2918</v>
      </c>
      <c r="F55" s="21" t="s">
        <v>1592</v>
      </c>
      <c r="G55" s="21" t="s">
        <v>2901</v>
      </c>
      <c r="H55" s="21"/>
    </row>
    <row r="56" spans="1:8" ht="17.100000000000001" customHeight="1" x14ac:dyDescent="0.25">
      <c r="A56" s="20" t="s">
        <v>1591</v>
      </c>
      <c r="B56" s="20" t="s">
        <v>2831</v>
      </c>
      <c r="C56" s="20" t="s">
        <v>662</v>
      </c>
      <c r="D56" s="20" t="s">
        <v>663</v>
      </c>
      <c r="E56" s="20" t="s">
        <v>2918</v>
      </c>
      <c r="F56" s="21" t="s">
        <v>1589</v>
      </c>
      <c r="G56" s="21" t="s">
        <v>2901</v>
      </c>
      <c r="H56" s="21"/>
    </row>
    <row r="57" spans="1:8" ht="17.100000000000001" customHeight="1" x14ac:dyDescent="0.25">
      <c r="A57" s="28"/>
      <c r="B57" s="28"/>
      <c r="C57" s="28"/>
      <c r="D57" s="28"/>
      <c r="E57" s="28"/>
      <c r="F57" s="29"/>
      <c r="G57" s="29"/>
      <c r="H57" s="29"/>
    </row>
    <row r="58" spans="1:8" ht="17.100000000000001" customHeight="1" x14ac:dyDescent="0.25">
      <c r="A58" s="20" t="s">
        <v>1329</v>
      </c>
      <c r="B58" s="20" t="s">
        <v>2852</v>
      </c>
      <c r="C58" s="20" t="s">
        <v>662</v>
      </c>
      <c r="D58" s="20" t="s">
        <v>663</v>
      </c>
      <c r="E58" s="20" t="s">
        <v>2918</v>
      </c>
      <c r="F58" s="21" t="s">
        <v>1327</v>
      </c>
      <c r="G58" s="21" t="s">
        <v>2901</v>
      </c>
      <c r="H58" s="21" t="s">
        <v>2903</v>
      </c>
    </row>
    <row r="59" spans="1:8" ht="17.100000000000001" customHeight="1" x14ac:dyDescent="0.25">
      <c r="A59" s="20" t="s">
        <v>1505</v>
      </c>
      <c r="B59" s="20" t="s">
        <v>2854</v>
      </c>
      <c r="C59" s="20" t="s">
        <v>662</v>
      </c>
      <c r="D59" s="20" t="s">
        <v>663</v>
      </c>
      <c r="E59" s="20" t="s">
        <v>2918</v>
      </c>
      <c r="F59" s="21" t="s">
        <v>1503</v>
      </c>
      <c r="G59" s="21" t="s">
        <v>2901</v>
      </c>
      <c r="H59" s="21"/>
    </row>
    <row r="60" spans="1:8" ht="17.100000000000001" customHeight="1" x14ac:dyDescent="0.25">
      <c r="A60" s="20" t="s">
        <v>1561</v>
      </c>
      <c r="B60" s="20" t="s">
        <v>392</v>
      </c>
      <c r="C60" s="20" t="s">
        <v>662</v>
      </c>
      <c r="D60" s="20" t="s">
        <v>663</v>
      </c>
      <c r="E60" s="20" t="s">
        <v>2918</v>
      </c>
      <c r="F60" s="21" t="s">
        <v>1563</v>
      </c>
      <c r="G60" s="21" t="s">
        <v>2901</v>
      </c>
      <c r="H60" s="21"/>
    </row>
    <row r="61" spans="1:8" ht="17.100000000000001" customHeight="1" x14ac:dyDescent="0.25">
      <c r="A61" s="20" t="s">
        <v>1583</v>
      </c>
      <c r="B61" s="20" t="s">
        <v>392</v>
      </c>
      <c r="C61" s="20" t="s">
        <v>662</v>
      </c>
      <c r="D61" s="20" t="s">
        <v>663</v>
      </c>
      <c r="E61" s="20" t="s">
        <v>2918</v>
      </c>
      <c r="F61" s="21" t="s">
        <v>1586</v>
      </c>
      <c r="G61" s="21" t="s">
        <v>2901</v>
      </c>
      <c r="H61" s="21"/>
    </row>
    <row r="62" spans="1:8" ht="17.100000000000001" customHeight="1" x14ac:dyDescent="0.25">
      <c r="A62" s="20" t="s">
        <v>1612</v>
      </c>
      <c r="B62" s="20" t="s">
        <v>392</v>
      </c>
      <c r="C62" s="20" t="s">
        <v>662</v>
      </c>
      <c r="D62" s="20" t="s">
        <v>663</v>
      </c>
      <c r="E62" s="20" t="s">
        <v>2918</v>
      </c>
      <c r="F62" s="21" t="s">
        <v>1613</v>
      </c>
      <c r="G62" s="21" t="s">
        <v>2901</v>
      </c>
      <c r="H62" s="21"/>
    </row>
    <row r="63" spans="1:8" ht="17.100000000000001" customHeight="1" x14ac:dyDescent="0.25">
      <c r="A63" s="20" t="s">
        <v>1242</v>
      </c>
      <c r="B63" s="20" t="s">
        <v>392</v>
      </c>
      <c r="C63" s="20" t="s">
        <v>662</v>
      </c>
      <c r="D63" s="20" t="s">
        <v>663</v>
      </c>
      <c r="E63" s="20" t="s">
        <v>2918</v>
      </c>
      <c r="F63" s="21" t="s">
        <v>1322</v>
      </c>
      <c r="G63" s="21" t="s">
        <v>2901</v>
      </c>
      <c r="H63" s="21"/>
    </row>
    <row r="64" spans="1:8" ht="17.100000000000001" customHeight="1" x14ac:dyDescent="0.25">
      <c r="A64" s="21" t="s">
        <v>1561</v>
      </c>
      <c r="B64" s="20" t="s">
        <v>392</v>
      </c>
      <c r="C64" s="20" t="s">
        <v>662</v>
      </c>
      <c r="D64" s="20" t="s">
        <v>663</v>
      </c>
      <c r="E64" s="20" t="s">
        <v>2918</v>
      </c>
      <c r="F64" s="20" t="s">
        <v>1564</v>
      </c>
      <c r="G64" s="21" t="s">
        <v>2901</v>
      </c>
      <c r="H64" s="21"/>
    </row>
    <row r="65" spans="1:8" ht="17.100000000000001" customHeight="1" x14ac:dyDescent="0.25">
      <c r="A65" s="20" t="s">
        <v>1442</v>
      </c>
      <c r="B65" s="20" t="s">
        <v>1440</v>
      </c>
      <c r="C65" s="20" t="s">
        <v>662</v>
      </c>
      <c r="D65" s="20" t="s">
        <v>663</v>
      </c>
      <c r="E65" s="20" t="s">
        <v>2941</v>
      </c>
      <c r="F65" s="21" t="s">
        <v>1439</v>
      </c>
      <c r="G65" s="21" t="s">
        <v>2901</v>
      </c>
      <c r="H65" s="21"/>
    </row>
    <row r="66" spans="1:8" ht="17.100000000000001" customHeight="1" x14ac:dyDescent="0.25">
      <c r="A66" s="20" t="s">
        <v>1574</v>
      </c>
      <c r="B66" s="20" t="s">
        <v>1575</v>
      </c>
      <c r="C66" s="20" t="s">
        <v>662</v>
      </c>
      <c r="D66" s="20" t="s">
        <v>663</v>
      </c>
      <c r="E66" s="20" t="s">
        <v>2918</v>
      </c>
      <c r="F66" s="21" t="s">
        <v>1576</v>
      </c>
      <c r="G66" s="21" t="s">
        <v>2901</v>
      </c>
      <c r="H66" s="21"/>
    </row>
    <row r="67" spans="1:8" ht="17.100000000000001" customHeight="1" x14ac:dyDescent="0.25">
      <c r="A67" s="21" t="s">
        <v>1574</v>
      </c>
      <c r="B67" s="20" t="s">
        <v>1575</v>
      </c>
      <c r="C67" s="20" t="s">
        <v>662</v>
      </c>
      <c r="D67" s="20" t="s">
        <v>663</v>
      </c>
      <c r="E67" s="20" t="s">
        <v>2919</v>
      </c>
      <c r="F67" s="20" t="s">
        <v>1577</v>
      </c>
      <c r="G67" s="21" t="s">
        <v>2901</v>
      </c>
      <c r="H67" s="21"/>
    </row>
    <row r="68" spans="1:8" ht="17.100000000000001" customHeight="1" x14ac:dyDescent="0.25">
      <c r="A68" s="20" t="s">
        <v>1578</v>
      </c>
      <c r="B68" s="20" t="s">
        <v>1579</v>
      </c>
      <c r="C68" s="20" t="s">
        <v>662</v>
      </c>
      <c r="D68" s="20" t="s">
        <v>663</v>
      </c>
      <c r="E68" s="20" t="s">
        <v>2918</v>
      </c>
      <c r="F68" s="21" t="s">
        <v>1580</v>
      </c>
      <c r="G68" s="21" t="s">
        <v>2901</v>
      </c>
      <c r="H68" s="21"/>
    </row>
    <row r="69" spans="1:8" ht="17.100000000000001" customHeight="1" x14ac:dyDescent="0.25">
      <c r="A69" s="20" t="s">
        <v>1548</v>
      </c>
      <c r="B69" s="20" t="s">
        <v>1549</v>
      </c>
      <c r="C69" s="20" t="s">
        <v>662</v>
      </c>
      <c r="D69" s="20" t="s">
        <v>663</v>
      </c>
      <c r="E69" s="20" t="s">
        <v>2940</v>
      </c>
      <c r="F69" s="21" t="s">
        <v>1550</v>
      </c>
      <c r="G69" s="21" t="s">
        <v>2901</v>
      </c>
      <c r="H69" s="21"/>
    </row>
    <row r="70" spans="1:8" ht="17.100000000000001" customHeight="1" x14ac:dyDescent="0.25">
      <c r="A70" s="20" t="s">
        <v>1399</v>
      </c>
      <c r="B70" s="20" t="s">
        <v>1398</v>
      </c>
      <c r="C70" s="20" t="s">
        <v>662</v>
      </c>
      <c r="D70" s="20" t="s">
        <v>663</v>
      </c>
      <c r="E70" s="20" t="s">
        <v>2918</v>
      </c>
      <c r="F70" s="21" t="s">
        <v>1397</v>
      </c>
      <c r="G70" s="21" t="s">
        <v>2901</v>
      </c>
      <c r="H70" s="21"/>
    </row>
    <row r="71" spans="1:8" ht="17.100000000000001" customHeight="1" x14ac:dyDescent="0.25">
      <c r="A71" s="20" t="s">
        <v>1395</v>
      </c>
      <c r="B71" s="20" t="s">
        <v>1393</v>
      </c>
      <c r="C71" s="20" t="s">
        <v>662</v>
      </c>
      <c r="D71" s="20" t="s">
        <v>663</v>
      </c>
      <c r="E71" s="20" t="s">
        <v>2918</v>
      </c>
      <c r="F71" s="21" t="s">
        <v>1392</v>
      </c>
      <c r="G71" s="21" t="s">
        <v>2901</v>
      </c>
      <c r="H71" s="21"/>
    </row>
    <row r="72" spans="1:8" ht="17.100000000000001" customHeight="1" x14ac:dyDescent="0.25">
      <c r="A72" s="20" t="s">
        <v>1552</v>
      </c>
      <c r="B72" s="20" t="s">
        <v>1553</v>
      </c>
      <c r="C72" s="20" t="s">
        <v>662</v>
      </c>
      <c r="D72" s="20" t="s">
        <v>663</v>
      </c>
      <c r="E72" s="20" t="s">
        <v>2918</v>
      </c>
      <c r="F72" s="21" t="s">
        <v>1554</v>
      </c>
      <c r="G72" s="21" t="s">
        <v>2901</v>
      </c>
      <c r="H72" s="21"/>
    </row>
    <row r="73" spans="1:8" ht="17.100000000000001" customHeight="1" x14ac:dyDescent="0.25">
      <c r="A73" s="20" t="s">
        <v>1554</v>
      </c>
      <c r="B73" s="20" t="s">
        <v>1553</v>
      </c>
      <c r="C73" s="20" t="s">
        <v>662</v>
      </c>
      <c r="D73" s="20" t="s">
        <v>663</v>
      </c>
      <c r="E73" s="20" t="s">
        <v>2918</v>
      </c>
      <c r="F73" s="21" t="s">
        <v>1602</v>
      </c>
      <c r="G73" s="21" t="s">
        <v>2901</v>
      </c>
      <c r="H73" s="21"/>
    </row>
    <row r="74" spans="1:8" ht="17.100000000000001" customHeight="1" x14ac:dyDescent="0.25">
      <c r="A74" s="20" t="s">
        <v>1594</v>
      </c>
      <c r="B74" s="20" t="s">
        <v>1595</v>
      </c>
      <c r="C74" s="20" t="s">
        <v>662</v>
      </c>
      <c r="D74" s="20" t="s">
        <v>663</v>
      </c>
      <c r="E74" s="20" t="s">
        <v>2918</v>
      </c>
      <c r="F74" s="21" t="s">
        <v>1596</v>
      </c>
      <c r="G74" s="21" t="s">
        <v>2901</v>
      </c>
      <c r="H74" s="21"/>
    </row>
    <row r="75" spans="1:8" ht="17.100000000000001" customHeight="1" x14ac:dyDescent="0.25">
      <c r="A75" s="20" t="s">
        <v>1571</v>
      </c>
      <c r="B75" s="20" t="s">
        <v>1572</v>
      </c>
      <c r="C75" s="20" t="s">
        <v>662</v>
      </c>
      <c r="D75" s="20" t="s">
        <v>663</v>
      </c>
      <c r="E75" s="20" t="s">
        <v>2918</v>
      </c>
      <c r="F75" s="21" t="s">
        <v>1573</v>
      </c>
      <c r="G75" s="21" t="s">
        <v>2901</v>
      </c>
      <c r="H75" s="21"/>
    </row>
    <row r="76" spans="1:8" ht="17.100000000000001" customHeight="1" x14ac:dyDescent="0.25">
      <c r="A76" s="20" t="s">
        <v>1411</v>
      </c>
      <c r="B76" s="20" t="s">
        <v>1410</v>
      </c>
      <c r="C76" s="20" t="s">
        <v>662</v>
      </c>
      <c r="D76" s="20" t="s">
        <v>663</v>
      </c>
      <c r="E76" s="20" t="s">
        <v>2941</v>
      </c>
      <c r="F76" s="21" t="s">
        <v>1409</v>
      </c>
      <c r="G76" s="21" t="s">
        <v>2901</v>
      </c>
      <c r="H76" s="21"/>
    </row>
    <row r="77" spans="1:8" ht="17.100000000000001" customHeight="1" x14ac:dyDescent="0.25">
      <c r="A77" s="20" t="s">
        <v>1403</v>
      </c>
      <c r="B77" s="20" t="s">
        <v>1401</v>
      </c>
      <c r="C77" s="20" t="s">
        <v>662</v>
      </c>
      <c r="D77" s="20" t="s">
        <v>663</v>
      </c>
      <c r="E77" s="20" t="s">
        <v>2941</v>
      </c>
      <c r="F77" s="21" t="s">
        <v>1400</v>
      </c>
      <c r="G77" s="21" t="s">
        <v>2901</v>
      </c>
      <c r="H77" s="21"/>
    </row>
    <row r="78" spans="1:8" ht="17.100000000000001" customHeight="1" x14ac:dyDescent="0.25">
      <c r="A78" s="20" t="s">
        <v>1608</v>
      </c>
      <c r="B78" s="20" t="s">
        <v>1609</v>
      </c>
      <c r="C78" s="20" t="s">
        <v>662</v>
      </c>
      <c r="D78" s="20" t="s">
        <v>663</v>
      </c>
      <c r="E78" s="20" t="s">
        <v>2918</v>
      </c>
      <c r="F78" s="21" t="s">
        <v>1611</v>
      </c>
      <c r="G78" s="21" t="s">
        <v>2901</v>
      </c>
      <c r="H78" s="21"/>
    </row>
    <row r="79" spans="1:8" ht="17.100000000000001" customHeight="1" x14ac:dyDescent="0.25">
      <c r="A79" s="20" t="s">
        <v>1566</v>
      </c>
      <c r="B79" s="20" t="s">
        <v>1567</v>
      </c>
      <c r="C79" s="20" t="s">
        <v>662</v>
      </c>
      <c r="D79" s="20" t="s">
        <v>663</v>
      </c>
      <c r="E79" s="20" t="s">
        <v>2918</v>
      </c>
      <c r="F79" s="21" t="s">
        <v>1570</v>
      </c>
      <c r="G79" s="21" t="s">
        <v>2901</v>
      </c>
      <c r="H79" s="21"/>
    </row>
    <row r="80" spans="1:8" ht="17.100000000000001" customHeight="1" x14ac:dyDescent="0.25">
      <c r="A80" s="21" t="s">
        <v>1566</v>
      </c>
      <c r="B80" s="20" t="s">
        <v>1567</v>
      </c>
      <c r="C80" s="20" t="s">
        <v>662</v>
      </c>
      <c r="D80" s="20" t="s">
        <v>663</v>
      </c>
      <c r="E80" s="20" t="s">
        <v>2918</v>
      </c>
      <c r="F80" s="20" t="s">
        <v>1568</v>
      </c>
      <c r="G80" s="21" t="s">
        <v>2901</v>
      </c>
      <c r="H80" s="21"/>
    </row>
    <row r="81" spans="1:8" ht="17.100000000000001" customHeight="1" x14ac:dyDescent="0.25">
      <c r="A81" s="21" t="s">
        <v>1615</v>
      </c>
      <c r="B81" s="20" t="s">
        <v>1616</v>
      </c>
      <c r="C81" s="20" t="s">
        <v>662</v>
      </c>
      <c r="D81" s="20" t="s">
        <v>663</v>
      </c>
      <c r="E81" s="20" t="s">
        <v>2918</v>
      </c>
      <c r="F81" s="20" t="s">
        <v>1617</v>
      </c>
      <c r="G81" s="21" t="s">
        <v>2901</v>
      </c>
      <c r="H81" s="21"/>
    </row>
    <row r="82" spans="1:8" ht="17.100000000000001" customHeight="1" x14ac:dyDescent="0.25">
      <c r="A82" s="21" t="s">
        <v>1240</v>
      </c>
      <c r="B82" s="20" t="s">
        <v>1239</v>
      </c>
      <c r="C82" s="20" t="s">
        <v>662</v>
      </c>
      <c r="D82" s="20" t="s">
        <v>663</v>
      </c>
      <c r="E82" s="20" t="s">
        <v>2918</v>
      </c>
      <c r="F82" s="20" t="s">
        <v>1618</v>
      </c>
      <c r="G82" s="21" t="s">
        <v>2901</v>
      </c>
      <c r="H82" s="21"/>
    </row>
    <row r="83" spans="1:8" ht="17.100000000000001" customHeight="1" x14ac:dyDescent="0.25">
      <c r="A83" s="28"/>
      <c r="B83" s="28"/>
      <c r="C83" s="28"/>
      <c r="D83" s="28"/>
      <c r="E83" s="28"/>
      <c r="F83" s="29"/>
      <c r="G83" s="29"/>
      <c r="H83" s="29"/>
    </row>
    <row r="84" spans="1:8" ht="17.100000000000001" customHeight="1" x14ac:dyDescent="0.25">
      <c r="A84" s="20" t="s">
        <v>1632</v>
      </c>
      <c r="B84" s="20" t="s">
        <v>2831</v>
      </c>
      <c r="C84" s="20" t="s">
        <v>662</v>
      </c>
      <c r="D84" s="20" t="s">
        <v>663</v>
      </c>
      <c r="E84" s="20" t="s">
        <v>2919</v>
      </c>
      <c r="F84" s="21" t="s">
        <v>1292</v>
      </c>
      <c r="G84" s="21" t="s">
        <v>2901</v>
      </c>
      <c r="H84" s="21" t="s">
        <v>2927</v>
      </c>
    </row>
    <row r="85" spans="1:8" ht="17.100000000000001" customHeight="1" x14ac:dyDescent="0.25">
      <c r="A85" s="20" t="s">
        <v>1577</v>
      </c>
      <c r="B85" s="20" t="s">
        <v>1575</v>
      </c>
      <c r="C85" s="20" t="s">
        <v>662</v>
      </c>
      <c r="D85" s="20" t="s">
        <v>663</v>
      </c>
      <c r="E85" s="20" t="s">
        <v>2918</v>
      </c>
      <c r="F85" s="21" t="s">
        <v>1634</v>
      </c>
      <c r="G85" s="21" t="s">
        <v>2901</v>
      </c>
      <c r="H85" s="21"/>
    </row>
    <row r="86" spans="1:8" ht="17.100000000000001" customHeight="1" x14ac:dyDescent="0.25">
      <c r="A86" s="20" t="s">
        <v>1606</v>
      </c>
      <c r="B86" s="20" t="s">
        <v>1605</v>
      </c>
      <c r="C86" s="20" t="s">
        <v>662</v>
      </c>
      <c r="D86" s="20" t="s">
        <v>663</v>
      </c>
      <c r="E86" s="20" t="s">
        <v>2918</v>
      </c>
      <c r="F86" s="21" t="s">
        <v>1639</v>
      </c>
      <c r="G86" s="21" t="s">
        <v>2901</v>
      </c>
      <c r="H86" s="21"/>
    </row>
    <row r="87" spans="1:8" ht="17.100000000000001" customHeight="1" x14ac:dyDescent="0.25">
      <c r="A87" s="20" t="s">
        <v>1622</v>
      </c>
      <c r="B87" s="20" t="s">
        <v>1623</v>
      </c>
      <c r="C87" s="20" t="s">
        <v>662</v>
      </c>
      <c r="D87" s="20" t="s">
        <v>663</v>
      </c>
      <c r="E87" s="20" t="s">
        <v>2919</v>
      </c>
      <c r="F87" s="21" t="s">
        <v>1624</v>
      </c>
      <c r="G87" s="21" t="s">
        <v>2901</v>
      </c>
      <c r="H87" s="21"/>
    </row>
    <row r="88" spans="1:8" ht="17.100000000000001" customHeight="1" x14ac:dyDescent="0.25">
      <c r="A88" s="20" t="s">
        <v>1625</v>
      </c>
      <c r="B88" s="20" t="s">
        <v>1626</v>
      </c>
      <c r="C88" s="20" t="s">
        <v>662</v>
      </c>
      <c r="D88" s="20" t="s">
        <v>663</v>
      </c>
      <c r="E88" s="20" t="s">
        <v>2919</v>
      </c>
      <c r="F88" s="21" t="s">
        <v>1627</v>
      </c>
      <c r="G88" s="21" t="s">
        <v>2901</v>
      </c>
      <c r="H88" s="21"/>
    </row>
    <row r="89" spans="1:8" ht="17.100000000000001" customHeight="1" x14ac:dyDescent="0.25">
      <c r="A89" s="28"/>
      <c r="B89" s="28"/>
      <c r="C89" s="28"/>
      <c r="D89" s="28"/>
      <c r="E89" s="28"/>
      <c r="F89" s="29"/>
      <c r="G89" s="29"/>
      <c r="H89" s="29"/>
    </row>
    <row r="90" spans="1:8" ht="17.100000000000001" customHeight="1" x14ac:dyDescent="0.25">
      <c r="A90" s="20" t="s">
        <v>1619</v>
      </c>
      <c r="B90" s="20" t="s">
        <v>392</v>
      </c>
      <c r="C90" s="20" t="s">
        <v>662</v>
      </c>
      <c r="D90" s="20" t="s">
        <v>663</v>
      </c>
      <c r="E90" s="20" t="s">
        <v>2918</v>
      </c>
      <c r="F90" s="21" t="s">
        <v>1621</v>
      </c>
      <c r="G90" s="21" t="s">
        <v>2901</v>
      </c>
      <c r="H90" s="21" t="s">
        <v>2928</v>
      </c>
    </row>
    <row r="91" spans="1:8" ht="17.100000000000001" customHeight="1" x14ac:dyDescent="0.25">
      <c r="A91" s="20" t="s">
        <v>1619</v>
      </c>
      <c r="B91" s="20" t="s">
        <v>392</v>
      </c>
      <c r="C91" s="20" t="s">
        <v>662</v>
      </c>
      <c r="D91" s="20" t="s">
        <v>663</v>
      </c>
      <c r="E91" s="20" t="s">
        <v>2918</v>
      </c>
      <c r="F91" s="21" t="s">
        <v>1322</v>
      </c>
      <c r="G91" s="21" t="s">
        <v>2901</v>
      </c>
      <c r="H91" s="21"/>
    </row>
    <row r="92" spans="1:8" ht="17.100000000000001" customHeight="1" x14ac:dyDescent="0.25">
      <c r="A92" s="20" t="s">
        <v>1621</v>
      </c>
      <c r="B92" s="20" t="s">
        <v>392</v>
      </c>
      <c r="C92" s="20" t="s">
        <v>662</v>
      </c>
      <c r="D92" s="20" t="s">
        <v>663</v>
      </c>
      <c r="E92" s="20" t="s">
        <v>2918</v>
      </c>
      <c r="F92" s="21" t="s">
        <v>1638</v>
      </c>
      <c r="G92" s="21" t="s">
        <v>2901</v>
      </c>
      <c r="H92" s="21"/>
    </row>
    <row r="93" spans="1:8" ht="17.100000000000001" customHeight="1" x14ac:dyDescent="0.25">
      <c r="A93" s="20" t="s">
        <v>1628</v>
      </c>
      <c r="B93" s="20" t="s">
        <v>1629</v>
      </c>
      <c r="C93" s="20" t="s">
        <v>662</v>
      </c>
      <c r="D93" s="20" t="s">
        <v>663</v>
      </c>
      <c r="E93" s="20" t="s">
        <v>2919</v>
      </c>
      <c r="F93" s="21" t="s">
        <v>1630</v>
      </c>
      <c r="G93" s="21" t="s">
        <v>2901</v>
      </c>
      <c r="H93" s="21"/>
    </row>
    <row r="94" spans="1:8" ht="17.100000000000001" customHeight="1" x14ac:dyDescent="0.25">
      <c r="A94" s="20" t="s">
        <v>1635</v>
      </c>
      <c r="B94" s="20" t="s">
        <v>1567</v>
      </c>
      <c r="C94" s="20" t="s">
        <v>662</v>
      </c>
      <c r="D94" s="20" t="s">
        <v>663</v>
      </c>
      <c r="E94" s="20" t="s">
        <v>2918</v>
      </c>
      <c r="F94" s="21" t="s">
        <v>1636</v>
      </c>
      <c r="G94" s="21" t="s">
        <v>2901</v>
      </c>
      <c r="H94" s="21"/>
    </row>
    <row r="95" spans="1:8" ht="17.100000000000001" customHeight="1" x14ac:dyDescent="0.25">
      <c r="A95" s="28"/>
      <c r="B95" s="28"/>
      <c r="C95" s="28"/>
      <c r="D95" s="28"/>
      <c r="E95" s="28"/>
      <c r="F95" s="29"/>
      <c r="G95" s="29"/>
      <c r="H95" s="29"/>
    </row>
    <row r="96" spans="1:8" ht="17.100000000000001" customHeight="1" x14ac:dyDescent="0.25">
      <c r="A96" s="20" t="s">
        <v>1651</v>
      </c>
      <c r="B96" s="20" t="s">
        <v>2831</v>
      </c>
      <c r="C96" s="20" t="s">
        <v>662</v>
      </c>
      <c r="D96" s="20" t="s">
        <v>663</v>
      </c>
      <c r="E96" s="20" t="s">
        <v>2918</v>
      </c>
      <c r="F96" s="21" t="s">
        <v>1292</v>
      </c>
      <c r="G96" s="21" t="s">
        <v>2901</v>
      </c>
      <c r="H96" s="21" t="s">
        <v>2929</v>
      </c>
    </row>
    <row r="97" spans="1:8" ht="17.100000000000001" customHeight="1" x14ac:dyDescent="0.25">
      <c r="A97" s="20" t="s">
        <v>1294</v>
      </c>
      <c r="B97" s="20" t="s">
        <v>392</v>
      </c>
      <c r="C97" s="20" t="s">
        <v>662</v>
      </c>
      <c r="D97" s="20" t="s">
        <v>663</v>
      </c>
      <c r="E97" s="20" t="s">
        <v>2918</v>
      </c>
      <c r="F97" s="21" t="s">
        <v>1613</v>
      </c>
      <c r="G97" s="21" t="s">
        <v>2901</v>
      </c>
      <c r="H97" s="21"/>
    </row>
    <row r="98" spans="1:8" ht="17.100000000000001" customHeight="1" x14ac:dyDescent="0.25">
      <c r="A98" s="20" t="s">
        <v>1652</v>
      </c>
      <c r="B98" s="20" t="s">
        <v>392</v>
      </c>
      <c r="C98" s="20" t="s">
        <v>662</v>
      </c>
      <c r="D98" s="20" t="s">
        <v>663</v>
      </c>
      <c r="E98" s="20" t="s">
        <v>2918</v>
      </c>
      <c r="F98" s="21" t="s">
        <v>1294</v>
      </c>
      <c r="G98" s="21" t="s">
        <v>2901</v>
      </c>
      <c r="H98" s="21"/>
    </row>
    <row r="99" spans="1:8" ht="17.100000000000001" customHeight="1" x14ac:dyDescent="0.25">
      <c r="A99" s="20"/>
      <c r="B99" s="20"/>
      <c r="C99" s="20"/>
      <c r="D99" s="20"/>
      <c r="E99" s="20"/>
      <c r="F99" s="21"/>
      <c r="G99" s="21"/>
      <c r="H99" s="21"/>
    </row>
    <row r="100" spans="1:8" ht="17.100000000000001" customHeight="1" x14ac:dyDescent="0.25">
      <c r="A100" s="20" t="s">
        <v>1383</v>
      </c>
      <c r="B100" s="20" t="s">
        <v>2831</v>
      </c>
      <c r="C100" s="20" t="s">
        <v>662</v>
      </c>
      <c r="D100" s="20" t="s">
        <v>673</v>
      </c>
      <c r="E100" s="20" t="s">
        <v>2919</v>
      </c>
      <c r="F100" s="21" t="s">
        <v>1287</v>
      </c>
      <c r="G100" s="21" t="s">
        <v>2901</v>
      </c>
      <c r="H100" s="21"/>
    </row>
    <row r="101" spans="1:8" ht="17.100000000000001" customHeight="1" x14ac:dyDescent="0.25">
      <c r="A101" s="20" t="s">
        <v>1311</v>
      </c>
      <c r="B101" s="20" t="s">
        <v>2831</v>
      </c>
      <c r="C101" s="20" t="s">
        <v>662</v>
      </c>
      <c r="D101" s="20" t="s">
        <v>673</v>
      </c>
      <c r="E101" s="20" t="s">
        <v>2941</v>
      </c>
      <c r="F101" s="21" t="s">
        <v>1319</v>
      </c>
      <c r="G101" s="21" t="s">
        <v>2901</v>
      </c>
      <c r="H101" s="21"/>
    </row>
    <row r="102" spans="1:8" ht="17.100000000000001" customHeight="1" x14ac:dyDescent="0.25">
      <c r="A102" s="20" t="s">
        <v>1274</v>
      </c>
      <c r="B102" s="20" t="s">
        <v>2831</v>
      </c>
      <c r="C102" s="20" t="s">
        <v>662</v>
      </c>
      <c r="D102" s="20" t="s">
        <v>673</v>
      </c>
      <c r="E102" s="20" t="s">
        <v>2919</v>
      </c>
      <c r="F102" s="21" t="s">
        <v>1292</v>
      </c>
      <c r="G102" s="21" t="s">
        <v>2901</v>
      </c>
      <c r="H102" s="21"/>
    </row>
    <row r="103" spans="1:8" ht="17.100000000000001" customHeight="1" x14ac:dyDescent="0.25">
      <c r="A103" s="20" t="s">
        <v>1319</v>
      </c>
      <c r="B103" s="20" t="s">
        <v>2831</v>
      </c>
      <c r="C103" s="20" t="s">
        <v>662</v>
      </c>
      <c r="D103" s="20" t="s">
        <v>673</v>
      </c>
      <c r="E103" s="20" t="s">
        <v>2941</v>
      </c>
      <c r="F103" s="21" t="s">
        <v>1315</v>
      </c>
      <c r="G103" s="21" t="s">
        <v>2901</v>
      </c>
      <c r="H103" s="21"/>
    </row>
    <row r="104" spans="1:8" ht="17.100000000000001" customHeight="1" x14ac:dyDescent="0.25">
      <c r="A104" s="20"/>
      <c r="B104" s="20"/>
      <c r="C104" s="20"/>
      <c r="D104" s="20"/>
      <c r="E104" s="20"/>
      <c r="F104" s="21"/>
      <c r="G104" s="21"/>
      <c r="H104" s="21"/>
    </row>
    <row r="105" spans="1:8" ht="17.100000000000001" customHeight="1" x14ac:dyDescent="0.25">
      <c r="A105" s="20" t="s">
        <v>1274</v>
      </c>
      <c r="B105" s="20" t="s">
        <v>2831</v>
      </c>
      <c r="C105" s="20" t="s">
        <v>662</v>
      </c>
      <c r="D105" s="20" t="s">
        <v>898</v>
      </c>
      <c r="E105" s="20" t="s">
        <v>2918</v>
      </c>
      <c r="F105" s="21" t="s">
        <v>1318</v>
      </c>
      <c r="G105" s="21" t="s">
        <v>2901</v>
      </c>
      <c r="H105" s="21"/>
    </row>
    <row r="106" spans="1:8" ht="17.100000000000001" customHeight="1" x14ac:dyDescent="0.25">
      <c r="A106" s="28"/>
      <c r="B106" s="28"/>
      <c r="C106" s="28"/>
      <c r="D106" s="28"/>
      <c r="E106" s="28"/>
      <c r="F106" s="29"/>
      <c r="G106" s="29"/>
      <c r="H106" s="29"/>
    </row>
    <row r="107" spans="1:8" ht="17.100000000000001" customHeight="1" x14ac:dyDescent="0.25">
      <c r="A107" s="20" t="s">
        <v>1532</v>
      </c>
      <c r="B107" s="20" t="s">
        <v>1533</v>
      </c>
      <c r="C107" s="20" t="s">
        <v>662</v>
      </c>
      <c r="D107" s="20" t="s">
        <v>673</v>
      </c>
      <c r="E107" s="20" t="s">
        <v>2919</v>
      </c>
      <c r="F107" s="21" t="s">
        <v>1535</v>
      </c>
      <c r="G107" s="21" t="s">
        <v>2901</v>
      </c>
      <c r="H107" s="21" t="s">
        <v>2915</v>
      </c>
    </row>
    <row r="108" spans="1:8" ht="17.100000000000001" customHeight="1" x14ac:dyDescent="0.25">
      <c r="A108" s="20" t="s">
        <v>1511</v>
      </c>
      <c r="B108" s="20" t="s">
        <v>391</v>
      </c>
      <c r="C108" s="20" t="s">
        <v>662</v>
      </c>
      <c r="D108" s="20" t="s">
        <v>673</v>
      </c>
      <c r="E108" s="20" t="s">
        <v>2918</v>
      </c>
      <c r="F108" s="21" t="s">
        <v>1324</v>
      </c>
      <c r="G108" s="21" t="s">
        <v>2901</v>
      </c>
      <c r="H108" s="21"/>
    </row>
    <row r="109" spans="1:8" ht="17.100000000000001" customHeight="1" x14ac:dyDescent="0.25">
      <c r="A109" s="20" t="s">
        <v>1527</v>
      </c>
      <c r="B109" s="20" t="s">
        <v>391</v>
      </c>
      <c r="C109" s="20" t="s">
        <v>662</v>
      </c>
      <c r="D109" s="20" t="s">
        <v>673</v>
      </c>
      <c r="E109" s="20" t="s">
        <v>2941</v>
      </c>
      <c r="F109" s="21" t="s">
        <v>1324</v>
      </c>
      <c r="G109" s="21" t="s">
        <v>2901</v>
      </c>
      <c r="H109" s="21"/>
    </row>
    <row r="110" spans="1:8" ht="17.100000000000001" customHeight="1" x14ac:dyDescent="0.25">
      <c r="A110" s="20" t="s">
        <v>1528</v>
      </c>
      <c r="B110" s="20" t="s">
        <v>391</v>
      </c>
      <c r="C110" s="20" t="s">
        <v>662</v>
      </c>
      <c r="D110" s="20" t="s">
        <v>673</v>
      </c>
      <c r="E110" s="20" t="s">
        <v>2918</v>
      </c>
      <c r="F110" s="21" t="s">
        <v>1326</v>
      </c>
      <c r="G110" s="21" t="s">
        <v>2901</v>
      </c>
      <c r="H110" s="21"/>
    </row>
    <row r="111" spans="1:8" ht="17.100000000000001" customHeight="1" x14ac:dyDescent="0.25">
      <c r="A111" s="20" t="s">
        <v>1536</v>
      </c>
      <c r="B111" s="20" t="s">
        <v>391</v>
      </c>
      <c r="C111" s="20" t="s">
        <v>662</v>
      </c>
      <c r="D111" s="20" t="s">
        <v>673</v>
      </c>
      <c r="E111" s="20" t="s">
        <v>2918</v>
      </c>
      <c r="F111" s="21" t="s">
        <v>1201</v>
      </c>
      <c r="G111" s="21" t="s">
        <v>2901</v>
      </c>
      <c r="H111" s="21"/>
    </row>
    <row r="112" spans="1:8" ht="17.100000000000001" customHeight="1" x14ac:dyDescent="0.25">
      <c r="A112" s="20" t="s">
        <v>1544</v>
      </c>
      <c r="B112" s="20" t="s">
        <v>392</v>
      </c>
      <c r="C112" s="20" t="s">
        <v>662</v>
      </c>
      <c r="D112" s="20" t="s">
        <v>673</v>
      </c>
      <c r="E112" s="20" t="s">
        <v>2918</v>
      </c>
      <c r="F112" s="21" t="s">
        <v>1294</v>
      </c>
      <c r="G112" s="21" t="s">
        <v>2901</v>
      </c>
      <c r="H112" s="21"/>
    </row>
    <row r="113" spans="1:8" ht="17.100000000000001" customHeight="1" x14ac:dyDescent="0.25">
      <c r="A113" s="20"/>
      <c r="B113" s="20"/>
      <c r="C113" s="20"/>
      <c r="D113" s="20"/>
      <c r="E113" s="20"/>
      <c r="F113" s="21"/>
      <c r="G113" s="21"/>
      <c r="H113" s="21"/>
    </row>
    <row r="114" spans="1:8" ht="17.100000000000001" customHeight="1" x14ac:dyDescent="0.25">
      <c r="A114" s="20" t="s">
        <v>1543</v>
      </c>
      <c r="B114" s="20" t="s">
        <v>388</v>
      </c>
      <c r="C114" s="20" t="s">
        <v>662</v>
      </c>
      <c r="D114" s="20" t="s">
        <v>898</v>
      </c>
      <c r="E114" s="20" t="s">
        <v>2918</v>
      </c>
      <c r="F114" s="21" t="s">
        <v>1323</v>
      </c>
      <c r="G114" s="21" t="s">
        <v>2901</v>
      </c>
      <c r="H114" s="21"/>
    </row>
    <row r="115" spans="1:8" ht="17.100000000000001" customHeight="1" x14ac:dyDescent="0.25">
      <c r="A115" s="20" t="s">
        <v>1542</v>
      </c>
      <c r="B115" s="20" t="s">
        <v>391</v>
      </c>
      <c r="C115" s="20" t="s">
        <v>662</v>
      </c>
      <c r="D115" s="20" t="s">
        <v>898</v>
      </c>
      <c r="E115" s="20" t="s">
        <v>2918</v>
      </c>
      <c r="F115" s="21" t="s">
        <v>1324</v>
      </c>
      <c r="G115" s="21" t="s">
        <v>2901</v>
      </c>
      <c r="H115" s="21"/>
    </row>
    <row r="116" spans="1:8" ht="17.100000000000001" customHeight="1" x14ac:dyDescent="0.25">
      <c r="A116" s="28"/>
      <c r="B116" s="28"/>
      <c r="C116" s="28"/>
      <c r="D116" s="28"/>
      <c r="E116" s="28"/>
      <c r="F116" s="29"/>
      <c r="G116" s="29"/>
      <c r="H116" s="29"/>
    </row>
    <row r="117" spans="1:8" ht="17.100000000000001" customHeight="1" x14ac:dyDescent="0.25">
      <c r="A117" s="21" t="s">
        <v>1498</v>
      </c>
      <c r="B117" s="20" t="s">
        <v>1497</v>
      </c>
      <c r="C117" s="20" t="s">
        <v>662</v>
      </c>
      <c r="D117" s="20" t="s">
        <v>663</v>
      </c>
      <c r="E117" s="20" t="s">
        <v>2918</v>
      </c>
      <c r="F117" s="20" t="s">
        <v>1496</v>
      </c>
      <c r="G117" s="21" t="s">
        <v>2901</v>
      </c>
      <c r="H117" s="21" t="s">
        <v>449</v>
      </c>
    </row>
    <row r="118" spans="1:8" ht="17.100000000000001" customHeight="1" x14ac:dyDescent="0.25">
      <c r="A118" s="21" t="s">
        <v>1414</v>
      </c>
      <c r="B118" s="20" t="s">
        <v>1413</v>
      </c>
      <c r="C118" s="20" t="s">
        <v>662</v>
      </c>
      <c r="D118" s="20" t="s">
        <v>663</v>
      </c>
      <c r="E118" s="20" t="s">
        <v>2918</v>
      </c>
      <c r="F118" s="20" t="s">
        <v>1412</v>
      </c>
      <c r="G118" s="21" t="s">
        <v>2901</v>
      </c>
      <c r="H118" s="21"/>
    </row>
    <row r="119" spans="1:8" ht="17.100000000000001" customHeight="1" x14ac:dyDescent="0.25">
      <c r="A119" s="21" t="s">
        <v>1407</v>
      </c>
      <c r="B119" s="20" t="s">
        <v>1405</v>
      </c>
      <c r="C119" s="20" t="s">
        <v>662</v>
      </c>
      <c r="D119" s="20" t="s">
        <v>663</v>
      </c>
      <c r="E119" s="20" t="s">
        <v>2918</v>
      </c>
      <c r="F119" s="20" t="s">
        <v>1404</v>
      </c>
      <c r="G119" s="21" t="s">
        <v>2901</v>
      </c>
      <c r="H119" s="21"/>
    </row>
    <row r="120" spans="1:8" ht="17.100000000000001" customHeight="1" x14ac:dyDescent="0.25">
      <c r="A120" s="21" t="s">
        <v>1494</v>
      </c>
      <c r="B120" s="20" t="s">
        <v>1492</v>
      </c>
      <c r="C120" s="20" t="s">
        <v>662</v>
      </c>
      <c r="D120" s="20" t="s">
        <v>663</v>
      </c>
      <c r="E120" s="20" t="s">
        <v>2918</v>
      </c>
      <c r="F120" s="20" t="s">
        <v>1491</v>
      </c>
      <c r="G120" s="21" t="s">
        <v>2901</v>
      </c>
      <c r="H120" s="21"/>
    </row>
    <row r="121" spans="1:8" ht="17.100000000000001" customHeight="1" x14ac:dyDescent="0.25">
      <c r="A121" s="20"/>
      <c r="B121" s="20"/>
      <c r="C121" s="20"/>
      <c r="D121" s="20"/>
      <c r="E121" s="20"/>
      <c r="F121" s="21"/>
      <c r="G121" s="21"/>
      <c r="H121" s="21"/>
    </row>
    <row r="122" spans="1:8" ht="17.100000000000001" customHeight="1" x14ac:dyDescent="0.25">
      <c r="A122" s="20" t="s">
        <v>1645</v>
      </c>
      <c r="B122" s="20" t="s">
        <v>2863</v>
      </c>
      <c r="C122" s="20" t="s">
        <v>662</v>
      </c>
      <c r="D122" s="20" t="s">
        <v>898</v>
      </c>
      <c r="E122" s="20" t="s">
        <v>2918</v>
      </c>
      <c r="F122" s="21" t="s">
        <v>1647</v>
      </c>
      <c r="G122" s="21" t="s">
        <v>2901</v>
      </c>
      <c r="H122" s="21"/>
    </row>
    <row r="123" spans="1:8" ht="17.100000000000001" customHeight="1" x14ac:dyDescent="0.25">
      <c r="A123" s="21" t="s">
        <v>1517</v>
      </c>
      <c r="B123" s="20" t="s">
        <v>1515</v>
      </c>
      <c r="C123" s="20" t="s">
        <v>662</v>
      </c>
      <c r="D123" s="20" t="s">
        <v>898</v>
      </c>
      <c r="E123" s="20" t="s">
        <v>2918</v>
      </c>
      <c r="F123" s="20" t="s">
        <v>1514</v>
      </c>
      <c r="G123" s="21" t="s">
        <v>2901</v>
      </c>
      <c r="H123" s="21"/>
    </row>
    <row r="124" spans="1:8" ht="17.100000000000001" customHeight="1" x14ac:dyDescent="0.25">
      <c r="A124" s="26"/>
      <c r="B124" s="26"/>
      <c r="C124" s="26"/>
      <c r="D124" s="26"/>
      <c r="E124" s="26"/>
      <c r="F124" s="27"/>
      <c r="G124" s="27"/>
      <c r="H124" s="27"/>
    </row>
    <row r="125" spans="1:8" ht="17.100000000000001" customHeight="1" x14ac:dyDescent="0.25">
      <c r="A125" s="20" t="s">
        <v>1224</v>
      </c>
      <c r="B125" s="20" t="s">
        <v>1222</v>
      </c>
      <c r="C125" s="20" t="s">
        <v>662</v>
      </c>
      <c r="D125" s="20" t="s">
        <v>663</v>
      </c>
      <c r="E125" s="20" t="s">
        <v>2935</v>
      </c>
      <c r="F125" s="21" t="s">
        <v>1221</v>
      </c>
      <c r="G125" s="21" t="s">
        <v>2902</v>
      </c>
      <c r="H125" s="21" t="s">
        <v>2921</v>
      </c>
    </row>
    <row r="126" spans="1:8" ht="17.100000000000001" customHeight="1" x14ac:dyDescent="0.25">
      <c r="A126" s="20" t="s">
        <v>1228</v>
      </c>
      <c r="B126" s="20" t="s">
        <v>1227</v>
      </c>
      <c r="C126" s="20" t="s">
        <v>662</v>
      </c>
      <c r="D126" s="20" t="s">
        <v>663</v>
      </c>
      <c r="E126" s="20" t="s">
        <v>2935</v>
      </c>
      <c r="F126" s="21" t="s">
        <v>1226</v>
      </c>
      <c r="G126" s="21" t="s">
        <v>2902</v>
      </c>
      <c r="H126" s="21"/>
    </row>
    <row r="127" spans="1:8" ht="17.100000000000001" customHeight="1" x14ac:dyDescent="0.25">
      <c r="A127" s="20" t="s">
        <v>1245</v>
      </c>
      <c r="B127" s="20" t="s">
        <v>940</v>
      </c>
      <c r="C127" s="20" t="s">
        <v>662</v>
      </c>
      <c r="D127" s="20" t="s">
        <v>663</v>
      </c>
      <c r="E127" s="20" t="s">
        <v>2935</v>
      </c>
      <c r="F127" s="21" t="s">
        <v>941</v>
      </c>
      <c r="G127" s="21" t="s">
        <v>2902</v>
      </c>
      <c r="H127" s="21"/>
    </row>
    <row r="128" spans="1:8" ht="17.100000000000001" customHeight="1" x14ac:dyDescent="0.25">
      <c r="A128" s="20" t="s">
        <v>1248</v>
      </c>
      <c r="B128" s="20" t="s">
        <v>1247</v>
      </c>
      <c r="C128" s="20" t="s">
        <v>662</v>
      </c>
      <c r="D128" s="20" t="s">
        <v>663</v>
      </c>
      <c r="E128" s="20" t="s">
        <v>2935</v>
      </c>
      <c r="F128" s="21" t="s">
        <v>1246</v>
      </c>
      <c r="G128" s="21" t="s">
        <v>2902</v>
      </c>
      <c r="H128" s="21"/>
    </row>
    <row r="129" spans="1:8" ht="17.100000000000001" customHeight="1" x14ac:dyDescent="0.25">
      <c r="A129" s="20" t="s">
        <v>1252</v>
      </c>
      <c r="B129" s="20" t="s">
        <v>1251</v>
      </c>
      <c r="C129" s="20" t="s">
        <v>662</v>
      </c>
      <c r="D129" s="20" t="s">
        <v>663</v>
      </c>
      <c r="E129" s="20" t="s">
        <v>2935</v>
      </c>
      <c r="F129" s="21" t="s">
        <v>1250</v>
      </c>
      <c r="G129" s="21" t="s">
        <v>2902</v>
      </c>
      <c r="H129" s="21"/>
    </row>
    <row r="130" spans="1:8" ht="17.100000000000001" customHeight="1" x14ac:dyDescent="0.25">
      <c r="A130" s="20" t="s">
        <v>1263</v>
      </c>
      <c r="B130" s="20" t="s">
        <v>1262</v>
      </c>
      <c r="C130" s="20" t="s">
        <v>662</v>
      </c>
      <c r="D130" s="20" t="s">
        <v>663</v>
      </c>
      <c r="E130" s="20" t="s">
        <v>2935</v>
      </c>
      <c r="F130" s="21" t="s">
        <v>1261</v>
      </c>
      <c r="G130" s="21" t="s">
        <v>2902</v>
      </c>
      <c r="H130" s="21"/>
    </row>
    <row r="131" spans="1:8" ht="17.100000000000001" customHeight="1" x14ac:dyDescent="0.25">
      <c r="A131" s="20" t="s">
        <v>1266</v>
      </c>
      <c r="B131" s="20" t="s">
        <v>1265</v>
      </c>
      <c r="C131" s="20" t="s">
        <v>662</v>
      </c>
      <c r="D131" s="20" t="s">
        <v>663</v>
      </c>
      <c r="E131" s="20" t="s">
        <v>2935</v>
      </c>
      <c r="F131" s="21" t="s">
        <v>1264</v>
      </c>
      <c r="G131" s="21" t="s">
        <v>2902</v>
      </c>
      <c r="H131" s="21"/>
    </row>
    <row r="132" spans="1:8" ht="17.100000000000001" customHeight="1" x14ac:dyDescent="0.25">
      <c r="A132" s="20" t="s">
        <v>1237</v>
      </c>
      <c r="B132" s="20" t="s">
        <v>959</v>
      </c>
      <c r="C132" s="20" t="s">
        <v>662</v>
      </c>
      <c r="D132" s="20" t="s">
        <v>663</v>
      </c>
      <c r="E132" s="20" t="s">
        <v>2935</v>
      </c>
      <c r="F132" s="21" t="s">
        <v>961</v>
      </c>
      <c r="G132" s="21" t="s">
        <v>2902</v>
      </c>
      <c r="H132" s="21"/>
    </row>
    <row r="133" spans="1:8" ht="17.100000000000001" customHeight="1" x14ac:dyDescent="0.25">
      <c r="A133" s="20" t="s">
        <v>1280</v>
      </c>
      <c r="B133" s="20" t="s">
        <v>1279</v>
      </c>
      <c r="C133" s="20" t="s">
        <v>662</v>
      </c>
      <c r="D133" s="20" t="s">
        <v>663</v>
      </c>
      <c r="E133" s="20" t="s">
        <v>2935</v>
      </c>
      <c r="F133" s="21" t="s">
        <v>1278</v>
      </c>
      <c r="G133" s="21" t="s">
        <v>2902</v>
      </c>
      <c r="H133" s="21"/>
    </row>
    <row r="134" spans="1:8" ht="17.100000000000001" customHeight="1" x14ac:dyDescent="0.25">
      <c r="A134" s="20"/>
      <c r="B134" s="20"/>
      <c r="C134" s="20"/>
      <c r="D134" s="20"/>
      <c r="E134" s="20"/>
      <c r="F134" s="21"/>
      <c r="G134" s="21"/>
      <c r="H134" s="21"/>
    </row>
    <row r="135" spans="1:8" ht="17.100000000000001" customHeight="1" x14ac:dyDescent="0.25">
      <c r="A135" s="20" t="s">
        <v>1290</v>
      </c>
      <c r="B135" s="20" t="s">
        <v>2848</v>
      </c>
      <c r="C135" s="20" t="s">
        <v>662</v>
      </c>
      <c r="D135" s="20" t="s">
        <v>663</v>
      </c>
      <c r="E135" s="20" t="s">
        <v>2935</v>
      </c>
      <c r="F135" s="21" t="s">
        <v>1288</v>
      </c>
      <c r="G135" s="21" t="s">
        <v>2902</v>
      </c>
      <c r="H135" s="21"/>
    </row>
    <row r="136" spans="1:8" ht="17.100000000000001" customHeight="1" x14ac:dyDescent="0.25">
      <c r="A136" s="20" t="s">
        <v>1283</v>
      </c>
      <c r="B136" s="20" t="s">
        <v>1282</v>
      </c>
      <c r="C136" s="20" t="s">
        <v>662</v>
      </c>
      <c r="D136" s="20" t="s">
        <v>663</v>
      </c>
      <c r="E136" s="20" t="s">
        <v>2935</v>
      </c>
      <c r="F136" s="21" t="s">
        <v>1281</v>
      </c>
      <c r="G136" s="21" t="s">
        <v>2902</v>
      </c>
      <c r="H136" s="21"/>
    </row>
    <row r="137" spans="1:8" ht="17.100000000000001" customHeight="1" x14ac:dyDescent="0.25">
      <c r="A137" s="28"/>
      <c r="B137" s="28"/>
      <c r="C137" s="28"/>
      <c r="D137" s="28"/>
      <c r="E137" s="28"/>
      <c r="F137" s="29"/>
      <c r="G137" s="29"/>
      <c r="H137" s="29"/>
    </row>
    <row r="138" spans="1:8" ht="17.100000000000001" customHeight="1" x14ac:dyDescent="0.25">
      <c r="A138" s="20" t="s">
        <v>1182</v>
      </c>
      <c r="B138" s="20" t="s">
        <v>2846</v>
      </c>
      <c r="C138" s="20" t="s">
        <v>662</v>
      </c>
      <c r="D138" s="20" t="s">
        <v>663</v>
      </c>
      <c r="E138" s="20" t="s">
        <v>2935</v>
      </c>
      <c r="F138" s="21" t="s">
        <v>1179</v>
      </c>
      <c r="G138" s="21" t="s">
        <v>2902</v>
      </c>
      <c r="H138" s="21" t="s">
        <v>2920</v>
      </c>
    </row>
    <row r="139" spans="1:8" ht="17.100000000000001" customHeight="1" x14ac:dyDescent="0.25">
      <c r="A139" s="20" t="s">
        <v>1177</v>
      </c>
      <c r="B139" s="20" t="s">
        <v>1175</v>
      </c>
      <c r="C139" s="20" t="s">
        <v>662</v>
      </c>
      <c r="D139" s="20" t="s">
        <v>663</v>
      </c>
      <c r="E139" s="20" t="s">
        <v>2935</v>
      </c>
      <c r="F139" s="21" t="s">
        <v>1174</v>
      </c>
      <c r="G139" s="21" t="s">
        <v>2902</v>
      </c>
      <c r="H139" s="21"/>
    </row>
    <row r="140" spans="1:8" ht="17.100000000000001" customHeight="1" x14ac:dyDescent="0.25">
      <c r="A140" s="20" t="s">
        <v>1269</v>
      </c>
      <c r="B140" s="20" t="s">
        <v>1268</v>
      </c>
      <c r="C140" s="20" t="s">
        <v>662</v>
      </c>
      <c r="D140" s="20" t="s">
        <v>663</v>
      </c>
      <c r="E140" s="20" t="s">
        <v>2935</v>
      </c>
      <c r="F140" s="21" t="s">
        <v>1267</v>
      </c>
      <c r="G140" s="21" t="s">
        <v>2902</v>
      </c>
      <c r="H140" s="21"/>
    </row>
    <row r="141" spans="1:8" ht="17.100000000000001" customHeight="1" x14ac:dyDescent="0.25">
      <c r="A141" s="20" t="s">
        <v>1259</v>
      </c>
      <c r="B141" s="20" t="s">
        <v>1258</v>
      </c>
      <c r="C141" s="20" t="s">
        <v>662</v>
      </c>
      <c r="D141" s="20" t="s">
        <v>663</v>
      </c>
      <c r="E141" s="20" t="s">
        <v>2935</v>
      </c>
      <c r="F141" s="21" t="s">
        <v>1257</v>
      </c>
      <c r="G141" s="21" t="s">
        <v>2902</v>
      </c>
      <c r="H141" s="21"/>
    </row>
    <row r="142" spans="1:8" ht="17.100000000000001" customHeight="1" x14ac:dyDescent="0.25">
      <c r="A142" s="20"/>
      <c r="B142" s="20"/>
      <c r="C142" s="20"/>
      <c r="D142" s="20"/>
      <c r="E142" s="20"/>
      <c r="F142" s="21"/>
      <c r="G142" s="21"/>
      <c r="H142" s="21"/>
    </row>
    <row r="143" spans="1:8" ht="17.100000000000001" customHeight="1" x14ac:dyDescent="0.25">
      <c r="A143" s="20" t="s">
        <v>1193</v>
      </c>
      <c r="B143" s="20" t="s">
        <v>2847</v>
      </c>
      <c r="C143" s="20" t="s">
        <v>662</v>
      </c>
      <c r="D143" s="20" t="s">
        <v>663</v>
      </c>
      <c r="E143" s="20" t="s">
        <v>2935</v>
      </c>
      <c r="F143" s="21" t="s">
        <v>1191</v>
      </c>
      <c r="G143" s="21" t="s">
        <v>2902</v>
      </c>
      <c r="H143" s="21"/>
    </row>
    <row r="144" spans="1:8" ht="17.100000000000001" customHeight="1" x14ac:dyDescent="0.25">
      <c r="A144" s="20" t="s">
        <v>1277</v>
      </c>
      <c r="B144" s="20" t="s">
        <v>1276</v>
      </c>
      <c r="C144" s="20" t="s">
        <v>662</v>
      </c>
      <c r="D144" s="20" t="s">
        <v>663</v>
      </c>
      <c r="E144" s="20" t="s">
        <v>2935</v>
      </c>
      <c r="F144" s="21" t="s">
        <v>1275</v>
      </c>
      <c r="G144" s="21" t="s">
        <v>2902</v>
      </c>
      <c r="H144" s="21"/>
    </row>
    <row r="145" spans="1:8" ht="17.100000000000001" customHeight="1" x14ac:dyDescent="0.25">
      <c r="A145" s="28"/>
      <c r="B145" s="28"/>
      <c r="C145" s="28"/>
      <c r="D145" s="28"/>
      <c r="E145" s="28"/>
      <c r="F145" s="29"/>
      <c r="G145" s="29"/>
      <c r="H145" s="29"/>
    </row>
    <row r="146" spans="1:8" ht="17.100000000000001" customHeight="1" x14ac:dyDescent="0.25">
      <c r="A146" s="20" t="s">
        <v>1242</v>
      </c>
      <c r="B146" s="20" t="s">
        <v>392</v>
      </c>
      <c r="C146" s="20" t="s">
        <v>662</v>
      </c>
      <c r="D146" s="20" t="s">
        <v>663</v>
      </c>
      <c r="E146" s="20" t="s">
        <v>2935</v>
      </c>
      <c r="F146" s="21" t="s">
        <v>1241</v>
      </c>
      <c r="G146" s="21" t="s">
        <v>2902</v>
      </c>
      <c r="H146" s="21" t="s">
        <v>2922</v>
      </c>
    </row>
    <row r="147" spans="1:8" ht="17.100000000000001" customHeight="1" x14ac:dyDescent="0.25">
      <c r="A147" s="20" t="s">
        <v>1272</v>
      </c>
      <c r="B147" s="20" t="s">
        <v>1271</v>
      </c>
      <c r="C147" s="20" t="s">
        <v>662</v>
      </c>
      <c r="D147" s="20" t="s">
        <v>663</v>
      </c>
      <c r="E147" s="20" t="s">
        <v>2935</v>
      </c>
      <c r="F147" s="21" t="s">
        <v>1270</v>
      </c>
      <c r="G147" s="21" t="s">
        <v>2902</v>
      </c>
      <c r="H147" s="21"/>
    </row>
    <row r="148" spans="1:8" ht="17.100000000000001" customHeight="1" x14ac:dyDescent="0.25">
      <c r="A148" s="20" t="s">
        <v>1220</v>
      </c>
      <c r="B148" s="20" t="s">
        <v>1218</v>
      </c>
      <c r="C148" s="20" t="s">
        <v>662</v>
      </c>
      <c r="D148" s="20" t="s">
        <v>663</v>
      </c>
      <c r="E148" s="20" t="s">
        <v>2935</v>
      </c>
      <c r="F148" s="21" t="s">
        <v>1217</v>
      </c>
      <c r="G148" s="21" t="s">
        <v>2902</v>
      </c>
      <c r="H148" s="21"/>
    </row>
    <row r="149" spans="1:8" ht="17.100000000000001" customHeight="1" x14ac:dyDescent="0.25">
      <c r="A149" s="20" t="s">
        <v>1216</v>
      </c>
      <c r="B149" s="20" t="s">
        <v>950</v>
      </c>
      <c r="C149" s="20" t="s">
        <v>662</v>
      </c>
      <c r="D149" s="20" t="s">
        <v>663</v>
      </c>
      <c r="E149" s="20" t="s">
        <v>2935</v>
      </c>
      <c r="F149" s="21" t="s">
        <v>949</v>
      </c>
      <c r="G149" s="21" t="s">
        <v>2902</v>
      </c>
      <c r="H149" s="21"/>
    </row>
    <row r="150" spans="1:8" ht="17.100000000000001" customHeight="1" x14ac:dyDescent="0.25">
      <c r="A150" s="20" t="s">
        <v>1240</v>
      </c>
      <c r="B150" s="20" t="s">
        <v>1239</v>
      </c>
      <c r="C150" s="20" t="s">
        <v>662</v>
      </c>
      <c r="D150" s="20" t="s">
        <v>663</v>
      </c>
      <c r="E150" s="20" t="s">
        <v>2935</v>
      </c>
      <c r="F150" s="21" t="s">
        <v>1238</v>
      </c>
      <c r="G150" s="21" t="s">
        <v>2902</v>
      </c>
      <c r="H150" s="21"/>
    </row>
    <row r="151" spans="1:8" ht="17.100000000000001" customHeight="1" x14ac:dyDescent="0.25">
      <c r="A151" s="28"/>
      <c r="B151" s="28"/>
      <c r="C151" s="28"/>
      <c r="D151" s="28"/>
      <c r="E151" s="28"/>
      <c r="F151" s="29"/>
      <c r="G151" s="29"/>
      <c r="H151" s="29"/>
    </row>
    <row r="152" spans="1:8" ht="17.100000000000001" customHeight="1" x14ac:dyDescent="0.25">
      <c r="A152" s="20" t="s">
        <v>1215</v>
      </c>
      <c r="B152" s="20" t="s">
        <v>940</v>
      </c>
      <c r="C152" s="20" t="s">
        <v>662</v>
      </c>
      <c r="D152" s="20" t="s">
        <v>663</v>
      </c>
      <c r="E152" s="20" t="s">
        <v>2935</v>
      </c>
      <c r="F152" s="21" t="s">
        <v>939</v>
      </c>
      <c r="G152" s="21" t="s">
        <v>2902</v>
      </c>
      <c r="H152" s="21" t="s">
        <v>2923</v>
      </c>
    </row>
    <row r="153" spans="1:8" ht="17.100000000000001" customHeight="1" x14ac:dyDescent="0.25">
      <c r="A153" s="20" t="s">
        <v>1255</v>
      </c>
      <c r="B153" s="20" t="s">
        <v>1254</v>
      </c>
      <c r="C153" s="20" t="s">
        <v>662</v>
      </c>
      <c r="D153" s="20" t="s">
        <v>663</v>
      </c>
      <c r="E153" s="20" t="s">
        <v>2935</v>
      </c>
      <c r="F153" s="21" t="s">
        <v>1253</v>
      </c>
      <c r="G153" s="21" t="s">
        <v>2902</v>
      </c>
      <c r="H153" s="21"/>
    </row>
    <row r="154" spans="1:8" ht="17.100000000000001" customHeight="1" x14ac:dyDescent="0.25">
      <c r="A154" s="20" t="s">
        <v>1186</v>
      </c>
      <c r="B154" s="20" t="s">
        <v>1185</v>
      </c>
      <c r="C154" s="20" t="s">
        <v>662</v>
      </c>
      <c r="D154" s="20" t="s">
        <v>663</v>
      </c>
      <c r="E154" s="20" t="s">
        <v>2935</v>
      </c>
      <c r="F154" s="21" t="s">
        <v>1184</v>
      </c>
      <c r="G154" s="21" t="s">
        <v>2902</v>
      </c>
      <c r="H154" s="21"/>
    </row>
    <row r="155" spans="1:8" ht="17.100000000000001" customHeight="1" x14ac:dyDescent="0.25">
      <c r="A155" s="20" t="s">
        <v>1196</v>
      </c>
      <c r="B155" s="20" t="s">
        <v>1195</v>
      </c>
      <c r="C155" s="20" t="s">
        <v>662</v>
      </c>
      <c r="D155" s="20" t="s">
        <v>663</v>
      </c>
      <c r="E155" s="20" t="s">
        <v>2935</v>
      </c>
      <c r="F155" s="21" t="s">
        <v>1194</v>
      </c>
      <c r="G155" s="21" t="s">
        <v>2902</v>
      </c>
      <c r="H155" s="21"/>
    </row>
    <row r="156" spans="1:8" ht="17.100000000000001" customHeight="1" x14ac:dyDescent="0.25">
      <c r="A156" s="20" t="s">
        <v>1190</v>
      </c>
      <c r="B156" s="20" t="s">
        <v>1188</v>
      </c>
      <c r="C156" s="20" t="s">
        <v>662</v>
      </c>
      <c r="D156" s="20" t="s">
        <v>663</v>
      </c>
      <c r="E156" s="20" t="s">
        <v>2935</v>
      </c>
      <c r="F156" s="21" t="s">
        <v>1187</v>
      </c>
      <c r="G156" s="21" t="s">
        <v>2902</v>
      </c>
      <c r="H156" s="21"/>
    </row>
    <row r="157" spans="1:8" ht="17.100000000000001" customHeight="1" x14ac:dyDescent="0.25">
      <c r="A157" s="28"/>
      <c r="B157" s="28"/>
      <c r="C157" s="28"/>
      <c r="D157" s="28"/>
      <c r="E157" s="28"/>
      <c r="F157" s="29"/>
      <c r="G157" s="29"/>
      <c r="H157" s="29"/>
    </row>
    <row r="158" spans="1:8" ht="17.100000000000001" customHeight="1" x14ac:dyDescent="0.25">
      <c r="A158" s="20" t="s">
        <v>1292</v>
      </c>
      <c r="B158" s="20" t="s">
        <v>2831</v>
      </c>
      <c r="C158" s="20" t="s">
        <v>662</v>
      </c>
      <c r="D158" s="20" t="s">
        <v>663</v>
      </c>
      <c r="E158" s="20" t="s">
        <v>2935</v>
      </c>
      <c r="F158" s="21" t="s">
        <v>658</v>
      </c>
      <c r="G158" s="21" t="s">
        <v>2902</v>
      </c>
      <c r="H158" s="21" t="s">
        <v>2924</v>
      </c>
    </row>
    <row r="159" spans="1:8" ht="17.100000000000001" customHeight="1" x14ac:dyDescent="0.25">
      <c r="A159" s="20" t="s">
        <v>1298</v>
      </c>
      <c r="B159" s="20" t="s">
        <v>967</v>
      </c>
      <c r="C159" s="20" t="s">
        <v>662</v>
      </c>
      <c r="D159" s="20" t="s">
        <v>663</v>
      </c>
      <c r="E159" s="20" t="s">
        <v>2935</v>
      </c>
      <c r="F159" s="21" t="s">
        <v>971</v>
      </c>
      <c r="G159" s="21" t="s">
        <v>2902</v>
      </c>
      <c r="H159" s="21"/>
    </row>
    <row r="160" spans="1:8" ht="17.100000000000001" customHeight="1" x14ac:dyDescent="0.25">
      <c r="A160" s="20" t="s">
        <v>1296</v>
      </c>
      <c r="B160" s="20" t="s">
        <v>1295</v>
      </c>
      <c r="C160" s="20" t="s">
        <v>662</v>
      </c>
      <c r="D160" s="20" t="s">
        <v>663</v>
      </c>
      <c r="E160" s="20" t="s">
        <v>2935</v>
      </c>
      <c r="F160" s="21" t="s">
        <v>859</v>
      </c>
      <c r="G160" s="21" t="s">
        <v>2902</v>
      </c>
      <c r="H160" s="21"/>
    </row>
    <row r="161" spans="1:8" ht="17.100000000000001" customHeight="1" x14ac:dyDescent="0.25">
      <c r="A161" s="20" t="s">
        <v>1294</v>
      </c>
      <c r="B161" s="20" t="s">
        <v>392</v>
      </c>
      <c r="C161" s="20" t="s">
        <v>662</v>
      </c>
      <c r="D161" s="20" t="s">
        <v>663</v>
      </c>
      <c r="E161" s="20" t="s">
        <v>2935</v>
      </c>
      <c r="F161" s="21" t="s">
        <v>655</v>
      </c>
      <c r="G161" s="21" t="s">
        <v>2902</v>
      </c>
      <c r="H161" s="21"/>
    </row>
    <row r="162" spans="1:8" ht="17.100000000000001" customHeight="1" x14ac:dyDescent="0.25">
      <c r="A162" s="20" t="s">
        <v>1243</v>
      </c>
      <c r="B162" s="20" t="s">
        <v>936</v>
      </c>
      <c r="C162" s="20" t="s">
        <v>662</v>
      </c>
      <c r="D162" s="20" t="s">
        <v>663</v>
      </c>
      <c r="E162" s="20" t="s">
        <v>2935</v>
      </c>
      <c r="F162" s="21" t="s">
        <v>937</v>
      </c>
      <c r="G162" s="21" t="s">
        <v>2902</v>
      </c>
      <c r="H162" s="21"/>
    </row>
    <row r="163" spans="1:8" ht="17.100000000000001" customHeight="1" x14ac:dyDescent="0.25">
      <c r="A163" s="20" t="s">
        <v>1232</v>
      </c>
      <c r="B163" s="20" t="s">
        <v>1230</v>
      </c>
      <c r="C163" s="20" t="s">
        <v>662</v>
      </c>
      <c r="D163" s="20" t="s">
        <v>663</v>
      </c>
      <c r="E163" s="20" t="s">
        <v>2935</v>
      </c>
      <c r="F163" s="21" t="s">
        <v>1229</v>
      </c>
      <c r="G163" s="21" t="s">
        <v>2902</v>
      </c>
      <c r="H163" s="21"/>
    </row>
    <row r="164" spans="1:8" ht="17.100000000000001" customHeight="1" x14ac:dyDescent="0.25">
      <c r="A164" s="20" t="s">
        <v>1236</v>
      </c>
      <c r="B164" s="20" t="s">
        <v>1235</v>
      </c>
      <c r="C164" s="20" t="s">
        <v>662</v>
      </c>
      <c r="D164" s="20" t="s">
        <v>663</v>
      </c>
      <c r="E164" s="20" t="s">
        <v>2935</v>
      </c>
      <c r="F164" s="21" t="s">
        <v>1234</v>
      </c>
      <c r="G164" s="21" t="s">
        <v>2902</v>
      </c>
      <c r="H164" s="21"/>
    </row>
    <row r="165" spans="1:8" ht="17.100000000000001" customHeight="1" x14ac:dyDescent="0.25">
      <c r="A165" s="20"/>
      <c r="B165" s="20"/>
      <c r="C165" s="20"/>
      <c r="D165" s="20"/>
      <c r="E165" s="20"/>
      <c r="F165" s="21"/>
      <c r="G165" s="21"/>
      <c r="H165" s="21"/>
    </row>
    <row r="166" spans="1:8" ht="17.100000000000001" customHeight="1" x14ac:dyDescent="0.25">
      <c r="A166" s="20" t="s">
        <v>1300</v>
      </c>
      <c r="B166" s="20" t="s">
        <v>2831</v>
      </c>
      <c r="C166" s="20" t="s">
        <v>662</v>
      </c>
      <c r="D166" s="20" t="s">
        <v>673</v>
      </c>
      <c r="E166" s="20" t="s">
        <v>2935</v>
      </c>
      <c r="F166" s="21" t="s">
        <v>1046</v>
      </c>
      <c r="G166" s="21" t="s">
        <v>2902</v>
      </c>
      <c r="H166" s="21"/>
    </row>
    <row r="167" spans="1:8" ht="17.100000000000001" customHeight="1" x14ac:dyDescent="0.25">
      <c r="A167" s="20" t="s">
        <v>1274</v>
      </c>
      <c r="B167" s="20" t="s">
        <v>2831</v>
      </c>
      <c r="C167" s="20" t="s">
        <v>662</v>
      </c>
      <c r="D167" s="20" t="s">
        <v>673</v>
      </c>
      <c r="E167" s="20" t="s">
        <v>2935</v>
      </c>
      <c r="F167" s="21" t="s">
        <v>1273</v>
      </c>
      <c r="G167" s="21" t="s">
        <v>2902</v>
      </c>
      <c r="H167" s="21"/>
    </row>
    <row r="168" spans="1:8" ht="17.100000000000001" customHeight="1" x14ac:dyDescent="0.25">
      <c r="A168" s="20" t="s">
        <v>1299</v>
      </c>
      <c r="B168" s="20" t="s">
        <v>388</v>
      </c>
      <c r="C168" s="20" t="s">
        <v>662</v>
      </c>
      <c r="D168" s="20" t="s">
        <v>673</v>
      </c>
      <c r="E168" s="20" t="s">
        <v>2935</v>
      </c>
      <c r="F168" s="21" t="s">
        <v>914</v>
      </c>
      <c r="G168" s="21" t="s">
        <v>2902</v>
      </c>
      <c r="H168" s="21"/>
    </row>
    <row r="169" spans="1:8" ht="17.100000000000001" customHeight="1" x14ac:dyDescent="0.25">
      <c r="A169" s="20" t="s">
        <v>1201</v>
      </c>
      <c r="B169" s="20" t="s">
        <v>391</v>
      </c>
      <c r="C169" s="20" t="s">
        <v>662</v>
      </c>
      <c r="D169" s="20" t="s">
        <v>673</v>
      </c>
      <c r="E169" s="20" t="s">
        <v>2935</v>
      </c>
      <c r="F169" s="21" t="s">
        <v>1200</v>
      </c>
      <c r="G169" s="21" t="s">
        <v>2902</v>
      </c>
      <c r="H169" s="21"/>
    </row>
    <row r="170" spans="1:8" ht="17.100000000000001" customHeight="1" x14ac:dyDescent="0.25">
      <c r="A170" s="20"/>
      <c r="B170" s="20"/>
      <c r="C170" s="20"/>
      <c r="D170" s="20"/>
      <c r="E170" s="20"/>
      <c r="F170" s="21"/>
      <c r="G170" s="21"/>
      <c r="H170" s="21"/>
    </row>
    <row r="171" spans="1:8" ht="17.100000000000001" customHeight="1" x14ac:dyDescent="0.25">
      <c r="A171" s="20" t="s">
        <v>1286</v>
      </c>
      <c r="B171" s="20" t="s">
        <v>2831</v>
      </c>
      <c r="C171" s="20" t="s">
        <v>662</v>
      </c>
      <c r="D171" s="20" t="s">
        <v>898</v>
      </c>
      <c r="E171" s="20" t="s">
        <v>2935</v>
      </c>
      <c r="F171" s="21" t="s">
        <v>787</v>
      </c>
      <c r="G171" s="21" t="s">
        <v>2902</v>
      </c>
      <c r="H171" s="21"/>
    </row>
    <row r="172" spans="1:8" ht="17.100000000000001" customHeight="1" x14ac:dyDescent="0.25">
      <c r="A172" s="20" t="s">
        <v>1287</v>
      </c>
      <c r="B172" s="20" t="s">
        <v>2831</v>
      </c>
      <c r="C172" s="20" t="s">
        <v>662</v>
      </c>
      <c r="D172" s="20" t="s">
        <v>898</v>
      </c>
      <c r="E172" s="20" t="s">
        <v>2935</v>
      </c>
      <c r="F172" s="21" t="s">
        <v>649</v>
      </c>
      <c r="G172" s="21" t="s">
        <v>2902</v>
      </c>
      <c r="H172" s="21"/>
    </row>
    <row r="173" spans="1:8" ht="17.100000000000001" customHeight="1" x14ac:dyDescent="0.25">
      <c r="A173" s="20" t="s">
        <v>1284</v>
      </c>
      <c r="B173" s="20" t="s">
        <v>388</v>
      </c>
      <c r="C173" s="20" t="s">
        <v>662</v>
      </c>
      <c r="D173" s="20" t="s">
        <v>898</v>
      </c>
      <c r="E173" s="20" t="s">
        <v>2935</v>
      </c>
      <c r="F173" s="21" t="s">
        <v>1031</v>
      </c>
      <c r="G173" s="21" t="s">
        <v>2902</v>
      </c>
      <c r="H173" s="21"/>
    </row>
    <row r="174" spans="1:8" ht="17.100000000000001" customHeight="1" x14ac:dyDescent="0.25">
      <c r="A174" s="20" t="s">
        <v>1198</v>
      </c>
      <c r="B174" s="20" t="s">
        <v>388</v>
      </c>
      <c r="C174" s="20" t="s">
        <v>662</v>
      </c>
      <c r="D174" s="20" t="s">
        <v>898</v>
      </c>
      <c r="E174" s="20" t="s">
        <v>2935</v>
      </c>
      <c r="F174" s="21" t="s">
        <v>1197</v>
      </c>
      <c r="G174" s="21" t="s">
        <v>2902</v>
      </c>
      <c r="H174" s="21"/>
    </row>
  </sheetData>
  <autoFilter ref="H1:H174" xr:uid="{B5658244-FD28-41B9-9EE1-84EB8299351D}"/>
  <sortState xmlns:xlrd2="http://schemas.microsoft.com/office/spreadsheetml/2017/richdata2" ref="A114:G115">
    <sortCondition ref="B114:B115"/>
  </sortState>
  <mergeCells count="11">
    <mergeCell ref="B8:D8"/>
    <mergeCell ref="B9:D9"/>
    <mergeCell ref="B10:D10"/>
    <mergeCell ref="A12:F12"/>
    <mergeCell ref="G12:H12"/>
    <mergeCell ref="B7:D7"/>
    <mergeCell ref="A1:D1"/>
    <mergeCell ref="A2:D2"/>
    <mergeCell ref="B3:D3"/>
    <mergeCell ref="B4:D4"/>
    <mergeCell ref="B5:D5"/>
  </mergeCells>
  <pageMargins left="0.7" right="0.7" top="0.75" bottom="0.75" header="0.3" footer="0.3"/>
  <pageSetup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2C05B2-489B-481F-ACF3-AF483B39FD48}">
  <sheetPr>
    <tabColor rgb="FF00B0F0"/>
  </sheetPr>
  <dimension ref="A1:H121"/>
  <sheetViews>
    <sheetView showGridLines="0" workbookViewId="0">
      <selection activeCell="L23" sqref="L23"/>
    </sheetView>
  </sheetViews>
  <sheetFormatPr defaultRowHeight="17.100000000000001" customHeight="1" x14ac:dyDescent="0.25"/>
  <cols>
    <col min="1" max="1" width="15.42578125" style="16" bestFit="1" customWidth="1"/>
    <col min="2" max="2" width="10.28515625" style="16" bestFit="1" customWidth="1"/>
    <col min="3" max="3" width="6.85546875" style="16" bestFit="1" customWidth="1"/>
    <col min="4" max="4" width="7.140625" style="16" customWidth="1"/>
    <col min="5" max="5" width="6.5703125" style="16" bestFit="1" customWidth="1"/>
    <col min="6" max="6" width="12.42578125" style="16" bestFit="1" customWidth="1"/>
    <col min="7" max="7" width="16.28515625" customWidth="1"/>
    <col min="8" max="8" width="9.5703125" bestFit="1" customWidth="1"/>
  </cols>
  <sheetData>
    <row r="1" spans="1:8" ht="18" customHeight="1" x14ac:dyDescent="0.25">
      <c r="A1" s="49" t="s">
        <v>469</v>
      </c>
      <c r="B1" s="49"/>
      <c r="C1" s="49"/>
      <c r="D1" s="49"/>
    </row>
    <row r="2" spans="1:8" ht="12" customHeight="1" x14ac:dyDescent="0.25">
      <c r="A2" s="50"/>
      <c r="B2" s="50"/>
      <c r="C2" s="50"/>
      <c r="D2" s="50"/>
    </row>
    <row r="3" spans="1:8" ht="12.75" customHeight="1" x14ac:dyDescent="0.25">
      <c r="A3" s="3" t="s">
        <v>2</v>
      </c>
      <c r="B3" s="39" t="s">
        <v>3</v>
      </c>
      <c r="C3" s="39"/>
      <c r="D3" s="39"/>
    </row>
    <row r="4" spans="1:8" ht="12" customHeight="1" x14ac:dyDescent="0.25">
      <c r="A4" s="3" t="s">
        <v>5</v>
      </c>
      <c r="B4" s="39" t="s">
        <v>6</v>
      </c>
      <c r="C4" s="39"/>
      <c r="D4" s="39"/>
    </row>
    <row r="5" spans="1:8" ht="12.75" customHeight="1" x14ac:dyDescent="0.25">
      <c r="A5" s="3" t="s">
        <v>7</v>
      </c>
      <c r="B5" s="39" t="s">
        <v>8</v>
      </c>
      <c r="C5" s="39"/>
      <c r="D5" s="39"/>
    </row>
    <row r="6" spans="1:8" ht="5.25" customHeight="1" x14ac:dyDescent="0.25"/>
    <row r="7" spans="1:8" ht="12" customHeight="1" x14ac:dyDescent="0.25">
      <c r="A7" s="3" t="s">
        <v>9</v>
      </c>
      <c r="B7" s="39" t="s">
        <v>10</v>
      </c>
      <c r="C7" s="39"/>
      <c r="D7" s="39"/>
    </row>
    <row r="8" spans="1:8" ht="12.75" customHeight="1" x14ac:dyDescent="0.25">
      <c r="A8" s="3" t="s">
        <v>11</v>
      </c>
      <c r="B8" s="39" t="s">
        <v>12</v>
      </c>
      <c r="C8" s="39"/>
      <c r="D8" s="39"/>
    </row>
    <row r="9" spans="1:8" ht="12" customHeight="1" x14ac:dyDescent="0.25">
      <c r="A9" s="3" t="s">
        <v>13</v>
      </c>
      <c r="B9" s="39"/>
      <c r="C9" s="39"/>
      <c r="D9" s="39"/>
    </row>
    <row r="10" spans="1:8" ht="12.75" customHeight="1" x14ac:dyDescent="0.25">
      <c r="A10" s="3" t="s">
        <v>11</v>
      </c>
      <c r="B10" s="39"/>
      <c r="C10" s="39"/>
      <c r="D10" s="39"/>
    </row>
    <row r="11" spans="1:8" ht="10.5" customHeight="1" x14ac:dyDescent="0.25"/>
    <row r="12" spans="1:8" ht="16.5" customHeight="1" x14ac:dyDescent="0.25">
      <c r="A12" s="44" t="s">
        <v>630</v>
      </c>
      <c r="B12" s="44"/>
      <c r="C12" s="44"/>
      <c r="D12" s="44"/>
      <c r="E12" s="44"/>
      <c r="F12" s="44"/>
      <c r="G12" s="51" t="s">
        <v>631</v>
      </c>
      <c r="H12" s="52"/>
    </row>
    <row r="13" spans="1:8" ht="43.5" customHeight="1" x14ac:dyDescent="0.25">
      <c r="A13" s="17" t="s">
        <v>14</v>
      </c>
      <c r="B13" s="18" t="s">
        <v>634</v>
      </c>
      <c r="C13" s="18" t="s">
        <v>633</v>
      </c>
      <c r="D13" s="18" t="s">
        <v>635</v>
      </c>
      <c r="E13" s="18" t="s">
        <v>2828</v>
      </c>
      <c r="F13" s="19" t="s">
        <v>14</v>
      </c>
      <c r="G13" s="19" t="s">
        <v>17</v>
      </c>
      <c r="H13" s="19" t="s">
        <v>2829</v>
      </c>
    </row>
    <row r="14" spans="1:8" ht="17.100000000000001" customHeight="1" x14ac:dyDescent="0.25">
      <c r="A14" s="20" t="s">
        <v>701</v>
      </c>
      <c r="B14" s="20" t="s">
        <v>2831</v>
      </c>
      <c r="C14" s="20" t="s">
        <v>662</v>
      </c>
      <c r="D14" s="20" t="s">
        <v>673</v>
      </c>
      <c r="E14" s="20" t="s">
        <v>2918</v>
      </c>
      <c r="F14" s="21" t="s">
        <v>638</v>
      </c>
      <c r="G14" s="21" t="s">
        <v>2902</v>
      </c>
      <c r="H14" s="21" t="s">
        <v>2925</v>
      </c>
    </row>
    <row r="15" spans="1:8" ht="17.100000000000001" customHeight="1" x14ac:dyDescent="0.25">
      <c r="A15" s="20" t="s">
        <v>749</v>
      </c>
      <c r="B15" s="20" t="s">
        <v>2831</v>
      </c>
      <c r="C15" s="20" t="s">
        <v>662</v>
      </c>
      <c r="D15" s="20" t="s">
        <v>673</v>
      </c>
      <c r="E15" s="20" t="s">
        <v>2918</v>
      </c>
      <c r="F15" s="21" t="s">
        <v>853</v>
      </c>
      <c r="G15" s="21" t="s">
        <v>2902</v>
      </c>
      <c r="H15" s="21"/>
    </row>
    <row r="16" spans="1:8" ht="17.100000000000001" customHeight="1" x14ac:dyDescent="0.25">
      <c r="A16" s="20" t="s">
        <v>708</v>
      </c>
      <c r="B16" s="20" t="s">
        <v>501</v>
      </c>
      <c r="C16" s="20" t="s">
        <v>662</v>
      </c>
      <c r="D16" s="20" t="s">
        <v>673</v>
      </c>
      <c r="E16" s="20" t="s">
        <v>2941</v>
      </c>
      <c r="F16" s="21" t="s">
        <v>869</v>
      </c>
      <c r="G16" s="21" t="s">
        <v>2902</v>
      </c>
      <c r="H16" s="21"/>
    </row>
    <row r="17" spans="1:8" ht="17.100000000000001" customHeight="1" x14ac:dyDescent="0.25">
      <c r="A17" s="20" t="s">
        <v>762</v>
      </c>
      <c r="B17" s="20" t="s">
        <v>506</v>
      </c>
      <c r="C17" s="20" t="s">
        <v>662</v>
      </c>
      <c r="D17" s="20" t="s">
        <v>673</v>
      </c>
      <c r="E17" s="20" t="s">
        <v>2918</v>
      </c>
      <c r="F17" s="21" t="s">
        <v>872</v>
      </c>
      <c r="G17" s="21" t="s">
        <v>2902</v>
      </c>
      <c r="H17" s="21"/>
    </row>
    <row r="18" spans="1:8" ht="17.100000000000001" customHeight="1" x14ac:dyDescent="0.25">
      <c r="A18" s="28"/>
      <c r="B18" s="28"/>
      <c r="C18" s="28"/>
      <c r="D18" s="28"/>
      <c r="E18" s="28"/>
      <c r="F18" s="29"/>
      <c r="G18" s="29"/>
      <c r="H18" s="29"/>
    </row>
    <row r="19" spans="1:8" ht="17.100000000000001" customHeight="1" x14ac:dyDescent="0.25">
      <c r="A19" s="20" t="s">
        <v>686</v>
      </c>
      <c r="B19" s="20" t="s">
        <v>687</v>
      </c>
      <c r="C19" s="20" t="s">
        <v>662</v>
      </c>
      <c r="D19" s="20" t="s">
        <v>663</v>
      </c>
      <c r="E19" s="20" t="s">
        <v>2918</v>
      </c>
      <c r="F19" s="21" t="s">
        <v>688</v>
      </c>
      <c r="G19" s="21" t="s">
        <v>2902</v>
      </c>
      <c r="H19" s="21" t="s">
        <v>2932</v>
      </c>
    </row>
    <row r="20" spans="1:8" ht="17.100000000000001" customHeight="1" x14ac:dyDescent="0.25">
      <c r="A20" s="20"/>
      <c r="B20" s="20"/>
      <c r="C20" s="20"/>
      <c r="D20" s="20"/>
      <c r="E20" s="20"/>
      <c r="F20" s="21"/>
      <c r="G20" s="21"/>
      <c r="H20" s="21"/>
    </row>
    <row r="21" spans="1:8" ht="17.100000000000001" customHeight="1" x14ac:dyDescent="0.25">
      <c r="A21" s="20" t="s">
        <v>710</v>
      </c>
      <c r="B21" s="20" t="s">
        <v>722</v>
      </c>
      <c r="C21" s="20" t="s">
        <v>662</v>
      </c>
      <c r="D21" s="20" t="s">
        <v>697</v>
      </c>
      <c r="E21" s="20" t="s">
        <v>2918</v>
      </c>
      <c r="F21" s="21" t="s">
        <v>723</v>
      </c>
      <c r="G21" s="21" t="s">
        <v>2902</v>
      </c>
      <c r="H21" s="21"/>
    </row>
    <row r="22" spans="1:8" ht="17.100000000000001" customHeight="1" x14ac:dyDescent="0.25">
      <c r="A22" s="20" t="s">
        <v>721</v>
      </c>
      <c r="B22" s="20" t="s">
        <v>729</v>
      </c>
      <c r="C22" s="20" t="s">
        <v>662</v>
      </c>
      <c r="D22" s="20" t="s">
        <v>697</v>
      </c>
      <c r="E22" s="20" t="s">
        <v>2918</v>
      </c>
      <c r="F22" s="21" t="s">
        <v>730</v>
      </c>
      <c r="G22" s="21" t="s">
        <v>2902</v>
      </c>
      <c r="H22" s="21"/>
    </row>
    <row r="23" spans="1:8" ht="17.100000000000001" customHeight="1" x14ac:dyDescent="0.25">
      <c r="A23" s="20" t="s">
        <v>695</v>
      </c>
      <c r="B23" s="20" t="s">
        <v>700</v>
      </c>
      <c r="C23" s="20" t="s">
        <v>662</v>
      </c>
      <c r="D23" s="20" t="s">
        <v>697</v>
      </c>
      <c r="E23" s="20" t="s">
        <v>2918</v>
      </c>
      <c r="F23" s="21" t="s">
        <v>701</v>
      </c>
      <c r="G23" s="21" t="s">
        <v>2902</v>
      </c>
      <c r="H23" s="21"/>
    </row>
    <row r="24" spans="1:8" ht="17.100000000000001" customHeight="1" x14ac:dyDescent="0.25">
      <c r="A24" s="20" t="s">
        <v>704</v>
      </c>
      <c r="B24" s="20" t="s">
        <v>707</v>
      </c>
      <c r="C24" s="20" t="s">
        <v>662</v>
      </c>
      <c r="D24" s="20" t="s">
        <v>697</v>
      </c>
      <c r="E24" s="20" t="s">
        <v>2918</v>
      </c>
      <c r="F24" s="21" t="s">
        <v>708</v>
      </c>
      <c r="G24" s="21" t="s">
        <v>2902</v>
      </c>
      <c r="H24" s="21"/>
    </row>
    <row r="25" spans="1:8" ht="17.100000000000001" customHeight="1" x14ac:dyDescent="0.25">
      <c r="A25" s="20" t="s">
        <v>736</v>
      </c>
      <c r="B25" s="20" t="s">
        <v>504</v>
      </c>
      <c r="C25" s="20" t="s">
        <v>662</v>
      </c>
      <c r="D25" s="20" t="s">
        <v>697</v>
      </c>
      <c r="E25" s="20" t="s">
        <v>2918</v>
      </c>
      <c r="F25" s="21" t="s">
        <v>737</v>
      </c>
      <c r="G25" s="21" t="s">
        <v>2902</v>
      </c>
      <c r="H25" s="21"/>
    </row>
    <row r="26" spans="1:8" ht="17.100000000000001" customHeight="1" x14ac:dyDescent="0.25">
      <c r="A26" s="20" t="s">
        <v>741</v>
      </c>
      <c r="B26" s="20" t="s">
        <v>505</v>
      </c>
      <c r="C26" s="20" t="s">
        <v>662</v>
      </c>
      <c r="D26" s="20" t="s">
        <v>697</v>
      </c>
      <c r="E26" s="20" t="s">
        <v>2918</v>
      </c>
      <c r="F26" s="21" t="s">
        <v>742</v>
      </c>
      <c r="G26" s="21" t="s">
        <v>2902</v>
      </c>
      <c r="H26" s="21"/>
    </row>
    <row r="27" spans="1:8" ht="17.100000000000001" customHeight="1" x14ac:dyDescent="0.25">
      <c r="A27" s="20"/>
      <c r="B27" s="20"/>
      <c r="C27" s="20"/>
      <c r="D27" s="20"/>
      <c r="E27" s="20"/>
      <c r="F27" s="21"/>
      <c r="G27" s="21"/>
      <c r="H27" s="21"/>
    </row>
    <row r="28" spans="1:8" ht="17.100000000000001" customHeight="1" x14ac:dyDescent="0.25">
      <c r="A28" s="20" t="s">
        <v>672</v>
      </c>
      <c r="B28" s="20" t="s">
        <v>2831</v>
      </c>
      <c r="C28" s="20" t="s">
        <v>662</v>
      </c>
      <c r="D28" s="20" t="s">
        <v>673</v>
      </c>
      <c r="E28" s="20" t="s">
        <v>2918</v>
      </c>
      <c r="F28" s="21" t="s">
        <v>644</v>
      </c>
      <c r="G28" s="21" t="s">
        <v>2902</v>
      </c>
      <c r="H28" s="21"/>
    </row>
    <row r="29" spans="1:8" ht="17.100000000000001" customHeight="1" x14ac:dyDescent="0.25">
      <c r="A29" s="20" t="s">
        <v>690</v>
      </c>
      <c r="B29" s="20" t="s">
        <v>2831</v>
      </c>
      <c r="C29" s="20" t="s">
        <v>662</v>
      </c>
      <c r="D29" s="20" t="s">
        <v>673</v>
      </c>
      <c r="E29" s="20" t="s">
        <v>2918</v>
      </c>
      <c r="F29" s="21" t="s">
        <v>644</v>
      </c>
      <c r="G29" s="21" t="s">
        <v>2902</v>
      </c>
      <c r="H29" s="21"/>
    </row>
    <row r="30" spans="1:8" ht="17.100000000000001" customHeight="1" x14ac:dyDescent="0.25">
      <c r="A30" s="20" t="s">
        <v>731</v>
      </c>
      <c r="B30" s="20" t="s">
        <v>2831</v>
      </c>
      <c r="C30" s="20" t="s">
        <v>662</v>
      </c>
      <c r="D30" s="20" t="s">
        <v>673</v>
      </c>
      <c r="E30" s="20" t="s">
        <v>2918</v>
      </c>
      <c r="F30" s="21" t="s">
        <v>644</v>
      </c>
      <c r="G30" s="21" t="s">
        <v>2902</v>
      </c>
      <c r="H30" s="21"/>
    </row>
    <row r="31" spans="1:8" ht="17.100000000000001" customHeight="1" x14ac:dyDescent="0.25">
      <c r="A31" s="20" t="s">
        <v>738</v>
      </c>
      <c r="B31" s="20" t="s">
        <v>2831</v>
      </c>
      <c r="C31" s="20" t="s">
        <v>662</v>
      </c>
      <c r="D31" s="20" t="s">
        <v>673</v>
      </c>
      <c r="E31" s="20" t="s">
        <v>2918</v>
      </c>
      <c r="F31" s="21" t="s">
        <v>644</v>
      </c>
      <c r="G31" s="21" t="s">
        <v>2902</v>
      </c>
      <c r="H31" s="21"/>
    </row>
    <row r="32" spans="1:8" ht="17.100000000000001" customHeight="1" x14ac:dyDescent="0.25">
      <c r="A32" s="20" t="s">
        <v>679</v>
      </c>
      <c r="B32" s="20" t="s">
        <v>502</v>
      </c>
      <c r="C32" s="20" t="s">
        <v>662</v>
      </c>
      <c r="D32" s="20" t="s">
        <v>673</v>
      </c>
      <c r="E32" s="20" t="s">
        <v>2918</v>
      </c>
      <c r="F32" s="21" t="s">
        <v>680</v>
      </c>
      <c r="G32" s="21" t="s">
        <v>2902</v>
      </c>
      <c r="H32" s="21"/>
    </row>
    <row r="33" spans="1:8" ht="17.100000000000001" customHeight="1" x14ac:dyDescent="0.25">
      <c r="A33" s="20" t="s">
        <v>693</v>
      </c>
      <c r="B33" s="20" t="s">
        <v>503</v>
      </c>
      <c r="C33" s="20" t="s">
        <v>662</v>
      </c>
      <c r="D33" s="20" t="s">
        <v>673</v>
      </c>
      <c r="E33" s="20" t="s">
        <v>2918</v>
      </c>
      <c r="F33" s="21" t="s">
        <v>694</v>
      </c>
      <c r="G33" s="21" t="s">
        <v>2902</v>
      </c>
      <c r="H33" s="21"/>
    </row>
    <row r="34" spans="1:8" ht="17.100000000000001" customHeight="1" x14ac:dyDescent="0.25">
      <c r="A34" s="28"/>
      <c r="B34" s="28"/>
      <c r="C34" s="28"/>
      <c r="D34" s="28"/>
      <c r="E34" s="28"/>
      <c r="F34" s="29"/>
      <c r="G34" s="29"/>
      <c r="H34" s="29"/>
    </row>
    <row r="35" spans="1:8" ht="17.100000000000001" customHeight="1" x14ac:dyDescent="0.25">
      <c r="A35" s="20" t="s">
        <v>781</v>
      </c>
      <c r="B35" s="20" t="s">
        <v>2830</v>
      </c>
      <c r="C35" s="20" t="s">
        <v>662</v>
      </c>
      <c r="D35" s="20" t="s">
        <v>663</v>
      </c>
      <c r="E35" s="20" t="s">
        <v>2918</v>
      </c>
      <c r="F35" s="21" t="s">
        <v>784</v>
      </c>
      <c r="G35" s="21" t="s">
        <v>2902</v>
      </c>
      <c r="H35" s="21" t="s">
        <v>2933</v>
      </c>
    </row>
    <row r="36" spans="1:8" ht="17.100000000000001" customHeight="1" x14ac:dyDescent="0.25">
      <c r="A36" s="20" t="s">
        <v>834</v>
      </c>
      <c r="B36" s="20" t="s">
        <v>2832</v>
      </c>
      <c r="C36" s="20" t="s">
        <v>662</v>
      </c>
      <c r="D36" s="20" t="s">
        <v>663</v>
      </c>
      <c r="E36" s="20" t="s">
        <v>2939</v>
      </c>
      <c r="F36" s="21" t="s">
        <v>836</v>
      </c>
      <c r="G36" s="21" t="s">
        <v>2902</v>
      </c>
      <c r="H36" s="21"/>
    </row>
    <row r="37" spans="1:8" ht="17.100000000000001" customHeight="1" x14ac:dyDescent="0.25">
      <c r="A37" s="20" t="s">
        <v>786</v>
      </c>
      <c r="B37" s="20" t="s">
        <v>2831</v>
      </c>
      <c r="C37" s="20" t="s">
        <v>662</v>
      </c>
      <c r="D37" s="20" t="s">
        <v>663</v>
      </c>
      <c r="E37" s="20" t="s">
        <v>2918</v>
      </c>
      <c r="F37" s="21" t="s">
        <v>787</v>
      </c>
      <c r="G37" s="21" t="s">
        <v>2902</v>
      </c>
      <c r="H37" s="21"/>
    </row>
    <row r="38" spans="1:8" ht="17.100000000000001" customHeight="1" x14ac:dyDescent="0.25">
      <c r="A38" s="20"/>
      <c r="B38" s="20"/>
      <c r="C38" s="20"/>
      <c r="D38" s="20"/>
      <c r="E38" s="20"/>
      <c r="F38" s="21"/>
      <c r="G38" s="21"/>
      <c r="H38" s="21"/>
    </row>
    <row r="39" spans="1:8" ht="17.100000000000001" customHeight="1" x14ac:dyDescent="0.25">
      <c r="A39" s="20" t="s">
        <v>790</v>
      </c>
      <c r="B39" s="20" t="s">
        <v>798</v>
      </c>
      <c r="C39" s="20" t="s">
        <v>662</v>
      </c>
      <c r="D39" s="20" t="s">
        <v>697</v>
      </c>
      <c r="E39" s="20" t="s">
        <v>2918</v>
      </c>
      <c r="F39" s="21" t="s">
        <v>799</v>
      </c>
      <c r="G39" s="21" t="s">
        <v>2902</v>
      </c>
      <c r="H39" s="21"/>
    </row>
    <row r="40" spans="1:8" ht="17.100000000000001" customHeight="1" x14ac:dyDescent="0.25">
      <c r="A40" s="20" t="s">
        <v>797</v>
      </c>
      <c r="B40" s="20" t="s">
        <v>805</v>
      </c>
      <c r="C40" s="20" t="s">
        <v>662</v>
      </c>
      <c r="D40" s="20" t="s">
        <v>697</v>
      </c>
      <c r="E40" s="20" t="s">
        <v>2918</v>
      </c>
      <c r="F40" s="21" t="s">
        <v>806</v>
      </c>
      <c r="G40" s="21" t="s">
        <v>2902</v>
      </c>
      <c r="H40" s="21"/>
    </row>
    <row r="41" spans="1:8" ht="17.100000000000001" customHeight="1" x14ac:dyDescent="0.25">
      <c r="A41" s="20"/>
      <c r="B41" s="20"/>
      <c r="C41" s="20"/>
      <c r="D41" s="20"/>
      <c r="E41" s="20"/>
      <c r="F41" s="21"/>
      <c r="G41" s="21"/>
      <c r="H41" s="21"/>
    </row>
    <row r="42" spans="1:8" ht="17.100000000000001" customHeight="1" x14ac:dyDescent="0.25">
      <c r="A42" s="20" t="s">
        <v>852</v>
      </c>
      <c r="B42" s="20" t="s">
        <v>2831</v>
      </c>
      <c r="C42" s="20" t="s">
        <v>662</v>
      </c>
      <c r="D42" s="20" t="s">
        <v>673</v>
      </c>
      <c r="E42" s="20" t="s">
        <v>2918</v>
      </c>
      <c r="F42" s="21" t="s">
        <v>853</v>
      </c>
      <c r="G42" s="21" t="s">
        <v>2902</v>
      </c>
      <c r="H42" s="21"/>
    </row>
    <row r="43" spans="1:8" ht="17.100000000000001" customHeight="1" x14ac:dyDescent="0.25">
      <c r="A43" s="20" t="s">
        <v>857</v>
      </c>
      <c r="B43" s="20" t="s">
        <v>507</v>
      </c>
      <c r="C43" s="20" t="s">
        <v>662</v>
      </c>
      <c r="D43" s="20" t="s">
        <v>673</v>
      </c>
      <c r="E43" s="20" t="s">
        <v>2918</v>
      </c>
      <c r="F43" s="21" t="s">
        <v>858</v>
      </c>
      <c r="G43" s="21" t="s">
        <v>2902</v>
      </c>
      <c r="H43" s="21"/>
    </row>
    <row r="44" spans="1:8" ht="17.100000000000001" customHeight="1" x14ac:dyDescent="0.25">
      <c r="A44" s="28"/>
      <c r="B44" s="28"/>
      <c r="C44" s="28"/>
      <c r="D44" s="28"/>
      <c r="E44" s="28"/>
      <c r="F44" s="29"/>
      <c r="G44" s="29"/>
      <c r="H44" s="29"/>
    </row>
    <row r="45" spans="1:8" ht="17.100000000000001" customHeight="1" x14ac:dyDescent="0.25">
      <c r="A45" s="20" t="s">
        <v>819</v>
      </c>
      <c r="B45" s="20" t="s">
        <v>2836</v>
      </c>
      <c r="C45" s="20" t="s">
        <v>662</v>
      </c>
      <c r="D45" s="20" t="s">
        <v>663</v>
      </c>
      <c r="E45" s="20" t="s">
        <v>2918</v>
      </c>
      <c r="F45" s="21" t="s">
        <v>817</v>
      </c>
      <c r="G45" s="21" t="s">
        <v>2902</v>
      </c>
      <c r="H45" s="21" t="s">
        <v>2930</v>
      </c>
    </row>
    <row r="46" spans="1:8" ht="17.100000000000001" customHeight="1" x14ac:dyDescent="0.25">
      <c r="A46" s="20" t="s">
        <v>823</v>
      </c>
      <c r="B46" s="20" t="s">
        <v>2844</v>
      </c>
      <c r="C46" s="20" t="s">
        <v>662</v>
      </c>
      <c r="D46" s="20" t="s">
        <v>663</v>
      </c>
      <c r="E46" s="20" t="s">
        <v>2939</v>
      </c>
      <c r="F46" s="21" t="s">
        <v>820</v>
      </c>
      <c r="G46" s="21" t="s">
        <v>2902</v>
      </c>
      <c r="H46" s="21"/>
    </row>
    <row r="47" spans="1:8" ht="17.100000000000001" customHeight="1" x14ac:dyDescent="0.25">
      <c r="A47" s="20" t="s">
        <v>828</v>
      </c>
      <c r="B47" s="20" t="s">
        <v>2833</v>
      </c>
      <c r="C47" s="20" t="s">
        <v>662</v>
      </c>
      <c r="D47" s="20" t="s">
        <v>663</v>
      </c>
      <c r="E47" s="20" t="s">
        <v>2918</v>
      </c>
      <c r="F47" s="21" t="s">
        <v>825</v>
      </c>
      <c r="G47" s="21" t="s">
        <v>2902</v>
      </c>
      <c r="H47" s="21"/>
    </row>
    <row r="48" spans="1:8" ht="17.100000000000001" customHeight="1" x14ac:dyDescent="0.25">
      <c r="A48" s="20" t="s">
        <v>966</v>
      </c>
      <c r="B48" s="20" t="s">
        <v>967</v>
      </c>
      <c r="C48" s="20" t="s">
        <v>662</v>
      </c>
      <c r="D48" s="20" t="s">
        <v>663</v>
      </c>
      <c r="E48" s="20" t="s">
        <v>2918</v>
      </c>
      <c r="F48" s="21" t="s">
        <v>971</v>
      </c>
      <c r="G48" s="21" t="s">
        <v>2902</v>
      </c>
      <c r="H48" s="21"/>
    </row>
    <row r="49" spans="1:8" ht="17.100000000000001" customHeight="1" x14ac:dyDescent="0.25">
      <c r="A49" s="20" t="s">
        <v>992</v>
      </c>
      <c r="B49" s="20" t="s">
        <v>993</v>
      </c>
      <c r="C49" s="20" t="s">
        <v>662</v>
      </c>
      <c r="D49" s="20" t="s">
        <v>663</v>
      </c>
      <c r="E49" s="20" t="s">
        <v>2941</v>
      </c>
      <c r="F49" s="21" t="s">
        <v>995</v>
      </c>
      <c r="G49" s="21" t="s">
        <v>2902</v>
      </c>
      <c r="H49" s="21"/>
    </row>
    <row r="50" spans="1:8" ht="17.100000000000001" customHeight="1" x14ac:dyDescent="0.25">
      <c r="A50" s="20" t="s">
        <v>1012</v>
      </c>
      <c r="B50" s="20" t="s">
        <v>1013</v>
      </c>
      <c r="C50" s="20" t="s">
        <v>662</v>
      </c>
      <c r="D50" s="20" t="s">
        <v>663</v>
      </c>
      <c r="E50" s="20" t="s">
        <v>2941</v>
      </c>
      <c r="F50" s="21" t="s">
        <v>1016</v>
      </c>
      <c r="G50" s="21" t="s">
        <v>2902</v>
      </c>
      <c r="H50" s="21"/>
    </row>
    <row r="51" spans="1:8" ht="17.100000000000001" customHeight="1" x14ac:dyDescent="0.25">
      <c r="A51" s="20" t="s">
        <v>1020</v>
      </c>
      <c r="B51" s="20" t="s">
        <v>1021</v>
      </c>
      <c r="C51" s="20" t="s">
        <v>662</v>
      </c>
      <c r="D51" s="20" t="s">
        <v>663</v>
      </c>
      <c r="E51" s="20" t="s">
        <v>2941</v>
      </c>
      <c r="F51" s="21" t="s">
        <v>1023</v>
      </c>
      <c r="G51" s="21" t="s">
        <v>2902</v>
      </c>
      <c r="H51" s="21"/>
    </row>
    <row r="52" spans="1:8" ht="17.100000000000001" customHeight="1" x14ac:dyDescent="0.25">
      <c r="A52" s="28"/>
      <c r="B52" s="28"/>
      <c r="C52" s="28"/>
      <c r="D52" s="28"/>
      <c r="E52" s="28"/>
      <c r="F52" s="29"/>
      <c r="G52" s="29"/>
      <c r="H52" s="29"/>
    </row>
    <row r="53" spans="1:8" ht="17.100000000000001" customHeight="1" x14ac:dyDescent="0.25">
      <c r="A53" s="20" t="s">
        <v>840</v>
      </c>
      <c r="B53" s="20" t="s">
        <v>2837</v>
      </c>
      <c r="C53" s="20" t="s">
        <v>662</v>
      </c>
      <c r="D53" s="20" t="s">
        <v>663</v>
      </c>
      <c r="E53" s="20" t="s">
        <v>2918</v>
      </c>
      <c r="F53" s="21" t="s">
        <v>838</v>
      </c>
      <c r="G53" s="21" t="s">
        <v>2902</v>
      </c>
      <c r="H53" s="21" t="s">
        <v>2931</v>
      </c>
    </row>
    <row r="54" spans="1:8" ht="17.100000000000001" customHeight="1" x14ac:dyDescent="0.25">
      <c r="A54" s="20" t="s">
        <v>843</v>
      </c>
      <c r="B54" s="20" t="s">
        <v>2845</v>
      </c>
      <c r="C54" s="20" t="s">
        <v>662</v>
      </c>
      <c r="D54" s="20" t="s">
        <v>663</v>
      </c>
      <c r="E54" s="20" t="s">
        <v>2939</v>
      </c>
      <c r="F54" s="21" t="s">
        <v>841</v>
      </c>
      <c r="G54" s="21" t="s">
        <v>2902</v>
      </c>
      <c r="H54" s="21"/>
    </row>
    <row r="55" spans="1:8" ht="17.100000000000001" customHeight="1" x14ac:dyDescent="0.25">
      <c r="A55" s="20" t="s">
        <v>846</v>
      </c>
      <c r="B55" s="20" t="s">
        <v>2834</v>
      </c>
      <c r="C55" s="20" t="s">
        <v>662</v>
      </c>
      <c r="D55" s="20" t="s">
        <v>663</v>
      </c>
      <c r="E55" s="20" t="s">
        <v>2918</v>
      </c>
      <c r="F55" s="21" t="s">
        <v>844</v>
      </c>
      <c r="G55" s="21" t="s">
        <v>2902</v>
      </c>
      <c r="H55" s="21"/>
    </row>
    <row r="56" spans="1:8" ht="17.100000000000001" customHeight="1" x14ac:dyDescent="0.25">
      <c r="A56" s="20" t="s">
        <v>1025</v>
      </c>
      <c r="B56" s="20" t="s">
        <v>2831</v>
      </c>
      <c r="C56" s="20" t="s">
        <v>662</v>
      </c>
      <c r="D56" s="20" t="s">
        <v>663</v>
      </c>
      <c r="E56" s="20" t="s">
        <v>2941</v>
      </c>
      <c r="F56" s="21" t="s">
        <v>658</v>
      </c>
      <c r="G56" s="21" t="s">
        <v>2902</v>
      </c>
      <c r="H56" s="21"/>
    </row>
    <row r="57" spans="1:8" ht="17.100000000000001" customHeight="1" x14ac:dyDescent="0.25">
      <c r="A57" s="20" t="s">
        <v>850</v>
      </c>
      <c r="B57" s="20" t="s">
        <v>848</v>
      </c>
      <c r="C57" s="20" t="s">
        <v>662</v>
      </c>
      <c r="D57" s="20" t="s">
        <v>663</v>
      </c>
      <c r="E57" s="20" t="s">
        <v>2939</v>
      </c>
      <c r="F57" s="21" t="s">
        <v>847</v>
      </c>
      <c r="G57" s="21" t="s">
        <v>2902</v>
      </c>
      <c r="H57" s="21"/>
    </row>
    <row r="58" spans="1:8" ht="17.100000000000001" customHeight="1" x14ac:dyDescent="0.25">
      <c r="A58" s="28"/>
      <c r="B58" s="28"/>
      <c r="C58" s="28"/>
      <c r="D58" s="28"/>
      <c r="E58" s="28"/>
      <c r="F58" s="29"/>
      <c r="G58" s="29"/>
      <c r="H58" s="29"/>
    </row>
    <row r="59" spans="1:8" ht="17.100000000000001" customHeight="1" x14ac:dyDescent="0.25">
      <c r="A59" s="20" t="s">
        <v>665</v>
      </c>
      <c r="B59" s="20" t="s">
        <v>2838</v>
      </c>
      <c r="C59" s="20" t="s">
        <v>662</v>
      </c>
      <c r="D59" s="20" t="s">
        <v>663</v>
      </c>
      <c r="E59" s="20" t="s">
        <v>2939</v>
      </c>
      <c r="F59" s="21" t="s">
        <v>659</v>
      </c>
      <c r="G59" s="21" t="s">
        <v>2902</v>
      </c>
      <c r="H59" s="21" t="s">
        <v>2903</v>
      </c>
    </row>
    <row r="60" spans="1:8" ht="17.100000000000001" customHeight="1" x14ac:dyDescent="0.25">
      <c r="A60" s="20" t="s">
        <v>670</v>
      </c>
      <c r="B60" s="20" t="s">
        <v>2839</v>
      </c>
      <c r="C60" s="20" t="s">
        <v>662</v>
      </c>
      <c r="D60" s="20" t="s">
        <v>663</v>
      </c>
      <c r="E60" s="20" t="s">
        <v>2939</v>
      </c>
      <c r="F60" s="21" t="s">
        <v>667</v>
      </c>
      <c r="G60" s="21" t="s">
        <v>2902</v>
      </c>
      <c r="H60" s="21"/>
    </row>
    <row r="61" spans="1:8" ht="17.100000000000001" customHeight="1" x14ac:dyDescent="0.25">
      <c r="A61" s="20" t="s">
        <v>684</v>
      </c>
      <c r="B61" s="20" t="s">
        <v>2835</v>
      </c>
      <c r="C61" s="20" t="s">
        <v>662</v>
      </c>
      <c r="D61" s="20" t="s">
        <v>663</v>
      </c>
      <c r="E61" s="20" t="s">
        <v>2919</v>
      </c>
      <c r="F61" s="21" t="s">
        <v>681</v>
      </c>
      <c r="G61" s="21" t="s">
        <v>2902</v>
      </c>
      <c r="H61" s="21"/>
    </row>
    <row r="62" spans="1:8" ht="17.100000000000001" customHeight="1" x14ac:dyDescent="0.25">
      <c r="A62" s="20" t="s">
        <v>810</v>
      </c>
      <c r="B62" s="20" t="s">
        <v>2840</v>
      </c>
      <c r="C62" s="20" t="s">
        <v>662</v>
      </c>
      <c r="D62" s="20" t="s">
        <v>663</v>
      </c>
      <c r="E62" s="20" t="s">
        <v>2918</v>
      </c>
      <c r="F62" s="21" t="s">
        <v>807</v>
      </c>
      <c r="G62" s="21" t="s">
        <v>2902</v>
      </c>
      <c r="H62" s="21"/>
    </row>
    <row r="63" spans="1:8" ht="17.100000000000001" customHeight="1" x14ac:dyDescent="0.25">
      <c r="A63" s="20" t="s">
        <v>815</v>
      </c>
      <c r="B63" s="20" t="s">
        <v>2841</v>
      </c>
      <c r="C63" s="20" t="s">
        <v>662</v>
      </c>
      <c r="D63" s="20" t="s">
        <v>663</v>
      </c>
      <c r="E63" s="20" t="s">
        <v>2918</v>
      </c>
      <c r="F63" s="21" t="s">
        <v>812</v>
      </c>
      <c r="G63" s="21" t="s">
        <v>2902</v>
      </c>
      <c r="H63" s="21"/>
    </row>
    <row r="64" spans="1:8" ht="17.100000000000001" customHeight="1" x14ac:dyDescent="0.25">
      <c r="A64" s="20" t="s">
        <v>1000</v>
      </c>
      <c r="B64" s="20" t="s">
        <v>2842</v>
      </c>
      <c r="C64" s="20" t="s">
        <v>662</v>
      </c>
      <c r="D64" s="20" t="s">
        <v>663</v>
      </c>
      <c r="E64" s="20" t="s">
        <v>2941</v>
      </c>
      <c r="F64" s="21" t="s">
        <v>1002</v>
      </c>
      <c r="G64" s="21" t="s">
        <v>2902</v>
      </c>
      <c r="H64" s="21"/>
    </row>
    <row r="65" spans="1:8" ht="17.100000000000001" customHeight="1" x14ac:dyDescent="0.25">
      <c r="A65" s="20" t="s">
        <v>1003</v>
      </c>
      <c r="B65" s="20" t="s">
        <v>2843</v>
      </c>
      <c r="C65" s="20" t="s">
        <v>662</v>
      </c>
      <c r="D65" s="20" t="s">
        <v>663</v>
      </c>
      <c r="E65" s="20" t="s">
        <v>2918</v>
      </c>
      <c r="F65" s="21" t="s">
        <v>1005</v>
      </c>
      <c r="G65" s="21" t="s">
        <v>2902</v>
      </c>
      <c r="H65" s="21"/>
    </row>
    <row r="66" spans="1:8" ht="17.100000000000001" customHeight="1" x14ac:dyDescent="0.25">
      <c r="A66" s="20" t="s">
        <v>1007</v>
      </c>
      <c r="B66" s="20" t="s">
        <v>1008</v>
      </c>
      <c r="C66" s="20" t="s">
        <v>662</v>
      </c>
      <c r="D66" s="20" t="s">
        <v>663</v>
      </c>
      <c r="E66" s="20" t="s">
        <v>2918</v>
      </c>
      <c r="F66" s="21" t="s">
        <v>866</v>
      </c>
      <c r="G66" s="21" t="s">
        <v>2902</v>
      </c>
      <c r="H66" s="21"/>
    </row>
    <row r="67" spans="1:8" ht="17.100000000000001" customHeight="1" x14ac:dyDescent="0.25">
      <c r="A67" s="20" t="s">
        <v>972</v>
      </c>
      <c r="B67" s="20" t="s">
        <v>392</v>
      </c>
      <c r="C67" s="20" t="s">
        <v>662</v>
      </c>
      <c r="D67" s="20" t="s">
        <v>663</v>
      </c>
      <c r="E67" s="20" t="s">
        <v>2918</v>
      </c>
      <c r="F67" s="21" t="s">
        <v>974</v>
      </c>
      <c r="G67" s="21" t="s">
        <v>2902</v>
      </c>
      <c r="H67" s="21"/>
    </row>
    <row r="68" spans="1:8" ht="17.100000000000001" customHeight="1" x14ac:dyDescent="0.25">
      <c r="A68" s="20" t="s">
        <v>972</v>
      </c>
      <c r="B68" s="20" t="s">
        <v>392</v>
      </c>
      <c r="C68" s="20" t="s">
        <v>662</v>
      </c>
      <c r="D68" s="20" t="s">
        <v>663</v>
      </c>
      <c r="E68" s="20" t="s">
        <v>2918</v>
      </c>
      <c r="F68" s="21" t="s">
        <v>655</v>
      </c>
      <c r="G68" s="21" t="s">
        <v>2902</v>
      </c>
      <c r="H68" s="21"/>
    </row>
    <row r="69" spans="1:8" ht="17.100000000000001" customHeight="1" x14ac:dyDescent="0.25">
      <c r="A69" s="20" t="s">
        <v>932</v>
      </c>
      <c r="B69" s="20" t="s">
        <v>933</v>
      </c>
      <c r="C69" s="20" t="s">
        <v>662</v>
      </c>
      <c r="D69" s="20" t="s">
        <v>663</v>
      </c>
      <c r="E69" s="20" t="s">
        <v>2918</v>
      </c>
      <c r="F69" s="21" t="s">
        <v>934</v>
      </c>
      <c r="G69" s="21" t="s">
        <v>2902</v>
      </c>
      <c r="H69" s="21"/>
    </row>
    <row r="70" spans="1:8" ht="17.100000000000001" customHeight="1" x14ac:dyDescent="0.25">
      <c r="A70" s="20" t="s">
        <v>942</v>
      </c>
      <c r="B70" s="20" t="s">
        <v>943</v>
      </c>
      <c r="C70" s="20" t="s">
        <v>662</v>
      </c>
      <c r="D70" s="20" t="s">
        <v>663</v>
      </c>
      <c r="E70" s="20" t="s">
        <v>2918</v>
      </c>
      <c r="F70" s="21" t="s">
        <v>945</v>
      </c>
      <c r="G70" s="21" t="s">
        <v>2902</v>
      </c>
      <c r="H70" s="21"/>
    </row>
    <row r="71" spans="1:8" ht="17.100000000000001" customHeight="1" x14ac:dyDescent="0.25">
      <c r="A71" s="20" t="s">
        <v>935</v>
      </c>
      <c r="B71" s="20" t="s">
        <v>936</v>
      </c>
      <c r="C71" s="20" t="s">
        <v>662</v>
      </c>
      <c r="D71" s="20" t="s">
        <v>663</v>
      </c>
      <c r="E71" s="20" t="s">
        <v>2941</v>
      </c>
      <c r="F71" s="21" t="s">
        <v>938</v>
      </c>
      <c r="G71" s="21" t="s">
        <v>2902</v>
      </c>
      <c r="H71" s="21"/>
    </row>
    <row r="72" spans="1:8" ht="17.100000000000001" customHeight="1" x14ac:dyDescent="0.25">
      <c r="A72" s="20" t="s">
        <v>935</v>
      </c>
      <c r="B72" s="20" t="s">
        <v>936</v>
      </c>
      <c r="C72" s="20" t="s">
        <v>662</v>
      </c>
      <c r="D72" s="20" t="s">
        <v>663</v>
      </c>
      <c r="E72" s="20" t="s">
        <v>2918</v>
      </c>
      <c r="F72" s="21" t="s">
        <v>937</v>
      </c>
      <c r="G72" s="21" t="s">
        <v>2902</v>
      </c>
      <c r="H72" s="21"/>
    </row>
    <row r="73" spans="1:8" ht="17.100000000000001" customHeight="1" x14ac:dyDescent="0.25">
      <c r="A73" s="20" t="s">
        <v>949</v>
      </c>
      <c r="B73" s="20" t="s">
        <v>950</v>
      </c>
      <c r="C73" s="20" t="s">
        <v>662</v>
      </c>
      <c r="D73" s="20" t="s">
        <v>663</v>
      </c>
      <c r="E73" s="20" t="s">
        <v>2918</v>
      </c>
      <c r="F73" s="21" t="s">
        <v>952</v>
      </c>
      <c r="G73" s="21" t="s">
        <v>2902</v>
      </c>
      <c r="H73" s="21"/>
    </row>
    <row r="74" spans="1:8" ht="17.100000000000001" customHeight="1" x14ac:dyDescent="0.25">
      <c r="A74" s="20" t="s">
        <v>975</v>
      </c>
      <c r="B74" s="20" t="s">
        <v>976</v>
      </c>
      <c r="C74" s="20" t="s">
        <v>662</v>
      </c>
      <c r="D74" s="20" t="s">
        <v>663</v>
      </c>
      <c r="E74" s="20" t="s">
        <v>2918</v>
      </c>
      <c r="F74" s="21" t="s">
        <v>977</v>
      </c>
      <c r="G74" s="21" t="s">
        <v>2902</v>
      </c>
      <c r="H74" s="21"/>
    </row>
    <row r="75" spans="1:8" ht="17.100000000000001" customHeight="1" x14ac:dyDescent="0.25">
      <c r="A75" s="20" t="s">
        <v>963</v>
      </c>
      <c r="B75" s="20" t="s">
        <v>964</v>
      </c>
      <c r="C75" s="20" t="s">
        <v>662</v>
      </c>
      <c r="D75" s="20" t="s">
        <v>663</v>
      </c>
      <c r="E75" s="20" t="s">
        <v>2918</v>
      </c>
      <c r="F75" s="21" t="s">
        <v>965</v>
      </c>
      <c r="G75" s="21" t="s">
        <v>2902</v>
      </c>
      <c r="H75" s="21"/>
    </row>
    <row r="76" spans="1:8" ht="17.100000000000001" customHeight="1" x14ac:dyDescent="0.25">
      <c r="A76" s="20" t="s">
        <v>965</v>
      </c>
      <c r="B76" s="20" t="s">
        <v>964</v>
      </c>
      <c r="C76" s="20" t="s">
        <v>662</v>
      </c>
      <c r="D76" s="20" t="s">
        <v>663</v>
      </c>
      <c r="E76" s="20" t="s">
        <v>2918</v>
      </c>
      <c r="F76" s="21" t="s">
        <v>991</v>
      </c>
      <c r="G76" s="21" t="s">
        <v>2902</v>
      </c>
      <c r="H76" s="21"/>
    </row>
    <row r="77" spans="1:8" ht="17.100000000000001" customHeight="1" x14ac:dyDescent="0.25">
      <c r="A77" s="20" t="s">
        <v>939</v>
      </c>
      <c r="B77" s="20" t="s">
        <v>940</v>
      </c>
      <c r="C77" s="20" t="s">
        <v>662</v>
      </c>
      <c r="D77" s="20" t="s">
        <v>663</v>
      </c>
      <c r="E77" s="20" t="s">
        <v>2918</v>
      </c>
      <c r="F77" s="21" t="s">
        <v>941</v>
      </c>
      <c r="G77" s="21" t="s">
        <v>2902</v>
      </c>
      <c r="H77" s="21"/>
    </row>
    <row r="78" spans="1:8" ht="17.100000000000001" customHeight="1" x14ac:dyDescent="0.25">
      <c r="A78" s="20" t="s">
        <v>1009</v>
      </c>
      <c r="B78" s="20" t="s">
        <v>1010</v>
      </c>
      <c r="C78" s="20" t="s">
        <v>662</v>
      </c>
      <c r="D78" s="20" t="s">
        <v>663</v>
      </c>
      <c r="E78" s="20" t="s">
        <v>2918</v>
      </c>
      <c r="F78" s="21" t="s">
        <v>1011</v>
      </c>
      <c r="G78" s="21" t="s">
        <v>2902</v>
      </c>
      <c r="H78" s="21"/>
    </row>
    <row r="79" spans="1:8" ht="17.100000000000001" customHeight="1" x14ac:dyDescent="0.25">
      <c r="A79" s="20" t="s">
        <v>958</v>
      </c>
      <c r="B79" s="20" t="s">
        <v>959</v>
      </c>
      <c r="C79" s="20" t="s">
        <v>662</v>
      </c>
      <c r="D79" s="20" t="s">
        <v>663</v>
      </c>
      <c r="E79" s="20" t="s">
        <v>2918</v>
      </c>
      <c r="F79" s="21" t="s">
        <v>961</v>
      </c>
      <c r="G79" s="21" t="s">
        <v>2902</v>
      </c>
      <c r="H79" s="21"/>
    </row>
    <row r="80" spans="1:8" ht="17.100000000000001" customHeight="1" x14ac:dyDescent="0.25">
      <c r="A80" s="20" t="s">
        <v>958</v>
      </c>
      <c r="B80" s="20" t="s">
        <v>959</v>
      </c>
      <c r="C80" s="20" t="s">
        <v>662</v>
      </c>
      <c r="D80" s="20" t="s">
        <v>663</v>
      </c>
      <c r="E80" s="20" t="s">
        <v>2941</v>
      </c>
      <c r="F80" s="21" t="s">
        <v>962</v>
      </c>
      <c r="G80" s="21" t="s">
        <v>2902</v>
      </c>
      <c r="H80" s="21"/>
    </row>
    <row r="81" spans="1:8" ht="17.100000000000001" customHeight="1" x14ac:dyDescent="0.25">
      <c r="A81" s="20"/>
      <c r="B81" s="20"/>
      <c r="C81" s="20"/>
      <c r="D81" s="20"/>
      <c r="E81" s="20"/>
      <c r="F81" s="21"/>
      <c r="G81" s="21"/>
      <c r="H81" s="21"/>
    </row>
    <row r="82" spans="1:8" ht="17.100000000000001" customHeight="1" x14ac:dyDescent="0.25">
      <c r="A82" s="20" t="s">
        <v>905</v>
      </c>
      <c r="B82" s="20" t="s">
        <v>510</v>
      </c>
      <c r="C82" s="20" t="s">
        <v>662</v>
      </c>
      <c r="D82" s="20" t="s">
        <v>697</v>
      </c>
      <c r="E82" s="20" t="s">
        <v>2941</v>
      </c>
      <c r="F82" s="21" t="s">
        <v>903</v>
      </c>
      <c r="G82" s="21" t="s">
        <v>2902</v>
      </c>
      <c r="H82" s="21"/>
    </row>
    <row r="83" spans="1:8" ht="17.100000000000001" customHeight="1" x14ac:dyDescent="0.25">
      <c r="A83" s="20"/>
      <c r="B83" s="20"/>
      <c r="C83" s="20"/>
      <c r="D83" s="20"/>
      <c r="E83" s="20"/>
      <c r="F83" s="21"/>
      <c r="G83" s="21"/>
      <c r="H83" s="21"/>
    </row>
    <row r="84" spans="1:8" ht="17.100000000000001" customHeight="1" x14ac:dyDescent="0.25">
      <c r="A84" s="20" t="s">
        <v>901</v>
      </c>
      <c r="B84" s="20" t="s">
        <v>509</v>
      </c>
      <c r="C84" s="20" t="s">
        <v>662</v>
      </c>
      <c r="D84" s="20" t="s">
        <v>673</v>
      </c>
      <c r="E84" s="20" t="s">
        <v>2941</v>
      </c>
      <c r="F84" s="21" t="s">
        <v>899</v>
      </c>
      <c r="G84" s="21" t="s">
        <v>2902</v>
      </c>
      <c r="H84" s="21"/>
    </row>
    <row r="85" spans="1:8" ht="17.100000000000001" customHeight="1" x14ac:dyDescent="0.25">
      <c r="A85" s="28"/>
      <c r="B85" s="28"/>
      <c r="C85" s="28"/>
      <c r="D85" s="28"/>
      <c r="E85" s="28"/>
      <c r="F85" s="29"/>
      <c r="G85" s="29"/>
      <c r="H85" s="29"/>
    </row>
    <row r="86" spans="1:8" ht="17.100000000000001" customHeight="1" x14ac:dyDescent="0.25">
      <c r="A86" s="20" t="s">
        <v>1041</v>
      </c>
      <c r="B86" s="20" t="s">
        <v>2831</v>
      </c>
      <c r="C86" s="20" t="s">
        <v>662</v>
      </c>
      <c r="D86" s="20" t="s">
        <v>663</v>
      </c>
      <c r="E86" s="20" t="s">
        <v>2919</v>
      </c>
      <c r="F86" s="21" t="s">
        <v>1042</v>
      </c>
      <c r="G86" s="21" t="s">
        <v>2902</v>
      </c>
      <c r="H86" s="21" t="s">
        <v>554</v>
      </c>
    </row>
    <row r="87" spans="1:8" ht="17.100000000000001" customHeight="1" x14ac:dyDescent="0.25">
      <c r="A87" s="20" t="s">
        <v>1033</v>
      </c>
      <c r="B87" s="20" t="s">
        <v>510</v>
      </c>
      <c r="C87" s="20" t="s">
        <v>662</v>
      </c>
      <c r="D87" s="20" t="s">
        <v>663</v>
      </c>
      <c r="E87" s="20" t="s">
        <v>2919</v>
      </c>
      <c r="F87" s="21" t="s">
        <v>907</v>
      </c>
      <c r="G87" s="21" t="s">
        <v>2902</v>
      </c>
      <c r="H87" s="21"/>
    </row>
    <row r="88" spans="1:8" ht="17.100000000000001" customHeight="1" x14ac:dyDescent="0.25">
      <c r="A88" s="20" t="s">
        <v>1044</v>
      </c>
      <c r="B88" s="20" t="s">
        <v>510</v>
      </c>
      <c r="C88" s="20" t="s">
        <v>662</v>
      </c>
      <c r="D88" s="20" t="s">
        <v>663</v>
      </c>
      <c r="E88" s="20" t="s">
        <v>2919</v>
      </c>
      <c r="F88" s="21" t="s">
        <v>907</v>
      </c>
      <c r="G88" s="21" t="s">
        <v>2902</v>
      </c>
      <c r="H88" s="21"/>
    </row>
    <row r="89" spans="1:8" ht="17.100000000000001" customHeight="1" x14ac:dyDescent="0.25">
      <c r="A89" s="20" t="s">
        <v>1037</v>
      </c>
      <c r="B89" s="20" t="s">
        <v>1038</v>
      </c>
      <c r="C89" s="20" t="s">
        <v>662</v>
      </c>
      <c r="D89" s="20" t="s">
        <v>663</v>
      </c>
      <c r="E89" s="20" t="s">
        <v>2918</v>
      </c>
      <c r="F89" s="21" t="s">
        <v>1040</v>
      </c>
      <c r="G89" s="21" t="s">
        <v>2902</v>
      </c>
      <c r="H89" s="21"/>
    </row>
    <row r="90" spans="1:8" ht="17.100000000000001" customHeight="1" x14ac:dyDescent="0.25">
      <c r="A90" s="21" t="s">
        <v>832</v>
      </c>
      <c r="B90" s="20" t="s">
        <v>830</v>
      </c>
      <c r="C90" s="20" t="s">
        <v>662</v>
      </c>
      <c r="D90" s="20" t="s">
        <v>663</v>
      </c>
      <c r="E90" s="20" t="s">
        <v>2941</v>
      </c>
      <c r="F90" s="20" t="s">
        <v>829</v>
      </c>
      <c r="G90" s="21" t="s">
        <v>2902</v>
      </c>
      <c r="H90" s="21"/>
    </row>
    <row r="91" spans="1:8" ht="17.100000000000001" customHeight="1" x14ac:dyDescent="0.25">
      <c r="A91" s="20" t="s">
        <v>1034</v>
      </c>
      <c r="B91" s="20" t="s">
        <v>1035</v>
      </c>
      <c r="C91" s="20" t="s">
        <v>662</v>
      </c>
      <c r="D91" s="20" t="s">
        <v>663</v>
      </c>
      <c r="E91" s="20" t="s">
        <v>2919</v>
      </c>
      <c r="F91" s="21" t="s">
        <v>1036</v>
      </c>
      <c r="G91" s="21" t="s">
        <v>2902</v>
      </c>
      <c r="H91" s="21"/>
    </row>
    <row r="92" spans="1:8" ht="17.100000000000001" customHeight="1" x14ac:dyDescent="0.25">
      <c r="A92" s="20" t="s">
        <v>1043</v>
      </c>
      <c r="B92" s="20" t="s">
        <v>959</v>
      </c>
      <c r="C92" s="20" t="s">
        <v>662</v>
      </c>
      <c r="D92" s="20" t="s">
        <v>663</v>
      </c>
      <c r="E92" s="20" t="s">
        <v>2919</v>
      </c>
      <c r="F92" s="21" t="s">
        <v>962</v>
      </c>
      <c r="G92" s="21" t="s">
        <v>2902</v>
      </c>
      <c r="H92" s="21"/>
    </row>
    <row r="93" spans="1:8" ht="17.100000000000001" customHeight="1" x14ac:dyDescent="0.25">
      <c r="A93" s="28"/>
      <c r="B93" s="28"/>
      <c r="C93" s="28"/>
      <c r="D93" s="28"/>
      <c r="E93" s="28"/>
      <c r="F93" s="29"/>
      <c r="G93" s="29"/>
      <c r="H93" s="29"/>
    </row>
    <row r="94" spans="1:8" ht="17.100000000000001" customHeight="1" x14ac:dyDescent="0.25">
      <c r="A94" s="20" t="s">
        <v>1047</v>
      </c>
      <c r="B94" s="20" t="s">
        <v>392</v>
      </c>
      <c r="C94" s="20" t="s">
        <v>662</v>
      </c>
      <c r="D94" s="20" t="s">
        <v>663</v>
      </c>
      <c r="E94" s="20" t="s">
        <v>2941</v>
      </c>
      <c r="F94" s="21" t="s">
        <v>653</v>
      </c>
      <c r="G94" s="21" t="s">
        <v>2902</v>
      </c>
      <c r="H94" s="21" t="s">
        <v>2929</v>
      </c>
    </row>
    <row r="95" spans="1:8" ht="17.100000000000001" customHeight="1" x14ac:dyDescent="0.25">
      <c r="A95" s="20" t="s">
        <v>1052</v>
      </c>
      <c r="B95" s="20" t="s">
        <v>976</v>
      </c>
      <c r="C95" s="20" t="s">
        <v>662</v>
      </c>
      <c r="D95" s="20" t="s">
        <v>663</v>
      </c>
      <c r="E95" s="20" t="s">
        <v>2941</v>
      </c>
      <c r="F95" s="21" t="s">
        <v>977</v>
      </c>
      <c r="G95" s="21" t="s">
        <v>2902</v>
      </c>
      <c r="H95" s="21"/>
    </row>
    <row r="96" spans="1:8" ht="17.100000000000001" customHeight="1" x14ac:dyDescent="0.25">
      <c r="A96" s="20" t="s">
        <v>1049</v>
      </c>
      <c r="B96" s="20" t="s">
        <v>993</v>
      </c>
      <c r="C96" s="20" t="s">
        <v>662</v>
      </c>
      <c r="D96" s="20" t="s">
        <v>663</v>
      </c>
      <c r="E96" s="20" t="s">
        <v>2941</v>
      </c>
      <c r="F96" s="21" t="s">
        <v>995</v>
      </c>
      <c r="G96" s="21" t="s">
        <v>2902</v>
      </c>
      <c r="H96" s="21"/>
    </row>
    <row r="97" spans="1:8" ht="17.100000000000001" customHeight="1" x14ac:dyDescent="0.25">
      <c r="A97" s="20"/>
      <c r="B97" s="20"/>
      <c r="C97" s="20"/>
      <c r="D97" s="20"/>
      <c r="E97" s="20"/>
      <c r="F97" s="21"/>
      <c r="G97" s="21"/>
      <c r="H97" s="21"/>
    </row>
    <row r="98" spans="1:8" ht="17.100000000000001" customHeight="1" x14ac:dyDescent="0.25">
      <c r="A98" s="20" t="s">
        <v>1050</v>
      </c>
      <c r="B98" s="20" t="s">
        <v>2831</v>
      </c>
      <c r="C98" s="20" t="s">
        <v>662</v>
      </c>
      <c r="D98" s="20" t="s">
        <v>697</v>
      </c>
      <c r="E98" s="20" t="s">
        <v>2941</v>
      </c>
      <c r="F98" s="21" t="s">
        <v>656</v>
      </c>
      <c r="G98" s="21" t="s">
        <v>2902</v>
      </c>
      <c r="H98" s="21"/>
    </row>
    <row r="99" spans="1:8" ht="17.100000000000001" customHeight="1" x14ac:dyDescent="0.25">
      <c r="A99" s="20"/>
      <c r="B99" s="20"/>
      <c r="C99" s="20"/>
      <c r="D99" s="20"/>
      <c r="E99" s="20"/>
      <c r="F99" s="21"/>
      <c r="G99" s="21"/>
      <c r="H99" s="21"/>
    </row>
    <row r="100" spans="1:8" ht="17.100000000000001" customHeight="1" x14ac:dyDescent="0.25">
      <c r="A100" s="20" t="s">
        <v>853</v>
      </c>
      <c r="B100" s="20" t="s">
        <v>2831</v>
      </c>
      <c r="C100" s="20" t="s">
        <v>662</v>
      </c>
      <c r="D100" s="20" t="s">
        <v>673</v>
      </c>
      <c r="E100" s="20" t="s">
        <v>2918</v>
      </c>
      <c r="F100" s="21" t="s">
        <v>649</v>
      </c>
      <c r="G100" s="21" t="s">
        <v>2902</v>
      </c>
      <c r="H100" s="21"/>
    </row>
    <row r="101" spans="1:8" ht="17.100000000000001" customHeight="1" x14ac:dyDescent="0.25">
      <c r="A101" s="20" t="s">
        <v>649</v>
      </c>
      <c r="B101" s="20" t="s">
        <v>2831</v>
      </c>
      <c r="C101" s="20" t="s">
        <v>662</v>
      </c>
      <c r="D101" s="20" t="s">
        <v>673</v>
      </c>
      <c r="E101" s="20" t="s">
        <v>2918</v>
      </c>
      <c r="F101" s="21" t="s">
        <v>638</v>
      </c>
      <c r="G101" s="21" t="s">
        <v>2902</v>
      </c>
      <c r="H101" s="21"/>
    </row>
    <row r="102" spans="1:8" ht="17.100000000000001" customHeight="1" x14ac:dyDescent="0.25">
      <c r="A102" s="28"/>
      <c r="B102" s="28"/>
      <c r="C102" s="28"/>
      <c r="D102" s="28"/>
      <c r="E102" s="28"/>
      <c r="F102" s="29"/>
      <c r="G102" s="29"/>
      <c r="H102" s="29"/>
    </row>
    <row r="103" spans="1:8" ht="17.100000000000001" customHeight="1" x14ac:dyDescent="0.25">
      <c r="A103" s="21" t="s">
        <v>882</v>
      </c>
      <c r="B103" s="20" t="s">
        <v>880</v>
      </c>
      <c r="C103" s="20" t="s">
        <v>662</v>
      </c>
      <c r="D103" s="20" t="s">
        <v>697</v>
      </c>
      <c r="E103" s="20" t="s">
        <v>2939</v>
      </c>
      <c r="F103" s="20" t="s">
        <v>879</v>
      </c>
      <c r="G103" s="21" t="s">
        <v>2902</v>
      </c>
      <c r="H103" s="21" t="s">
        <v>557</v>
      </c>
    </row>
    <row r="104" spans="1:8" ht="17.100000000000001" customHeight="1" x14ac:dyDescent="0.25">
      <c r="A104" s="21" t="s">
        <v>918</v>
      </c>
      <c r="B104" s="20" t="s">
        <v>917</v>
      </c>
      <c r="C104" s="20" t="s">
        <v>662</v>
      </c>
      <c r="D104" s="20" t="s">
        <v>697</v>
      </c>
      <c r="E104" s="20" t="s">
        <v>2939</v>
      </c>
      <c r="F104" s="20" t="s">
        <v>916</v>
      </c>
      <c r="G104" s="21" t="s">
        <v>2902</v>
      </c>
      <c r="H104" s="21"/>
    </row>
    <row r="105" spans="1:8" ht="17.100000000000001" customHeight="1" x14ac:dyDescent="0.25">
      <c r="A105" s="20"/>
      <c r="B105" s="20"/>
      <c r="C105" s="20"/>
      <c r="D105" s="20"/>
      <c r="E105" s="20"/>
      <c r="F105" s="21"/>
      <c r="G105" s="21"/>
      <c r="H105" s="21"/>
    </row>
    <row r="106" spans="1:8" ht="17.100000000000001" customHeight="1" x14ac:dyDescent="0.25">
      <c r="A106" s="20" t="s">
        <v>1045</v>
      </c>
      <c r="B106" s="20" t="s">
        <v>2831</v>
      </c>
      <c r="C106" s="20" t="s">
        <v>662</v>
      </c>
      <c r="D106" s="20" t="s">
        <v>673</v>
      </c>
      <c r="E106" s="20" t="s">
        <v>2918</v>
      </c>
      <c r="F106" s="21" t="s">
        <v>1046</v>
      </c>
      <c r="G106" s="21" t="s">
        <v>2902</v>
      </c>
      <c r="H106" s="21"/>
    </row>
    <row r="107" spans="1:8" ht="17.100000000000001" customHeight="1" x14ac:dyDescent="0.25">
      <c r="A107" s="21" t="s">
        <v>912</v>
      </c>
      <c r="B107" s="20" t="s">
        <v>911</v>
      </c>
      <c r="C107" s="20" t="s">
        <v>662</v>
      </c>
      <c r="D107" s="20" t="s">
        <v>673</v>
      </c>
      <c r="E107" s="20" t="s">
        <v>2918</v>
      </c>
      <c r="F107" s="20" t="s">
        <v>910</v>
      </c>
      <c r="G107" s="21" t="s">
        <v>2902</v>
      </c>
      <c r="H107" s="21"/>
    </row>
    <row r="108" spans="1:8" ht="17.100000000000001" customHeight="1" x14ac:dyDescent="0.25">
      <c r="A108" s="28"/>
      <c r="B108" s="28"/>
      <c r="C108" s="28"/>
      <c r="D108" s="28"/>
      <c r="E108" s="28"/>
      <c r="F108" s="29"/>
      <c r="G108" s="29"/>
      <c r="H108" s="29"/>
    </row>
    <row r="109" spans="1:8" ht="17.100000000000001" customHeight="1" x14ac:dyDescent="0.25">
      <c r="A109" s="20" t="s">
        <v>873</v>
      </c>
      <c r="B109" s="20" t="s">
        <v>2831</v>
      </c>
      <c r="C109" s="20" t="s">
        <v>662</v>
      </c>
      <c r="D109" s="20" t="s">
        <v>697</v>
      </c>
      <c r="E109" s="20" t="s">
        <v>2918</v>
      </c>
      <c r="F109" s="21" t="s">
        <v>875</v>
      </c>
      <c r="G109" s="21" t="s">
        <v>2902</v>
      </c>
      <c r="H109" s="21" t="s">
        <v>2914</v>
      </c>
    </row>
    <row r="110" spans="1:8" ht="17.100000000000001" customHeight="1" x14ac:dyDescent="0.25">
      <c r="A110" s="20" t="s">
        <v>877</v>
      </c>
      <c r="B110" s="20" t="s">
        <v>500</v>
      </c>
      <c r="C110" s="20" t="s">
        <v>662</v>
      </c>
      <c r="D110" s="20" t="s">
        <v>697</v>
      </c>
      <c r="E110" s="20" t="s">
        <v>2918</v>
      </c>
      <c r="F110" s="21" t="s">
        <v>878</v>
      </c>
      <c r="G110" s="21" t="s">
        <v>2902</v>
      </c>
      <c r="H110" s="21"/>
    </row>
    <row r="111" spans="1:8" ht="17.100000000000001" customHeight="1" x14ac:dyDescent="0.25">
      <c r="A111" s="20" t="s">
        <v>884</v>
      </c>
      <c r="B111" s="20" t="s">
        <v>885</v>
      </c>
      <c r="C111" s="20" t="s">
        <v>662</v>
      </c>
      <c r="D111" s="20" t="s">
        <v>697</v>
      </c>
      <c r="E111" s="20" t="s">
        <v>2918</v>
      </c>
      <c r="F111" s="21" t="s">
        <v>886</v>
      </c>
      <c r="G111" s="21" t="s">
        <v>2902</v>
      </c>
      <c r="H111" s="21"/>
    </row>
    <row r="112" spans="1:8" ht="17.100000000000001" customHeight="1" x14ac:dyDescent="0.25">
      <c r="A112" s="28"/>
      <c r="B112" s="28"/>
      <c r="C112" s="28"/>
      <c r="D112" s="28"/>
      <c r="E112" s="28"/>
      <c r="F112" s="29"/>
      <c r="G112" s="29"/>
      <c r="H112" s="29"/>
    </row>
    <row r="113" spans="1:8" ht="17.100000000000001" customHeight="1" x14ac:dyDescent="0.25">
      <c r="A113" s="20" t="s">
        <v>888</v>
      </c>
      <c r="B113" s="20" t="s">
        <v>508</v>
      </c>
      <c r="C113" s="20" t="s">
        <v>662</v>
      </c>
      <c r="D113" s="20" t="s">
        <v>697</v>
      </c>
      <c r="E113" s="20" t="s">
        <v>2918</v>
      </c>
      <c r="F113" s="21" t="s">
        <v>889</v>
      </c>
      <c r="G113" s="21" t="s">
        <v>2902</v>
      </c>
      <c r="H113" s="21" t="s">
        <v>2915</v>
      </c>
    </row>
    <row r="114" spans="1:8" ht="17.100000000000001" customHeight="1" x14ac:dyDescent="0.25">
      <c r="A114" s="20" t="s">
        <v>903</v>
      </c>
      <c r="B114" s="20" t="s">
        <v>510</v>
      </c>
      <c r="C114" s="20" t="s">
        <v>662</v>
      </c>
      <c r="D114" s="20" t="s">
        <v>697</v>
      </c>
      <c r="E114" s="20" t="s">
        <v>2918</v>
      </c>
      <c r="F114" s="21" t="s">
        <v>907</v>
      </c>
      <c r="G114" s="21" t="s">
        <v>2902</v>
      </c>
      <c r="H114" s="21"/>
    </row>
    <row r="115" spans="1:8" ht="17.100000000000001" customHeight="1" x14ac:dyDescent="0.25">
      <c r="A115" s="20"/>
      <c r="B115" s="20"/>
      <c r="C115" s="20"/>
      <c r="D115" s="20"/>
      <c r="E115" s="20"/>
      <c r="F115" s="21"/>
      <c r="G115" s="21"/>
      <c r="H115" s="21"/>
    </row>
    <row r="116" spans="1:8" ht="17.100000000000001" customHeight="1" x14ac:dyDescent="0.25">
      <c r="A116" s="20" t="s">
        <v>913</v>
      </c>
      <c r="B116" s="20" t="s">
        <v>388</v>
      </c>
      <c r="C116" s="20" t="s">
        <v>662</v>
      </c>
      <c r="D116" s="20" t="s">
        <v>673</v>
      </c>
      <c r="E116" s="20" t="s">
        <v>2918</v>
      </c>
      <c r="F116" s="21" t="s">
        <v>914</v>
      </c>
      <c r="G116" s="21" t="s">
        <v>2902</v>
      </c>
      <c r="H116" s="21"/>
    </row>
    <row r="117" spans="1:8" ht="17.100000000000001" customHeight="1" x14ac:dyDescent="0.25">
      <c r="A117" s="20" t="s">
        <v>890</v>
      </c>
      <c r="B117" s="20" t="s">
        <v>508</v>
      </c>
      <c r="C117" s="20" t="s">
        <v>662</v>
      </c>
      <c r="D117" s="20" t="s">
        <v>673</v>
      </c>
      <c r="E117" s="20" t="s">
        <v>2918</v>
      </c>
      <c r="F117" s="21" t="s">
        <v>645</v>
      </c>
      <c r="G117" s="21" t="s">
        <v>2902</v>
      </c>
      <c r="H117" s="21"/>
    </row>
    <row r="118" spans="1:8" ht="17.100000000000001" customHeight="1" x14ac:dyDescent="0.25">
      <c r="A118" s="20" t="s">
        <v>895</v>
      </c>
      <c r="B118" s="20" t="s">
        <v>508</v>
      </c>
      <c r="C118" s="20" t="s">
        <v>662</v>
      </c>
      <c r="D118" s="20" t="s">
        <v>673</v>
      </c>
      <c r="E118" s="20" t="s">
        <v>2941</v>
      </c>
      <c r="F118" s="21" t="s">
        <v>647</v>
      </c>
      <c r="G118" s="21" t="s">
        <v>2902</v>
      </c>
      <c r="H118" s="21"/>
    </row>
    <row r="119" spans="1:8" ht="17.100000000000001" customHeight="1" x14ac:dyDescent="0.25">
      <c r="A119" s="20" t="s">
        <v>909</v>
      </c>
      <c r="B119" s="20" t="s">
        <v>508</v>
      </c>
      <c r="C119" s="20" t="s">
        <v>662</v>
      </c>
      <c r="D119" s="20" t="s">
        <v>673</v>
      </c>
      <c r="E119" s="20" t="s">
        <v>2918</v>
      </c>
      <c r="F119" s="21" t="s">
        <v>645</v>
      </c>
      <c r="G119" s="21" t="s">
        <v>2902</v>
      </c>
      <c r="H119" s="21"/>
    </row>
    <row r="120" spans="1:8" ht="17.100000000000001" customHeight="1" x14ac:dyDescent="0.25">
      <c r="A120" s="20"/>
      <c r="B120" s="20"/>
      <c r="C120" s="20"/>
      <c r="D120" s="20"/>
      <c r="E120" s="20"/>
      <c r="F120" s="21"/>
      <c r="G120" s="21"/>
      <c r="H120" s="21"/>
    </row>
    <row r="121" spans="1:8" ht="17.100000000000001" customHeight="1" x14ac:dyDescent="0.25">
      <c r="A121" s="20" t="s">
        <v>897</v>
      </c>
      <c r="B121" s="20" t="s">
        <v>508</v>
      </c>
      <c r="C121" s="20" t="s">
        <v>662</v>
      </c>
      <c r="D121" s="20" t="s">
        <v>898</v>
      </c>
      <c r="E121" s="20" t="s">
        <v>2918</v>
      </c>
      <c r="F121" s="21" t="s">
        <v>645</v>
      </c>
      <c r="G121" s="21" t="s">
        <v>2902</v>
      </c>
      <c r="H121" s="21"/>
    </row>
  </sheetData>
  <autoFilter ref="H1:H121" xr:uid="{E02C05B2-489B-481F-ACF3-AF483B39FD48}"/>
  <sortState xmlns:xlrd2="http://schemas.microsoft.com/office/spreadsheetml/2017/richdata2" ref="A116:H120">
    <sortCondition ref="B116:B120"/>
  </sortState>
  <mergeCells count="11">
    <mergeCell ref="B8:D8"/>
    <mergeCell ref="B9:D9"/>
    <mergeCell ref="B10:D10"/>
    <mergeCell ref="A12:F12"/>
    <mergeCell ref="G12:H12"/>
    <mergeCell ref="B7:D7"/>
    <mergeCell ref="A1:D1"/>
    <mergeCell ref="A2:D2"/>
    <mergeCell ref="B3:D3"/>
    <mergeCell ref="B4:D4"/>
    <mergeCell ref="B5:D5"/>
  </mergeCells>
  <pageMargins left="0.7" right="0.7" top="0.75" bottom="0.75" header="0.3" footer="0.3"/>
  <pageSetup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06AA79-0047-4B6A-B45B-6A9199F9716A}">
  <sheetPr>
    <tabColor rgb="FF00B0F0"/>
  </sheetPr>
  <dimension ref="A1:H52"/>
  <sheetViews>
    <sheetView showGridLines="0" workbookViewId="0">
      <selection activeCell="M18" sqref="M18"/>
    </sheetView>
  </sheetViews>
  <sheetFormatPr defaultRowHeight="17.100000000000001" customHeight="1" x14ac:dyDescent="0.25"/>
  <cols>
    <col min="1" max="1" width="12.42578125" style="16" bestFit="1" customWidth="1"/>
    <col min="2" max="2" width="9" style="16" bestFit="1" customWidth="1"/>
    <col min="3" max="3" width="6.85546875" style="16" bestFit="1" customWidth="1"/>
    <col min="4" max="4" width="6.5703125" style="16" customWidth="1"/>
    <col min="5" max="5" width="6.5703125" style="16" bestFit="1" customWidth="1"/>
    <col min="6" max="6" width="12.42578125" style="16" bestFit="1" customWidth="1"/>
    <col min="7" max="7" width="18.140625" bestFit="1" customWidth="1"/>
    <col min="8" max="8" width="10.7109375" bestFit="1" customWidth="1"/>
  </cols>
  <sheetData>
    <row r="1" spans="1:8" ht="18" customHeight="1" x14ac:dyDescent="0.25">
      <c r="A1" s="49" t="s">
        <v>255</v>
      </c>
      <c r="B1" s="49"/>
      <c r="C1" s="49"/>
      <c r="D1" s="49"/>
    </row>
    <row r="2" spans="1:8" ht="12" customHeight="1" x14ac:dyDescent="0.25">
      <c r="A2" s="50"/>
      <c r="B2" s="50"/>
      <c r="C2" s="50"/>
      <c r="D2" s="50"/>
    </row>
    <row r="3" spans="1:8" ht="12.75" customHeight="1" x14ac:dyDescent="0.25">
      <c r="A3" s="3" t="s">
        <v>2</v>
      </c>
      <c r="B3" s="39" t="s">
        <v>3</v>
      </c>
      <c r="C3" s="39"/>
      <c r="D3" s="39"/>
    </row>
    <row r="4" spans="1:8" ht="12" customHeight="1" x14ac:dyDescent="0.25">
      <c r="A4" s="3" t="s">
        <v>5</v>
      </c>
      <c r="B4" s="39" t="s">
        <v>6</v>
      </c>
      <c r="C4" s="39"/>
      <c r="D4" s="39"/>
    </row>
    <row r="5" spans="1:8" ht="12.75" customHeight="1" x14ac:dyDescent="0.25">
      <c r="A5" s="3" t="s">
        <v>7</v>
      </c>
      <c r="B5" s="39" t="s">
        <v>8</v>
      </c>
      <c r="C5" s="39"/>
      <c r="D5" s="39"/>
    </row>
    <row r="6" spans="1:8" ht="5.25" customHeight="1" x14ac:dyDescent="0.25"/>
    <row r="7" spans="1:8" ht="12" customHeight="1" x14ac:dyDescent="0.25">
      <c r="A7" s="3" t="s">
        <v>9</v>
      </c>
      <c r="B7" s="39" t="s">
        <v>10</v>
      </c>
      <c r="C7" s="39"/>
      <c r="D7" s="39"/>
    </row>
    <row r="8" spans="1:8" ht="12.75" customHeight="1" x14ac:dyDescent="0.25">
      <c r="A8" s="3" t="s">
        <v>11</v>
      </c>
      <c r="B8" s="39" t="s">
        <v>12</v>
      </c>
      <c r="C8" s="39"/>
      <c r="D8" s="39"/>
    </row>
    <row r="9" spans="1:8" ht="12" customHeight="1" x14ac:dyDescent="0.25">
      <c r="A9" s="3" t="s">
        <v>13</v>
      </c>
      <c r="B9" s="39"/>
      <c r="C9" s="39"/>
      <c r="D9" s="39"/>
    </row>
    <row r="10" spans="1:8" ht="12.75" customHeight="1" x14ac:dyDescent="0.25">
      <c r="A10" s="3" t="s">
        <v>11</v>
      </c>
      <c r="B10" s="39"/>
      <c r="C10" s="39"/>
      <c r="D10" s="39"/>
    </row>
    <row r="11" spans="1:8" ht="10.5" customHeight="1" x14ac:dyDescent="0.25"/>
    <row r="12" spans="1:8" ht="16.5" customHeight="1" x14ac:dyDescent="0.25">
      <c r="A12" s="44" t="s">
        <v>630</v>
      </c>
      <c r="B12" s="44"/>
      <c r="C12" s="44"/>
      <c r="D12" s="44"/>
      <c r="E12" s="44"/>
      <c r="F12" s="44"/>
      <c r="G12" s="51" t="s">
        <v>631</v>
      </c>
      <c r="H12" s="52"/>
    </row>
    <row r="13" spans="1:8" ht="43.5" customHeight="1" x14ac:dyDescent="0.25">
      <c r="A13" s="17" t="s">
        <v>14</v>
      </c>
      <c r="B13" s="18" t="s">
        <v>634</v>
      </c>
      <c r="C13" s="18" t="s">
        <v>633</v>
      </c>
      <c r="D13" s="18" t="s">
        <v>635</v>
      </c>
      <c r="E13" s="18" t="s">
        <v>2828</v>
      </c>
      <c r="F13" s="19" t="s">
        <v>14</v>
      </c>
      <c r="G13" s="19" t="s">
        <v>17</v>
      </c>
      <c r="H13" s="19" t="s">
        <v>2829</v>
      </c>
    </row>
    <row r="14" spans="1:8" ht="17.100000000000001" customHeight="1" x14ac:dyDescent="0.25">
      <c r="A14" s="20" t="s">
        <v>1965</v>
      </c>
      <c r="B14" s="20" t="s">
        <v>2876</v>
      </c>
      <c r="C14" s="20" t="s">
        <v>662</v>
      </c>
      <c r="D14" s="20" t="s">
        <v>663</v>
      </c>
      <c r="E14" s="20" t="s">
        <v>2918</v>
      </c>
      <c r="F14" s="21" t="s">
        <v>1968</v>
      </c>
      <c r="G14" s="21" t="s">
        <v>2943</v>
      </c>
      <c r="H14" s="21" t="s">
        <v>2944</v>
      </c>
    </row>
    <row r="15" spans="1:8" ht="17.100000000000001" customHeight="1" x14ac:dyDescent="0.25">
      <c r="A15" s="20" t="s">
        <v>1969</v>
      </c>
      <c r="B15" s="20" t="s">
        <v>2877</v>
      </c>
      <c r="C15" s="20" t="s">
        <v>662</v>
      </c>
      <c r="D15" s="20" t="s">
        <v>663</v>
      </c>
      <c r="E15" s="20" t="s">
        <v>2918</v>
      </c>
      <c r="F15" s="21" t="s">
        <v>1971</v>
      </c>
      <c r="G15" s="21" t="s">
        <v>2943</v>
      </c>
      <c r="H15" s="21"/>
    </row>
    <row r="16" spans="1:8" ht="17.100000000000001" customHeight="1" x14ac:dyDescent="0.25">
      <c r="A16" s="20" t="s">
        <v>1976</v>
      </c>
      <c r="B16" s="20" t="s">
        <v>2831</v>
      </c>
      <c r="C16" s="20" t="s">
        <v>662</v>
      </c>
      <c r="D16" s="20" t="s">
        <v>673</v>
      </c>
      <c r="E16" s="20" t="s">
        <v>2918</v>
      </c>
      <c r="F16" s="21" t="s">
        <v>1948</v>
      </c>
      <c r="G16" s="21" t="s">
        <v>2943</v>
      </c>
      <c r="H16" s="21"/>
    </row>
    <row r="17" spans="1:8" ht="17.100000000000001" customHeight="1" x14ac:dyDescent="0.25">
      <c r="A17" s="20" t="s">
        <v>1955</v>
      </c>
      <c r="B17" s="20" t="s">
        <v>2831</v>
      </c>
      <c r="C17" s="20" t="s">
        <v>662</v>
      </c>
      <c r="D17" s="20" t="s">
        <v>673</v>
      </c>
      <c r="E17" s="20" t="s">
        <v>2918</v>
      </c>
      <c r="F17" s="21" t="s">
        <v>1950</v>
      </c>
      <c r="G17" s="21" t="s">
        <v>2943</v>
      </c>
      <c r="H17" s="21"/>
    </row>
    <row r="18" spans="1:8" ht="17.100000000000001" customHeight="1" x14ac:dyDescent="0.25">
      <c r="A18" s="20" t="s">
        <v>1972</v>
      </c>
      <c r="B18" s="20" t="s">
        <v>1975</v>
      </c>
      <c r="C18" s="20" t="s">
        <v>662</v>
      </c>
      <c r="D18" s="20" t="s">
        <v>663</v>
      </c>
      <c r="E18" s="20" t="s">
        <v>2918</v>
      </c>
      <c r="F18" s="21" t="s">
        <v>1976</v>
      </c>
      <c r="G18" s="21" t="s">
        <v>2943</v>
      </c>
      <c r="H18" s="21"/>
    </row>
    <row r="19" spans="1:8" ht="17.100000000000001" customHeight="1" x14ac:dyDescent="0.25">
      <c r="A19" s="20" t="s">
        <v>1979</v>
      </c>
      <c r="B19" s="20" t="s">
        <v>1982</v>
      </c>
      <c r="C19" s="20" t="s">
        <v>662</v>
      </c>
      <c r="D19" s="20" t="s">
        <v>663</v>
      </c>
      <c r="E19" s="20" t="s">
        <v>2918</v>
      </c>
      <c r="F19" s="21" t="s">
        <v>1983</v>
      </c>
      <c r="G19" s="21" t="s">
        <v>2943</v>
      </c>
      <c r="H19" s="21"/>
    </row>
    <row r="20" spans="1:8" ht="17.100000000000001" customHeight="1" x14ac:dyDescent="0.25">
      <c r="A20" s="20" t="s">
        <v>1983</v>
      </c>
      <c r="B20" s="20" t="s">
        <v>265</v>
      </c>
      <c r="C20" s="20" t="s">
        <v>662</v>
      </c>
      <c r="D20" s="20" t="s">
        <v>673</v>
      </c>
      <c r="E20" s="20" t="s">
        <v>2918</v>
      </c>
      <c r="F20" s="21" t="s">
        <v>1984</v>
      </c>
      <c r="G20" s="21" t="s">
        <v>2943</v>
      </c>
      <c r="H20" s="21"/>
    </row>
    <row r="21" spans="1:8" ht="17.100000000000001" customHeight="1" x14ac:dyDescent="0.25">
      <c r="A21" s="20" t="s">
        <v>1963</v>
      </c>
      <c r="B21" s="20" t="s">
        <v>266</v>
      </c>
      <c r="C21" s="20" t="s">
        <v>662</v>
      </c>
      <c r="D21" s="20" t="s">
        <v>673</v>
      </c>
      <c r="E21" s="20" t="s">
        <v>2918</v>
      </c>
      <c r="F21" s="21" t="s">
        <v>1964</v>
      </c>
      <c r="G21" s="21" t="s">
        <v>2943</v>
      </c>
      <c r="H21" s="21"/>
    </row>
    <row r="22" spans="1:8" ht="17.100000000000001" customHeight="1" x14ac:dyDescent="0.25">
      <c r="A22" s="20"/>
      <c r="B22" s="20"/>
      <c r="C22" s="20"/>
      <c r="D22" s="20"/>
      <c r="E22" s="20"/>
      <c r="F22" s="21"/>
      <c r="G22" s="21"/>
      <c r="H22" s="21"/>
    </row>
    <row r="23" spans="1:8" ht="17.100000000000001" customHeight="1" x14ac:dyDescent="0.25">
      <c r="A23" s="20" t="s">
        <v>1987</v>
      </c>
      <c r="B23" s="20" t="s">
        <v>267</v>
      </c>
      <c r="C23" s="20" t="s">
        <v>662</v>
      </c>
      <c r="D23" s="20" t="s">
        <v>673</v>
      </c>
      <c r="E23" s="20" t="s">
        <v>2918</v>
      </c>
      <c r="F23" s="21" t="s">
        <v>1989</v>
      </c>
      <c r="G23" s="21" t="s">
        <v>2943</v>
      </c>
      <c r="H23" s="21"/>
    </row>
    <row r="24" spans="1:8" ht="17.100000000000001" customHeight="1" x14ac:dyDescent="0.25">
      <c r="A24" s="26"/>
      <c r="B24" s="26"/>
      <c r="C24" s="26"/>
      <c r="D24" s="26"/>
      <c r="E24" s="26"/>
      <c r="F24" s="27"/>
      <c r="G24" s="27"/>
      <c r="H24" s="27"/>
    </row>
    <row r="25" spans="1:8" ht="17.100000000000001" customHeight="1" x14ac:dyDescent="0.25">
      <c r="A25" s="20" t="s">
        <v>1993</v>
      </c>
      <c r="B25" s="20" t="s">
        <v>2878</v>
      </c>
      <c r="C25" s="20" t="s">
        <v>662</v>
      </c>
      <c r="D25" s="20" t="s">
        <v>663</v>
      </c>
      <c r="E25" s="20" t="s">
        <v>2935</v>
      </c>
      <c r="F25" s="21" t="s">
        <v>1996</v>
      </c>
      <c r="G25" s="21" t="s">
        <v>34</v>
      </c>
      <c r="H25" s="21" t="s">
        <v>2945</v>
      </c>
    </row>
    <row r="26" spans="1:8" ht="17.100000000000001" customHeight="1" x14ac:dyDescent="0.25">
      <c r="A26" s="20" t="s">
        <v>1998</v>
      </c>
      <c r="B26" s="20" t="s">
        <v>2879</v>
      </c>
      <c r="C26" s="20" t="s">
        <v>662</v>
      </c>
      <c r="D26" s="20" t="s">
        <v>663</v>
      </c>
      <c r="E26" s="20" t="s">
        <v>2935</v>
      </c>
      <c r="F26" s="21" t="s">
        <v>2001</v>
      </c>
      <c r="G26" s="21" t="s">
        <v>34</v>
      </c>
      <c r="H26" s="21"/>
    </row>
    <row r="27" spans="1:8" ht="17.100000000000001" customHeight="1" x14ac:dyDescent="0.25">
      <c r="A27" s="20" t="s">
        <v>2003</v>
      </c>
      <c r="B27" s="20" t="s">
        <v>2880</v>
      </c>
      <c r="C27" s="20" t="s">
        <v>662</v>
      </c>
      <c r="D27" s="20" t="s">
        <v>663</v>
      </c>
      <c r="E27" s="20" t="s">
        <v>2935</v>
      </c>
      <c r="F27" s="21" t="s">
        <v>2005</v>
      </c>
      <c r="G27" s="21" t="s">
        <v>34</v>
      </c>
      <c r="H27" s="21"/>
    </row>
    <row r="28" spans="1:8" ht="17.100000000000001" customHeight="1" x14ac:dyDescent="0.25">
      <c r="A28" s="20" t="s">
        <v>2006</v>
      </c>
      <c r="B28" s="20" t="s">
        <v>2881</v>
      </c>
      <c r="C28" s="20" t="s">
        <v>662</v>
      </c>
      <c r="D28" s="20" t="s">
        <v>663</v>
      </c>
      <c r="E28" s="20" t="s">
        <v>2935</v>
      </c>
      <c r="F28" s="21" t="s">
        <v>2009</v>
      </c>
      <c r="G28" s="21" t="s">
        <v>34</v>
      </c>
      <c r="H28" s="21"/>
    </row>
    <row r="29" spans="1:8" ht="17.100000000000001" customHeight="1" x14ac:dyDescent="0.25">
      <c r="A29" s="20" t="s">
        <v>2011</v>
      </c>
      <c r="B29" s="20" t="s">
        <v>2882</v>
      </c>
      <c r="C29" s="20" t="s">
        <v>662</v>
      </c>
      <c r="D29" s="20" t="s">
        <v>663</v>
      </c>
      <c r="E29" s="20" t="s">
        <v>2935</v>
      </c>
      <c r="F29" s="21" t="s">
        <v>2014</v>
      </c>
      <c r="G29" s="21" t="s">
        <v>34</v>
      </c>
      <c r="H29" s="21"/>
    </row>
    <row r="30" spans="1:8" ht="17.100000000000001" customHeight="1" x14ac:dyDescent="0.25">
      <c r="A30" s="20" t="s">
        <v>2016</v>
      </c>
      <c r="B30" s="20" t="s">
        <v>2883</v>
      </c>
      <c r="C30" s="20" t="s">
        <v>662</v>
      </c>
      <c r="D30" s="20" t="s">
        <v>663</v>
      </c>
      <c r="E30" s="20" t="s">
        <v>2935</v>
      </c>
      <c r="F30" s="21" t="s">
        <v>2018</v>
      </c>
      <c r="G30" s="21" t="s">
        <v>34</v>
      </c>
      <c r="H30" s="21"/>
    </row>
    <row r="31" spans="1:8" ht="17.100000000000001" customHeight="1" x14ac:dyDescent="0.25">
      <c r="A31" s="20" t="s">
        <v>2019</v>
      </c>
      <c r="B31" s="20" t="s">
        <v>2884</v>
      </c>
      <c r="C31" s="20" t="s">
        <v>662</v>
      </c>
      <c r="D31" s="20" t="s">
        <v>663</v>
      </c>
      <c r="E31" s="20" t="s">
        <v>2935</v>
      </c>
      <c r="F31" s="21" t="s">
        <v>2021</v>
      </c>
      <c r="G31" s="21" t="s">
        <v>34</v>
      </c>
      <c r="H31" s="21"/>
    </row>
    <row r="32" spans="1:8" ht="17.100000000000001" customHeight="1" x14ac:dyDescent="0.25">
      <c r="A32" s="20" t="s">
        <v>2023</v>
      </c>
      <c r="B32" s="20" t="s">
        <v>2885</v>
      </c>
      <c r="C32" s="20" t="s">
        <v>662</v>
      </c>
      <c r="D32" s="20" t="s">
        <v>663</v>
      </c>
      <c r="E32" s="20" t="s">
        <v>2935</v>
      </c>
      <c r="F32" s="21" t="s">
        <v>2025</v>
      </c>
      <c r="G32" s="21" t="s">
        <v>34</v>
      </c>
      <c r="H32" s="21"/>
    </row>
    <row r="33" spans="1:8" ht="17.100000000000001" customHeight="1" x14ac:dyDescent="0.25">
      <c r="A33" s="20" t="s">
        <v>2026</v>
      </c>
      <c r="B33" s="20" t="s">
        <v>2886</v>
      </c>
      <c r="C33" s="20" t="s">
        <v>662</v>
      </c>
      <c r="D33" s="20" t="s">
        <v>663</v>
      </c>
      <c r="E33" s="20" t="s">
        <v>2935</v>
      </c>
      <c r="F33" s="21" t="s">
        <v>2028</v>
      </c>
      <c r="G33" s="21" t="s">
        <v>34</v>
      </c>
      <c r="H33" s="21"/>
    </row>
    <row r="34" spans="1:8" ht="17.100000000000001" customHeight="1" x14ac:dyDescent="0.25">
      <c r="A34" s="20" t="s">
        <v>2029</v>
      </c>
      <c r="B34" s="20" t="s">
        <v>2887</v>
      </c>
      <c r="C34" s="20" t="s">
        <v>662</v>
      </c>
      <c r="D34" s="20" t="s">
        <v>663</v>
      </c>
      <c r="E34" s="20" t="s">
        <v>2935</v>
      </c>
      <c r="F34" s="21" t="s">
        <v>2031</v>
      </c>
      <c r="G34" s="21" t="s">
        <v>34</v>
      </c>
      <c r="H34" s="21"/>
    </row>
    <row r="35" spans="1:8" ht="17.100000000000001" customHeight="1" x14ac:dyDescent="0.25">
      <c r="A35" s="20" t="s">
        <v>2033</v>
      </c>
      <c r="B35" s="20" t="s">
        <v>2888</v>
      </c>
      <c r="C35" s="20" t="s">
        <v>662</v>
      </c>
      <c r="D35" s="20" t="s">
        <v>663</v>
      </c>
      <c r="E35" s="20" t="s">
        <v>2935</v>
      </c>
      <c r="F35" s="21" t="s">
        <v>2036</v>
      </c>
      <c r="G35" s="21" t="s">
        <v>34</v>
      </c>
      <c r="H35" s="21"/>
    </row>
    <row r="36" spans="1:8" ht="17.100000000000001" customHeight="1" x14ac:dyDescent="0.25">
      <c r="A36" s="20" t="s">
        <v>2038</v>
      </c>
      <c r="B36" s="20" t="s">
        <v>2889</v>
      </c>
      <c r="C36" s="20" t="s">
        <v>662</v>
      </c>
      <c r="D36" s="20" t="s">
        <v>663</v>
      </c>
      <c r="E36" s="20" t="s">
        <v>2935</v>
      </c>
      <c r="F36" s="21" t="s">
        <v>2040</v>
      </c>
      <c r="G36" s="21" t="s">
        <v>34</v>
      </c>
      <c r="H36" s="21"/>
    </row>
    <row r="37" spans="1:8" ht="17.100000000000001" customHeight="1" x14ac:dyDescent="0.25">
      <c r="A37" s="20" t="s">
        <v>2041</v>
      </c>
      <c r="B37" s="20" t="s">
        <v>2890</v>
      </c>
      <c r="C37" s="20" t="s">
        <v>662</v>
      </c>
      <c r="D37" s="20" t="s">
        <v>663</v>
      </c>
      <c r="E37" s="20" t="s">
        <v>2935</v>
      </c>
      <c r="F37" s="21" t="s">
        <v>2044</v>
      </c>
      <c r="G37" s="21" t="s">
        <v>34</v>
      </c>
      <c r="H37" s="21"/>
    </row>
    <row r="38" spans="1:8" ht="17.100000000000001" customHeight="1" x14ac:dyDescent="0.25">
      <c r="A38" s="20" t="s">
        <v>2046</v>
      </c>
      <c r="B38" s="20" t="s">
        <v>2891</v>
      </c>
      <c r="C38" s="20" t="s">
        <v>662</v>
      </c>
      <c r="D38" s="20" t="s">
        <v>663</v>
      </c>
      <c r="E38" s="20" t="s">
        <v>2935</v>
      </c>
      <c r="F38" s="21" t="s">
        <v>2048</v>
      </c>
      <c r="G38" s="21" t="s">
        <v>34</v>
      </c>
      <c r="H38" s="21"/>
    </row>
    <row r="39" spans="1:8" ht="17.100000000000001" customHeight="1" x14ac:dyDescent="0.25">
      <c r="A39" s="20" t="s">
        <v>2049</v>
      </c>
      <c r="B39" s="20" t="s">
        <v>2892</v>
      </c>
      <c r="C39" s="20" t="s">
        <v>662</v>
      </c>
      <c r="D39" s="20" t="s">
        <v>663</v>
      </c>
      <c r="E39" s="20" t="s">
        <v>2935</v>
      </c>
      <c r="F39" s="21" t="s">
        <v>2051</v>
      </c>
      <c r="G39" s="21" t="s">
        <v>34</v>
      </c>
      <c r="H39" s="21"/>
    </row>
    <row r="40" spans="1:8" ht="17.100000000000001" customHeight="1" x14ac:dyDescent="0.25">
      <c r="A40" s="20" t="s">
        <v>2052</v>
      </c>
      <c r="B40" s="20" t="s">
        <v>2893</v>
      </c>
      <c r="C40" s="20" t="s">
        <v>662</v>
      </c>
      <c r="D40" s="20" t="s">
        <v>663</v>
      </c>
      <c r="E40" s="20" t="s">
        <v>2935</v>
      </c>
      <c r="F40" s="21" t="s">
        <v>2054</v>
      </c>
      <c r="G40" s="21" t="s">
        <v>34</v>
      </c>
      <c r="H40" s="21"/>
    </row>
    <row r="41" spans="1:8" ht="17.100000000000001" customHeight="1" x14ac:dyDescent="0.25">
      <c r="A41" s="28"/>
      <c r="B41" s="28"/>
      <c r="C41" s="28"/>
      <c r="D41" s="28"/>
      <c r="E41" s="28"/>
      <c r="F41" s="29"/>
      <c r="G41" s="29"/>
      <c r="H41" s="29"/>
    </row>
    <row r="42" spans="1:8" ht="17.100000000000001" customHeight="1" x14ac:dyDescent="0.25">
      <c r="A42" s="20" t="s">
        <v>2062</v>
      </c>
      <c r="B42" s="20" t="s">
        <v>268</v>
      </c>
      <c r="C42" s="20" t="s">
        <v>662</v>
      </c>
      <c r="D42" s="20" t="s">
        <v>697</v>
      </c>
      <c r="E42" s="20" t="s">
        <v>2935</v>
      </c>
      <c r="F42" s="21" t="s">
        <v>2063</v>
      </c>
      <c r="G42" s="21" t="s">
        <v>34</v>
      </c>
      <c r="H42" s="21" t="s">
        <v>2946</v>
      </c>
    </row>
    <row r="43" spans="1:8" ht="17.100000000000001" customHeight="1" x14ac:dyDescent="0.25">
      <c r="A43" s="20"/>
      <c r="B43" s="20"/>
      <c r="C43" s="20"/>
      <c r="D43" s="20"/>
      <c r="E43" s="20"/>
      <c r="F43" s="21"/>
      <c r="G43" s="21"/>
      <c r="H43" s="21"/>
    </row>
    <row r="44" spans="1:8" ht="17.100000000000001" customHeight="1" x14ac:dyDescent="0.25">
      <c r="A44" s="20" t="s">
        <v>1985</v>
      </c>
      <c r="B44" s="20" t="s">
        <v>267</v>
      </c>
      <c r="C44" s="20" t="s">
        <v>662</v>
      </c>
      <c r="D44" s="20" t="s">
        <v>673</v>
      </c>
      <c r="E44" s="20" t="s">
        <v>2935</v>
      </c>
      <c r="F44" s="21" t="s">
        <v>2059</v>
      </c>
      <c r="G44" s="21" t="s">
        <v>34</v>
      </c>
      <c r="H44" s="21"/>
    </row>
    <row r="45" spans="1:8" ht="17.100000000000001" customHeight="1" x14ac:dyDescent="0.25">
      <c r="A45" s="20" t="s">
        <v>1987</v>
      </c>
      <c r="B45" s="20" t="s">
        <v>267</v>
      </c>
      <c r="C45" s="20" t="s">
        <v>662</v>
      </c>
      <c r="D45" s="20" t="s">
        <v>673</v>
      </c>
      <c r="E45" s="20" t="s">
        <v>2935</v>
      </c>
      <c r="F45" s="21" t="s">
        <v>2059</v>
      </c>
      <c r="G45" s="21" t="s">
        <v>34</v>
      </c>
      <c r="H45" s="21"/>
    </row>
    <row r="46" spans="1:8" ht="17.100000000000001" customHeight="1" x14ac:dyDescent="0.25">
      <c r="A46" s="20" t="s">
        <v>1991</v>
      </c>
      <c r="B46" s="20" t="s">
        <v>267</v>
      </c>
      <c r="C46" s="20" t="s">
        <v>662</v>
      </c>
      <c r="D46" s="20" t="s">
        <v>673</v>
      </c>
      <c r="E46" s="20" t="s">
        <v>2935</v>
      </c>
      <c r="F46" s="21" t="s">
        <v>2070</v>
      </c>
      <c r="G46" s="21" t="s">
        <v>34</v>
      </c>
      <c r="H46" s="21"/>
    </row>
    <row r="47" spans="1:8" ht="17.100000000000001" customHeight="1" x14ac:dyDescent="0.25">
      <c r="A47" s="20" t="s">
        <v>2065</v>
      </c>
      <c r="B47" s="20" t="s">
        <v>270</v>
      </c>
      <c r="C47" s="20" t="s">
        <v>662</v>
      </c>
      <c r="D47" s="20" t="s">
        <v>673</v>
      </c>
      <c r="E47" s="20" t="s">
        <v>2935</v>
      </c>
      <c r="F47" s="21" t="s">
        <v>2066</v>
      </c>
      <c r="G47" s="21" t="s">
        <v>34</v>
      </c>
      <c r="H47" s="21"/>
    </row>
    <row r="48" spans="1:8" ht="17.100000000000001" customHeight="1" x14ac:dyDescent="0.25">
      <c r="A48" s="20" t="s">
        <v>2067</v>
      </c>
      <c r="B48" s="20" t="s">
        <v>271</v>
      </c>
      <c r="C48" s="20" t="s">
        <v>662</v>
      </c>
      <c r="D48" s="20" t="s">
        <v>673</v>
      </c>
      <c r="E48" s="20" t="s">
        <v>2935</v>
      </c>
      <c r="F48" s="21" t="s">
        <v>2068</v>
      </c>
      <c r="G48" s="21" t="s">
        <v>34</v>
      </c>
      <c r="H48" s="21"/>
    </row>
    <row r="49" spans="1:8" ht="17.100000000000001" customHeight="1" x14ac:dyDescent="0.25">
      <c r="A49" s="20"/>
      <c r="B49" s="20"/>
      <c r="C49" s="20"/>
      <c r="D49" s="20"/>
      <c r="E49" s="20"/>
      <c r="F49" s="21"/>
      <c r="G49" s="21"/>
      <c r="H49" s="21"/>
    </row>
    <row r="50" spans="1:8" ht="17.100000000000001" customHeight="1" x14ac:dyDescent="0.25">
      <c r="A50" s="20" t="s">
        <v>2061</v>
      </c>
      <c r="B50" s="20" t="s">
        <v>388</v>
      </c>
      <c r="C50" s="20" t="s">
        <v>662</v>
      </c>
      <c r="D50" s="20" t="s">
        <v>898</v>
      </c>
      <c r="E50" s="20" t="s">
        <v>2935</v>
      </c>
      <c r="F50" s="21" t="s">
        <v>1746</v>
      </c>
      <c r="G50" s="21" t="s">
        <v>34</v>
      </c>
      <c r="H50" s="21"/>
    </row>
    <row r="51" spans="1:8" ht="17.100000000000001" customHeight="1" x14ac:dyDescent="0.25">
      <c r="A51" s="20"/>
      <c r="B51" s="20"/>
      <c r="C51" s="20"/>
      <c r="D51" s="20"/>
      <c r="E51" s="20"/>
      <c r="F51" s="21"/>
      <c r="G51" s="21"/>
      <c r="H51" s="21"/>
    </row>
    <row r="52" spans="1:8" ht="17.100000000000001" customHeight="1" x14ac:dyDescent="0.25">
      <c r="A52" s="20" t="s">
        <v>1948</v>
      </c>
      <c r="B52" s="20" t="s">
        <v>2831</v>
      </c>
      <c r="C52" s="20" t="s">
        <v>662</v>
      </c>
      <c r="D52" s="20" t="s">
        <v>673</v>
      </c>
      <c r="E52" s="20" t="s">
        <v>2935</v>
      </c>
      <c r="F52" s="21" t="s">
        <v>2075</v>
      </c>
      <c r="G52" s="21" t="s">
        <v>34</v>
      </c>
      <c r="H52" s="21"/>
    </row>
  </sheetData>
  <autoFilter ref="H1:H52" xr:uid="{0106AA79-0047-4B6A-B45B-6A9199F9716A}"/>
  <sortState xmlns:xlrd2="http://schemas.microsoft.com/office/spreadsheetml/2017/richdata2" ref="A44:H49">
    <sortCondition ref="B44:B49"/>
  </sortState>
  <mergeCells count="11">
    <mergeCell ref="B8:D8"/>
    <mergeCell ref="B9:D9"/>
    <mergeCell ref="B10:D10"/>
    <mergeCell ref="A12:F12"/>
    <mergeCell ref="G12:H12"/>
    <mergeCell ref="B7:D7"/>
    <mergeCell ref="A1:D1"/>
    <mergeCell ref="A2:D2"/>
    <mergeCell ref="B3:D3"/>
    <mergeCell ref="B4:D4"/>
    <mergeCell ref="B5:D5"/>
  </mergeCells>
  <pageMargins left="0.7" right="0.7" top="0.75" bottom="0.75" header="0.3" footer="0.3"/>
  <pageSetup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971F1F-6320-4660-AB73-DC323E7CE9FB}">
  <sheetPr>
    <tabColor rgb="FF00B0F0"/>
  </sheetPr>
  <dimension ref="A1:H26"/>
  <sheetViews>
    <sheetView showGridLines="0" workbookViewId="0">
      <selection activeCell="H14" sqref="H14"/>
    </sheetView>
  </sheetViews>
  <sheetFormatPr defaultRowHeight="17.100000000000001" customHeight="1" x14ac:dyDescent="0.25"/>
  <cols>
    <col min="1" max="1" width="12.42578125" style="16" bestFit="1" customWidth="1"/>
    <col min="2" max="2" width="8.7109375" style="16" bestFit="1" customWidth="1"/>
    <col min="3" max="3" width="6.85546875" style="16" bestFit="1" customWidth="1"/>
    <col min="4" max="4" width="6.5703125" style="16" customWidth="1"/>
    <col min="5" max="5" width="6.5703125" style="16" bestFit="1" customWidth="1"/>
    <col min="6" max="6" width="12.140625" style="16" bestFit="1" customWidth="1"/>
    <col min="7" max="7" width="18.140625" bestFit="1" customWidth="1"/>
    <col min="8" max="8" width="9.5703125" bestFit="1" customWidth="1"/>
  </cols>
  <sheetData>
    <row r="1" spans="1:8" ht="18" customHeight="1" x14ac:dyDescent="0.25">
      <c r="A1" s="49" t="s">
        <v>348</v>
      </c>
      <c r="B1" s="49"/>
      <c r="C1" s="49"/>
      <c r="D1" s="49"/>
    </row>
    <row r="2" spans="1:8" ht="12" customHeight="1" x14ac:dyDescent="0.25">
      <c r="A2" s="50"/>
      <c r="B2" s="50"/>
      <c r="C2" s="50"/>
      <c r="D2" s="50"/>
    </row>
    <row r="3" spans="1:8" ht="12.75" customHeight="1" x14ac:dyDescent="0.25">
      <c r="A3" s="3" t="s">
        <v>2</v>
      </c>
      <c r="B3" s="39" t="s">
        <v>3</v>
      </c>
      <c r="C3" s="39"/>
      <c r="D3" s="39"/>
    </row>
    <row r="4" spans="1:8" ht="12" customHeight="1" x14ac:dyDescent="0.25">
      <c r="A4" s="3" t="s">
        <v>5</v>
      </c>
      <c r="B4" s="39" t="s">
        <v>6</v>
      </c>
      <c r="C4" s="39"/>
      <c r="D4" s="39"/>
    </row>
    <row r="5" spans="1:8" ht="12.75" customHeight="1" x14ac:dyDescent="0.25">
      <c r="A5" s="3" t="s">
        <v>7</v>
      </c>
      <c r="B5" s="39" t="s">
        <v>8</v>
      </c>
      <c r="C5" s="39"/>
      <c r="D5" s="39"/>
    </row>
    <row r="6" spans="1:8" ht="5.25" customHeight="1" x14ac:dyDescent="0.25"/>
    <row r="7" spans="1:8" ht="12" customHeight="1" x14ac:dyDescent="0.25">
      <c r="A7" s="3" t="s">
        <v>9</v>
      </c>
      <c r="B7" s="39" t="s">
        <v>10</v>
      </c>
      <c r="C7" s="39"/>
      <c r="D7" s="39"/>
    </row>
    <row r="8" spans="1:8" ht="12.75" customHeight="1" x14ac:dyDescent="0.25">
      <c r="A8" s="3" t="s">
        <v>11</v>
      </c>
      <c r="B8" s="39" t="s">
        <v>12</v>
      </c>
      <c r="C8" s="39"/>
      <c r="D8" s="39"/>
    </row>
    <row r="9" spans="1:8" ht="12" customHeight="1" x14ac:dyDescent="0.25">
      <c r="A9" s="3" t="s">
        <v>13</v>
      </c>
      <c r="B9" s="39"/>
      <c r="C9" s="39"/>
      <c r="D9" s="39"/>
    </row>
    <row r="10" spans="1:8" ht="12.75" customHeight="1" x14ac:dyDescent="0.25">
      <c r="A10" s="3" t="s">
        <v>11</v>
      </c>
      <c r="B10" s="39"/>
      <c r="C10" s="39"/>
      <c r="D10" s="39"/>
    </row>
    <row r="11" spans="1:8" ht="10.5" customHeight="1" x14ac:dyDescent="0.25"/>
    <row r="12" spans="1:8" ht="16.5" customHeight="1" x14ac:dyDescent="0.25">
      <c r="A12" s="44" t="s">
        <v>630</v>
      </c>
      <c r="B12" s="44"/>
      <c r="C12" s="44"/>
      <c r="D12" s="44"/>
      <c r="E12" s="44"/>
      <c r="F12" s="44"/>
      <c r="G12" s="51" t="s">
        <v>631</v>
      </c>
      <c r="H12" s="52"/>
    </row>
    <row r="13" spans="1:8" ht="43.5" customHeight="1" x14ac:dyDescent="0.25">
      <c r="A13" s="17" t="s">
        <v>14</v>
      </c>
      <c r="B13" s="18" t="s">
        <v>634</v>
      </c>
      <c r="C13" s="18" t="s">
        <v>633</v>
      </c>
      <c r="D13" s="18" t="s">
        <v>635</v>
      </c>
      <c r="E13" s="18" t="s">
        <v>2828</v>
      </c>
      <c r="F13" s="19" t="s">
        <v>14</v>
      </c>
      <c r="G13" s="19" t="s">
        <v>17</v>
      </c>
      <c r="H13" s="19" t="s">
        <v>2829</v>
      </c>
    </row>
    <row r="14" spans="1:8" ht="17.100000000000001" customHeight="1" x14ac:dyDescent="0.25">
      <c r="A14" s="20" t="s">
        <v>1856</v>
      </c>
      <c r="B14" s="20" t="s">
        <v>2870</v>
      </c>
      <c r="C14" s="20" t="s">
        <v>662</v>
      </c>
      <c r="D14" s="20" t="s">
        <v>663</v>
      </c>
      <c r="E14" s="20" t="s">
        <v>2935</v>
      </c>
      <c r="F14" s="21" t="s">
        <v>1859</v>
      </c>
      <c r="G14" s="21" t="s">
        <v>34</v>
      </c>
      <c r="H14" s="21" t="s">
        <v>2945</v>
      </c>
    </row>
    <row r="15" spans="1:8" ht="17.100000000000001" customHeight="1" x14ac:dyDescent="0.25">
      <c r="A15" s="20" t="s">
        <v>1861</v>
      </c>
      <c r="B15" s="20" t="s">
        <v>2871</v>
      </c>
      <c r="C15" s="20" t="s">
        <v>662</v>
      </c>
      <c r="D15" s="20" t="s">
        <v>663</v>
      </c>
      <c r="E15" s="20" t="s">
        <v>2935</v>
      </c>
      <c r="F15" s="21" t="s">
        <v>1863</v>
      </c>
      <c r="G15" s="21" t="s">
        <v>34</v>
      </c>
      <c r="H15" s="21"/>
    </row>
    <row r="16" spans="1:8" ht="17.100000000000001" customHeight="1" x14ac:dyDescent="0.25">
      <c r="A16" s="20" t="s">
        <v>1864</v>
      </c>
      <c r="B16" s="20" t="s">
        <v>2872</v>
      </c>
      <c r="C16" s="20" t="s">
        <v>662</v>
      </c>
      <c r="D16" s="20" t="s">
        <v>663</v>
      </c>
      <c r="E16" s="20" t="s">
        <v>2935</v>
      </c>
      <c r="F16" s="21" t="s">
        <v>1866</v>
      </c>
      <c r="G16" s="21" t="s">
        <v>34</v>
      </c>
      <c r="H16" s="21"/>
    </row>
    <row r="17" spans="1:8" ht="17.100000000000001" customHeight="1" x14ac:dyDescent="0.25">
      <c r="A17" s="20" t="s">
        <v>1867</v>
      </c>
      <c r="B17" s="20" t="s">
        <v>2873</v>
      </c>
      <c r="C17" s="20" t="s">
        <v>662</v>
      </c>
      <c r="D17" s="20" t="s">
        <v>663</v>
      </c>
      <c r="E17" s="20" t="s">
        <v>2935</v>
      </c>
      <c r="F17" s="21" t="s">
        <v>1869</v>
      </c>
      <c r="G17" s="21" t="s">
        <v>34</v>
      </c>
      <c r="H17" s="21"/>
    </row>
    <row r="18" spans="1:8" ht="17.100000000000001" customHeight="1" x14ac:dyDescent="0.25">
      <c r="A18" s="20" t="s">
        <v>1870</v>
      </c>
      <c r="B18" s="20" t="s">
        <v>2874</v>
      </c>
      <c r="C18" s="20" t="s">
        <v>662</v>
      </c>
      <c r="D18" s="20" t="s">
        <v>663</v>
      </c>
      <c r="E18" s="20" t="s">
        <v>2935</v>
      </c>
      <c r="F18" s="21" t="s">
        <v>1872</v>
      </c>
      <c r="G18" s="21" t="s">
        <v>34</v>
      </c>
      <c r="H18" s="21"/>
    </row>
    <row r="19" spans="1:8" ht="17.100000000000001" customHeight="1" x14ac:dyDescent="0.25">
      <c r="A19" s="20" t="s">
        <v>1873</v>
      </c>
      <c r="B19" s="20" t="s">
        <v>2875</v>
      </c>
      <c r="C19" s="20" t="s">
        <v>662</v>
      </c>
      <c r="D19" s="20" t="s">
        <v>663</v>
      </c>
      <c r="E19" s="20" t="s">
        <v>2935</v>
      </c>
      <c r="F19" s="21" t="s">
        <v>1875</v>
      </c>
      <c r="G19" s="21" t="s">
        <v>34</v>
      </c>
      <c r="H19" s="21"/>
    </row>
    <row r="20" spans="1:8" ht="17.100000000000001" customHeight="1" x14ac:dyDescent="0.25">
      <c r="A20" s="20"/>
      <c r="B20" s="20"/>
      <c r="C20" s="20"/>
      <c r="D20" s="20"/>
      <c r="E20" s="20"/>
      <c r="F20" s="21"/>
      <c r="G20" s="21"/>
      <c r="H20" s="21"/>
    </row>
    <row r="21" spans="1:8" ht="17.100000000000001" customHeight="1" x14ac:dyDescent="0.25">
      <c r="A21" s="20" t="s">
        <v>1876</v>
      </c>
      <c r="B21" s="20" t="s">
        <v>2831</v>
      </c>
      <c r="C21" s="20" t="s">
        <v>662</v>
      </c>
      <c r="D21" s="20" t="s">
        <v>697</v>
      </c>
      <c r="E21" s="20" t="s">
        <v>2935</v>
      </c>
      <c r="F21" s="21" t="s">
        <v>1877</v>
      </c>
      <c r="G21" s="21" t="s">
        <v>34</v>
      </c>
      <c r="H21" s="21"/>
    </row>
    <row r="22" spans="1:8" ht="17.100000000000001" customHeight="1" x14ac:dyDescent="0.25">
      <c r="A22" s="20" t="s">
        <v>1836</v>
      </c>
      <c r="B22" s="20" t="s">
        <v>2831</v>
      </c>
      <c r="C22" s="20" t="s">
        <v>662</v>
      </c>
      <c r="D22" s="20" t="s">
        <v>697</v>
      </c>
      <c r="E22" s="20" t="s">
        <v>2935</v>
      </c>
      <c r="F22" s="21" t="s">
        <v>1877</v>
      </c>
      <c r="G22" s="21" t="s">
        <v>34</v>
      </c>
      <c r="H22" s="21"/>
    </row>
    <row r="23" spans="1:8" ht="17.100000000000001" customHeight="1" x14ac:dyDescent="0.25">
      <c r="A23" s="20" t="s">
        <v>1885</v>
      </c>
      <c r="B23" s="20" t="s">
        <v>2831</v>
      </c>
      <c r="C23" s="20" t="s">
        <v>662</v>
      </c>
      <c r="D23" s="20" t="s">
        <v>697</v>
      </c>
      <c r="E23" s="20" t="s">
        <v>2935</v>
      </c>
      <c r="F23" s="21" t="s">
        <v>1886</v>
      </c>
      <c r="G23" s="21" t="s">
        <v>34</v>
      </c>
      <c r="H23" s="21"/>
    </row>
    <row r="24" spans="1:8" ht="17.100000000000001" customHeight="1" x14ac:dyDescent="0.25">
      <c r="A24" s="20" t="s">
        <v>1887</v>
      </c>
      <c r="B24" s="20" t="s">
        <v>47</v>
      </c>
      <c r="C24" s="20" t="s">
        <v>662</v>
      </c>
      <c r="D24" s="20" t="s">
        <v>697</v>
      </c>
      <c r="E24" s="20" t="s">
        <v>2935</v>
      </c>
      <c r="F24" s="21" t="s">
        <v>1888</v>
      </c>
      <c r="G24" s="21" t="s">
        <v>34</v>
      </c>
      <c r="H24" s="21"/>
    </row>
    <row r="25" spans="1:8" ht="17.100000000000001" customHeight="1" x14ac:dyDescent="0.25">
      <c r="A25" s="20" t="s">
        <v>1879</v>
      </c>
      <c r="B25" s="20" t="s">
        <v>50</v>
      </c>
      <c r="C25" s="20" t="s">
        <v>662</v>
      </c>
      <c r="D25" s="20" t="s">
        <v>697</v>
      </c>
      <c r="E25" s="20" t="s">
        <v>2935</v>
      </c>
      <c r="F25" s="21" t="s">
        <v>1880</v>
      </c>
      <c r="G25" s="21" t="s">
        <v>34</v>
      </c>
      <c r="H25" s="21"/>
    </row>
    <row r="26" spans="1:8" ht="17.100000000000001" customHeight="1" x14ac:dyDescent="0.25">
      <c r="A26" s="20" t="s">
        <v>1842</v>
      </c>
      <c r="B26" s="20" t="s">
        <v>51</v>
      </c>
      <c r="C26" s="20" t="s">
        <v>662</v>
      </c>
      <c r="D26" s="20" t="s">
        <v>697</v>
      </c>
      <c r="E26" s="20" t="s">
        <v>2935</v>
      </c>
      <c r="F26" s="21" t="s">
        <v>1881</v>
      </c>
      <c r="G26" s="21" t="s">
        <v>34</v>
      </c>
      <c r="H26" s="21"/>
    </row>
  </sheetData>
  <sortState xmlns:xlrd2="http://schemas.microsoft.com/office/spreadsheetml/2017/richdata2" ref="A21:H27">
    <sortCondition ref="B21:B27"/>
  </sortState>
  <mergeCells count="11">
    <mergeCell ref="B8:D8"/>
    <mergeCell ref="B9:D9"/>
    <mergeCell ref="B10:D10"/>
    <mergeCell ref="A12:F12"/>
    <mergeCell ref="G12:H12"/>
    <mergeCell ref="B7:D7"/>
    <mergeCell ref="A1:D1"/>
    <mergeCell ref="A2:D2"/>
    <mergeCell ref="B3:D3"/>
    <mergeCell ref="B4:D4"/>
    <mergeCell ref="B5:D5"/>
  </mergeCells>
  <pageMargins left="0.7" right="0.7" top="0.75" bottom="0.75" header="0.3" footer="0.3"/>
  <pageSetup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96064E-FC20-4866-B5AF-BAB016CC1C54}">
  <sheetPr>
    <tabColor rgb="FF00B0F0"/>
  </sheetPr>
  <dimension ref="A1:H102"/>
  <sheetViews>
    <sheetView showGridLines="0" workbookViewId="0">
      <selection activeCell="N22" sqref="N22"/>
    </sheetView>
  </sheetViews>
  <sheetFormatPr defaultRowHeight="17.100000000000001" customHeight="1" x14ac:dyDescent="0.25"/>
  <cols>
    <col min="1" max="1" width="18.42578125" style="16" bestFit="1" customWidth="1"/>
    <col min="2" max="2" width="9.7109375" style="16" bestFit="1" customWidth="1"/>
    <col min="3" max="3" width="6.85546875" style="16" bestFit="1" customWidth="1"/>
    <col min="4" max="4" width="6.85546875" style="16" customWidth="1"/>
    <col min="5" max="5" width="6.5703125" style="16" bestFit="1" customWidth="1"/>
    <col min="6" max="6" width="14.7109375" style="16" bestFit="1" customWidth="1"/>
    <col min="7" max="7" width="16.28515625" customWidth="1"/>
    <col min="8" max="8" width="9.5703125" bestFit="1" customWidth="1"/>
  </cols>
  <sheetData>
    <row r="1" spans="1:8" ht="18" customHeight="1" x14ac:dyDescent="0.25">
      <c r="A1" s="49" t="s">
        <v>34</v>
      </c>
      <c r="B1" s="49"/>
      <c r="C1" s="49"/>
      <c r="D1" s="49"/>
    </row>
    <row r="2" spans="1:8" ht="12.75" customHeight="1" x14ac:dyDescent="0.25">
      <c r="A2" s="50" t="s">
        <v>2384</v>
      </c>
      <c r="B2" s="50"/>
      <c r="C2" s="50"/>
      <c r="D2" s="50"/>
    </row>
    <row r="3" spans="1:8" ht="12" customHeight="1" x14ac:dyDescent="0.25">
      <c r="A3" s="3" t="s">
        <v>2</v>
      </c>
      <c r="B3" s="39" t="s">
        <v>3</v>
      </c>
      <c r="C3" s="39"/>
      <c r="D3" s="39"/>
    </row>
    <row r="4" spans="1:8" ht="12.75" customHeight="1" x14ac:dyDescent="0.25">
      <c r="A4" s="3" t="s">
        <v>5</v>
      </c>
      <c r="B4" s="39" t="s">
        <v>6</v>
      </c>
      <c r="C4" s="39"/>
      <c r="D4" s="39"/>
    </row>
    <row r="5" spans="1:8" ht="12" customHeight="1" x14ac:dyDescent="0.25">
      <c r="A5" s="3" t="s">
        <v>7</v>
      </c>
      <c r="B5" s="39" t="s">
        <v>8</v>
      </c>
      <c r="C5" s="39"/>
      <c r="D5" s="39"/>
    </row>
    <row r="6" spans="1:8" ht="5.25" customHeight="1" x14ac:dyDescent="0.25"/>
    <row r="7" spans="1:8" ht="12" customHeight="1" x14ac:dyDescent="0.25">
      <c r="A7" s="3" t="s">
        <v>9</v>
      </c>
      <c r="B7" s="39" t="s">
        <v>10</v>
      </c>
      <c r="C7" s="39"/>
      <c r="D7" s="39"/>
    </row>
    <row r="8" spans="1:8" ht="12.75" customHeight="1" x14ac:dyDescent="0.25">
      <c r="A8" s="3" t="s">
        <v>11</v>
      </c>
      <c r="B8" s="39" t="s">
        <v>12</v>
      </c>
      <c r="C8" s="39"/>
      <c r="D8" s="39"/>
    </row>
    <row r="9" spans="1:8" ht="12" customHeight="1" x14ac:dyDescent="0.25">
      <c r="A9" s="3" t="s">
        <v>13</v>
      </c>
      <c r="B9" s="39"/>
      <c r="C9" s="39"/>
      <c r="D9" s="39"/>
    </row>
    <row r="10" spans="1:8" ht="12.75" customHeight="1" x14ac:dyDescent="0.25">
      <c r="A10" s="3" t="s">
        <v>11</v>
      </c>
      <c r="B10" s="39"/>
      <c r="C10" s="39"/>
      <c r="D10" s="39"/>
    </row>
    <row r="11" spans="1:8" ht="10.5" customHeight="1" x14ac:dyDescent="0.25"/>
    <row r="12" spans="1:8" ht="16.5" customHeight="1" x14ac:dyDescent="0.25">
      <c r="A12" s="44" t="s">
        <v>630</v>
      </c>
      <c r="B12" s="44"/>
      <c r="C12" s="44"/>
      <c r="D12" s="44"/>
      <c r="E12" s="44"/>
      <c r="F12" s="44"/>
      <c r="G12" s="51" t="s">
        <v>631</v>
      </c>
      <c r="H12" s="52"/>
    </row>
    <row r="13" spans="1:8" ht="43.5" customHeight="1" x14ac:dyDescent="0.25">
      <c r="A13" s="17" t="s">
        <v>14</v>
      </c>
      <c r="B13" s="18" t="s">
        <v>634</v>
      </c>
      <c r="C13" s="18" t="s">
        <v>633</v>
      </c>
      <c r="D13" s="18" t="s">
        <v>635</v>
      </c>
      <c r="E13" s="18" t="s">
        <v>2828</v>
      </c>
      <c r="F13" s="19" t="s">
        <v>14</v>
      </c>
      <c r="G13" s="19" t="s">
        <v>17</v>
      </c>
      <c r="H13" s="19" t="s">
        <v>2829</v>
      </c>
    </row>
    <row r="14" spans="1:8" ht="17.100000000000001" customHeight="1" x14ac:dyDescent="0.25">
      <c r="A14" s="20" t="s">
        <v>2442</v>
      </c>
      <c r="B14" s="20" t="s">
        <v>2831</v>
      </c>
      <c r="C14" s="20" t="s">
        <v>662</v>
      </c>
      <c r="D14" s="20" t="s">
        <v>697</v>
      </c>
      <c r="E14" s="20" t="s">
        <v>2918</v>
      </c>
      <c r="F14" s="21" t="s">
        <v>2443</v>
      </c>
      <c r="G14" s="21" t="s">
        <v>2947</v>
      </c>
      <c r="H14" s="21" t="s">
        <v>2926</v>
      </c>
    </row>
    <row r="15" spans="1:8" ht="17.100000000000001" customHeight="1" x14ac:dyDescent="0.25">
      <c r="A15" s="20" t="s">
        <v>2444</v>
      </c>
      <c r="B15" s="20" t="s">
        <v>2445</v>
      </c>
      <c r="C15" s="20" t="s">
        <v>662</v>
      </c>
      <c r="D15" s="20" t="s">
        <v>697</v>
      </c>
      <c r="E15" s="20" t="s">
        <v>2918</v>
      </c>
      <c r="F15" s="21" t="s">
        <v>2446</v>
      </c>
      <c r="G15" s="21" t="s">
        <v>2947</v>
      </c>
      <c r="H15" s="21"/>
    </row>
    <row r="16" spans="1:8" ht="17.100000000000001" customHeight="1" x14ac:dyDescent="0.25">
      <c r="A16" s="20" t="s">
        <v>2449</v>
      </c>
      <c r="B16" s="20" t="s">
        <v>2450</v>
      </c>
      <c r="C16" s="20" t="s">
        <v>662</v>
      </c>
      <c r="D16" s="20" t="s">
        <v>697</v>
      </c>
      <c r="E16" s="20" t="s">
        <v>2918</v>
      </c>
      <c r="F16" s="21" t="s">
        <v>2451</v>
      </c>
      <c r="G16" s="21" t="s">
        <v>2947</v>
      </c>
      <c r="H16" s="21"/>
    </row>
    <row r="17" spans="1:8" ht="17.100000000000001" customHeight="1" x14ac:dyDescent="0.25">
      <c r="A17" s="20" t="s">
        <v>2453</v>
      </c>
      <c r="B17" s="20" t="s">
        <v>2454</v>
      </c>
      <c r="C17" s="20" t="s">
        <v>662</v>
      </c>
      <c r="D17" s="20" t="s">
        <v>697</v>
      </c>
      <c r="E17" s="20" t="s">
        <v>2918</v>
      </c>
      <c r="F17" s="21" t="s">
        <v>2455</v>
      </c>
      <c r="G17" s="21" t="s">
        <v>2947</v>
      </c>
      <c r="H17" s="21"/>
    </row>
    <row r="18" spans="1:8" ht="17.100000000000001" customHeight="1" x14ac:dyDescent="0.25">
      <c r="A18" s="20" t="s">
        <v>2457</v>
      </c>
      <c r="B18" s="20" t="s">
        <v>2458</v>
      </c>
      <c r="C18" s="20" t="s">
        <v>662</v>
      </c>
      <c r="D18" s="20" t="s">
        <v>697</v>
      </c>
      <c r="E18" s="20" t="s">
        <v>2918</v>
      </c>
      <c r="F18" s="21" t="s">
        <v>2459</v>
      </c>
      <c r="G18" s="21" t="s">
        <v>2947</v>
      </c>
      <c r="H18" s="21"/>
    </row>
    <row r="19" spans="1:8" ht="17.100000000000001" customHeight="1" x14ac:dyDescent="0.25">
      <c r="A19" s="20" t="s">
        <v>2464</v>
      </c>
      <c r="B19" s="20" t="s">
        <v>2465</v>
      </c>
      <c r="C19" s="20" t="s">
        <v>662</v>
      </c>
      <c r="D19" s="20" t="s">
        <v>697</v>
      </c>
      <c r="E19" s="20" t="s">
        <v>2918</v>
      </c>
      <c r="F19" s="21" t="s">
        <v>2466</v>
      </c>
      <c r="G19" s="21" t="s">
        <v>2947</v>
      </c>
      <c r="H19" s="21"/>
    </row>
    <row r="20" spans="1:8" ht="17.100000000000001" customHeight="1" x14ac:dyDescent="0.25">
      <c r="A20" s="20" t="s">
        <v>2467</v>
      </c>
      <c r="B20" s="20" t="s">
        <v>2468</v>
      </c>
      <c r="C20" s="20" t="s">
        <v>662</v>
      </c>
      <c r="D20" s="20" t="s">
        <v>697</v>
      </c>
      <c r="E20" s="20" t="s">
        <v>2918</v>
      </c>
      <c r="F20" s="21" t="s">
        <v>2469</v>
      </c>
      <c r="G20" s="21" t="s">
        <v>2947</v>
      </c>
      <c r="H20" s="21"/>
    </row>
    <row r="21" spans="1:8" ht="17.100000000000001" customHeight="1" x14ac:dyDescent="0.25">
      <c r="A21" s="20" t="s">
        <v>2447</v>
      </c>
      <c r="B21" s="20" t="s">
        <v>44</v>
      </c>
      <c r="C21" s="20" t="s">
        <v>662</v>
      </c>
      <c r="D21" s="20" t="s">
        <v>697</v>
      </c>
      <c r="E21" s="20" t="s">
        <v>2918</v>
      </c>
      <c r="F21" s="21" t="s">
        <v>2448</v>
      </c>
      <c r="G21" s="21" t="s">
        <v>2947</v>
      </c>
      <c r="H21" s="21"/>
    </row>
    <row r="22" spans="1:8" ht="17.100000000000001" customHeight="1" x14ac:dyDescent="0.25">
      <c r="A22" s="28"/>
      <c r="B22" s="28"/>
      <c r="C22" s="28"/>
      <c r="D22" s="28"/>
      <c r="E22" s="28"/>
      <c r="F22" s="29"/>
      <c r="G22" s="29"/>
      <c r="H22" s="29"/>
    </row>
    <row r="23" spans="1:8" ht="17.100000000000001" customHeight="1" x14ac:dyDescent="0.25">
      <c r="A23" s="20" t="s">
        <v>2005</v>
      </c>
      <c r="B23" s="20" t="s">
        <v>2880</v>
      </c>
      <c r="C23" s="20" t="s">
        <v>662</v>
      </c>
      <c r="D23" s="20" t="s">
        <v>663</v>
      </c>
      <c r="E23" s="20" t="s">
        <v>2941</v>
      </c>
      <c r="F23" s="21" t="s">
        <v>2549</v>
      </c>
      <c r="G23" s="21" t="s">
        <v>2947</v>
      </c>
      <c r="H23" s="21" t="s">
        <v>2930</v>
      </c>
    </row>
    <row r="24" spans="1:8" ht="17.100000000000001" customHeight="1" x14ac:dyDescent="0.25">
      <c r="A24" s="20" t="s">
        <v>2611</v>
      </c>
      <c r="B24" s="20" t="s">
        <v>967</v>
      </c>
      <c r="C24" s="20" t="s">
        <v>662</v>
      </c>
      <c r="D24" s="20" t="s">
        <v>663</v>
      </c>
      <c r="E24" s="20" t="s">
        <v>2918</v>
      </c>
      <c r="F24" s="21" t="s">
        <v>1112</v>
      </c>
      <c r="G24" s="21" t="s">
        <v>2947</v>
      </c>
      <c r="H24" s="21"/>
    </row>
    <row r="25" spans="1:8" ht="17.100000000000001" customHeight="1" x14ac:dyDescent="0.25">
      <c r="A25" s="20" t="s">
        <v>2577</v>
      </c>
      <c r="B25" s="20" t="s">
        <v>270</v>
      </c>
      <c r="C25" s="20" t="s">
        <v>662</v>
      </c>
      <c r="D25" s="20" t="s">
        <v>663</v>
      </c>
      <c r="E25" s="20" t="s">
        <v>2941</v>
      </c>
      <c r="F25" s="21" t="s">
        <v>2578</v>
      </c>
      <c r="G25" s="21" t="s">
        <v>2947</v>
      </c>
      <c r="H25" s="21"/>
    </row>
    <row r="26" spans="1:8" ht="17.100000000000001" customHeight="1" x14ac:dyDescent="0.25">
      <c r="A26" s="20" t="s">
        <v>2577</v>
      </c>
      <c r="B26" s="20" t="s">
        <v>270</v>
      </c>
      <c r="C26" s="20" t="s">
        <v>662</v>
      </c>
      <c r="D26" s="20" t="s">
        <v>663</v>
      </c>
      <c r="E26" s="20" t="s">
        <v>2918</v>
      </c>
      <c r="F26" s="21" t="s">
        <v>2066</v>
      </c>
      <c r="G26" s="21" t="s">
        <v>2947</v>
      </c>
      <c r="H26" s="21"/>
    </row>
    <row r="27" spans="1:8" ht="17.100000000000001" customHeight="1" x14ac:dyDescent="0.25">
      <c r="A27" s="20" t="s">
        <v>2579</v>
      </c>
      <c r="B27" s="20" t="s">
        <v>2580</v>
      </c>
      <c r="C27" s="20" t="s">
        <v>662</v>
      </c>
      <c r="D27" s="20" t="s">
        <v>663</v>
      </c>
      <c r="E27" s="20" t="s">
        <v>2918</v>
      </c>
      <c r="F27" s="21" t="s">
        <v>2582</v>
      </c>
      <c r="G27" s="21" t="s">
        <v>2947</v>
      </c>
      <c r="H27" s="21"/>
    </row>
    <row r="28" spans="1:8" ht="17.100000000000001" customHeight="1" x14ac:dyDescent="0.25">
      <c r="A28" s="20" t="s">
        <v>2587</v>
      </c>
      <c r="B28" s="20" t="s">
        <v>2588</v>
      </c>
      <c r="C28" s="20" t="s">
        <v>662</v>
      </c>
      <c r="D28" s="20" t="s">
        <v>663</v>
      </c>
      <c r="E28" s="20" t="s">
        <v>2918</v>
      </c>
      <c r="F28" s="21" t="s">
        <v>2589</v>
      </c>
      <c r="G28" s="21" t="s">
        <v>2947</v>
      </c>
      <c r="H28" s="21"/>
    </row>
    <row r="29" spans="1:8" ht="17.100000000000001" customHeight="1" x14ac:dyDescent="0.25">
      <c r="A29" s="20" t="s">
        <v>2599</v>
      </c>
      <c r="B29" s="20" t="s">
        <v>2569</v>
      </c>
      <c r="C29" s="20" t="s">
        <v>662</v>
      </c>
      <c r="D29" s="20" t="s">
        <v>663</v>
      </c>
      <c r="E29" s="20" t="s">
        <v>2918</v>
      </c>
      <c r="F29" s="21" t="s">
        <v>2570</v>
      </c>
      <c r="G29" s="21" t="s">
        <v>2947</v>
      </c>
      <c r="H29" s="21"/>
    </row>
    <row r="30" spans="1:8" ht="17.100000000000001" customHeight="1" x14ac:dyDescent="0.25">
      <c r="A30" s="20" t="s">
        <v>2610</v>
      </c>
      <c r="B30" s="20" t="s">
        <v>2552</v>
      </c>
      <c r="C30" s="20" t="s">
        <v>662</v>
      </c>
      <c r="D30" s="20" t="s">
        <v>663</v>
      </c>
      <c r="E30" s="20" t="s">
        <v>2918</v>
      </c>
      <c r="F30" s="21" t="s">
        <v>2575</v>
      </c>
      <c r="G30" s="21" t="s">
        <v>2947</v>
      </c>
      <c r="H30" s="21"/>
    </row>
    <row r="31" spans="1:8" ht="17.100000000000001" customHeight="1" x14ac:dyDescent="0.25">
      <c r="A31" s="20"/>
      <c r="B31" s="20"/>
      <c r="C31" s="20"/>
      <c r="D31" s="20"/>
      <c r="E31" s="20"/>
      <c r="F31" s="21"/>
      <c r="G31" s="21"/>
      <c r="H31" s="21"/>
    </row>
    <row r="32" spans="1:8" ht="17.100000000000001" customHeight="1" x14ac:dyDescent="0.25">
      <c r="A32" s="20" t="s">
        <v>2620</v>
      </c>
      <c r="B32" s="20" t="s">
        <v>936</v>
      </c>
      <c r="C32" s="20" t="s">
        <v>662</v>
      </c>
      <c r="D32" s="20" t="s">
        <v>673</v>
      </c>
      <c r="E32" s="20" t="s">
        <v>2918</v>
      </c>
      <c r="F32" s="21" t="s">
        <v>1744</v>
      </c>
      <c r="G32" s="21" t="s">
        <v>2947</v>
      </c>
      <c r="H32" s="21"/>
    </row>
    <row r="33" spans="1:8" ht="17.100000000000001" customHeight="1" x14ac:dyDescent="0.25">
      <c r="A33" s="28"/>
      <c r="B33" s="28"/>
      <c r="C33" s="28"/>
      <c r="D33" s="28"/>
      <c r="E33" s="28"/>
      <c r="F33" s="29"/>
      <c r="G33" s="29"/>
      <c r="H33" s="29"/>
    </row>
    <row r="34" spans="1:8" ht="17.100000000000001" customHeight="1" x14ac:dyDescent="0.25">
      <c r="A34" s="20" t="s">
        <v>2025</v>
      </c>
      <c r="B34" s="20" t="s">
        <v>2885</v>
      </c>
      <c r="C34" s="20" t="s">
        <v>662</v>
      </c>
      <c r="D34" s="20" t="s">
        <v>663</v>
      </c>
      <c r="E34" s="20" t="s">
        <v>2941</v>
      </c>
      <c r="F34" s="21" t="s">
        <v>2550</v>
      </c>
      <c r="G34" s="21" t="s">
        <v>2947</v>
      </c>
      <c r="H34" s="21" t="s">
        <v>2931</v>
      </c>
    </row>
    <row r="35" spans="1:8" ht="17.100000000000001" customHeight="1" x14ac:dyDescent="0.25">
      <c r="A35" s="20" t="s">
        <v>2583</v>
      </c>
      <c r="B35" s="20" t="s">
        <v>2831</v>
      </c>
      <c r="C35" s="20" t="s">
        <v>662</v>
      </c>
      <c r="D35" s="20" t="s">
        <v>663</v>
      </c>
      <c r="E35" s="20" t="s">
        <v>2918</v>
      </c>
      <c r="F35" s="21" t="s">
        <v>2584</v>
      </c>
      <c r="G35" s="21" t="s">
        <v>2947</v>
      </c>
      <c r="H35" s="21"/>
    </row>
    <row r="36" spans="1:8" ht="17.100000000000001" customHeight="1" x14ac:dyDescent="0.25">
      <c r="A36" s="20" t="s">
        <v>2590</v>
      </c>
      <c r="B36" s="20" t="s">
        <v>2831</v>
      </c>
      <c r="C36" s="20" t="s">
        <v>662</v>
      </c>
      <c r="D36" s="20" t="s">
        <v>663</v>
      </c>
      <c r="E36" s="20" t="s">
        <v>2918</v>
      </c>
      <c r="F36" s="21" t="s">
        <v>2600</v>
      </c>
      <c r="G36" s="21" t="s">
        <v>2947</v>
      </c>
      <c r="H36" s="21"/>
    </row>
    <row r="37" spans="1:8" ht="17.100000000000001" customHeight="1" x14ac:dyDescent="0.25">
      <c r="A37" s="20" t="s">
        <v>2613</v>
      </c>
      <c r="B37" s="20" t="s">
        <v>2831</v>
      </c>
      <c r="C37" s="20" t="s">
        <v>662</v>
      </c>
      <c r="D37" s="20" t="s">
        <v>663</v>
      </c>
      <c r="E37" s="20" t="s">
        <v>2918</v>
      </c>
      <c r="F37" s="21" t="s">
        <v>2386</v>
      </c>
      <c r="G37" s="21" t="s">
        <v>2947</v>
      </c>
      <c r="H37" s="21"/>
    </row>
    <row r="38" spans="1:8" ht="17.100000000000001" customHeight="1" x14ac:dyDescent="0.25">
      <c r="A38" s="20" t="s">
        <v>2571</v>
      </c>
      <c r="B38" s="20" t="s">
        <v>2572</v>
      </c>
      <c r="C38" s="20" t="s">
        <v>662</v>
      </c>
      <c r="D38" s="20" t="s">
        <v>663</v>
      </c>
      <c r="E38" s="20" t="s">
        <v>2941</v>
      </c>
      <c r="F38" s="21" t="s">
        <v>2573</v>
      </c>
      <c r="G38" s="21" t="s">
        <v>2947</v>
      </c>
      <c r="H38" s="21"/>
    </row>
    <row r="39" spans="1:8" ht="17.100000000000001" customHeight="1" x14ac:dyDescent="0.25">
      <c r="A39" s="20"/>
      <c r="B39" s="20"/>
      <c r="C39" s="20"/>
      <c r="D39" s="20"/>
      <c r="E39" s="20"/>
      <c r="F39" s="21"/>
      <c r="G39" s="21"/>
      <c r="H39" s="21"/>
    </row>
    <row r="40" spans="1:8" ht="17.100000000000001" customHeight="1" x14ac:dyDescent="0.25">
      <c r="A40" s="20" t="s">
        <v>2622</v>
      </c>
      <c r="B40" s="20" t="s">
        <v>2831</v>
      </c>
      <c r="C40" s="20" t="s">
        <v>662</v>
      </c>
      <c r="D40" s="20" t="s">
        <v>673</v>
      </c>
      <c r="E40" s="20" t="s">
        <v>2918</v>
      </c>
      <c r="F40" s="21" t="s">
        <v>2386</v>
      </c>
      <c r="G40" s="21" t="s">
        <v>2947</v>
      </c>
      <c r="H40" s="21"/>
    </row>
    <row r="41" spans="1:8" ht="17.100000000000001" customHeight="1" x14ac:dyDescent="0.25">
      <c r="A41" s="28"/>
      <c r="B41" s="28"/>
      <c r="C41" s="28"/>
      <c r="D41" s="28"/>
      <c r="E41" s="28"/>
      <c r="F41" s="29"/>
      <c r="G41" s="29"/>
      <c r="H41" s="29"/>
    </row>
    <row r="42" spans="1:8" ht="17.100000000000001" customHeight="1" x14ac:dyDescent="0.25">
      <c r="A42" s="20" t="s">
        <v>2617</v>
      </c>
      <c r="B42" s="20" t="s">
        <v>2894</v>
      </c>
      <c r="C42" s="20" t="s">
        <v>662</v>
      </c>
      <c r="D42" s="20" t="s">
        <v>663</v>
      </c>
      <c r="E42" s="20" t="s">
        <v>2919</v>
      </c>
      <c r="F42" s="21" t="s">
        <v>2619</v>
      </c>
      <c r="G42" s="21" t="s">
        <v>2947</v>
      </c>
      <c r="H42" s="21" t="s">
        <v>2903</v>
      </c>
    </row>
    <row r="43" spans="1:8" ht="17.100000000000001" customHeight="1" x14ac:dyDescent="0.25">
      <c r="A43" s="20" t="s">
        <v>2547</v>
      </c>
      <c r="B43" s="20" t="s">
        <v>268</v>
      </c>
      <c r="C43" s="20" t="s">
        <v>662</v>
      </c>
      <c r="D43" s="20" t="s">
        <v>663</v>
      </c>
      <c r="E43" s="20" t="s">
        <v>2918</v>
      </c>
      <c r="F43" s="21" t="s">
        <v>2548</v>
      </c>
      <c r="G43" s="21" t="s">
        <v>2947</v>
      </c>
      <c r="H43" s="21"/>
    </row>
    <row r="44" spans="1:8" ht="17.100000000000001" customHeight="1" x14ac:dyDescent="0.25">
      <c r="A44" s="20" t="s">
        <v>2555</v>
      </c>
      <c r="B44" s="20" t="s">
        <v>268</v>
      </c>
      <c r="C44" s="20" t="s">
        <v>662</v>
      </c>
      <c r="D44" s="20" t="s">
        <v>663</v>
      </c>
      <c r="E44" s="20" t="s">
        <v>2918</v>
      </c>
      <c r="F44" s="21" t="s">
        <v>2556</v>
      </c>
      <c r="G44" s="21" t="s">
        <v>2947</v>
      </c>
      <c r="H44" s="21"/>
    </row>
    <row r="45" spans="1:8" ht="17.100000000000001" customHeight="1" x14ac:dyDescent="0.25">
      <c r="A45" s="20" t="s">
        <v>2555</v>
      </c>
      <c r="B45" s="20" t="s">
        <v>268</v>
      </c>
      <c r="C45" s="20" t="s">
        <v>662</v>
      </c>
      <c r="D45" s="20" t="s">
        <v>663</v>
      </c>
      <c r="E45" s="20" t="s">
        <v>2918</v>
      </c>
      <c r="F45" s="21" t="s">
        <v>2557</v>
      </c>
      <c r="G45" s="21" t="s">
        <v>2947</v>
      </c>
      <c r="H45" s="21"/>
    </row>
    <row r="46" spans="1:8" ht="17.100000000000001" customHeight="1" x14ac:dyDescent="0.25">
      <c r="A46" s="20" t="s">
        <v>2576</v>
      </c>
      <c r="B46" s="20" t="s">
        <v>268</v>
      </c>
      <c r="C46" s="20" t="s">
        <v>662</v>
      </c>
      <c r="D46" s="20" t="s">
        <v>663</v>
      </c>
      <c r="E46" s="20" t="s">
        <v>2918</v>
      </c>
      <c r="F46" s="21" t="s">
        <v>2556</v>
      </c>
      <c r="G46" s="21" t="s">
        <v>2947</v>
      </c>
      <c r="H46" s="21"/>
    </row>
    <row r="47" spans="1:8" ht="17.100000000000001" customHeight="1" x14ac:dyDescent="0.25">
      <c r="A47" s="20" t="s">
        <v>2559</v>
      </c>
      <c r="B47" s="20" t="s">
        <v>2560</v>
      </c>
      <c r="C47" s="20" t="s">
        <v>662</v>
      </c>
      <c r="D47" s="20" t="s">
        <v>663</v>
      </c>
      <c r="E47" s="20" t="s">
        <v>2918</v>
      </c>
      <c r="F47" s="21" t="s">
        <v>2562</v>
      </c>
      <c r="G47" s="21" t="s">
        <v>2947</v>
      </c>
      <c r="H47" s="21"/>
    </row>
    <row r="48" spans="1:8" ht="17.100000000000001" customHeight="1" x14ac:dyDescent="0.25">
      <c r="A48" s="20" t="s">
        <v>2564</v>
      </c>
      <c r="B48" s="20" t="s">
        <v>2565</v>
      </c>
      <c r="C48" s="20" t="s">
        <v>662</v>
      </c>
      <c r="D48" s="20" t="s">
        <v>663</v>
      </c>
      <c r="E48" s="20" t="s">
        <v>2918</v>
      </c>
      <c r="F48" s="21" t="s">
        <v>2566</v>
      </c>
      <c r="G48" s="21" t="s">
        <v>2947</v>
      </c>
      <c r="H48" s="21"/>
    </row>
    <row r="49" spans="1:8" ht="17.100000000000001" customHeight="1" x14ac:dyDescent="0.25">
      <c r="A49" s="20" t="s">
        <v>2542</v>
      </c>
      <c r="B49" s="20" t="s">
        <v>2543</v>
      </c>
      <c r="C49" s="20" t="s">
        <v>662</v>
      </c>
      <c r="D49" s="20" t="s">
        <v>663</v>
      </c>
      <c r="E49" s="20" t="s">
        <v>2918</v>
      </c>
      <c r="F49" s="21" t="s">
        <v>2545</v>
      </c>
      <c r="G49" s="21" t="s">
        <v>2947</v>
      </c>
      <c r="H49" s="21"/>
    </row>
    <row r="50" spans="1:8" ht="17.100000000000001" customHeight="1" x14ac:dyDescent="0.25">
      <c r="A50" s="20" t="s">
        <v>2567</v>
      </c>
      <c r="B50" s="20" t="s">
        <v>2543</v>
      </c>
      <c r="C50" s="20" t="s">
        <v>662</v>
      </c>
      <c r="D50" s="20" t="s">
        <v>663</v>
      </c>
      <c r="E50" s="20" t="s">
        <v>2941</v>
      </c>
      <c r="F50" s="21" t="s">
        <v>2545</v>
      </c>
      <c r="G50" s="21" t="s">
        <v>2947</v>
      </c>
      <c r="H50" s="21"/>
    </row>
    <row r="51" spans="1:8" ht="17.100000000000001" customHeight="1" x14ac:dyDescent="0.25">
      <c r="A51" s="20" t="s">
        <v>2591</v>
      </c>
      <c r="B51" s="20" t="s">
        <v>2592</v>
      </c>
      <c r="C51" s="20" t="s">
        <v>662</v>
      </c>
      <c r="D51" s="20" t="s">
        <v>663</v>
      </c>
      <c r="E51" s="20" t="s">
        <v>2918</v>
      </c>
      <c r="F51" s="21" t="s">
        <v>2594</v>
      </c>
      <c r="G51" s="21" t="s">
        <v>2947</v>
      </c>
      <c r="H51" s="21"/>
    </row>
    <row r="52" spans="1:8" ht="17.100000000000001" customHeight="1" x14ac:dyDescent="0.25">
      <c r="A52" s="20" t="s">
        <v>2596</v>
      </c>
      <c r="B52" s="20" t="s">
        <v>2597</v>
      </c>
      <c r="C52" s="20" t="s">
        <v>662</v>
      </c>
      <c r="D52" s="20" t="s">
        <v>663</v>
      </c>
      <c r="E52" s="20" t="s">
        <v>2918</v>
      </c>
      <c r="F52" s="21" t="s">
        <v>2598</v>
      </c>
      <c r="G52" s="21" t="s">
        <v>2947</v>
      </c>
      <c r="H52" s="21"/>
    </row>
    <row r="53" spans="1:8" ht="17.100000000000001" customHeight="1" x14ac:dyDescent="0.25">
      <c r="A53" s="20" t="s">
        <v>2568</v>
      </c>
      <c r="B53" s="20" t="s">
        <v>2569</v>
      </c>
      <c r="C53" s="20" t="s">
        <v>662</v>
      </c>
      <c r="D53" s="20" t="s">
        <v>663</v>
      </c>
      <c r="E53" s="20" t="s">
        <v>2941</v>
      </c>
      <c r="F53" s="21" t="s">
        <v>2570</v>
      </c>
      <c r="G53" s="21" t="s">
        <v>2947</v>
      </c>
      <c r="H53" s="21"/>
    </row>
    <row r="54" spans="1:8" ht="17.100000000000001" customHeight="1" x14ac:dyDescent="0.25">
      <c r="A54" s="20" t="s">
        <v>2602</v>
      </c>
      <c r="B54" s="20" t="s">
        <v>2603</v>
      </c>
      <c r="C54" s="20" t="s">
        <v>662</v>
      </c>
      <c r="D54" s="20" t="s">
        <v>663</v>
      </c>
      <c r="E54" s="20" t="s">
        <v>2918</v>
      </c>
      <c r="F54" s="21" t="s">
        <v>2604</v>
      </c>
      <c r="G54" s="21" t="s">
        <v>2947</v>
      </c>
      <c r="H54" s="21"/>
    </row>
    <row r="55" spans="1:8" ht="17.100000000000001" customHeight="1" x14ac:dyDescent="0.25">
      <c r="A55" s="20" t="s">
        <v>2602</v>
      </c>
      <c r="B55" s="20" t="s">
        <v>2603</v>
      </c>
      <c r="C55" s="20" t="s">
        <v>662</v>
      </c>
      <c r="D55" s="20" t="s">
        <v>663</v>
      </c>
      <c r="E55" s="20" t="s">
        <v>2918</v>
      </c>
      <c r="F55" s="21" t="s">
        <v>2605</v>
      </c>
      <c r="G55" s="21" t="s">
        <v>2947</v>
      </c>
      <c r="H55" s="21"/>
    </row>
    <row r="56" spans="1:8" ht="17.100000000000001" customHeight="1" x14ac:dyDescent="0.25">
      <c r="A56" s="20" t="s">
        <v>2606</v>
      </c>
      <c r="B56" s="20" t="s">
        <v>2607</v>
      </c>
      <c r="C56" s="20" t="s">
        <v>662</v>
      </c>
      <c r="D56" s="20" t="s">
        <v>663</v>
      </c>
      <c r="E56" s="20" t="s">
        <v>2918</v>
      </c>
      <c r="F56" s="21" t="s">
        <v>2608</v>
      </c>
      <c r="G56" s="21" t="s">
        <v>2947</v>
      </c>
      <c r="H56" s="21"/>
    </row>
    <row r="57" spans="1:8" ht="17.100000000000001" customHeight="1" x14ac:dyDescent="0.25">
      <c r="A57" s="20" t="s">
        <v>2606</v>
      </c>
      <c r="B57" s="20" t="s">
        <v>2607</v>
      </c>
      <c r="C57" s="20" t="s">
        <v>662</v>
      </c>
      <c r="D57" s="20" t="s">
        <v>663</v>
      </c>
      <c r="E57" s="20" t="s">
        <v>2918</v>
      </c>
      <c r="F57" s="21" t="s">
        <v>2609</v>
      </c>
      <c r="G57" s="21" t="s">
        <v>2947</v>
      </c>
      <c r="H57" s="21"/>
    </row>
    <row r="58" spans="1:8" ht="17.100000000000001" customHeight="1" x14ac:dyDescent="0.25">
      <c r="A58" s="20" t="s">
        <v>2551</v>
      </c>
      <c r="B58" s="20" t="s">
        <v>2552</v>
      </c>
      <c r="C58" s="20" t="s">
        <v>662</v>
      </c>
      <c r="D58" s="20" t="s">
        <v>663</v>
      </c>
      <c r="E58" s="20" t="s">
        <v>2918</v>
      </c>
      <c r="F58" s="21" t="s">
        <v>2554</v>
      </c>
      <c r="G58" s="21" t="s">
        <v>2947</v>
      </c>
      <c r="H58" s="21"/>
    </row>
    <row r="59" spans="1:8" ht="17.100000000000001" customHeight="1" x14ac:dyDescent="0.25">
      <c r="A59" s="20" t="s">
        <v>2574</v>
      </c>
      <c r="B59" s="20" t="s">
        <v>2552</v>
      </c>
      <c r="C59" s="20" t="s">
        <v>662</v>
      </c>
      <c r="D59" s="20" t="s">
        <v>663</v>
      </c>
      <c r="E59" s="20" t="s">
        <v>2918</v>
      </c>
      <c r="F59" s="21" t="s">
        <v>2554</v>
      </c>
      <c r="G59" s="21" t="s">
        <v>2947</v>
      </c>
      <c r="H59" s="21"/>
    </row>
    <row r="60" spans="1:8" ht="17.100000000000001" customHeight="1" x14ac:dyDescent="0.25">
      <c r="A60" s="20" t="s">
        <v>2574</v>
      </c>
      <c r="B60" s="20" t="s">
        <v>2552</v>
      </c>
      <c r="C60" s="20" t="s">
        <v>662</v>
      </c>
      <c r="D60" s="20" t="s">
        <v>663</v>
      </c>
      <c r="E60" s="20" t="s">
        <v>2918</v>
      </c>
      <c r="F60" s="21" t="s">
        <v>2575</v>
      </c>
      <c r="G60" s="21" t="s">
        <v>2947</v>
      </c>
      <c r="H60" s="21"/>
    </row>
    <row r="61" spans="1:8" ht="17.100000000000001" customHeight="1" x14ac:dyDescent="0.25">
      <c r="A61" s="20" t="s">
        <v>2614</v>
      </c>
      <c r="B61" s="20" t="s">
        <v>2615</v>
      </c>
      <c r="C61" s="20" t="s">
        <v>662</v>
      </c>
      <c r="D61" s="20" t="s">
        <v>663</v>
      </c>
      <c r="E61" s="20" t="s">
        <v>2919</v>
      </c>
      <c r="F61" s="21" t="s">
        <v>2616</v>
      </c>
      <c r="G61" s="21" t="s">
        <v>2947</v>
      </c>
      <c r="H61" s="21"/>
    </row>
    <row r="62" spans="1:8" ht="17.100000000000001" customHeight="1" x14ac:dyDescent="0.25">
      <c r="A62" s="28"/>
      <c r="B62" s="28"/>
      <c r="C62" s="28"/>
      <c r="D62" s="28"/>
      <c r="E62" s="28"/>
      <c r="F62" s="29"/>
      <c r="G62" s="29"/>
      <c r="H62" s="29"/>
    </row>
    <row r="63" spans="1:8" ht="17.100000000000001" customHeight="1" x14ac:dyDescent="0.25">
      <c r="A63" s="20" t="s">
        <v>2548</v>
      </c>
      <c r="B63" s="20" t="s">
        <v>268</v>
      </c>
      <c r="C63" s="20" t="s">
        <v>662</v>
      </c>
      <c r="D63" s="20" t="s">
        <v>663</v>
      </c>
      <c r="E63" s="20" t="s">
        <v>2918</v>
      </c>
      <c r="F63" s="21" t="s">
        <v>2557</v>
      </c>
      <c r="G63" s="21" t="s">
        <v>2947</v>
      </c>
      <c r="H63" s="21" t="s">
        <v>2905</v>
      </c>
    </row>
    <row r="64" spans="1:8" ht="17.100000000000001" customHeight="1" x14ac:dyDescent="0.25">
      <c r="A64" s="20"/>
      <c r="B64" s="20"/>
      <c r="C64" s="20"/>
      <c r="D64" s="20"/>
      <c r="E64" s="20"/>
      <c r="F64" s="21"/>
      <c r="G64" s="21"/>
      <c r="H64" s="21"/>
    </row>
    <row r="65" spans="1:8" ht="17.100000000000001" customHeight="1" x14ac:dyDescent="0.25">
      <c r="A65" s="20" t="s">
        <v>2063</v>
      </c>
      <c r="B65" s="20" t="s">
        <v>268</v>
      </c>
      <c r="C65" s="20" t="s">
        <v>662</v>
      </c>
      <c r="D65" s="20" t="s">
        <v>697</v>
      </c>
      <c r="E65" s="20" t="s">
        <v>2918</v>
      </c>
      <c r="F65" s="21" t="s">
        <v>2548</v>
      </c>
      <c r="G65" s="21" t="s">
        <v>2947</v>
      </c>
      <c r="H65" s="21"/>
    </row>
    <row r="66" spans="1:8" ht="17.100000000000001" customHeight="1" x14ac:dyDescent="0.25">
      <c r="A66" s="20"/>
      <c r="B66" s="20"/>
      <c r="C66" s="20"/>
      <c r="D66" s="20"/>
      <c r="E66" s="20"/>
      <c r="F66" s="21"/>
      <c r="G66" s="21"/>
      <c r="H66" s="21"/>
    </row>
    <row r="67" spans="1:8" ht="17.100000000000001" customHeight="1" x14ac:dyDescent="0.25">
      <c r="A67" s="20" t="s">
        <v>2075</v>
      </c>
      <c r="B67" s="20" t="s">
        <v>2831</v>
      </c>
      <c r="C67" s="20" t="s">
        <v>662</v>
      </c>
      <c r="D67" s="20" t="s">
        <v>673</v>
      </c>
      <c r="E67" s="20" t="s">
        <v>2918</v>
      </c>
      <c r="F67" s="21" t="s">
        <v>2387</v>
      </c>
      <c r="G67" s="21" t="s">
        <v>2947</v>
      </c>
      <c r="H67" s="21"/>
    </row>
    <row r="68" spans="1:8" ht="17.100000000000001" customHeight="1" x14ac:dyDescent="0.25">
      <c r="A68" s="20" t="s">
        <v>2385</v>
      </c>
      <c r="B68" s="20" t="s">
        <v>2831</v>
      </c>
      <c r="C68" s="20" t="s">
        <v>662</v>
      </c>
      <c r="D68" s="20" t="s">
        <v>673</v>
      </c>
      <c r="E68" s="20" t="s">
        <v>2918</v>
      </c>
      <c r="F68" s="21" t="s">
        <v>1886</v>
      </c>
      <c r="G68" s="21" t="s">
        <v>2947</v>
      </c>
      <c r="H68" s="21"/>
    </row>
    <row r="69" spans="1:8" ht="17.100000000000001" customHeight="1" x14ac:dyDescent="0.25">
      <c r="A69" s="20" t="s">
        <v>2443</v>
      </c>
      <c r="B69" s="20" t="s">
        <v>2831</v>
      </c>
      <c r="C69" s="20" t="s">
        <v>662</v>
      </c>
      <c r="D69" s="20" t="s">
        <v>673</v>
      </c>
      <c r="E69" s="20" t="s">
        <v>2918</v>
      </c>
      <c r="F69" s="21" t="s">
        <v>2388</v>
      </c>
      <c r="G69" s="21" t="s">
        <v>2947</v>
      </c>
      <c r="H69" s="21"/>
    </row>
    <row r="70" spans="1:8" ht="17.100000000000001" customHeight="1" x14ac:dyDescent="0.25">
      <c r="A70" s="20" t="s">
        <v>2387</v>
      </c>
      <c r="B70" s="20" t="s">
        <v>2831</v>
      </c>
      <c r="C70" s="20" t="s">
        <v>662</v>
      </c>
      <c r="D70" s="20" t="s">
        <v>673</v>
      </c>
      <c r="E70" s="20" t="s">
        <v>2918</v>
      </c>
      <c r="F70" s="21" t="s">
        <v>2600</v>
      </c>
      <c r="G70" s="21" t="s">
        <v>2947</v>
      </c>
      <c r="H70" s="21"/>
    </row>
    <row r="71" spans="1:8" ht="17.100000000000001" customHeight="1" x14ac:dyDescent="0.25">
      <c r="A71" s="20"/>
      <c r="B71" s="20"/>
      <c r="C71" s="20"/>
      <c r="D71" s="20"/>
      <c r="E71" s="20"/>
      <c r="F71" s="21"/>
      <c r="G71" s="21"/>
      <c r="H71" s="21"/>
    </row>
    <row r="72" spans="1:8" ht="17.100000000000001" customHeight="1" x14ac:dyDescent="0.25">
      <c r="A72" s="20" t="s">
        <v>1741</v>
      </c>
      <c r="B72" s="20" t="s">
        <v>2831</v>
      </c>
      <c r="C72" s="20" t="s">
        <v>662</v>
      </c>
      <c r="D72" s="20" t="s">
        <v>898</v>
      </c>
      <c r="E72" s="20" t="s">
        <v>2918</v>
      </c>
      <c r="F72" s="21" t="s">
        <v>2386</v>
      </c>
      <c r="G72" s="21" t="s">
        <v>2947</v>
      </c>
      <c r="H72" s="21"/>
    </row>
    <row r="73" spans="1:8" ht="17.100000000000001" customHeight="1" x14ac:dyDescent="0.25">
      <c r="A73" s="20"/>
      <c r="B73" s="20"/>
      <c r="C73" s="20"/>
      <c r="D73" s="20"/>
      <c r="E73" s="20"/>
      <c r="F73" s="21"/>
      <c r="G73" s="21"/>
      <c r="H73" s="21"/>
    </row>
    <row r="74" spans="1:8" ht="17.100000000000001" customHeight="1" x14ac:dyDescent="0.25">
      <c r="A74" s="20" t="s">
        <v>2524</v>
      </c>
      <c r="B74" s="20" t="s">
        <v>267</v>
      </c>
      <c r="C74" s="20" t="s">
        <v>662</v>
      </c>
      <c r="D74" s="20" t="s">
        <v>673</v>
      </c>
      <c r="E74" s="20" t="s">
        <v>2918</v>
      </c>
      <c r="F74" s="21" t="s">
        <v>2059</v>
      </c>
      <c r="G74" s="21" t="s">
        <v>2947</v>
      </c>
      <c r="H74" s="21"/>
    </row>
    <row r="75" spans="1:8" ht="17.100000000000001" customHeight="1" x14ac:dyDescent="0.25">
      <c r="A75" s="28"/>
      <c r="B75" s="28"/>
      <c r="C75" s="28"/>
      <c r="D75" s="28"/>
      <c r="E75" s="28"/>
      <c r="F75" s="29"/>
      <c r="G75" s="29"/>
      <c r="H75" s="29"/>
    </row>
    <row r="76" spans="1:8" ht="17.100000000000001" customHeight="1" x14ac:dyDescent="0.25">
      <c r="A76" s="21" t="s">
        <v>2488</v>
      </c>
      <c r="B76" s="20" t="s">
        <v>2489</v>
      </c>
      <c r="C76" s="20" t="s">
        <v>662</v>
      </c>
      <c r="D76" s="20" t="s">
        <v>663</v>
      </c>
      <c r="E76" s="20" t="s">
        <v>2939</v>
      </c>
      <c r="F76" s="20" t="s">
        <v>2490</v>
      </c>
      <c r="G76" s="21" t="s">
        <v>2947</v>
      </c>
      <c r="H76" s="21" t="s">
        <v>41</v>
      </c>
    </row>
    <row r="77" spans="1:8" ht="17.100000000000001" customHeight="1" x14ac:dyDescent="0.25">
      <c r="A77" s="20"/>
      <c r="B77" s="20"/>
      <c r="C77" s="20"/>
      <c r="D77" s="20"/>
      <c r="E77" s="20"/>
      <c r="F77" s="21"/>
      <c r="G77" s="21"/>
      <c r="H77" s="21"/>
    </row>
    <row r="78" spans="1:8" ht="17.100000000000001" customHeight="1" x14ac:dyDescent="0.25">
      <c r="A78" s="20" t="s">
        <v>2492</v>
      </c>
      <c r="B78" s="20" t="s">
        <v>2831</v>
      </c>
      <c r="C78" s="20" t="s">
        <v>662</v>
      </c>
      <c r="D78" s="20" t="s">
        <v>697</v>
      </c>
      <c r="E78" s="20" t="s">
        <v>2939</v>
      </c>
      <c r="F78" s="21" t="s">
        <v>2388</v>
      </c>
      <c r="G78" s="21" t="s">
        <v>2947</v>
      </c>
      <c r="H78" s="21"/>
    </row>
    <row r="79" spans="1:8" ht="17.100000000000001" customHeight="1" x14ac:dyDescent="0.25">
      <c r="A79" s="20" t="s">
        <v>2520</v>
      </c>
      <c r="B79" s="20" t="s">
        <v>2831</v>
      </c>
      <c r="C79" s="20" t="s">
        <v>662</v>
      </c>
      <c r="D79" s="20" t="s">
        <v>697</v>
      </c>
      <c r="E79" s="20" t="s">
        <v>2939</v>
      </c>
      <c r="F79" s="21" t="s">
        <v>2388</v>
      </c>
      <c r="G79" s="21" t="s">
        <v>2947</v>
      </c>
      <c r="H79" s="21"/>
    </row>
    <row r="80" spans="1:8" ht="17.100000000000001" customHeight="1" x14ac:dyDescent="0.25">
      <c r="A80" s="20" t="s">
        <v>2496</v>
      </c>
      <c r="B80" s="20" t="s">
        <v>2497</v>
      </c>
      <c r="C80" s="20" t="s">
        <v>662</v>
      </c>
      <c r="D80" s="20" t="s">
        <v>697</v>
      </c>
      <c r="E80" s="20" t="s">
        <v>2918</v>
      </c>
      <c r="F80" s="21" t="s">
        <v>2498</v>
      </c>
      <c r="G80" s="21" t="s">
        <v>2947</v>
      </c>
      <c r="H80" s="21"/>
    </row>
    <row r="81" spans="1:8" ht="17.100000000000001" customHeight="1" x14ac:dyDescent="0.25">
      <c r="A81" s="20" t="s">
        <v>2519</v>
      </c>
      <c r="B81" s="20" t="s">
        <v>270</v>
      </c>
      <c r="C81" s="20" t="s">
        <v>662</v>
      </c>
      <c r="D81" s="20" t="s">
        <v>697</v>
      </c>
      <c r="E81" s="20" t="s">
        <v>2939</v>
      </c>
      <c r="F81" s="21" t="s">
        <v>2066</v>
      </c>
      <c r="G81" s="21" t="s">
        <v>2947</v>
      </c>
      <c r="H81" s="21"/>
    </row>
    <row r="82" spans="1:8" ht="17.100000000000001" customHeight="1" x14ac:dyDescent="0.25">
      <c r="A82" s="21" t="s">
        <v>2510</v>
      </c>
      <c r="B82" s="20" t="s">
        <v>2511</v>
      </c>
      <c r="C82" s="20" t="s">
        <v>662</v>
      </c>
      <c r="D82" s="20" t="s">
        <v>697</v>
      </c>
      <c r="E82" s="20" t="s">
        <v>2939</v>
      </c>
      <c r="F82" s="20" t="s">
        <v>2512</v>
      </c>
      <c r="G82" s="21" t="s">
        <v>2947</v>
      </c>
      <c r="H82" s="21"/>
    </row>
    <row r="83" spans="1:8" ht="17.100000000000001" customHeight="1" x14ac:dyDescent="0.25">
      <c r="A83" s="21"/>
      <c r="B83" s="20"/>
      <c r="C83" s="20"/>
      <c r="D83" s="20"/>
      <c r="E83" s="20"/>
      <c r="F83" s="20"/>
      <c r="G83" s="21"/>
      <c r="H83" s="21"/>
    </row>
    <row r="84" spans="1:8" ht="17.100000000000001" customHeight="1" x14ac:dyDescent="0.25">
      <c r="A84" s="20" t="s">
        <v>2494</v>
      </c>
      <c r="B84" s="20" t="s">
        <v>2831</v>
      </c>
      <c r="C84" s="20" t="s">
        <v>662</v>
      </c>
      <c r="D84" s="20" t="s">
        <v>673</v>
      </c>
      <c r="E84" s="20" t="s">
        <v>2939</v>
      </c>
      <c r="F84" s="21" t="s">
        <v>2388</v>
      </c>
      <c r="G84" s="21" t="s">
        <v>2947</v>
      </c>
      <c r="H84" s="21"/>
    </row>
    <row r="85" spans="1:8" ht="17.100000000000001" customHeight="1" x14ac:dyDescent="0.25">
      <c r="A85" s="20"/>
      <c r="B85" s="20"/>
      <c r="C85" s="20"/>
      <c r="D85" s="20"/>
      <c r="E85" s="20"/>
      <c r="F85" s="21"/>
      <c r="G85" s="21"/>
      <c r="H85" s="21"/>
    </row>
    <row r="86" spans="1:8" ht="17.100000000000001" customHeight="1" x14ac:dyDescent="0.25">
      <c r="A86" s="20" t="s">
        <v>2480</v>
      </c>
      <c r="B86" s="20" t="s">
        <v>2398</v>
      </c>
      <c r="C86" s="20" t="s">
        <v>2476</v>
      </c>
      <c r="D86" s="20" t="s">
        <v>2959</v>
      </c>
      <c r="E86" s="20" t="s">
        <v>2919</v>
      </c>
      <c r="F86" s="21" t="s">
        <v>2400</v>
      </c>
      <c r="G86" s="21" t="s">
        <v>2947</v>
      </c>
      <c r="H86" s="21"/>
    </row>
    <row r="87" spans="1:8" ht="17.100000000000001" customHeight="1" x14ac:dyDescent="0.25">
      <c r="A87" s="20" t="s">
        <v>2482</v>
      </c>
      <c r="B87" s="20" t="s">
        <v>2406</v>
      </c>
      <c r="C87" s="20" t="s">
        <v>2476</v>
      </c>
      <c r="D87" s="20" t="s">
        <v>2959</v>
      </c>
      <c r="E87" s="20" t="s">
        <v>2919</v>
      </c>
      <c r="F87" s="21" t="s">
        <v>2405</v>
      </c>
      <c r="G87" s="21" t="s">
        <v>2947</v>
      </c>
      <c r="H87" s="21"/>
    </row>
    <row r="88" spans="1:8" ht="17.100000000000001" customHeight="1" x14ac:dyDescent="0.25">
      <c r="A88" s="20" t="s">
        <v>2483</v>
      </c>
      <c r="B88" s="20" t="s">
        <v>2409</v>
      </c>
      <c r="C88" s="20" t="s">
        <v>2476</v>
      </c>
      <c r="D88" s="20" t="s">
        <v>2959</v>
      </c>
      <c r="E88" s="20" t="s">
        <v>2919</v>
      </c>
      <c r="F88" s="21" t="s">
        <v>2408</v>
      </c>
      <c r="G88" s="21" t="s">
        <v>2947</v>
      </c>
      <c r="H88" s="21"/>
    </row>
    <row r="89" spans="1:8" ht="17.100000000000001" customHeight="1" x14ac:dyDescent="0.25">
      <c r="A89" s="20" t="s">
        <v>2475</v>
      </c>
      <c r="B89" s="20" t="s">
        <v>2412</v>
      </c>
      <c r="C89" s="20" t="s">
        <v>2476</v>
      </c>
      <c r="D89" s="20" t="s">
        <v>2959</v>
      </c>
      <c r="E89" s="20" t="s">
        <v>2919</v>
      </c>
      <c r="F89" s="21" t="s">
        <v>2411</v>
      </c>
      <c r="G89" s="21" t="s">
        <v>2947</v>
      </c>
      <c r="H89" s="21"/>
    </row>
    <row r="90" spans="1:8" ht="17.100000000000001" customHeight="1" x14ac:dyDescent="0.25">
      <c r="A90" s="20" t="s">
        <v>2478</v>
      </c>
      <c r="B90" s="20" t="s">
        <v>2415</v>
      </c>
      <c r="C90" s="20" t="s">
        <v>2476</v>
      </c>
      <c r="D90" s="20" t="s">
        <v>2959</v>
      </c>
      <c r="E90" s="20" t="s">
        <v>2919</v>
      </c>
      <c r="F90" s="21" t="s">
        <v>2414</v>
      </c>
      <c r="G90" s="21" t="s">
        <v>2947</v>
      </c>
      <c r="H90" s="21"/>
    </row>
    <row r="91" spans="1:8" ht="17.100000000000001" customHeight="1" x14ac:dyDescent="0.25">
      <c r="A91" s="20" t="s">
        <v>2479</v>
      </c>
      <c r="B91" s="20" t="s">
        <v>2402</v>
      </c>
      <c r="C91" s="20" t="s">
        <v>2476</v>
      </c>
      <c r="D91" s="20" t="s">
        <v>2959</v>
      </c>
      <c r="E91" s="20" t="s">
        <v>2919</v>
      </c>
      <c r="F91" s="21" t="s">
        <v>2401</v>
      </c>
      <c r="G91" s="21" t="s">
        <v>2947</v>
      </c>
      <c r="H91" s="21"/>
    </row>
    <row r="92" spans="1:8" ht="17.100000000000001" customHeight="1" x14ac:dyDescent="0.25">
      <c r="A92" s="20"/>
      <c r="B92" s="20"/>
      <c r="C92" s="20"/>
      <c r="D92" s="20"/>
      <c r="E92" s="20"/>
      <c r="F92" s="21"/>
      <c r="G92" s="21"/>
      <c r="H92" s="21"/>
    </row>
    <row r="93" spans="1:8" ht="17.100000000000001" customHeight="1" x14ac:dyDescent="0.25">
      <c r="A93" s="20" t="s">
        <v>2487</v>
      </c>
      <c r="B93" s="20" t="s">
        <v>2948</v>
      </c>
      <c r="C93" s="20" t="s">
        <v>2485</v>
      </c>
      <c r="D93" s="20" t="s">
        <v>2960</v>
      </c>
      <c r="E93" s="20" t="s">
        <v>2919</v>
      </c>
      <c r="F93" s="21" t="s">
        <v>2394</v>
      </c>
      <c r="G93" s="21" t="s">
        <v>2947</v>
      </c>
      <c r="H93" s="21"/>
    </row>
    <row r="94" spans="1:8" ht="17.100000000000001" customHeight="1" x14ac:dyDescent="0.25">
      <c r="A94" s="20" t="s">
        <v>2518</v>
      </c>
      <c r="B94" s="20" t="s">
        <v>2948</v>
      </c>
      <c r="C94" s="20" t="s">
        <v>2485</v>
      </c>
      <c r="D94" s="20" t="s">
        <v>2960</v>
      </c>
      <c r="E94" s="20" t="s">
        <v>2919</v>
      </c>
      <c r="F94" s="21" t="s">
        <v>2396</v>
      </c>
      <c r="G94" s="21" t="s">
        <v>2947</v>
      </c>
      <c r="H94" s="21"/>
    </row>
    <row r="95" spans="1:8" ht="17.100000000000001" customHeight="1" x14ac:dyDescent="0.25">
      <c r="A95" s="20" t="s">
        <v>2484</v>
      </c>
      <c r="B95" s="20" t="s">
        <v>2949</v>
      </c>
      <c r="C95" s="20" t="s">
        <v>2485</v>
      </c>
      <c r="D95" s="20" t="s">
        <v>2960</v>
      </c>
      <c r="E95" s="20" t="s">
        <v>2919</v>
      </c>
      <c r="F95" s="21" t="s">
        <v>2390</v>
      </c>
      <c r="G95" s="21" t="s">
        <v>2947</v>
      </c>
      <c r="H95" s="21"/>
    </row>
    <row r="96" spans="1:8" ht="17.100000000000001" customHeight="1" x14ac:dyDescent="0.25">
      <c r="A96" s="20" t="s">
        <v>2495</v>
      </c>
      <c r="B96" s="20" t="s">
        <v>2949</v>
      </c>
      <c r="C96" s="20" t="s">
        <v>2485</v>
      </c>
      <c r="D96" s="20" t="s">
        <v>2960</v>
      </c>
      <c r="E96" s="20" t="s">
        <v>2919</v>
      </c>
      <c r="F96" s="21" t="s">
        <v>2393</v>
      </c>
      <c r="G96" s="21" t="s">
        <v>2947</v>
      </c>
      <c r="H96" s="21"/>
    </row>
    <row r="97" spans="1:8" ht="17.100000000000001" customHeight="1" x14ac:dyDescent="0.25">
      <c r="A97" s="20" t="s">
        <v>2499</v>
      </c>
      <c r="B97" s="20" t="s">
        <v>2500</v>
      </c>
      <c r="C97" s="20" t="s">
        <v>2485</v>
      </c>
      <c r="D97" s="20" t="s">
        <v>2960</v>
      </c>
      <c r="E97" s="20" t="s">
        <v>2919</v>
      </c>
      <c r="F97" s="21" t="s">
        <v>2502</v>
      </c>
      <c r="G97" s="21" t="s">
        <v>2947</v>
      </c>
      <c r="H97" s="21"/>
    </row>
    <row r="98" spans="1:8" ht="17.100000000000001" customHeight="1" x14ac:dyDescent="0.25">
      <c r="A98" s="20" t="s">
        <v>2503</v>
      </c>
      <c r="B98" s="20" t="s">
        <v>2504</v>
      </c>
      <c r="C98" s="20" t="s">
        <v>2485</v>
      </c>
      <c r="D98" s="20" t="s">
        <v>2960</v>
      </c>
      <c r="E98" s="20" t="s">
        <v>2919</v>
      </c>
      <c r="F98" s="21" t="s">
        <v>2433</v>
      </c>
      <c r="G98" s="21" t="s">
        <v>2947</v>
      </c>
      <c r="H98" s="21"/>
    </row>
    <row r="99" spans="1:8" ht="17.100000000000001" customHeight="1" x14ac:dyDescent="0.25">
      <c r="A99" s="20" t="s">
        <v>2505</v>
      </c>
      <c r="B99" s="20" t="s">
        <v>2506</v>
      </c>
      <c r="C99" s="20" t="s">
        <v>2485</v>
      </c>
      <c r="D99" s="20" t="s">
        <v>2960</v>
      </c>
      <c r="E99" s="20" t="s">
        <v>2919</v>
      </c>
      <c r="F99" s="21" t="s">
        <v>2507</v>
      </c>
      <c r="G99" s="21" t="s">
        <v>2947</v>
      </c>
      <c r="H99" s="21"/>
    </row>
    <row r="100" spans="1:8" ht="17.100000000000001" customHeight="1" x14ac:dyDescent="0.25">
      <c r="A100" s="20" t="s">
        <v>2508</v>
      </c>
      <c r="B100" s="20" t="s">
        <v>2509</v>
      </c>
      <c r="C100" s="20" t="s">
        <v>2485</v>
      </c>
      <c r="D100" s="20" t="s">
        <v>2960</v>
      </c>
      <c r="E100" s="20" t="s">
        <v>2919</v>
      </c>
      <c r="F100" s="21" t="s">
        <v>2431</v>
      </c>
      <c r="G100" s="21" t="s">
        <v>2947</v>
      </c>
      <c r="H100" s="21"/>
    </row>
    <row r="101" spans="1:8" ht="17.100000000000001" customHeight="1" x14ac:dyDescent="0.25">
      <c r="A101" s="20" t="s">
        <v>2513</v>
      </c>
      <c r="B101" s="20" t="s">
        <v>2514</v>
      </c>
      <c r="C101" s="20" t="s">
        <v>2485</v>
      </c>
      <c r="D101" s="20" t="s">
        <v>2960</v>
      </c>
      <c r="E101" s="20" t="s">
        <v>2919</v>
      </c>
      <c r="F101" s="21" t="s">
        <v>2515</v>
      </c>
      <c r="G101" s="21" t="s">
        <v>2947</v>
      </c>
      <c r="H101" s="21"/>
    </row>
    <row r="102" spans="1:8" ht="17.100000000000001" customHeight="1" x14ac:dyDescent="0.25">
      <c r="A102" s="20" t="s">
        <v>2516</v>
      </c>
      <c r="B102" s="20" t="s">
        <v>2517</v>
      </c>
      <c r="C102" s="20" t="s">
        <v>2485</v>
      </c>
      <c r="D102" s="20" t="s">
        <v>2960</v>
      </c>
      <c r="E102" s="20" t="s">
        <v>2919</v>
      </c>
      <c r="F102" s="21" t="s">
        <v>2428</v>
      </c>
      <c r="G102" s="21" t="s">
        <v>2947</v>
      </c>
      <c r="H102" s="21"/>
    </row>
  </sheetData>
  <autoFilter ref="H1:H102" xr:uid="{2C96064E-FC20-4866-B5AF-BAB016CC1C54}"/>
  <sortState xmlns:xlrd2="http://schemas.microsoft.com/office/spreadsheetml/2017/richdata2" ref="A93:H103">
    <sortCondition ref="B93:B103"/>
  </sortState>
  <mergeCells count="11">
    <mergeCell ref="B8:D8"/>
    <mergeCell ref="B9:D9"/>
    <mergeCell ref="B10:D10"/>
    <mergeCell ref="A12:F12"/>
    <mergeCell ref="G12:H12"/>
    <mergeCell ref="B7:D7"/>
    <mergeCell ref="A1:D1"/>
    <mergeCell ref="A2:D2"/>
    <mergeCell ref="B3:D3"/>
    <mergeCell ref="B4:D4"/>
    <mergeCell ref="B5:D5"/>
  </mergeCells>
  <pageMargins left="0.7" right="0.7" top="0.75" bottom="0.75" header="0.3" footer="0.3"/>
  <pageSetup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1952A2-C141-4DE5-BD74-1D7379743FF1}">
  <sheetPr>
    <tabColor rgb="FF00B0F0"/>
  </sheetPr>
  <dimension ref="A1:H20"/>
  <sheetViews>
    <sheetView showGridLines="0" workbookViewId="0">
      <selection activeCell="K15" sqref="K15"/>
    </sheetView>
  </sheetViews>
  <sheetFormatPr defaultRowHeight="17.100000000000001" customHeight="1" x14ac:dyDescent="0.25"/>
  <cols>
    <col min="1" max="1" width="12.7109375" style="16" bestFit="1" customWidth="1"/>
    <col min="2" max="2" width="7.85546875" style="16" bestFit="1" customWidth="1"/>
    <col min="3" max="3" width="6.85546875" style="16" bestFit="1" customWidth="1"/>
    <col min="4" max="4" width="10" style="16" bestFit="1" customWidth="1"/>
    <col min="5" max="5" width="6.5703125" style="16" bestFit="1" customWidth="1"/>
    <col min="6" max="6" width="10" style="16" bestFit="1" customWidth="1"/>
    <col min="7" max="7" width="18.140625" bestFit="1" customWidth="1"/>
    <col min="8" max="8" width="9.5703125" bestFit="1" customWidth="1"/>
  </cols>
  <sheetData>
    <row r="1" spans="1:8" ht="18" customHeight="1" x14ac:dyDescent="0.25">
      <c r="A1" s="49" t="s">
        <v>279</v>
      </c>
      <c r="B1" s="49"/>
      <c r="C1" s="49"/>
      <c r="D1" s="49"/>
    </row>
    <row r="2" spans="1:8" ht="12" customHeight="1" x14ac:dyDescent="0.25">
      <c r="A2" s="50"/>
      <c r="B2" s="50"/>
      <c r="C2" s="50"/>
      <c r="D2" s="50"/>
    </row>
    <row r="3" spans="1:8" ht="12.75" customHeight="1" x14ac:dyDescent="0.25">
      <c r="A3" s="3" t="s">
        <v>2</v>
      </c>
      <c r="B3" s="39" t="s">
        <v>3</v>
      </c>
      <c r="C3" s="39"/>
      <c r="D3" s="39"/>
    </row>
    <row r="4" spans="1:8" ht="15" customHeight="1" x14ac:dyDescent="0.25">
      <c r="A4" s="3" t="s">
        <v>5</v>
      </c>
      <c r="B4" s="39" t="s">
        <v>6</v>
      </c>
      <c r="C4" s="39"/>
      <c r="D4" s="39"/>
    </row>
    <row r="5" spans="1:8" ht="12.75" customHeight="1" x14ac:dyDescent="0.25">
      <c r="A5" s="3" t="s">
        <v>7</v>
      </c>
      <c r="B5" s="39" t="s">
        <v>8</v>
      </c>
      <c r="C5" s="39"/>
      <c r="D5" s="39"/>
    </row>
    <row r="6" spans="1:8" ht="5.25" customHeight="1" x14ac:dyDescent="0.25"/>
    <row r="7" spans="1:8" ht="15" customHeight="1" x14ac:dyDescent="0.25">
      <c r="A7" s="3" t="s">
        <v>9</v>
      </c>
      <c r="B7" s="39" t="s">
        <v>10</v>
      </c>
      <c r="C7" s="39"/>
      <c r="D7" s="39"/>
    </row>
    <row r="8" spans="1:8" ht="12.75" customHeight="1" x14ac:dyDescent="0.25">
      <c r="A8" s="3" t="s">
        <v>11</v>
      </c>
      <c r="B8" s="39" t="s">
        <v>12</v>
      </c>
      <c r="C8" s="39"/>
      <c r="D8" s="39"/>
    </row>
    <row r="9" spans="1:8" ht="15" customHeight="1" x14ac:dyDescent="0.25">
      <c r="A9" s="3" t="s">
        <v>13</v>
      </c>
      <c r="B9" s="39"/>
      <c r="C9" s="39"/>
      <c r="D9" s="39"/>
    </row>
    <row r="10" spans="1:8" ht="12.75" customHeight="1" x14ac:dyDescent="0.25">
      <c r="A10" s="3" t="s">
        <v>11</v>
      </c>
      <c r="B10" s="39"/>
      <c r="C10" s="39"/>
      <c r="D10" s="39"/>
    </row>
    <row r="11" spans="1:8" ht="10.5" customHeight="1" x14ac:dyDescent="0.25"/>
    <row r="12" spans="1:8" ht="16.5" customHeight="1" x14ac:dyDescent="0.25">
      <c r="A12" s="44" t="s">
        <v>630</v>
      </c>
      <c r="B12" s="44"/>
      <c r="C12" s="44"/>
      <c r="D12" s="44"/>
      <c r="E12" s="44"/>
      <c r="F12" s="44"/>
      <c r="G12" s="51" t="s">
        <v>631</v>
      </c>
      <c r="H12" s="52"/>
    </row>
    <row r="13" spans="1:8" ht="36" customHeight="1" x14ac:dyDescent="0.25">
      <c r="A13" s="17" t="s">
        <v>14</v>
      </c>
      <c r="B13" s="18" t="s">
        <v>634</v>
      </c>
      <c r="C13" s="18" t="s">
        <v>633</v>
      </c>
      <c r="D13" s="18" t="s">
        <v>635</v>
      </c>
      <c r="E13" s="18" t="s">
        <v>2828</v>
      </c>
      <c r="F13" s="19" t="s">
        <v>14</v>
      </c>
      <c r="G13" s="19" t="s">
        <v>17</v>
      </c>
      <c r="H13" s="19" t="s">
        <v>2829</v>
      </c>
    </row>
    <row r="14" spans="1:8" ht="17.100000000000001" customHeight="1" x14ac:dyDescent="0.25">
      <c r="A14" s="20" t="s">
        <v>1929</v>
      </c>
      <c r="B14" s="20" t="s">
        <v>2831</v>
      </c>
      <c r="C14" s="20" t="s">
        <v>662</v>
      </c>
      <c r="D14" s="20" t="s">
        <v>697</v>
      </c>
      <c r="E14" s="20" t="s">
        <v>2918</v>
      </c>
      <c r="F14" s="21" t="s">
        <v>1931</v>
      </c>
      <c r="G14" s="21" t="s">
        <v>279</v>
      </c>
      <c r="H14" s="21" t="s">
        <v>2950</v>
      </c>
    </row>
    <row r="15" spans="1:8" ht="17.100000000000001" customHeight="1" x14ac:dyDescent="0.25">
      <c r="A15" s="20" t="s">
        <v>1935</v>
      </c>
      <c r="B15" s="20" t="s">
        <v>2831</v>
      </c>
      <c r="C15" s="20" t="s">
        <v>662</v>
      </c>
      <c r="D15" s="20" t="s">
        <v>697</v>
      </c>
      <c r="E15" s="20" t="s">
        <v>2918</v>
      </c>
      <c r="F15" s="21" t="s">
        <v>1937</v>
      </c>
      <c r="G15" s="21" t="s">
        <v>279</v>
      </c>
      <c r="H15" s="21"/>
    </row>
    <row r="16" spans="1:8" ht="17.100000000000001" customHeight="1" x14ac:dyDescent="0.25">
      <c r="A16" s="20" t="s">
        <v>1933</v>
      </c>
      <c r="B16" s="20" t="s">
        <v>281</v>
      </c>
      <c r="C16" s="20" t="s">
        <v>662</v>
      </c>
      <c r="D16" s="20" t="s">
        <v>697</v>
      </c>
      <c r="E16" s="20" t="s">
        <v>2918</v>
      </c>
      <c r="F16" s="21" t="s">
        <v>1934</v>
      </c>
      <c r="G16" s="21" t="s">
        <v>279</v>
      </c>
      <c r="H16" s="21"/>
    </row>
    <row r="17" spans="1:8" ht="17.100000000000001" customHeight="1" x14ac:dyDescent="0.25">
      <c r="A17" s="20" t="s">
        <v>1939</v>
      </c>
      <c r="B17" s="20" t="s">
        <v>284</v>
      </c>
      <c r="C17" s="20" t="s">
        <v>662</v>
      </c>
      <c r="D17" s="20" t="s">
        <v>697</v>
      </c>
      <c r="E17" s="20" t="s">
        <v>2918</v>
      </c>
      <c r="F17" s="21" t="s">
        <v>1940</v>
      </c>
      <c r="G17" s="21" t="s">
        <v>279</v>
      </c>
      <c r="H17" s="21"/>
    </row>
    <row r="18" spans="1:8" ht="17.100000000000001" customHeight="1" x14ac:dyDescent="0.25">
      <c r="A18" s="20"/>
      <c r="B18" s="20"/>
      <c r="C18" s="20"/>
      <c r="D18" s="20"/>
      <c r="E18" s="20"/>
      <c r="F18" s="21"/>
      <c r="G18" s="21"/>
      <c r="H18" s="21"/>
    </row>
    <row r="19" spans="1:8" ht="17.100000000000001" customHeight="1" x14ac:dyDescent="0.25">
      <c r="A19" s="20" t="s">
        <v>1941</v>
      </c>
      <c r="B19" s="20" t="s">
        <v>508</v>
      </c>
      <c r="C19" s="20" t="s">
        <v>662</v>
      </c>
      <c r="D19" s="20" t="s">
        <v>697</v>
      </c>
      <c r="E19" s="20" t="s">
        <v>2918</v>
      </c>
      <c r="F19" s="21" t="s">
        <v>1942</v>
      </c>
      <c r="G19" s="21" t="s">
        <v>279</v>
      </c>
      <c r="H19" s="21"/>
    </row>
    <row r="20" spans="1:8" ht="17.100000000000001" customHeight="1" x14ac:dyDescent="0.25">
      <c r="A20" s="20" t="s">
        <v>1943</v>
      </c>
      <c r="B20" s="20" t="s">
        <v>508</v>
      </c>
      <c r="C20" s="20" t="s">
        <v>662</v>
      </c>
      <c r="D20" s="20" t="s">
        <v>697</v>
      </c>
      <c r="E20" s="20" t="s">
        <v>2918</v>
      </c>
      <c r="F20" s="21" t="s">
        <v>1944</v>
      </c>
      <c r="G20" s="21" t="s">
        <v>279</v>
      </c>
      <c r="H20" s="21"/>
    </row>
  </sheetData>
  <sortState xmlns:xlrd2="http://schemas.microsoft.com/office/spreadsheetml/2017/richdata2" ref="A14:H17">
    <sortCondition ref="B14:B17"/>
    <sortCondition ref="F14:F17"/>
  </sortState>
  <mergeCells count="11">
    <mergeCell ref="B8:D8"/>
    <mergeCell ref="B9:D9"/>
    <mergeCell ref="B10:D10"/>
    <mergeCell ref="A12:F12"/>
    <mergeCell ref="G12:H12"/>
    <mergeCell ref="B7:D7"/>
    <mergeCell ref="A1:D1"/>
    <mergeCell ref="A2:D2"/>
    <mergeCell ref="B3:D3"/>
    <mergeCell ref="B4:D4"/>
    <mergeCell ref="B5:D5"/>
  </mergeCells>
  <pageMargins left="0.7" right="0.7" top="0.75" bottom="0.75" header="0.3" footer="0.3"/>
  <pageSetup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4B544B-E300-49E2-B0FE-3F73C0C31A2A}">
  <dimension ref="A1:AD50"/>
  <sheetViews>
    <sheetView tabSelected="1" workbookViewId="0">
      <selection sqref="A1:B1"/>
    </sheetView>
  </sheetViews>
  <sheetFormatPr defaultRowHeight="15" x14ac:dyDescent="0.25"/>
  <cols>
    <col min="1" max="30" width="13.28515625" customWidth="1"/>
  </cols>
  <sheetData>
    <row r="1" spans="1:30" x14ac:dyDescent="0.25">
      <c r="A1" s="53" t="s">
        <v>2961</v>
      </c>
      <c r="B1" s="53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  <c r="AA1" s="22"/>
      <c r="AB1" s="22"/>
      <c r="AC1" s="22"/>
      <c r="AD1" s="22"/>
    </row>
    <row r="2" spans="1:30" x14ac:dyDescent="0.25">
      <c r="A2" s="22" t="s">
        <v>3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  <c r="AA2" s="22"/>
      <c r="AB2" s="22"/>
      <c r="AC2" s="22"/>
      <c r="AD2" s="22"/>
    </row>
    <row r="3" spans="1:30" x14ac:dyDescent="0.25">
      <c r="A3" s="22" t="s">
        <v>2951</v>
      </c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</row>
    <row r="4" spans="1:30" x14ac:dyDescent="0.25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</row>
    <row r="5" spans="1:30" x14ac:dyDescent="0.25">
      <c r="A5" s="22"/>
      <c r="B5" s="22"/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</row>
    <row r="6" spans="1:30" x14ac:dyDescent="0.25">
      <c r="A6" s="23" t="s">
        <v>157</v>
      </c>
      <c r="B6" s="23" t="s">
        <v>2952</v>
      </c>
      <c r="C6" s="23" t="s">
        <v>2953</v>
      </c>
      <c r="D6" s="23" t="s">
        <v>8</v>
      </c>
      <c r="E6" s="23" t="s">
        <v>2954</v>
      </c>
      <c r="F6" s="23" t="s">
        <v>2955</v>
      </c>
      <c r="G6" s="23" t="s">
        <v>2956</v>
      </c>
      <c r="H6" s="23" t="s">
        <v>2957</v>
      </c>
      <c r="I6" s="23" t="s">
        <v>2958</v>
      </c>
      <c r="J6" s="23" t="s">
        <v>2895</v>
      </c>
      <c r="K6" s="23" t="s">
        <v>2895</v>
      </c>
      <c r="L6" s="23" t="s">
        <v>2895</v>
      </c>
      <c r="M6" s="23" t="s">
        <v>2895</v>
      </c>
      <c r="N6" s="23" t="s">
        <v>2895</v>
      </c>
      <c r="O6" s="23" t="s">
        <v>2895</v>
      </c>
      <c r="P6" s="23" t="s">
        <v>2895</v>
      </c>
      <c r="Q6" s="23" t="s">
        <v>2895</v>
      </c>
      <c r="R6" s="23" t="s">
        <v>2895</v>
      </c>
      <c r="S6" s="23" t="s">
        <v>2895</v>
      </c>
      <c r="T6" s="23" t="s">
        <v>2895</v>
      </c>
      <c r="U6" s="23" t="s">
        <v>2895</v>
      </c>
      <c r="V6" s="23" t="s">
        <v>2895</v>
      </c>
      <c r="W6" s="23" t="s">
        <v>2895</v>
      </c>
      <c r="X6" s="23" t="s">
        <v>2895</v>
      </c>
      <c r="Y6" s="23" t="s">
        <v>2895</v>
      </c>
      <c r="Z6" s="23" t="s">
        <v>2895</v>
      </c>
      <c r="AA6" s="23" t="s">
        <v>2895</v>
      </c>
      <c r="AB6" s="23" t="s">
        <v>2895</v>
      </c>
      <c r="AC6" s="23" t="s">
        <v>2895</v>
      </c>
      <c r="AD6" s="23" t="s">
        <v>2895</v>
      </c>
    </row>
    <row r="7" spans="1:30" x14ac:dyDescent="0.25">
      <c r="A7" s="23" t="s">
        <v>158</v>
      </c>
      <c r="B7" s="23" t="s">
        <v>206</v>
      </c>
      <c r="C7" s="23" t="s">
        <v>2914</v>
      </c>
      <c r="D7" s="23" t="s">
        <v>443</v>
      </c>
      <c r="E7" s="23" t="s">
        <v>2925</v>
      </c>
      <c r="F7" s="23" t="s">
        <v>2944</v>
      </c>
      <c r="G7" s="23" t="s">
        <v>2945</v>
      </c>
      <c r="H7" s="23" t="s">
        <v>2926</v>
      </c>
      <c r="I7" s="23" t="s">
        <v>2950</v>
      </c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</row>
    <row r="8" spans="1:30" x14ac:dyDescent="0.25">
      <c r="A8" s="23" t="s">
        <v>154</v>
      </c>
      <c r="B8" s="23" t="s">
        <v>210</v>
      </c>
      <c r="C8" s="23" t="s">
        <v>329</v>
      </c>
      <c r="D8" s="23" t="s">
        <v>2925</v>
      </c>
      <c r="E8" s="23" t="s">
        <v>2932</v>
      </c>
      <c r="F8" s="23" t="s">
        <v>2945</v>
      </c>
      <c r="G8" s="23"/>
      <c r="H8" s="23" t="s">
        <v>2930</v>
      </c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  <c r="AC8" s="23"/>
      <c r="AD8" s="23"/>
    </row>
    <row r="9" spans="1:30" x14ac:dyDescent="0.25">
      <c r="A9" s="23" t="s">
        <v>178</v>
      </c>
      <c r="B9" s="23" t="s">
        <v>211</v>
      </c>
      <c r="C9" s="23" t="s">
        <v>2915</v>
      </c>
      <c r="D9" s="23" t="s">
        <v>2926</v>
      </c>
      <c r="E9" s="23" t="s">
        <v>2933</v>
      </c>
      <c r="F9" s="23" t="s">
        <v>2946</v>
      </c>
      <c r="G9" s="23"/>
      <c r="H9" s="23" t="s">
        <v>2931</v>
      </c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  <c r="AA9" s="23"/>
      <c r="AB9" s="23"/>
      <c r="AC9" s="23"/>
      <c r="AD9" s="23"/>
    </row>
    <row r="10" spans="1:30" x14ac:dyDescent="0.25">
      <c r="A10" s="23" t="s">
        <v>180</v>
      </c>
      <c r="B10" s="23" t="s">
        <v>2904</v>
      </c>
      <c r="C10" s="23" t="s">
        <v>2916</v>
      </c>
      <c r="D10" s="23" t="s">
        <v>2930</v>
      </c>
      <c r="E10" s="23" t="s">
        <v>2930</v>
      </c>
      <c r="F10" s="23"/>
      <c r="G10" s="23"/>
      <c r="H10" s="23" t="s">
        <v>2903</v>
      </c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  <c r="AA10" s="23"/>
      <c r="AB10" s="23"/>
      <c r="AC10" s="23"/>
      <c r="AD10" s="23"/>
    </row>
    <row r="11" spans="1:30" x14ac:dyDescent="0.25">
      <c r="A11" s="23" t="s">
        <v>189</v>
      </c>
      <c r="B11" s="23" t="s">
        <v>2903</v>
      </c>
      <c r="C11" s="23" t="s">
        <v>2917</v>
      </c>
      <c r="D11" s="23" t="s">
        <v>2931</v>
      </c>
      <c r="E11" s="23" t="s">
        <v>2931</v>
      </c>
      <c r="F11" s="23"/>
      <c r="G11" s="23"/>
      <c r="H11" s="23" t="s">
        <v>2905</v>
      </c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</row>
    <row r="12" spans="1:30" x14ac:dyDescent="0.25">
      <c r="A12" s="23" t="s">
        <v>175</v>
      </c>
      <c r="B12" s="23" t="s">
        <v>2905</v>
      </c>
      <c r="C12" s="23"/>
      <c r="D12" s="23" t="s">
        <v>2903</v>
      </c>
      <c r="E12" s="23" t="s">
        <v>2903</v>
      </c>
      <c r="F12" s="23"/>
      <c r="G12" s="23"/>
      <c r="H12" s="23" t="s">
        <v>41</v>
      </c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</row>
    <row r="13" spans="1:30" x14ac:dyDescent="0.25">
      <c r="A13" s="23" t="s">
        <v>186</v>
      </c>
      <c r="B13" s="23" t="s">
        <v>2906</v>
      </c>
      <c r="C13" s="23"/>
      <c r="D13" s="23" t="s">
        <v>2927</v>
      </c>
      <c r="E13" s="23" t="s">
        <v>554</v>
      </c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  <c r="AA13" s="23"/>
      <c r="AB13" s="23"/>
      <c r="AC13" s="23"/>
      <c r="AD13" s="23"/>
    </row>
    <row r="14" spans="1:30" x14ac:dyDescent="0.25">
      <c r="A14" s="23" t="s">
        <v>192</v>
      </c>
      <c r="B14" s="23" t="s">
        <v>2907</v>
      </c>
      <c r="C14" s="23"/>
      <c r="D14" s="23" t="s">
        <v>2928</v>
      </c>
      <c r="E14" s="23" t="s">
        <v>2929</v>
      </c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  <c r="AC14" s="23"/>
      <c r="AD14" s="23"/>
    </row>
    <row r="15" spans="1:30" x14ac:dyDescent="0.25">
      <c r="A15" s="23" t="s">
        <v>194</v>
      </c>
      <c r="B15" s="23" t="s">
        <v>2908</v>
      </c>
      <c r="C15" s="23"/>
      <c r="D15" s="23" t="s">
        <v>2929</v>
      </c>
      <c r="E15" s="23" t="s">
        <v>557</v>
      </c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  <c r="AC15" s="23"/>
      <c r="AD15" s="23"/>
    </row>
    <row r="16" spans="1:30" x14ac:dyDescent="0.25">
      <c r="A16" s="23" t="s">
        <v>196</v>
      </c>
      <c r="B16" s="23" t="s">
        <v>2909</v>
      </c>
      <c r="C16" s="23"/>
      <c r="D16" s="23" t="s">
        <v>2915</v>
      </c>
      <c r="E16" s="23" t="s">
        <v>2914</v>
      </c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23"/>
    </row>
    <row r="17" spans="1:30" x14ac:dyDescent="0.25">
      <c r="A17" s="23" t="s">
        <v>199</v>
      </c>
      <c r="B17" s="23" t="s">
        <v>2910</v>
      </c>
      <c r="C17" s="23"/>
      <c r="D17" s="23" t="s">
        <v>449</v>
      </c>
      <c r="E17" s="23" t="s">
        <v>2915</v>
      </c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</row>
    <row r="18" spans="1:30" x14ac:dyDescent="0.25">
      <c r="A18" s="23" t="s">
        <v>201</v>
      </c>
      <c r="B18" s="23" t="s">
        <v>2911</v>
      </c>
      <c r="C18" s="23"/>
      <c r="D18" s="23" t="s">
        <v>2921</v>
      </c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  <c r="AD18" s="23"/>
    </row>
    <row r="19" spans="1:30" x14ac:dyDescent="0.25">
      <c r="A19" s="23"/>
      <c r="B19" s="23" t="s">
        <v>2896</v>
      </c>
      <c r="C19" s="23"/>
      <c r="D19" s="23" t="s">
        <v>2920</v>
      </c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</row>
    <row r="20" spans="1:30" x14ac:dyDescent="0.25">
      <c r="A20" s="23"/>
      <c r="B20" s="23"/>
      <c r="C20" s="23"/>
      <c r="D20" s="23" t="s">
        <v>2922</v>
      </c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</row>
    <row r="21" spans="1:30" x14ac:dyDescent="0.25">
      <c r="A21" s="23"/>
      <c r="B21" s="23"/>
      <c r="C21" s="23"/>
      <c r="D21" s="23" t="s">
        <v>2923</v>
      </c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</row>
    <row r="22" spans="1:30" x14ac:dyDescent="0.25">
      <c r="A22" s="23"/>
      <c r="B22" s="23"/>
      <c r="C22" s="23"/>
      <c r="D22" s="23" t="s">
        <v>2924</v>
      </c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</row>
    <row r="23" spans="1:30" x14ac:dyDescent="0.25">
      <c r="A23" s="23"/>
      <c r="B23" s="23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</row>
    <row r="24" spans="1:30" x14ac:dyDescent="0.25">
      <c r="A24" s="23"/>
      <c r="B24" s="23"/>
      <c r="C24" s="23"/>
      <c r="D24" s="23"/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/>
      <c r="AB24" s="23"/>
      <c r="AC24" s="23"/>
      <c r="AD24" s="23"/>
    </row>
    <row r="25" spans="1:30" x14ac:dyDescent="0.25">
      <c r="A25" s="23"/>
      <c r="B25" s="23"/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/>
      <c r="AB25" s="23"/>
      <c r="AC25" s="23"/>
      <c r="AD25" s="23"/>
    </row>
    <row r="26" spans="1:30" x14ac:dyDescent="0.25">
      <c r="A26" s="23"/>
      <c r="B26" s="23"/>
      <c r="C26" s="23"/>
      <c r="D26" s="23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  <c r="AB26" s="23"/>
      <c r="AC26" s="23"/>
      <c r="AD26" s="23"/>
    </row>
    <row r="27" spans="1:30" x14ac:dyDescent="0.25">
      <c r="A27" s="23"/>
      <c r="B27" s="23"/>
      <c r="C27" s="23"/>
      <c r="D27" s="23"/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/>
      <c r="AB27" s="23"/>
      <c r="AC27" s="23"/>
      <c r="AD27" s="23"/>
    </row>
    <row r="28" spans="1:30" x14ac:dyDescent="0.25">
      <c r="A28" s="23"/>
      <c r="B28" s="23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</row>
    <row r="29" spans="1:30" x14ac:dyDescent="0.25">
      <c r="A29" s="23"/>
      <c r="B29" s="23"/>
      <c r="C29" s="23"/>
      <c r="D29" s="23"/>
      <c r="E29" s="23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23"/>
    </row>
    <row r="30" spans="1:30" x14ac:dyDescent="0.25">
      <c r="A30" s="23"/>
      <c r="B30" s="23"/>
      <c r="C30" s="23"/>
      <c r="D30" s="23"/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  <c r="AB30" s="23"/>
      <c r="AC30" s="23"/>
      <c r="AD30" s="23"/>
    </row>
    <row r="31" spans="1:30" x14ac:dyDescent="0.25">
      <c r="A31" s="23"/>
      <c r="B31" s="23"/>
      <c r="C31" s="23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/>
      <c r="AB31" s="23"/>
      <c r="AC31" s="23"/>
      <c r="AD31" s="23"/>
    </row>
    <row r="32" spans="1:30" x14ac:dyDescent="0.25">
      <c r="A32" s="23"/>
      <c r="B32" s="23"/>
      <c r="C32" s="23"/>
      <c r="D32" s="23"/>
      <c r="E32" s="23"/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23"/>
      <c r="AB32" s="23"/>
      <c r="AC32" s="23"/>
      <c r="AD32" s="23"/>
    </row>
    <row r="33" spans="1:30" x14ac:dyDescent="0.25">
      <c r="A33" s="23"/>
      <c r="B33" s="23"/>
      <c r="C33" s="23"/>
      <c r="D33" s="23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3"/>
    </row>
    <row r="34" spans="1:30" x14ac:dyDescent="0.25">
      <c r="A34" s="23"/>
      <c r="B34" s="23"/>
      <c r="C34" s="23"/>
      <c r="D34" s="23"/>
      <c r="E34" s="23"/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</row>
    <row r="35" spans="1:30" x14ac:dyDescent="0.25">
      <c r="A35" s="23"/>
      <c r="B35" s="23"/>
      <c r="C35" s="23"/>
      <c r="D35" s="23"/>
      <c r="E35" s="23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  <c r="AB35" s="23"/>
      <c r="AC35" s="23"/>
      <c r="AD35" s="23"/>
    </row>
    <row r="36" spans="1:30" x14ac:dyDescent="0.25">
      <c r="A36" s="23"/>
      <c r="B36" s="23"/>
      <c r="C36" s="23"/>
      <c r="D36" s="23"/>
      <c r="E36" s="23"/>
      <c r="F36" s="23"/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  <c r="AA36" s="23"/>
      <c r="AB36" s="23"/>
      <c r="AC36" s="23"/>
      <c r="AD36" s="23"/>
    </row>
    <row r="37" spans="1:30" x14ac:dyDescent="0.25">
      <c r="A37" s="22"/>
      <c r="B37" s="22"/>
      <c r="C37" s="22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</row>
    <row r="38" spans="1:30" x14ac:dyDescent="0.25">
      <c r="A38" s="22"/>
      <c r="B38" s="22"/>
      <c r="C38" s="22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/>
    </row>
    <row r="39" spans="1:30" x14ac:dyDescent="0.25">
      <c r="A39" s="22"/>
      <c r="B39" s="22"/>
      <c r="C39" s="22"/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</row>
    <row r="40" spans="1:30" x14ac:dyDescent="0.25">
      <c r="A40" s="22"/>
      <c r="B40" s="22"/>
      <c r="C40" s="22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</row>
    <row r="41" spans="1:30" x14ac:dyDescent="0.25">
      <c r="A41" s="22"/>
      <c r="B41" s="22"/>
      <c r="C41" s="22"/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</row>
    <row r="42" spans="1:30" x14ac:dyDescent="0.25">
      <c r="A42" s="22"/>
      <c r="B42" s="22"/>
      <c r="C42" s="22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</row>
    <row r="43" spans="1:30" x14ac:dyDescent="0.25">
      <c r="A43" s="22"/>
      <c r="B43" s="22"/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</row>
    <row r="44" spans="1:30" x14ac:dyDescent="0.25">
      <c r="A44" s="22"/>
      <c r="B44" s="22"/>
      <c r="C44" s="22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2"/>
    </row>
    <row r="45" spans="1:30" x14ac:dyDescent="0.25">
      <c r="A45" s="22"/>
      <c r="B45" s="22"/>
      <c r="C45" s="22"/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  <c r="AB45" s="22"/>
      <c r="AC45" s="22"/>
      <c r="AD45" s="22"/>
    </row>
    <row r="46" spans="1:30" x14ac:dyDescent="0.25">
      <c r="A46" s="22"/>
      <c r="B46" s="22"/>
      <c r="C46" s="22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22"/>
      <c r="AC46" s="22"/>
      <c r="AD46" s="22"/>
    </row>
    <row r="47" spans="1:30" x14ac:dyDescent="0.25">
      <c r="A47" s="22"/>
      <c r="B47" s="22"/>
      <c r="C47" s="22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  <c r="AD47" s="22"/>
    </row>
    <row r="48" spans="1:30" x14ac:dyDescent="0.25">
      <c r="A48" s="22"/>
      <c r="B48" s="22"/>
      <c r="C48" s="22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22"/>
      <c r="AD48" s="22"/>
    </row>
    <row r="49" spans="1:30" x14ac:dyDescent="0.25">
      <c r="A49" s="22"/>
      <c r="B49" s="22"/>
      <c r="C49" s="22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  <c r="AB49" s="22"/>
      <c r="AC49" s="22"/>
      <c r="AD49" s="22"/>
    </row>
    <row r="50" spans="1:30" x14ac:dyDescent="0.25">
      <c r="A50" s="22"/>
      <c r="B50" s="22"/>
      <c r="C50" s="22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  <c r="AB50" s="22"/>
      <c r="AC50" s="22"/>
      <c r="AD50" s="22"/>
    </row>
  </sheetData>
  <mergeCells count="1">
    <mergeCell ref="A1:B1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98C55E-7EFC-4B91-A515-DDFE7BA0B64B}">
  <dimension ref="A1:AD31"/>
  <sheetViews>
    <sheetView workbookViewId="0">
      <selection activeCell="B3" sqref="B3"/>
    </sheetView>
  </sheetViews>
  <sheetFormatPr defaultRowHeight="15" x14ac:dyDescent="0.25"/>
  <cols>
    <col min="1" max="30" width="20.7109375" customWidth="1"/>
  </cols>
  <sheetData>
    <row r="1" spans="1:30" ht="63.95" customHeight="1" x14ac:dyDescent="0.25">
      <c r="A1" s="24" t="str">
        <f>IF('Bundle Tag Info'!A6&lt;&gt;"Panel Name",'Bundle Tag Info'!A6,"")</f>
        <v>JB70</v>
      </c>
      <c r="B1" s="24" t="str">
        <f>IF('Bundle Tag Info'!B6&lt;&gt;"Panel Name",'Bundle Tag Info'!B6,"")</f>
        <v>L/RAIL JB70</v>
      </c>
      <c r="C1" s="24" t="str">
        <f>IF('Bundle Tag Info'!C6&lt;&gt;"Panel Name",'Bundle Tag Info'!C6,"")</f>
        <v>PLC</v>
      </c>
      <c r="D1" s="24" t="str">
        <f>IF('Bundle Tag Info'!D6&lt;&gt;"Panel Name",'Bundle Tag Info'!D6,"")</f>
        <v>A</v>
      </c>
      <c r="E1" s="24" t="str">
        <f>IF('Bundle Tag Info'!E6&lt;&gt;"Panel Name",'Bundle Tag Info'!E6,"")</f>
        <v>B</v>
      </c>
      <c r="F1" s="24" t="str">
        <f>IF('Bundle Tag Info'!F6&lt;&gt;"Panel Name",'Bundle Tag Info'!F6,"")</f>
        <v>L/RAIL JB72</v>
      </c>
      <c r="G1" s="24" t="str">
        <f>IF('Bundle Tag Info'!G6&lt;&gt;"Panel Name",'Bundle Tag Info'!G6,"")</f>
        <v>R/RAIL JB72</v>
      </c>
      <c r="H1" s="24" t="str">
        <f>IF('Bundle Tag Info'!H6&lt;&gt;"Panel Name",'Bundle Tag Info'!H6,"")</f>
        <v>GEN PNL</v>
      </c>
      <c r="I1" s="24" t="str">
        <f>IF('Bundle Tag Info'!I6&lt;&gt;"Panel Name",'Bundle Tag Info'!I6,"")</f>
        <v>MED CONV</v>
      </c>
      <c r="J1" s="24" t="str">
        <f>IF('Bundle Tag Info'!J6&lt;&gt;"Panel Name",'Bundle Tag Info'!J6,"")</f>
        <v/>
      </c>
      <c r="K1" s="24" t="str">
        <f>IF('Bundle Tag Info'!K6&lt;&gt;"Panel Name",'Bundle Tag Info'!K6,"")</f>
        <v/>
      </c>
      <c r="L1" s="24" t="str">
        <f>IF('Bundle Tag Info'!L6&lt;&gt;"Panel Name",'Bundle Tag Info'!L6,"")</f>
        <v/>
      </c>
      <c r="M1" s="24" t="str">
        <f>IF('Bundle Tag Info'!M6&lt;&gt;"Panel Name",'Bundle Tag Info'!M6,"")</f>
        <v/>
      </c>
      <c r="N1" s="24" t="str">
        <f>IF('Bundle Tag Info'!N6&lt;&gt;"Panel Name",'Bundle Tag Info'!N6,"")</f>
        <v/>
      </c>
      <c r="O1" s="24" t="str">
        <f>IF('Bundle Tag Info'!O6&lt;&gt;"Panel Name",'Bundle Tag Info'!O6,"")</f>
        <v/>
      </c>
      <c r="P1" s="24" t="str">
        <f>IF('Bundle Tag Info'!P6&lt;&gt;"Panel Name",'Bundle Tag Info'!P6,"")</f>
        <v/>
      </c>
      <c r="Q1" s="24" t="str">
        <f>IF('Bundle Tag Info'!Q6&lt;&gt;"Panel Name",'Bundle Tag Info'!Q6,"")</f>
        <v/>
      </c>
      <c r="R1" s="24" t="str">
        <f>IF('Bundle Tag Info'!R6&lt;&gt;"Panel Name",'Bundle Tag Info'!R6,"")</f>
        <v/>
      </c>
      <c r="S1" s="24" t="str">
        <f>IF('Bundle Tag Info'!S6&lt;&gt;"Panel Name",'Bundle Tag Info'!S6,"")</f>
        <v/>
      </c>
      <c r="T1" s="24" t="str">
        <f>IF('Bundle Tag Info'!T6&lt;&gt;"Panel Name",'Bundle Tag Info'!T6,"")</f>
        <v/>
      </c>
      <c r="U1" s="24" t="str">
        <f>IF('Bundle Tag Info'!U6&lt;&gt;"Panel Name",'Bundle Tag Info'!U6,"")</f>
        <v/>
      </c>
      <c r="V1" s="24" t="str">
        <f>IF('Bundle Tag Info'!V6&lt;&gt;"Panel Name",'Bundle Tag Info'!V6,"")</f>
        <v/>
      </c>
      <c r="W1" s="24" t="str">
        <f>IF('Bundle Tag Info'!W6&lt;&gt;"Panel Name",'Bundle Tag Info'!W6,"")</f>
        <v/>
      </c>
      <c r="X1" s="24" t="str">
        <f>IF('Bundle Tag Info'!X6&lt;&gt;"Panel Name",'Bundle Tag Info'!X6,"")</f>
        <v/>
      </c>
      <c r="Y1" s="24" t="str">
        <f>IF('Bundle Tag Info'!Y6&lt;&gt;"Panel Name",'Bundle Tag Info'!Y6,"")</f>
        <v/>
      </c>
      <c r="Z1" s="24" t="str">
        <f>IF('Bundle Tag Info'!Z6&lt;&gt;"Panel Name",'Bundle Tag Info'!Z6,"")</f>
        <v/>
      </c>
      <c r="AA1" s="24" t="str">
        <f>IF('Bundle Tag Info'!AA6&lt;&gt;"Panel Name",'Bundle Tag Info'!AA6,"")</f>
        <v/>
      </c>
      <c r="AB1" s="24" t="str">
        <f>IF('Bundle Tag Info'!AB6&lt;&gt;"Panel Name",'Bundle Tag Info'!AB6,"")</f>
        <v/>
      </c>
      <c r="AC1" s="24" t="str">
        <f>IF('Bundle Tag Info'!AC6&lt;&gt;"Panel Name",'Bundle Tag Info'!AC6,"")</f>
        <v/>
      </c>
      <c r="AD1" s="24" t="str">
        <f>IF('Bundle Tag Info'!AD6&lt;&gt;"Panel Name",'Bundle Tag Info'!AD6,"")</f>
        <v/>
      </c>
    </row>
    <row r="2" spans="1:30" ht="63.95" customHeight="1" x14ac:dyDescent="0.25">
      <c r="A2" s="25" t="str">
        <f>IF('Bundle Tag Info'!A$7&lt;&gt;"",CONCATENATE('Bundle Tag Info'!$A$1," ",CHAR(10),'Bundle Tag Info'!$A$2," ",'Bundle Tag Info'!$A$3,CHAR(10),'Bundle Tag Info'!A$6,CHAR(10),'Bundle Tag Info'!A$7),"")</f>
        <v>ERGON-V #2 
4K911 Rev A
JB70
AT1100</v>
      </c>
      <c r="B2" s="25" t="str">
        <f>IF('Bundle Tag Info'!B$7&lt;&gt;"",CONCATENATE('Bundle Tag Info'!$A$1," ",CHAR(10),'Bundle Tag Info'!$A$2," ",'Bundle Tag Info'!$A$3,CHAR(10),'Bundle Tag Info'!B$6,CHAR(10),'Bundle Tag Info'!B$7),"")</f>
        <v>ERGON-V #2 
4K911 Rev A
L/RAIL JB70
AT0175</v>
      </c>
      <c r="C2" s="25" t="str">
        <f>IF('Bundle Tag Info'!C$7&lt;&gt;"",CONCATENATE('Bundle Tag Info'!$A$1," ",CHAR(10),'Bundle Tag Info'!$A$2," ",'Bundle Tag Info'!$A$3,CHAR(10),'Bundle Tag Info'!C$6,CHAR(10),'Bundle Tag Info'!C$7),"")</f>
        <v>ERGON-V #2 
4K911 Rev A
PLC
BA</v>
      </c>
      <c r="D2" s="25" t="str">
        <f>IF('Bundle Tag Info'!D$7&lt;&gt;"",CONCATENATE('Bundle Tag Info'!$A$1," ",CHAR(10),'Bundle Tag Info'!$A$2," ",'Bundle Tag Info'!$A$3,CHAR(10),'Bundle Tag Info'!D$6,CHAR(10),'Bundle Tag Info'!D$7),"")</f>
        <v>ERGON-V #2 
4K911 Rev A
A
PC0470</v>
      </c>
      <c r="E2" s="25" t="str">
        <f>IF('Bundle Tag Info'!E$7&lt;&gt;"",CONCATENATE('Bundle Tag Info'!$A$1," ",CHAR(10),'Bundle Tag Info'!$A$2," ",'Bundle Tag Info'!$A$3,CHAR(10),'Bundle Tag Info'!E$6,CHAR(10),'Bundle Tag Info'!E$7),"")</f>
        <v>ERGON-V #2 
4K911 Rev A
B
AU</v>
      </c>
      <c r="F2" s="25" t="str">
        <f>IF('Bundle Tag Info'!F$7&lt;&gt;"",CONCATENATE('Bundle Tag Info'!$A$1," ",CHAR(10),'Bundle Tag Info'!$A$2," ",'Bundle Tag Info'!$A$3,CHAR(10),'Bundle Tag Info'!F$6,CHAR(10),'Bundle Tag Info'!F$7),"")</f>
        <v>ERGON-V #2 
4K911 Rev A
L/RAIL JB72
AF/FU</v>
      </c>
      <c r="G2" s="25" t="str">
        <f>IF('Bundle Tag Info'!G$7&lt;&gt;"",CONCATENATE('Bundle Tag Info'!$A$1," ",CHAR(10),'Bundle Tag Info'!$A$2," ",'Bundle Tag Info'!$A$3,CHAR(10),'Bundle Tag Info'!G$6,CHAR(10),'Bundle Tag Info'!G$7),"")</f>
        <v>ERGON-V #2 
4K911 Rev A
R/RAIL JB72
AF-GEN</v>
      </c>
      <c r="H2" s="25" t="str">
        <f>IF('Bundle Tag Info'!H$7&lt;&gt;"",CONCATENATE('Bundle Tag Info'!$A$1," ",CHAR(10),'Bundle Tag Info'!$A$2," ",'Bundle Tag Info'!$A$3,CHAR(10),'Bundle Tag Info'!H$6,CHAR(10),'Bundle Tag Info'!H$7),"")</f>
        <v>ERGON-V #2 
4K911 Rev A
GEN PNL
AF</v>
      </c>
      <c r="I2" s="25" t="str">
        <f>IF('Bundle Tag Info'!I$7&lt;&gt;"",CONCATENATE('Bundle Tag Info'!$A$1," ",CHAR(10),'Bundle Tag Info'!$A$2," ",'Bundle Tag Info'!$A$3,CHAR(10),'Bundle Tag Info'!I$6,CHAR(10),'Bundle Tag Info'!I$7),"")</f>
        <v>ERGON-V #2 
4K911 Rev A
MED CONV
BA/FU</v>
      </c>
      <c r="J2" s="25" t="str">
        <f>IF('Bundle Tag Info'!J$7&lt;&gt;"",CONCATENATE('Bundle Tag Info'!$A$1," ",CHAR(10),'Bundle Tag Info'!$A$2," ",'Bundle Tag Info'!$A$3,CHAR(10),'Bundle Tag Info'!J$6,CHAR(10),'Bundle Tag Info'!J$7),"")</f>
        <v/>
      </c>
      <c r="K2" s="25" t="str">
        <f>IF('Bundle Tag Info'!K$7&lt;&gt;"",CONCATENATE('Bundle Tag Info'!$A$1," ",CHAR(10),'Bundle Tag Info'!$A$2," ",'Bundle Tag Info'!$A$3,CHAR(10),'Bundle Tag Info'!K$6,CHAR(10),'Bundle Tag Info'!K$7),"")</f>
        <v/>
      </c>
      <c r="L2" s="25" t="str">
        <f>IF('Bundle Tag Info'!L$7&lt;&gt;"",CONCATENATE('Bundle Tag Info'!$A$1," ",CHAR(10),'Bundle Tag Info'!$A$2," ",'Bundle Tag Info'!$A$3,CHAR(10),'Bundle Tag Info'!L$6,CHAR(10),'Bundle Tag Info'!L$7),"")</f>
        <v/>
      </c>
      <c r="M2" s="25" t="str">
        <f>IF('Bundle Tag Info'!M$7&lt;&gt;"",CONCATENATE('Bundle Tag Info'!$A$1," ",CHAR(10),'Bundle Tag Info'!$A$2," ",'Bundle Tag Info'!$A$3,CHAR(10),'Bundle Tag Info'!M$6,CHAR(10),'Bundle Tag Info'!M$7),"")</f>
        <v/>
      </c>
      <c r="N2" s="25" t="str">
        <f>IF('Bundle Tag Info'!N$7&lt;&gt;"",CONCATENATE('Bundle Tag Info'!$A$1," ",CHAR(10),'Bundle Tag Info'!$A$2," ",'Bundle Tag Info'!$A$3,CHAR(10),'Bundle Tag Info'!N$6,CHAR(10),'Bundle Tag Info'!N$7),"")</f>
        <v/>
      </c>
      <c r="O2" s="25" t="str">
        <f>IF('Bundle Tag Info'!O$7&lt;&gt;"",CONCATENATE('Bundle Tag Info'!$A$1," ",CHAR(10),'Bundle Tag Info'!$A$2," ",'Bundle Tag Info'!$A$3,CHAR(10),'Bundle Tag Info'!O$6,CHAR(10),'Bundle Tag Info'!O$7),"")</f>
        <v/>
      </c>
      <c r="P2" s="25" t="str">
        <f>IF('Bundle Tag Info'!P$7&lt;&gt;"",CONCATENATE('Bundle Tag Info'!$A$1," ",CHAR(10),'Bundle Tag Info'!$A$2," ",'Bundle Tag Info'!$A$3,CHAR(10),'Bundle Tag Info'!P$6,CHAR(10),'Bundle Tag Info'!P$7),"")</f>
        <v/>
      </c>
      <c r="Q2" s="25" t="str">
        <f>IF('Bundle Tag Info'!Q$7&lt;&gt;"",CONCATENATE('Bundle Tag Info'!$A$1," ",CHAR(10),'Bundle Tag Info'!$A$2," ",'Bundle Tag Info'!$A$3,CHAR(10),'Bundle Tag Info'!Q$6,CHAR(10),'Bundle Tag Info'!Q$7),"")</f>
        <v/>
      </c>
      <c r="R2" s="25" t="str">
        <f>IF('Bundle Tag Info'!R$7&lt;&gt;"",CONCATENATE('Bundle Tag Info'!$A$1," ",CHAR(10),'Bundle Tag Info'!$A$2," ",'Bundle Tag Info'!$A$3,CHAR(10),'Bundle Tag Info'!R$6,CHAR(10),'Bundle Tag Info'!R$7),"")</f>
        <v/>
      </c>
      <c r="S2" s="25" t="str">
        <f>IF('Bundle Tag Info'!S$7&lt;&gt;"",CONCATENATE('Bundle Tag Info'!$A$1," ",CHAR(10),'Bundle Tag Info'!$A$2," ",'Bundle Tag Info'!$A$3,CHAR(10),'Bundle Tag Info'!S$6,CHAR(10),'Bundle Tag Info'!S$7),"")</f>
        <v/>
      </c>
      <c r="T2" s="25" t="str">
        <f>IF('Bundle Tag Info'!T$7&lt;&gt;"",CONCATENATE('Bundle Tag Info'!$A$1," ",CHAR(10),'Bundle Tag Info'!$A$2," ",'Bundle Tag Info'!$A$3,CHAR(10),'Bundle Tag Info'!T$6,CHAR(10),'Bundle Tag Info'!T$7),"")</f>
        <v/>
      </c>
      <c r="U2" s="25" t="str">
        <f>IF('Bundle Tag Info'!U$7&lt;&gt;"",CONCATENATE('Bundle Tag Info'!$A$1," ",CHAR(10),'Bundle Tag Info'!$A$2," ",'Bundle Tag Info'!$A$3,CHAR(10),'Bundle Tag Info'!U$6,CHAR(10),'Bundle Tag Info'!U$7),"")</f>
        <v/>
      </c>
      <c r="V2" s="25" t="str">
        <f>IF('Bundle Tag Info'!V$7&lt;&gt;"",CONCATENATE('Bundle Tag Info'!$A$1," ",CHAR(10),'Bundle Tag Info'!$A$2," ",'Bundle Tag Info'!$A$3,CHAR(10),'Bundle Tag Info'!V$6,CHAR(10),'Bundle Tag Info'!V$7),"")</f>
        <v/>
      </c>
      <c r="W2" s="25" t="str">
        <f>IF('Bundle Tag Info'!W$7&lt;&gt;"",CONCATENATE('Bundle Tag Info'!$A$1," ",CHAR(10),'Bundle Tag Info'!$A$2," ",'Bundle Tag Info'!$A$3,CHAR(10),'Bundle Tag Info'!W$6,CHAR(10),'Bundle Tag Info'!W$7),"")</f>
        <v/>
      </c>
      <c r="X2" s="25" t="str">
        <f>IF('Bundle Tag Info'!X$7&lt;&gt;"",CONCATENATE('Bundle Tag Info'!$A$1," ",CHAR(10),'Bundle Tag Info'!$A$2," ",'Bundle Tag Info'!$A$3,CHAR(10),'Bundle Tag Info'!X$6,CHAR(10),'Bundle Tag Info'!X$7),"")</f>
        <v/>
      </c>
      <c r="Y2" s="25" t="str">
        <f>IF('Bundle Tag Info'!Y$7&lt;&gt;"",CONCATENATE('Bundle Tag Info'!$A$1," ",CHAR(10),'Bundle Tag Info'!$A$2," ",'Bundle Tag Info'!$A$3,CHAR(10),'Bundle Tag Info'!Y$6,CHAR(10),'Bundle Tag Info'!Y$7),"")</f>
        <v/>
      </c>
      <c r="Z2" s="25" t="str">
        <f>IF('Bundle Tag Info'!Z$7&lt;&gt;"",CONCATENATE('Bundle Tag Info'!$A$1," ",CHAR(10),'Bundle Tag Info'!$A$2," ",'Bundle Tag Info'!$A$3,CHAR(10),'Bundle Tag Info'!Z$6,CHAR(10),'Bundle Tag Info'!Z$7),"")</f>
        <v/>
      </c>
      <c r="AA2" s="25" t="str">
        <f>IF('Bundle Tag Info'!AA$7&lt;&gt;"",CONCATENATE('Bundle Tag Info'!$A$1," ",CHAR(10),'Bundle Tag Info'!$A$2," ",'Bundle Tag Info'!$A$3,CHAR(10),'Bundle Tag Info'!AA$6,CHAR(10),'Bundle Tag Info'!AA$7),"")</f>
        <v/>
      </c>
      <c r="AB2" s="25" t="str">
        <f>IF('Bundle Tag Info'!AB$7&lt;&gt;"",CONCATENATE('Bundle Tag Info'!$A$1," ",CHAR(10),'Bundle Tag Info'!$A$2," ",'Bundle Tag Info'!$A$3,CHAR(10),'Bundle Tag Info'!AB$6,CHAR(10),'Bundle Tag Info'!AB$7),"")</f>
        <v/>
      </c>
      <c r="AC2" s="25" t="str">
        <f>IF('Bundle Tag Info'!AC$7&lt;&gt;"",CONCATENATE('Bundle Tag Info'!$A$1," ",CHAR(10),'Bundle Tag Info'!$A$2," ",'Bundle Tag Info'!$A$3,CHAR(10),'Bundle Tag Info'!AC$6,CHAR(10),'Bundle Tag Info'!AC$7),"")</f>
        <v/>
      </c>
      <c r="AD2" s="25" t="str">
        <f>IF('Bundle Tag Info'!AD$7&lt;&gt;"",CONCATENATE('Bundle Tag Info'!$A$1," ",CHAR(10),'Bundle Tag Info'!$A$2," ",'Bundle Tag Info'!$A$3,CHAR(10),'Bundle Tag Info'!AD$6,CHAR(10),'Bundle Tag Info'!AD$7),"")</f>
        <v/>
      </c>
    </row>
    <row r="3" spans="1:30" ht="63.95" customHeight="1" x14ac:dyDescent="0.25">
      <c r="A3" s="25" t="str">
        <f>IF('Bundle Tag Info'!A$8&lt;&gt;"",CONCATENATE('Bundle Tag Info'!$A$1," ",CHAR(10),'Bundle Tag Info'!$A$2," ",'Bundle Tag Info'!$A$3,CHAR(10),'Bundle Tag Info'!A$6,CHAR(10),'Bundle Tag Info'!A$8),"")</f>
        <v>ERGON-V #2 
4K911 Rev A
JB70
AT0170</v>
      </c>
      <c r="B3" s="25" t="str">
        <f>IF('Bundle Tag Info'!B$8&lt;&gt;"",CONCATENATE('Bundle Tag Info'!$A$1," ",CHAR(10),'Bundle Tag Info'!$A$2," ",'Bundle Tag Info'!$A$3,CHAR(10),'Bundle Tag Info'!B$6,CHAR(10),'Bundle Tag Info'!B$8),"")</f>
        <v>ERGON-V #2 
4K911 Rev A
L/RAIL JB70
AT0176</v>
      </c>
      <c r="C3" s="25" t="str">
        <f>IF('Bundle Tag Info'!C$8&lt;&gt;"",CONCATENATE('Bundle Tag Info'!$A$1," ",CHAR(10),'Bundle Tag Info'!$A$2," ",'Bundle Tag Info'!$A$3,CHAR(10),'Bundle Tag Info'!C$6,CHAR(10),'Bundle Tag Info'!C$8),"")</f>
        <v>ERGON-V #2 
4K911 Rev A
PLC
AT0680</v>
      </c>
      <c r="D3" s="25" t="str">
        <f>IF('Bundle Tag Info'!D$8&lt;&gt;"",CONCATENATE('Bundle Tag Info'!$A$1," ",CHAR(10),'Bundle Tag Info'!$A$2," ",'Bundle Tag Info'!$A$3,CHAR(10),'Bundle Tag Info'!D$6,CHAR(10),'Bundle Tag Info'!D$8),"")</f>
        <v>ERGON-V #2 
4K911 Rev A
A
AU</v>
      </c>
      <c r="E3" s="25" t="str">
        <f>IF('Bundle Tag Info'!E$8&lt;&gt;"",CONCATENATE('Bundle Tag Info'!$A$1," ",CHAR(10),'Bundle Tag Info'!$A$2," ",'Bundle Tag Info'!$A$3,CHAR(10),'Bundle Tag Info'!E$6,CHAR(10),'Bundle Tag Info'!E$8),"")</f>
        <v>ERGON-V #2 
4K911 Rev A
B
AF0060'S</v>
      </c>
      <c r="F3" s="25" t="str">
        <f>IF('Bundle Tag Info'!F$8&lt;&gt;"",CONCATENATE('Bundle Tag Info'!$A$1," ",CHAR(10),'Bundle Tag Info'!$A$2," ",'Bundle Tag Info'!$A$3,CHAR(10),'Bundle Tag Info'!F$6,CHAR(10),'Bundle Tag Info'!F$8),"")</f>
        <v>ERGON-V #2 
4K911 Rev A
L/RAIL JB72
AF-GEN</v>
      </c>
      <c r="G3" s="25" t="str">
        <f>IF('Bundle Tag Info'!G$8&lt;&gt;"",CONCATENATE('Bundle Tag Info'!$A$1," ",CHAR(10),'Bundle Tag Info'!$A$2," ",'Bundle Tag Info'!$A$3,CHAR(10),'Bundle Tag Info'!G$6,CHAR(10),'Bundle Tag Info'!G$8),"")</f>
        <v/>
      </c>
      <c r="H3" s="25" t="str">
        <f>IF('Bundle Tag Info'!H$8&lt;&gt;"",CONCATENATE('Bundle Tag Info'!$A$1," ",CHAR(10),'Bundle Tag Info'!$A$2," ",'Bundle Tag Info'!$A$3,CHAR(10),'Bundle Tag Info'!H$6,CHAR(10),'Bundle Tag Info'!H$8),"")</f>
        <v xml:space="preserve">ERGON-V #2 
4K911 Rev A
GEN PNL
KA A1 </v>
      </c>
      <c r="I3" s="25" t="str">
        <f>IF('Bundle Tag Info'!I$8&lt;&gt;"",CONCATENATE('Bundle Tag Info'!$A$1," ",CHAR(10),'Bundle Tag Info'!$A$2," ",'Bundle Tag Info'!$A$3,CHAR(10),'Bundle Tag Info'!I$6,CHAR(10),'Bundle Tag Info'!I$8),"")</f>
        <v/>
      </c>
      <c r="J3" s="25" t="str">
        <f>IF('Bundle Tag Info'!J$8&lt;&gt;"",CONCATENATE('Bundle Tag Info'!$A$1," ",CHAR(10),'Bundle Tag Info'!$A$2," ",'Bundle Tag Info'!$A$3,CHAR(10),'Bundle Tag Info'!J$6,CHAR(10),'Bundle Tag Info'!J$8),"")</f>
        <v/>
      </c>
      <c r="K3" s="25" t="str">
        <f>IF('Bundle Tag Info'!K$8&lt;&gt;"",CONCATENATE('Bundle Tag Info'!$A$1," ",CHAR(10),'Bundle Tag Info'!$A$2," ",'Bundle Tag Info'!$A$3,CHAR(10),'Bundle Tag Info'!K$6,CHAR(10),'Bundle Tag Info'!K$8),"")</f>
        <v/>
      </c>
      <c r="L3" s="25" t="str">
        <f>IF('Bundle Tag Info'!L$8&lt;&gt;"",CONCATENATE('Bundle Tag Info'!$A$1," ",CHAR(10),'Bundle Tag Info'!$A$2," ",'Bundle Tag Info'!$A$3,CHAR(10),'Bundle Tag Info'!L$6,CHAR(10),'Bundle Tag Info'!L$8),"")</f>
        <v/>
      </c>
      <c r="M3" s="25" t="str">
        <f>IF('Bundle Tag Info'!M$8&lt;&gt;"",CONCATENATE('Bundle Tag Info'!$A$1," ",CHAR(10),'Bundle Tag Info'!$A$2," ",'Bundle Tag Info'!$A$3,CHAR(10),'Bundle Tag Info'!M$6,CHAR(10),'Bundle Tag Info'!M$8),"")</f>
        <v/>
      </c>
      <c r="N3" s="25" t="str">
        <f>IF('Bundle Tag Info'!N$8&lt;&gt;"",CONCATENATE('Bundle Tag Info'!$A$1," ",CHAR(10),'Bundle Tag Info'!$A$2," ",'Bundle Tag Info'!$A$3,CHAR(10),'Bundle Tag Info'!N$6,CHAR(10),'Bundle Tag Info'!N$8),"")</f>
        <v/>
      </c>
      <c r="O3" s="25" t="str">
        <f>IF('Bundle Tag Info'!O$8&lt;&gt;"",CONCATENATE('Bundle Tag Info'!$A$1," ",CHAR(10),'Bundle Tag Info'!$A$2," ",'Bundle Tag Info'!$A$3,CHAR(10),'Bundle Tag Info'!O$6,CHAR(10),'Bundle Tag Info'!O$8),"")</f>
        <v/>
      </c>
      <c r="P3" s="25" t="str">
        <f>IF('Bundle Tag Info'!P$8&lt;&gt;"",CONCATENATE('Bundle Tag Info'!$A$1," ",CHAR(10),'Bundle Tag Info'!$A$2," ",'Bundle Tag Info'!$A$3,CHAR(10),'Bundle Tag Info'!P$6,CHAR(10),'Bundle Tag Info'!P$8),"")</f>
        <v/>
      </c>
      <c r="Q3" s="25" t="str">
        <f>IF('Bundle Tag Info'!Q$8&lt;&gt;"",CONCATENATE('Bundle Tag Info'!$A$1," ",CHAR(10),'Bundle Tag Info'!$A$2," ",'Bundle Tag Info'!$A$3,CHAR(10),'Bundle Tag Info'!Q$6,CHAR(10),'Bundle Tag Info'!Q$8),"")</f>
        <v/>
      </c>
      <c r="R3" s="25" t="str">
        <f>IF('Bundle Tag Info'!R$8&lt;&gt;"",CONCATENATE('Bundle Tag Info'!$A$1," ",CHAR(10),'Bundle Tag Info'!$A$2," ",'Bundle Tag Info'!$A$3,CHAR(10),'Bundle Tag Info'!R$6,CHAR(10),'Bundle Tag Info'!R$8),"")</f>
        <v/>
      </c>
      <c r="S3" s="25" t="str">
        <f>IF('Bundle Tag Info'!S$8&lt;&gt;"",CONCATENATE('Bundle Tag Info'!$A$1," ",CHAR(10),'Bundle Tag Info'!$A$2," ",'Bundle Tag Info'!$A$3,CHAR(10),'Bundle Tag Info'!S$6,CHAR(10),'Bundle Tag Info'!S$8),"")</f>
        <v/>
      </c>
      <c r="T3" s="25" t="str">
        <f>IF('Bundle Tag Info'!T$8&lt;&gt;"",CONCATENATE('Bundle Tag Info'!$A$1," ",CHAR(10),'Bundle Tag Info'!$A$2," ",'Bundle Tag Info'!$A$3,CHAR(10),'Bundle Tag Info'!T$6,CHAR(10),'Bundle Tag Info'!T$8),"")</f>
        <v/>
      </c>
      <c r="U3" s="25" t="str">
        <f>IF('Bundle Tag Info'!U$8&lt;&gt;"",CONCATENATE('Bundle Tag Info'!$A$1," ",CHAR(10),'Bundle Tag Info'!$A$2," ",'Bundle Tag Info'!$A$3,CHAR(10),'Bundle Tag Info'!U$6,CHAR(10),'Bundle Tag Info'!U$8),"")</f>
        <v/>
      </c>
      <c r="V3" s="25" t="str">
        <f>IF('Bundle Tag Info'!V$8&lt;&gt;"",CONCATENATE('Bundle Tag Info'!$A$1," ",CHAR(10),'Bundle Tag Info'!$A$2," ",'Bundle Tag Info'!$A$3,CHAR(10),'Bundle Tag Info'!V$6,CHAR(10),'Bundle Tag Info'!V$8),"")</f>
        <v/>
      </c>
      <c r="W3" s="25" t="str">
        <f>IF('Bundle Tag Info'!W$8&lt;&gt;"",CONCATENATE('Bundle Tag Info'!$A$1," ",CHAR(10),'Bundle Tag Info'!$A$2," ",'Bundle Tag Info'!$A$3,CHAR(10),'Bundle Tag Info'!W$6,CHAR(10),'Bundle Tag Info'!W$8),"")</f>
        <v/>
      </c>
      <c r="X3" s="25" t="str">
        <f>IF('Bundle Tag Info'!X$8&lt;&gt;"",CONCATENATE('Bundle Tag Info'!$A$1," ",CHAR(10),'Bundle Tag Info'!$A$2," ",'Bundle Tag Info'!$A$3,CHAR(10),'Bundle Tag Info'!X$6,CHAR(10),'Bundle Tag Info'!X$8),"")</f>
        <v/>
      </c>
      <c r="Y3" s="25" t="str">
        <f>IF('Bundle Tag Info'!Y$8&lt;&gt;"",CONCATENATE('Bundle Tag Info'!$A$1," ",CHAR(10),'Bundle Tag Info'!$A$2," ",'Bundle Tag Info'!$A$3,CHAR(10),'Bundle Tag Info'!Y$6,CHAR(10),'Bundle Tag Info'!Y$8),"")</f>
        <v/>
      </c>
      <c r="Z3" s="25" t="str">
        <f>IF('Bundle Tag Info'!Z$8&lt;&gt;"",CONCATENATE('Bundle Tag Info'!$A$1," ",CHAR(10),'Bundle Tag Info'!$A$2," ",'Bundle Tag Info'!$A$3,CHAR(10),'Bundle Tag Info'!Z$6,CHAR(10),'Bundle Tag Info'!Z$8),"")</f>
        <v/>
      </c>
      <c r="AA3" s="25" t="str">
        <f>IF('Bundle Tag Info'!AA$8&lt;&gt;"",CONCATENATE('Bundle Tag Info'!$A$1," ",CHAR(10),'Bundle Tag Info'!$A$2," ",'Bundle Tag Info'!$A$3,CHAR(10),'Bundle Tag Info'!AA$6,CHAR(10),'Bundle Tag Info'!AA$8),"")</f>
        <v/>
      </c>
      <c r="AB3" s="25" t="str">
        <f>IF('Bundle Tag Info'!AB$8&lt;&gt;"",CONCATENATE('Bundle Tag Info'!$A$1," ",CHAR(10),'Bundle Tag Info'!$A$2," ",'Bundle Tag Info'!$A$3,CHAR(10),'Bundle Tag Info'!AB$6,CHAR(10),'Bundle Tag Info'!AB$8),"")</f>
        <v/>
      </c>
      <c r="AC3" s="25" t="str">
        <f>IF('Bundle Tag Info'!AC$8&lt;&gt;"",CONCATENATE('Bundle Tag Info'!$A$1," ",CHAR(10),'Bundle Tag Info'!$A$2," ",'Bundle Tag Info'!$A$3,CHAR(10),'Bundle Tag Info'!AC$6,CHAR(10),'Bundle Tag Info'!AC$8),"")</f>
        <v/>
      </c>
      <c r="AD3" s="25" t="str">
        <f>IF('Bundle Tag Info'!AD$8&lt;&gt;"",CONCATENATE('Bundle Tag Info'!$A$1," ",CHAR(10),'Bundle Tag Info'!$A$2," ",'Bundle Tag Info'!$A$3,CHAR(10),'Bundle Tag Info'!AD$6,CHAR(10),'Bundle Tag Info'!AD$8),"")</f>
        <v/>
      </c>
    </row>
    <row r="4" spans="1:30" ht="63.95" customHeight="1" x14ac:dyDescent="0.25">
      <c r="A4" s="25" t="str">
        <f>IF('Bundle Tag Info'!A$9&lt;&gt;"",CONCATENATE('Bundle Tag Info'!$A$1," ",CHAR(10),'Bundle Tag Info'!$A$2," ",'Bundle Tag Info'!$A$3,CHAR(10),'Bundle Tag Info'!A$6,CHAR(10),'Bundle Tag Info'!A$9),"")</f>
        <v>ERGON-V #2 
4K911 Rev A
JB70
SA0472</v>
      </c>
      <c r="B4" s="25" t="str">
        <f>IF('Bundle Tag Info'!B$9&lt;&gt;"",CONCATENATE('Bundle Tag Info'!$A$1," ",CHAR(10),'Bundle Tag Info'!$A$2," ",'Bundle Tag Info'!$A$3,CHAR(10),'Bundle Tag Info'!B$6,CHAR(10),'Bundle Tag Info'!B$9),"")</f>
        <v>ERGON-V #2 
4K911 Rev A
L/RAIL JB70
AT0178</v>
      </c>
      <c r="C4" s="25" t="str">
        <f>IF('Bundle Tag Info'!C$9&lt;&gt;"",CONCATENATE('Bundle Tag Info'!$A$1," ",CHAR(10),'Bundle Tag Info'!$A$2," ",'Bundle Tag Info'!$A$3,CHAR(10),'Bundle Tag Info'!C$6,CHAR(10),'Bundle Tag Info'!C$9),"")</f>
        <v>ERGON-V #2 
4K911 Rev A
PLC
FU</v>
      </c>
      <c r="D4" s="25" t="str">
        <f>IF('Bundle Tag Info'!D$9&lt;&gt;"",CONCATENATE('Bundle Tag Info'!$A$1," ",CHAR(10),'Bundle Tag Info'!$A$2," ",'Bundle Tag Info'!$A$3,CHAR(10),'Bundle Tag Info'!D$6,CHAR(10),'Bundle Tag Info'!D$9),"")</f>
        <v>ERGON-V #2 
4K911 Rev A
A
AF</v>
      </c>
      <c r="E4" s="25" t="str">
        <f>IF('Bundle Tag Info'!E$9&lt;&gt;"",CONCATENATE('Bundle Tag Info'!$A$1," ",CHAR(10),'Bundle Tag Info'!$A$2," ",'Bundle Tag Info'!$A$3,CHAR(10),'Bundle Tag Info'!E$6,CHAR(10),'Bundle Tag Info'!E$9),"")</f>
        <v>ERGON-V #2 
4K911 Rev A
B
AF0070'S</v>
      </c>
      <c r="F4" s="25" t="str">
        <f>IF('Bundle Tag Info'!F$9&lt;&gt;"",CONCATENATE('Bundle Tag Info'!$A$1," ",CHAR(10),'Bundle Tag Info'!$A$2," ",'Bundle Tag Info'!$A$3,CHAR(10),'Bundle Tag Info'!F$6,CHAR(10),'Bundle Tag Info'!F$9),"")</f>
        <v>ERGON-V #2 
4K911 Rev A
L/RAIL JB72
FU/XT-GEN</v>
      </c>
      <c r="G4" s="25" t="str">
        <f>IF('Bundle Tag Info'!G$9&lt;&gt;"",CONCATENATE('Bundle Tag Info'!$A$1," ",CHAR(10),'Bundle Tag Info'!$A$2," ",'Bundle Tag Info'!$A$3,CHAR(10),'Bundle Tag Info'!G$6,CHAR(10),'Bundle Tag Info'!G$9),"")</f>
        <v/>
      </c>
      <c r="H4" s="25" t="str">
        <f>IF('Bundle Tag Info'!H$9&lt;&gt;"",CONCATENATE('Bundle Tag Info'!$A$1," ",CHAR(10),'Bundle Tag Info'!$A$2," ",'Bundle Tag Info'!$A$3,CHAR(10),'Bundle Tag Info'!H$6,CHAR(10),'Bundle Tag Info'!H$9),"")</f>
        <v xml:space="preserve">ERGON-V #2 
4K911 Rev A
GEN PNL
KA A2 </v>
      </c>
      <c r="I4" s="25" t="str">
        <f>IF('Bundle Tag Info'!I$9&lt;&gt;"",CONCATENATE('Bundle Tag Info'!$A$1," ",CHAR(10),'Bundle Tag Info'!$A$2," ",'Bundle Tag Info'!$A$3,CHAR(10),'Bundle Tag Info'!I$6,CHAR(10),'Bundle Tag Info'!I$9),"")</f>
        <v/>
      </c>
      <c r="J4" s="25" t="str">
        <f>IF('Bundle Tag Info'!J$9&lt;&gt;"",CONCATENATE('Bundle Tag Info'!$A$1," ",CHAR(10),'Bundle Tag Info'!$A$2," ",'Bundle Tag Info'!$A$3,CHAR(10),'Bundle Tag Info'!J$6,CHAR(10),'Bundle Tag Info'!J$9),"")</f>
        <v/>
      </c>
      <c r="K4" s="25" t="str">
        <f>IF('Bundle Tag Info'!K$9&lt;&gt;"",CONCATENATE('Bundle Tag Info'!$A$1," ",CHAR(10),'Bundle Tag Info'!$A$2," ",'Bundle Tag Info'!$A$3,CHAR(10),'Bundle Tag Info'!K$6,CHAR(10),'Bundle Tag Info'!K$9),"")</f>
        <v/>
      </c>
      <c r="L4" s="25" t="str">
        <f>IF('Bundle Tag Info'!L$9&lt;&gt;"",CONCATENATE('Bundle Tag Info'!$A$1," ",CHAR(10),'Bundle Tag Info'!$A$2," ",'Bundle Tag Info'!$A$3,CHAR(10),'Bundle Tag Info'!L$6,CHAR(10),'Bundle Tag Info'!L$9),"")</f>
        <v/>
      </c>
      <c r="M4" s="25" t="str">
        <f>IF('Bundle Tag Info'!M$9&lt;&gt;"",CONCATENATE('Bundle Tag Info'!$A$1," ",CHAR(10),'Bundle Tag Info'!$A$2," ",'Bundle Tag Info'!$A$3,CHAR(10),'Bundle Tag Info'!M$6,CHAR(10),'Bundle Tag Info'!M$9),"")</f>
        <v/>
      </c>
      <c r="N4" s="25" t="str">
        <f>IF('Bundle Tag Info'!N$9&lt;&gt;"",CONCATENATE('Bundle Tag Info'!$A$1," ",CHAR(10),'Bundle Tag Info'!$A$2," ",'Bundle Tag Info'!$A$3,CHAR(10),'Bundle Tag Info'!N$6,CHAR(10),'Bundle Tag Info'!N$9),"")</f>
        <v/>
      </c>
      <c r="O4" s="25" t="str">
        <f>IF('Bundle Tag Info'!O$9&lt;&gt;"",CONCATENATE('Bundle Tag Info'!$A$1," ",CHAR(10),'Bundle Tag Info'!$A$2," ",'Bundle Tag Info'!$A$3,CHAR(10),'Bundle Tag Info'!O$6,CHAR(10),'Bundle Tag Info'!O$9),"")</f>
        <v/>
      </c>
      <c r="P4" s="25" t="str">
        <f>IF('Bundle Tag Info'!P$9&lt;&gt;"",CONCATENATE('Bundle Tag Info'!$A$1," ",CHAR(10),'Bundle Tag Info'!$A$2," ",'Bundle Tag Info'!$A$3,CHAR(10),'Bundle Tag Info'!P$6,CHAR(10),'Bundle Tag Info'!P$9),"")</f>
        <v/>
      </c>
      <c r="Q4" s="25" t="str">
        <f>IF('Bundle Tag Info'!Q$9&lt;&gt;"",CONCATENATE('Bundle Tag Info'!$A$1," ",CHAR(10),'Bundle Tag Info'!$A$2," ",'Bundle Tag Info'!$A$3,CHAR(10),'Bundle Tag Info'!Q$6,CHAR(10),'Bundle Tag Info'!Q$9),"")</f>
        <v/>
      </c>
      <c r="R4" s="25" t="str">
        <f>IF('Bundle Tag Info'!R$9&lt;&gt;"",CONCATENATE('Bundle Tag Info'!$A$1," ",CHAR(10),'Bundle Tag Info'!$A$2," ",'Bundle Tag Info'!$A$3,CHAR(10),'Bundle Tag Info'!R$6,CHAR(10),'Bundle Tag Info'!R$9),"")</f>
        <v/>
      </c>
      <c r="S4" s="25" t="str">
        <f>IF('Bundle Tag Info'!S$9&lt;&gt;"",CONCATENATE('Bundle Tag Info'!$A$1," ",CHAR(10),'Bundle Tag Info'!$A$2," ",'Bundle Tag Info'!$A$3,CHAR(10),'Bundle Tag Info'!S$6,CHAR(10),'Bundle Tag Info'!S$9),"")</f>
        <v/>
      </c>
      <c r="T4" s="25" t="str">
        <f>IF('Bundle Tag Info'!T$9&lt;&gt;"",CONCATENATE('Bundle Tag Info'!$A$1," ",CHAR(10),'Bundle Tag Info'!$A$2," ",'Bundle Tag Info'!$A$3,CHAR(10),'Bundle Tag Info'!T$6,CHAR(10),'Bundle Tag Info'!T$9),"")</f>
        <v/>
      </c>
      <c r="U4" s="25" t="str">
        <f>IF('Bundle Tag Info'!U$9&lt;&gt;"",CONCATENATE('Bundle Tag Info'!$A$1," ",CHAR(10),'Bundle Tag Info'!$A$2," ",'Bundle Tag Info'!$A$3,CHAR(10),'Bundle Tag Info'!U$6,CHAR(10),'Bundle Tag Info'!U$9),"")</f>
        <v/>
      </c>
      <c r="V4" s="25" t="str">
        <f>IF('Bundle Tag Info'!V$9&lt;&gt;"",CONCATENATE('Bundle Tag Info'!$A$1," ",CHAR(10),'Bundle Tag Info'!$A$2," ",'Bundle Tag Info'!$A$3,CHAR(10),'Bundle Tag Info'!V$6,CHAR(10),'Bundle Tag Info'!V$9),"")</f>
        <v/>
      </c>
      <c r="W4" s="25" t="str">
        <f>IF('Bundle Tag Info'!W$9&lt;&gt;"",CONCATENATE('Bundle Tag Info'!$A$1," ",CHAR(10),'Bundle Tag Info'!$A$2," ",'Bundle Tag Info'!$A$3,CHAR(10),'Bundle Tag Info'!W$6,CHAR(10),'Bundle Tag Info'!W$9),"")</f>
        <v/>
      </c>
      <c r="X4" s="25" t="str">
        <f>IF('Bundle Tag Info'!X$9&lt;&gt;"",CONCATENATE('Bundle Tag Info'!$A$1," ",CHAR(10),'Bundle Tag Info'!$A$2," ",'Bundle Tag Info'!$A$3,CHAR(10),'Bundle Tag Info'!X$6,CHAR(10),'Bundle Tag Info'!X$9),"")</f>
        <v/>
      </c>
      <c r="Y4" s="25" t="str">
        <f>IF('Bundle Tag Info'!Y$9&lt;&gt;"",CONCATENATE('Bundle Tag Info'!$A$1," ",CHAR(10),'Bundle Tag Info'!$A$2," ",'Bundle Tag Info'!$A$3,CHAR(10),'Bundle Tag Info'!Y$6,CHAR(10),'Bundle Tag Info'!Y$9),"")</f>
        <v/>
      </c>
      <c r="Z4" s="25" t="str">
        <f>IF('Bundle Tag Info'!Z$9&lt;&gt;"",CONCATENATE('Bundle Tag Info'!$A$1," ",CHAR(10),'Bundle Tag Info'!$A$2," ",'Bundle Tag Info'!$A$3,CHAR(10),'Bundle Tag Info'!Z$6,CHAR(10),'Bundle Tag Info'!Z$9),"")</f>
        <v/>
      </c>
      <c r="AA4" s="25" t="str">
        <f>IF('Bundle Tag Info'!AA$9&lt;&gt;"",CONCATENATE('Bundle Tag Info'!$A$1," ",CHAR(10),'Bundle Tag Info'!$A$2," ",'Bundle Tag Info'!$A$3,CHAR(10),'Bundle Tag Info'!AA$6,CHAR(10),'Bundle Tag Info'!AA$9),"")</f>
        <v/>
      </c>
      <c r="AB4" s="25" t="str">
        <f>IF('Bundle Tag Info'!AB$9&lt;&gt;"",CONCATENATE('Bundle Tag Info'!$A$1," ",CHAR(10),'Bundle Tag Info'!$A$2," ",'Bundle Tag Info'!$A$3,CHAR(10),'Bundle Tag Info'!AB$6,CHAR(10),'Bundle Tag Info'!AB$9),"")</f>
        <v/>
      </c>
      <c r="AC4" s="25" t="str">
        <f>IF('Bundle Tag Info'!AC$9&lt;&gt;"",CONCATENATE('Bundle Tag Info'!$A$1," ",CHAR(10),'Bundle Tag Info'!$A$2," ",'Bundle Tag Info'!$A$3,CHAR(10),'Bundle Tag Info'!AC$6,CHAR(10),'Bundle Tag Info'!AC$9),"")</f>
        <v/>
      </c>
      <c r="AD4" s="25" t="str">
        <f>IF('Bundle Tag Info'!AD$9&lt;&gt;"",CONCATENATE('Bundle Tag Info'!$A$1," ",CHAR(10),'Bundle Tag Info'!$A$2," ",'Bundle Tag Info'!$A$3,CHAR(10),'Bundle Tag Info'!AD$6,CHAR(10),'Bundle Tag Info'!AD$9),"")</f>
        <v/>
      </c>
    </row>
    <row r="5" spans="1:30" ht="63.95" customHeight="1" x14ac:dyDescent="0.25">
      <c r="A5" s="25" t="str">
        <f>IF('Bundle Tag Info'!A$10&lt;&gt;"",CONCATENATE('Bundle Tag Info'!$A$1," ",CHAR(10),'Bundle Tag Info'!$A$2," ",'Bundle Tag Info'!$A$3,CHAR(10),'Bundle Tag Info'!A$6,CHAR(10),'Bundle Tag Info'!A$10),"")</f>
        <v>ERGON-V #2 
4K911 Rev A
JB70
SA0473</v>
      </c>
      <c r="B5" s="25" t="str">
        <f>IF('Bundle Tag Info'!B$10&lt;&gt;"",CONCATENATE('Bundle Tag Info'!$A$1," ",CHAR(10),'Bundle Tag Info'!$A$2," ",'Bundle Tag Info'!$A$3,CHAR(10),'Bundle Tag Info'!B$6,CHAR(10),'Bundle Tag Info'!B$10),"")</f>
        <v>ERGON-V #2 
4K911 Rev A
L/RAIL JB70
KA A1/A2</v>
      </c>
      <c r="C5" s="25" t="str">
        <f>IF('Bundle Tag Info'!C$10&lt;&gt;"",CONCATENATE('Bundle Tag Info'!$A$1," ",CHAR(10),'Bundle Tag Info'!$A$2," ",'Bundle Tag Info'!$A$3,CHAR(10),'Bundle Tag Info'!C$6,CHAR(10),'Bundle Tag Info'!C$10),"")</f>
        <v>ERGON-V #2 
4K911 Rev A
PLC
UV-A</v>
      </c>
      <c r="D5" s="25" t="str">
        <f>IF('Bundle Tag Info'!D$10&lt;&gt;"",CONCATENATE('Bundle Tag Info'!$A$1," ",CHAR(10),'Bundle Tag Info'!$A$2," ",'Bundle Tag Info'!$A$3,CHAR(10),'Bundle Tag Info'!D$6,CHAR(10),'Bundle Tag Info'!D$10),"")</f>
        <v xml:space="preserve">ERGON-V #2 
4K911 Rev A
A
KA A1 </v>
      </c>
      <c r="E5" s="25" t="str">
        <f>IF('Bundle Tag Info'!E$10&lt;&gt;"",CONCATENATE('Bundle Tag Info'!$A$1," ",CHAR(10),'Bundle Tag Info'!$A$2," ",'Bundle Tag Info'!$A$3,CHAR(10),'Bundle Tag Info'!E$6,CHAR(10),'Bundle Tag Info'!E$10),"")</f>
        <v xml:space="preserve">ERGON-V #2 
4K911 Rev A
B
KA A1 </v>
      </c>
      <c r="F5" s="25" t="str">
        <f>IF('Bundle Tag Info'!F$10&lt;&gt;"",CONCATENATE('Bundle Tag Info'!$A$1," ",CHAR(10),'Bundle Tag Info'!$A$2," ",'Bundle Tag Info'!$A$3,CHAR(10),'Bundle Tag Info'!F$6,CHAR(10),'Bundle Tag Info'!F$10),"")</f>
        <v/>
      </c>
      <c r="G5" s="25" t="str">
        <f>IF('Bundle Tag Info'!G$10&lt;&gt;"",CONCATENATE('Bundle Tag Info'!$A$1," ",CHAR(10),'Bundle Tag Info'!$A$2," ",'Bundle Tag Info'!$A$3,CHAR(10),'Bundle Tag Info'!G$6,CHAR(10),'Bundle Tag Info'!G$10),"")</f>
        <v/>
      </c>
      <c r="H5" s="25" t="str">
        <f>IF('Bundle Tag Info'!H$10&lt;&gt;"",CONCATENATE('Bundle Tag Info'!$A$1," ",CHAR(10),'Bundle Tag Info'!$A$2," ",'Bundle Tag Info'!$A$3,CHAR(10),'Bundle Tag Info'!H$6,CHAR(10),'Bundle Tag Info'!H$10),"")</f>
        <v>ERGON-V #2 
4K911 Rev A
GEN PNL
KA</v>
      </c>
      <c r="I5" s="25" t="str">
        <f>IF('Bundle Tag Info'!I$10&lt;&gt;"",CONCATENATE('Bundle Tag Info'!$A$1," ",CHAR(10),'Bundle Tag Info'!$A$2," ",'Bundle Tag Info'!$A$3,CHAR(10),'Bundle Tag Info'!I$6,CHAR(10),'Bundle Tag Info'!I$10),"")</f>
        <v/>
      </c>
      <c r="J5" s="25" t="str">
        <f>IF('Bundle Tag Info'!J$10&lt;&gt;"",CONCATENATE('Bundle Tag Info'!$A$1," ",CHAR(10),'Bundle Tag Info'!$A$2," ",'Bundle Tag Info'!$A$3,CHAR(10),'Bundle Tag Info'!J$6,CHAR(10),'Bundle Tag Info'!J$10),"")</f>
        <v/>
      </c>
      <c r="K5" s="25" t="str">
        <f>IF('Bundle Tag Info'!K$10&lt;&gt;"",CONCATENATE('Bundle Tag Info'!$A$1," ",CHAR(10),'Bundle Tag Info'!$A$2," ",'Bundle Tag Info'!$A$3,CHAR(10),'Bundle Tag Info'!K$6,CHAR(10),'Bundle Tag Info'!K$10),"")</f>
        <v/>
      </c>
      <c r="L5" s="25" t="str">
        <f>IF('Bundle Tag Info'!L$10&lt;&gt;"",CONCATENATE('Bundle Tag Info'!$A$1," ",CHAR(10),'Bundle Tag Info'!$A$2," ",'Bundle Tag Info'!$A$3,CHAR(10),'Bundle Tag Info'!L$6,CHAR(10),'Bundle Tag Info'!L$10),"")</f>
        <v/>
      </c>
      <c r="M5" s="25" t="str">
        <f>IF('Bundle Tag Info'!M$10&lt;&gt;"",CONCATENATE('Bundle Tag Info'!$A$1," ",CHAR(10),'Bundle Tag Info'!$A$2," ",'Bundle Tag Info'!$A$3,CHAR(10),'Bundle Tag Info'!M$6,CHAR(10),'Bundle Tag Info'!M$10),"")</f>
        <v/>
      </c>
      <c r="N5" s="25" t="str">
        <f>IF('Bundle Tag Info'!N$10&lt;&gt;"",CONCATENATE('Bundle Tag Info'!$A$1," ",CHAR(10),'Bundle Tag Info'!$A$2," ",'Bundle Tag Info'!$A$3,CHAR(10),'Bundle Tag Info'!N$6,CHAR(10),'Bundle Tag Info'!N$10),"")</f>
        <v/>
      </c>
      <c r="O5" s="25" t="str">
        <f>IF('Bundle Tag Info'!O$10&lt;&gt;"",CONCATENATE('Bundle Tag Info'!$A$1," ",CHAR(10),'Bundle Tag Info'!$A$2," ",'Bundle Tag Info'!$A$3,CHAR(10),'Bundle Tag Info'!O$6,CHAR(10),'Bundle Tag Info'!O$10),"")</f>
        <v/>
      </c>
      <c r="P5" s="25" t="str">
        <f>IF('Bundle Tag Info'!P$10&lt;&gt;"",CONCATENATE('Bundle Tag Info'!$A$1," ",CHAR(10),'Bundle Tag Info'!$A$2," ",'Bundle Tag Info'!$A$3,CHAR(10),'Bundle Tag Info'!P$6,CHAR(10),'Bundle Tag Info'!P$10),"")</f>
        <v/>
      </c>
      <c r="Q5" s="25" t="str">
        <f>IF('Bundle Tag Info'!Q$10&lt;&gt;"",CONCATENATE('Bundle Tag Info'!$A$1," ",CHAR(10),'Bundle Tag Info'!$A$2," ",'Bundle Tag Info'!$A$3,CHAR(10),'Bundle Tag Info'!Q$6,CHAR(10),'Bundle Tag Info'!Q$10),"")</f>
        <v/>
      </c>
      <c r="R5" s="25" t="str">
        <f>IF('Bundle Tag Info'!R$10&lt;&gt;"",CONCATENATE('Bundle Tag Info'!$A$1," ",CHAR(10),'Bundle Tag Info'!$A$2," ",'Bundle Tag Info'!$A$3,CHAR(10),'Bundle Tag Info'!R$6,CHAR(10),'Bundle Tag Info'!R$10),"")</f>
        <v/>
      </c>
      <c r="S5" s="25" t="str">
        <f>IF('Bundle Tag Info'!S$10&lt;&gt;"",CONCATENATE('Bundle Tag Info'!$A$1," ",CHAR(10),'Bundle Tag Info'!$A$2," ",'Bundle Tag Info'!$A$3,CHAR(10),'Bundle Tag Info'!S$6,CHAR(10),'Bundle Tag Info'!S$10),"")</f>
        <v/>
      </c>
      <c r="T5" s="25" t="str">
        <f>IF('Bundle Tag Info'!T$10&lt;&gt;"",CONCATENATE('Bundle Tag Info'!$A$1," ",CHAR(10),'Bundle Tag Info'!$A$2," ",'Bundle Tag Info'!$A$3,CHAR(10),'Bundle Tag Info'!T$6,CHAR(10),'Bundle Tag Info'!T$10),"")</f>
        <v/>
      </c>
      <c r="U5" s="25" t="str">
        <f>IF('Bundle Tag Info'!U$10&lt;&gt;"",CONCATENATE('Bundle Tag Info'!$A$1," ",CHAR(10),'Bundle Tag Info'!$A$2," ",'Bundle Tag Info'!$A$3,CHAR(10),'Bundle Tag Info'!U$6,CHAR(10),'Bundle Tag Info'!U$10),"")</f>
        <v/>
      </c>
      <c r="V5" s="25" t="str">
        <f>IF('Bundle Tag Info'!V$10&lt;&gt;"",CONCATENATE('Bundle Tag Info'!$A$1," ",CHAR(10),'Bundle Tag Info'!$A$2," ",'Bundle Tag Info'!$A$3,CHAR(10),'Bundle Tag Info'!V$6,CHAR(10),'Bundle Tag Info'!V$10),"")</f>
        <v/>
      </c>
      <c r="W5" s="25" t="str">
        <f>IF('Bundle Tag Info'!W$10&lt;&gt;"",CONCATENATE('Bundle Tag Info'!$A$1," ",CHAR(10),'Bundle Tag Info'!$A$2," ",'Bundle Tag Info'!$A$3,CHAR(10),'Bundle Tag Info'!W$6,CHAR(10),'Bundle Tag Info'!W$10),"")</f>
        <v/>
      </c>
      <c r="X5" s="25" t="str">
        <f>IF('Bundle Tag Info'!X$10&lt;&gt;"",CONCATENATE('Bundle Tag Info'!$A$1," ",CHAR(10),'Bundle Tag Info'!$A$2," ",'Bundle Tag Info'!$A$3,CHAR(10),'Bundle Tag Info'!X$6,CHAR(10),'Bundle Tag Info'!X$10),"")</f>
        <v/>
      </c>
      <c r="Y5" s="25" t="str">
        <f>IF('Bundle Tag Info'!Y$10&lt;&gt;"",CONCATENATE('Bundle Tag Info'!$A$1," ",CHAR(10),'Bundle Tag Info'!$A$2," ",'Bundle Tag Info'!$A$3,CHAR(10),'Bundle Tag Info'!Y$6,CHAR(10),'Bundle Tag Info'!Y$10),"")</f>
        <v/>
      </c>
      <c r="Z5" s="25" t="str">
        <f>IF('Bundle Tag Info'!Z$10&lt;&gt;"",CONCATENATE('Bundle Tag Info'!$A$1," ",CHAR(10),'Bundle Tag Info'!$A$2," ",'Bundle Tag Info'!$A$3,CHAR(10),'Bundle Tag Info'!Z$6,CHAR(10),'Bundle Tag Info'!Z$10),"")</f>
        <v/>
      </c>
      <c r="AA5" s="25" t="str">
        <f>IF('Bundle Tag Info'!AA$10&lt;&gt;"",CONCATENATE('Bundle Tag Info'!$A$1," ",CHAR(10),'Bundle Tag Info'!$A$2," ",'Bundle Tag Info'!$A$3,CHAR(10),'Bundle Tag Info'!AA$6,CHAR(10),'Bundle Tag Info'!AA$10),"")</f>
        <v/>
      </c>
      <c r="AB5" s="25" t="str">
        <f>IF('Bundle Tag Info'!AB$10&lt;&gt;"",CONCATENATE('Bundle Tag Info'!$A$1," ",CHAR(10),'Bundle Tag Info'!$A$2," ",'Bundle Tag Info'!$A$3,CHAR(10),'Bundle Tag Info'!AB$6,CHAR(10),'Bundle Tag Info'!AB$10),"")</f>
        <v/>
      </c>
      <c r="AC5" s="25" t="str">
        <f>IF('Bundle Tag Info'!AC$10&lt;&gt;"",CONCATENATE('Bundle Tag Info'!$A$1," ",CHAR(10),'Bundle Tag Info'!$A$2," ",'Bundle Tag Info'!$A$3,CHAR(10),'Bundle Tag Info'!AC$6,CHAR(10),'Bundle Tag Info'!AC$10),"")</f>
        <v/>
      </c>
      <c r="AD5" s="25" t="str">
        <f>IF('Bundle Tag Info'!AD$10&lt;&gt;"",CONCATENATE('Bundle Tag Info'!$A$1," ",CHAR(10),'Bundle Tag Info'!$A$2," ",'Bundle Tag Info'!$A$3,CHAR(10),'Bundle Tag Info'!AD$6,CHAR(10),'Bundle Tag Info'!AD$10),"")</f>
        <v/>
      </c>
    </row>
    <row r="6" spans="1:30" ht="63.95" customHeight="1" x14ac:dyDescent="0.25">
      <c r="A6" s="25" t="str">
        <f>IF('Bundle Tag Info'!A$11&lt;&gt;"",CONCATENATE('Bundle Tag Info'!$A$1," ",CHAR(10),'Bundle Tag Info'!$A$2," ",'Bundle Tag Info'!$A$3,CHAR(10),'Bundle Tag Info'!A$6,CHAR(10),'Bundle Tag Info'!A$11),"")</f>
        <v>ERGON-V #2 
4K911 Rev A
JB70
SB0472</v>
      </c>
      <c r="B6" s="25" t="str">
        <f>IF('Bundle Tag Info'!B$11&lt;&gt;"",CONCATENATE('Bundle Tag Info'!$A$1," ",CHAR(10),'Bundle Tag Info'!$A$2," ",'Bundle Tag Info'!$A$3,CHAR(10),'Bundle Tag Info'!B$6,CHAR(10),'Bundle Tag Info'!B$11),"")</f>
        <v>ERGON-V #2 
4K911 Rev A
L/RAIL JB70
KA</v>
      </c>
      <c r="C6" s="25" t="str">
        <f>IF('Bundle Tag Info'!C$11&lt;&gt;"",CONCATENATE('Bundle Tag Info'!$A$1," ",CHAR(10),'Bundle Tag Info'!$A$2," ",'Bundle Tag Info'!$A$3,CHAR(10),'Bundle Tag Info'!C$6,CHAR(10),'Bundle Tag Info'!C$11),"")</f>
        <v>ERGON-V #2 
4K911 Rev A
PLC
FU/XT-B</v>
      </c>
      <c r="D6" s="25" t="str">
        <f>IF('Bundle Tag Info'!D$11&lt;&gt;"",CONCATENATE('Bundle Tag Info'!$A$1," ",CHAR(10),'Bundle Tag Info'!$A$2," ",'Bundle Tag Info'!$A$3,CHAR(10),'Bundle Tag Info'!D$6,CHAR(10),'Bundle Tag Info'!D$11),"")</f>
        <v xml:space="preserve">ERGON-V #2 
4K911 Rev A
A
KA A2 </v>
      </c>
      <c r="E6" s="25" t="str">
        <f>IF('Bundle Tag Info'!E$11&lt;&gt;"",CONCATENATE('Bundle Tag Info'!$A$1," ",CHAR(10),'Bundle Tag Info'!$A$2," ",'Bundle Tag Info'!$A$3,CHAR(10),'Bundle Tag Info'!E$6,CHAR(10),'Bundle Tag Info'!E$11),"")</f>
        <v xml:space="preserve">ERGON-V #2 
4K911 Rev A
B
KA A2 </v>
      </c>
      <c r="F6" s="25" t="str">
        <f>IF('Bundle Tag Info'!F$11&lt;&gt;"",CONCATENATE('Bundle Tag Info'!$A$1," ",CHAR(10),'Bundle Tag Info'!$A$2," ",'Bundle Tag Info'!$A$3,CHAR(10),'Bundle Tag Info'!F$6,CHAR(10),'Bundle Tag Info'!F$11),"")</f>
        <v/>
      </c>
      <c r="G6" s="25" t="str">
        <f>IF('Bundle Tag Info'!G$11&lt;&gt;"",CONCATENATE('Bundle Tag Info'!$A$1," ",CHAR(10),'Bundle Tag Info'!$A$2," ",'Bundle Tag Info'!$A$3,CHAR(10),'Bundle Tag Info'!G$6,CHAR(10),'Bundle Tag Info'!G$11),"")</f>
        <v/>
      </c>
      <c r="H6" s="25" t="str">
        <f>IF('Bundle Tag Info'!H$11&lt;&gt;"",CONCATENATE('Bundle Tag Info'!$A$1," ",CHAR(10),'Bundle Tag Info'!$A$2," ",'Bundle Tag Info'!$A$3,CHAR(10),'Bundle Tag Info'!H$6,CHAR(10),'Bundle Tag Info'!H$11),"")</f>
        <v>ERGON-V #2 
4K911 Rev A
GEN PNL
XT/FU</v>
      </c>
      <c r="I6" s="25" t="str">
        <f>IF('Bundle Tag Info'!I$11&lt;&gt;"",CONCATENATE('Bundle Tag Info'!$A$1," ",CHAR(10),'Bundle Tag Info'!$A$2," ",'Bundle Tag Info'!$A$3,CHAR(10),'Bundle Tag Info'!I$6,CHAR(10),'Bundle Tag Info'!I$11),"")</f>
        <v/>
      </c>
      <c r="J6" s="25" t="str">
        <f>IF('Bundle Tag Info'!J$11&lt;&gt;"",CONCATENATE('Bundle Tag Info'!$A$1," ",CHAR(10),'Bundle Tag Info'!$A$2," ",'Bundle Tag Info'!$A$3,CHAR(10),'Bundle Tag Info'!J$6,CHAR(10),'Bundle Tag Info'!J$11),"")</f>
        <v/>
      </c>
      <c r="K6" s="25" t="str">
        <f>IF('Bundle Tag Info'!K$11&lt;&gt;"",CONCATENATE('Bundle Tag Info'!$A$1," ",CHAR(10),'Bundle Tag Info'!$A$2," ",'Bundle Tag Info'!$A$3,CHAR(10),'Bundle Tag Info'!K$6,CHAR(10),'Bundle Tag Info'!K$11),"")</f>
        <v/>
      </c>
      <c r="L6" s="25" t="str">
        <f>IF('Bundle Tag Info'!L$11&lt;&gt;"",CONCATENATE('Bundle Tag Info'!$A$1," ",CHAR(10),'Bundle Tag Info'!$A$2," ",'Bundle Tag Info'!$A$3,CHAR(10),'Bundle Tag Info'!L$6,CHAR(10),'Bundle Tag Info'!L$11),"")</f>
        <v/>
      </c>
      <c r="M6" s="25" t="str">
        <f>IF('Bundle Tag Info'!M$11&lt;&gt;"",CONCATENATE('Bundle Tag Info'!$A$1," ",CHAR(10),'Bundle Tag Info'!$A$2," ",'Bundle Tag Info'!$A$3,CHAR(10),'Bundle Tag Info'!M$6,CHAR(10),'Bundle Tag Info'!M$11),"")</f>
        <v/>
      </c>
      <c r="N6" s="25" t="str">
        <f>IF('Bundle Tag Info'!N$11&lt;&gt;"",CONCATENATE('Bundle Tag Info'!$A$1," ",CHAR(10),'Bundle Tag Info'!$A$2," ",'Bundle Tag Info'!$A$3,CHAR(10),'Bundle Tag Info'!N$6,CHAR(10),'Bundle Tag Info'!N$11),"")</f>
        <v/>
      </c>
      <c r="O6" s="25" t="str">
        <f>IF('Bundle Tag Info'!O$11&lt;&gt;"",CONCATENATE('Bundle Tag Info'!$A$1," ",CHAR(10),'Bundle Tag Info'!$A$2," ",'Bundle Tag Info'!$A$3,CHAR(10),'Bundle Tag Info'!O$6,CHAR(10),'Bundle Tag Info'!O$11),"")</f>
        <v/>
      </c>
      <c r="P6" s="25" t="str">
        <f>IF('Bundle Tag Info'!P$11&lt;&gt;"",CONCATENATE('Bundle Tag Info'!$A$1," ",CHAR(10),'Bundle Tag Info'!$A$2," ",'Bundle Tag Info'!$A$3,CHAR(10),'Bundle Tag Info'!P$6,CHAR(10),'Bundle Tag Info'!P$11),"")</f>
        <v/>
      </c>
      <c r="Q6" s="25" t="str">
        <f>IF('Bundle Tag Info'!Q$11&lt;&gt;"",CONCATENATE('Bundle Tag Info'!$A$1," ",CHAR(10),'Bundle Tag Info'!$A$2," ",'Bundle Tag Info'!$A$3,CHAR(10),'Bundle Tag Info'!Q$6,CHAR(10),'Bundle Tag Info'!Q$11),"")</f>
        <v/>
      </c>
      <c r="R6" s="25" t="str">
        <f>IF('Bundle Tag Info'!R$11&lt;&gt;"",CONCATENATE('Bundle Tag Info'!$A$1," ",CHAR(10),'Bundle Tag Info'!$A$2," ",'Bundle Tag Info'!$A$3,CHAR(10),'Bundle Tag Info'!R$6,CHAR(10),'Bundle Tag Info'!R$11),"")</f>
        <v/>
      </c>
      <c r="S6" s="25" t="str">
        <f>IF('Bundle Tag Info'!S$11&lt;&gt;"",CONCATENATE('Bundle Tag Info'!$A$1," ",CHAR(10),'Bundle Tag Info'!$A$2," ",'Bundle Tag Info'!$A$3,CHAR(10),'Bundle Tag Info'!S$6,CHAR(10),'Bundle Tag Info'!S$11),"")</f>
        <v/>
      </c>
      <c r="T6" s="25" t="str">
        <f>IF('Bundle Tag Info'!T$11&lt;&gt;"",CONCATENATE('Bundle Tag Info'!$A$1," ",CHAR(10),'Bundle Tag Info'!$A$2," ",'Bundle Tag Info'!$A$3,CHAR(10),'Bundle Tag Info'!T$6,CHAR(10),'Bundle Tag Info'!T$11),"")</f>
        <v/>
      </c>
      <c r="U6" s="25" t="str">
        <f>IF('Bundle Tag Info'!U$11&lt;&gt;"",CONCATENATE('Bundle Tag Info'!$A$1," ",CHAR(10),'Bundle Tag Info'!$A$2," ",'Bundle Tag Info'!$A$3,CHAR(10),'Bundle Tag Info'!U$6,CHAR(10),'Bundle Tag Info'!U$11),"")</f>
        <v/>
      </c>
      <c r="V6" s="25" t="str">
        <f>IF('Bundle Tag Info'!V$11&lt;&gt;"",CONCATENATE('Bundle Tag Info'!$A$1," ",CHAR(10),'Bundle Tag Info'!$A$2," ",'Bundle Tag Info'!$A$3,CHAR(10),'Bundle Tag Info'!V$6,CHAR(10),'Bundle Tag Info'!V$11),"")</f>
        <v/>
      </c>
      <c r="W6" s="25" t="str">
        <f>IF('Bundle Tag Info'!W$11&lt;&gt;"",CONCATENATE('Bundle Tag Info'!$A$1," ",CHAR(10),'Bundle Tag Info'!$A$2," ",'Bundle Tag Info'!$A$3,CHAR(10),'Bundle Tag Info'!W$6,CHAR(10),'Bundle Tag Info'!W$11),"")</f>
        <v/>
      </c>
      <c r="X6" s="25" t="str">
        <f>IF('Bundle Tag Info'!X$11&lt;&gt;"",CONCATENATE('Bundle Tag Info'!$A$1," ",CHAR(10),'Bundle Tag Info'!$A$2," ",'Bundle Tag Info'!$A$3,CHAR(10),'Bundle Tag Info'!X$6,CHAR(10),'Bundle Tag Info'!X$11),"")</f>
        <v/>
      </c>
      <c r="Y6" s="25" t="str">
        <f>IF('Bundle Tag Info'!Y$11&lt;&gt;"",CONCATENATE('Bundle Tag Info'!$A$1," ",CHAR(10),'Bundle Tag Info'!$A$2," ",'Bundle Tag Info'!$A$3,CHAR(10),'Bundle Tag Info'!Y$6,CHAR(10),'Bundle Tag Info'!Y$11),"")</f>
        <v/>
      </c>
      <c r="Z6" s="25" t="str">
        <f>IF('Bundle Tag Info'!Z$11&lt;&gt;"",CONCATENATE('Bundle Tag Info'!$A$1," ",CHAR(10),'Bundle Tag Info'!$A$2," ",'Bundle Tag Info'!$A$3,CHAR(10),'Bundle Tag Info'!Z$6,CHAR(10),'Bundle Tag Info'!Z$11),"")</f>
        <v/>
      </c>
      <c r="AA6" s="25" t="str">
        <f>IF('Bundle Tag Info'!AA$11&lt;&gt;"",CONCATENATE('Bundle Tag Info'!$A$1," ",CHAR(10),'Bundle Tag Info'!$A$2," ",'Bundle Tag Info'!$A$3,CHAR(10),'Bundle Tag Info'!AA$6,CHAR(10),'Bundle Tag Info'!AA$11),"")</f>
        <v/>
      </c>
      <c r="AB6" s="25" t="str">
        <f>IF('Bundle Tag Info'!AB$11&lt;&gt;"",CONCATENATE('Bundle Tag Info'!$A$1," ",CHAR(10),'Bundle Tag Info'!$A$2," ",'Bundle Tag Info'!$A$3,CHAR(10),'Bundle Tag Info'!AB$6,CHAR(10),'Bundle Tag Info'!AB$11),"")</f>
        <v/>
      </c>
      <c r="AC6" s="25" t="str">
        <f>IF('Bundle Tag Info'!AC$11&lt;&gt;"",CONCATENATE('Bundle Tag Info'!$A$1," ",CHAR(10),'Bundle Tag Info'!$A$2," ",'Bundle Tag Info'!$A$3,CHAR(10),'Bundle Tag Info'!AC$6,CHAR(10),'Bundle Tag Info'!AC$11),"")</f>
        <v/>
      </c>
      <c r="AD6" s="25" t="str">
        <f>IF('Bundle Tag Info'!AD$11&lt;&gt;"",CONCATENATE('Bundle Tag Info'!$A$1," ",CHAR(10),'Bundle Tag Info'!$A$2," ",'Bundle Tag Info'!$A$3,CHAR(10),'Bundle Tag Info'!AD$6,CHAR(10),'Bundle Tag Info'!AD$11),"")</f>
        <v/>
      </c>
    </row>
    <row r="7" spans="1:30" ht="63.95" customHeight="1" x14ac:dyDescent="0.25">
      <c r="A7" s="25" t="str">
        <f>IF('Bundle Tag Info'!A$12&lt;&gt;"",CONCATENATE('Bundle Tag Info'!$A$1," ",CHAR(10),'Bundle Tag Info'!$A$2," ",'Bundle Tag Info'!$A$3,CHAR(10),'Bundle Tag Info'!A$6,CHAR(10),'Bundle Tag Info'!A$12),"")</f>
        <v>ERGON-V #2 
4K911 Rev A
JB70
SA0471</v>
      </c>
      <c r="B7" s="25" t="str">
        <f>IF('Bundle Tag Info'!B$12&lt;&gt;"",CONCATENATE('Bundle Tag Info'!$A$1," ",CHAR(10),'Bundle Tag Info'!$A$2," ",'Bundle Tag Info'!$A$3,CHAR(10),'Bundle Tag Info'!B$6,CHAR(10),'Bundle Tag Info'!B$12),"")</f>
        <v>ERGON-V #2 
4K911 Rev A
L/RAIL JB70
XT/FU</v>
      </c>
      <c r="C7" s="25" t="str">
        <f>IF('Bundle Tag Info'!C$12&lt;&gt;"",CONCATENATE('Bundle Tag Info'!$A$1," ",CHAR(10),'Bundle Tag Info'!$A$2," ",'Bundle Tag Info'!$A$3,CHAR(10),'Bundle Tag Info'!C$6,CHAR(10),'Bundle Tag Info'!C$12),"")</f>
        <v/>
      </c>
      <c r="D7" s="25" t="str">
        <f>IF('Bundle Tag Info'!D$12&lt;&gt;"",CONCATENATE('Bundle Tag Info'!$A$1," ",CHAR(10),'Bundle Tag Info'!$A$2," ",'Bundle Tag Info'!$A$3,CHAR(10),'Bundle Tag Info'!D$6,CHAR(10),'Bundle Tag Info'!D$12),"")</f>
        <v>ERGON-V #2 
4K911 Rev A
A
KA</v>
      </c>
      <c r="E7" s="25" t="str">
        <f>IF('Bundle Tag Info'!E$12&lt;&gt;"",CONCATENATE('Bundle Tag Info'!$A$1," ",CHAR(10),'Bundle Tag Info'!$A$2," ",'Bundle Tag Info'!$A$3,CHAR(10),'Bundle Tag Info'!E$6,CHAR(10),'Bundle Tag Info'!E$12),"")</f>
        <v>ERGON-V #2 
4K911 Rev A
B
KA</v>
      </c>
      <c r="F7" s="25" t="str">
        <f>IF('Bundle Tag Info'!F$12&lt;&gt;"",CONCATENATE('Bundle Tag Info'!$A$1," ",CHAR(10),'Bundle Tag Info'!$A$2," ",'Bundle Tag Info'!$A$3,CHAR(10),'Bundle Tag Info'!F$6,CHAR(10),'Bundle Tag Info'!F$12),"")</f>
        <v/>
      </c>
      <c r="G7" s="25" t="str">
        <f>IF('Bundle Tag Info'!G$12&lt;&gt;"",CONCATENATE('Bundle Tag Info'!$A$1," ",CHAR(10),'Bundle Tag Info'!$A$2," ",'Bundle Tag Info'!$A$3,CHAR(10),'Bundle Tag Info'!G$6,CHAR(10),'Bundle Tag Info'!G$12),"")</f>
        <v/>
      </c>
      <c r="H7" s="25" t="str">
        <f>IF('Bundle Tag Info'!H$12&lt;&gt;"",CONCATENATE('Bundle Tag Info'!$A$1," ",CHAR(10),'Bundle Tag Info'!$A$2," ",'Bundle Tag Info'!$A$3,CHAR(10),'Bundle Tag Info'!H$6,CHAR(10),'Bundle Tag Info'!H$12),"")</f>
        <v>ERGON-V #2 
4K911 Rev A
GEN PNL
AT0140</v>
      </c>
      <c r="I7" s="25" t="str">
        <f>IF('Bundle Tag Info'!I$12&lt;&gt;"",CONCATENATE('Bundle Tag Info'!$A$1," ",CHAR(10),'Bundle Tag Info'!$A$2," ",'Bundle Tag Info'!$A$3,CHAR(10),'Bundle Tag Info'!I$6,CHAR(10),'Bundle Tag Info'!I$12),"")</f>
        <v/>
      </c>
      <c r="J7" s="25" t="str">
        <f>IF('Bundle Tag Info'!J$12&lt;&gt;"",CONCATENATE('Bundle Tag Info'!$A$1," ",CHAR(10),'Bundle Tag Info'!$A$2," ",'Bundle Tag Info'!$A$3,CHAR(10),'Bundle Tag Info'!J$6,CHAR(10),'Bundle Tag Info'!J$12),"")</f>
        <v/>
      </c>
      <c r="K7" s="25" t="str">
        <f>IF('Bundle Tag Info'!K$12&lt;&gt;"",CONCATENATE('Bundle Tag Info'!$A$1," ",CHAR(10),'Bundle Tag Info'!$A$2," ",'Bundle Tag Info'!$A$3,CHAR(10),'Bundle Tag Info'!K$6,CHAR(10),'Bundle Tag Info'!K$12),"")</f>
        <v/>
      </c>
      <c r="L7" s="25" t="str">
        <f>IF('Bundle Tag Info'!L$12&lt;&gt;"",CONCATENATE('Bundle Tag Info'!$A$1," ",CHAR(10),'Bundle Tag Info'!$A$2," ",'Bundle Tag Info'!$A$3,CHAR(10),'Bundle Tag Info'!L$6,CHAR(10),'Bundle Tag Info'!L$12),"")</f>
        <v/>
      </c>
      <c r="M7" s="25" t="str">
        <f>IF('Bundle Tag Info'!M$12&lt;&gt;"",CONCATENATE('Bundle Tag Info'!$A$1," ",CHAR(10),'Bundle Tag Info'!$A$2," ",'Bundle Tag Info'!$A$3,CHAR(10),'Bundle Tag Info'!M$6,CHAR(10),'Bundle Tag Info'!M$12),"")</f>
        <v/>
      </c>
      <c r="N7" s="25" t="str">
        <f>IF('Bundle Tag Info'!N$12&lt;&gt;"",CONCATENATE('Bundle Tag Info'!$A$1," ",CHAR(10),'Bundle Tag Info'!$A$2," ",'Bundle Tag Info'!$A$3,CHAR(10),'Bundle Tag Info'!N$6,CHAR(10),'Bundle Tag Info'!N$12),"")</f>
        <v/>
      </c>
      <c r="O7" s="25" t="str">
        <f>IF('Bundle Tag Info'!O$12&lt;&gt;"",CONCATENATE('Bundle Tag Info'!$A$1," ",CHAR(10),'Bundle Tag Info'!$A$2," ",'Bundle Tag Info'!$A$3,CHAR(10),'Bundle Tag Info'!O$6,CHAR(10),'Bundle Tag Info'!O$12),"")</f>
        <v/>
      </c>
      <c r="P7" s="25" t="str">
        <f>IF('Bundle Tag Info'!P$12&lt;&gt;"",CONCATENATE('Bundle Tag Info'!$A$1," ",CHAR(10),'Bundle Tag Info'!$A$2," ",'Bundle Tag Info'!$A$3,CHAR(10),'Bundle Tag Info'!P$6,CHAR(10),'Bundle Tag Info'!P$12),"")</f>
        <v/>
      </c>
      <c r="Q7" s="25" t="str">
        <f>IF('Bundle Tag Info'!Q$12&lt;&gt;"",CONCATENATE('Bundle Tag Info'!$A$1," ",CHAR(10),'Bundle Tag Info'!$A$2," ",'Bundle Tag Info'!$A$3,CHAR(10),'Bundle Tag Info'!Q$6,CHAR(10),'Bundle Tag Info'!Q$12),"")</f>
        <v/>
      </c>
      <c r="R7" s="25" t="str">
        <f>IF('Bundle Tag Info'!R$12&lt;&gt;"",CONCATENATE('Bundle Tag Info'!$A$1," ",CHAR(10),'Bundle Tag Info'!$A$2," ",'Bundle Tag Info'!$A$3,CHAR(10),'Bundle Tag Info'!R$6,CHAR(10),'Bundle Tag Info'!R$12),"")</f>
        <v/>
      </c>
      <c r="S7" s="25" t="str">
        <f>IF('Bundle Tag Info'!S$12&lt;&gt;"",CONCATENATE('Bundle Tag Info'!$A$1," ",CHAR(10),'Bundle Tag Info'!$A$2," ",'Bundle Tag Info'!$A$3,CHAR(10),'Bundle Tag Info'!S$6,CHAR(10),'Bundle Tag Info'!S$12),"")</f>
        <v/>
      </c>
      <c r="T7" s="25" t="str">
        <f>IF('Bundle Tag Info'!T$12&lt;&gt;"",CONCATENATE('Bundle Tag Info'!$A$1," ",CHAR(10),'Bundle Tag Info'!$A$2," ",'Bundle Tag Info'!$A$3,CHAR(10),'Bundle Tag Info'!T$6,CHAR(10),'Bundle Tag Info'!T$12),"")</f>
        <v/>
      </c>
      <c r="U7" s="25" t="str">
        <f>IF('Bundle Tag Info'!U$12&lt;&gt;"",CONCATENATE('Bundle Tag Info'!$A$1," ",CHAR(10),'Bundle Tag Info'!$A$2," ",'Bundle Tag Info'!$A$3,CHAR(10),'Bundle Tag Info'!U$6,CHAR(10),'Bundle Tag Info'!U$12),"")</f>
        <v/>
      </c>
      <c r="V7" s="25" t="str">
        <f>IF('Bundle Tag Info'!V$12&lt;&gt;"",CONCATENATE('Bundle Tag Info'!$A$1," ",CHAR(10),'Bundle Tag Info'!$A$2," ",'Bundle Tag Info'!$A$3,CHAR(10),'Bundle Tag Info'!V$6,CHAR(10),'Bundle Tag Info'!V$12),"")</f>
        <v/>
      </c>
      <c r="W7" s="25" t="str">
        <f>IF('Bundle Tag Info'!W$12&lt;&gt;"",CONCATENATE('Bundle Tag Info'!$A$1," ",CHAR(10),'Bundle Tag Info'!$A$2," ",'Bundle Tag Info'!$A$3,CHAR(10),'Bundle Tag Info'!W$6,CHAR(10),'Bundle Tag Info'!W$12),"")</f>
        <v/>
      </c>
      <c r="X7" s="25" t="str">
        <f>IF('Bundle Tag Info'!X$12&lt;&gt;"",CONCATENATE('Bundle Tag Info'!$A$1," ",CHAR(10),'Bundle Tag Info'!$A$2," ",'Bundle Tag Info'!$A$3,CHAR(10),'Bundle Tag Info'!X$6,CHAR(10),'Bundle Tag Info'!X$12),"")</f>
        <v/>
      </c>
      <c r="Y7" s="25" t="str">
        <f>IF('Bundle Tag Info'!Y$12&lt;&gt;"",CONCATENATE('Bundle Tag Info'!$A$1," ",CHAR(10),'Bundle Tag Info'!$A$2," ",'Bundle Tag Info'!$A$3,CHAR(10),'Bundle Tag Info'!Y$6,CHAR(10),'Bundle Tag Info'!Y$12),"")</f>
        <v/>
      </c>
      <c r="Z7" s="25" t="str">
        <f>IF('Bundle Tag Info'!Z$12&lt;&gt;"",CONCATENATE('Bundle Tag Info'!$A$1," ",CHAR(10),'Bundle Tag Info'!$A$2," ",'Bundle Tag Info'!$A$3,CHAR(10),'Bundle Tag Info'!Z$6,CHAR(10),'Bundle Tag Info'!Z$12),"")</f>
        <v/>
      </c>
      <c r="AA7" s="25" t="str">
        <f>IF('Bundle Tag Info'!AA$12&lt;&gt;"",CONCATENATE('Bundle Tag Info'!$A$1," ",CHAR(10),'Bundle Tag Info'!$A$2," ",'Bundle Tag Info'!$A$3,CHAR(10),'Bundle Tag Info'!AA$6,CHAR(10),'Bundle Tag Info'!AA$12),"")</f>
        <v/>
      </c>
      <c r="AB7" s="25" t="str">
        <f>IF('Bundle Tag Info'!AB$12&lt;&gt;"",CONCATENATE('Bundle Tag Info'!$A$1," ",CHAR(10),'Bundle Tag Info'!$A$2," ",'Bundle Tag Info'!$A$3,CHAR(10),'Bundle Tag Info'!AB$6,CHAR(10),'Bundle Tag Info'!AB$12),"")</f>
        <v/>
      </c>
      <c r="AC7" s="25" t="str">
        <f>IF('Bundle Tag Info'!AC$12&lt;&gt;"",CONCATENATE('Bundle Tag Info'!$A$1," ",CHAR(10),'Bundle Tag Info'!$A$2," ",'Bundle Tag Info'!$A$3,CHAR(10),'Bundle Tag Info'!AC$6,CHAR(10),'Bundle Tag Info'!AC$12),"")</f>
        <v/>
      </c>
      <c r="AD7" s="25" t="str">
        <f>IF('Bundle Tag Info'!AD$12&lt;&gt;"",CONCATENATE('Bundle Tag Info'!$A$1," ",CHAR(10),'Bundle Tag Info'!$A$2," ",'Bundle Tag Info'!$A$3,CHAR(10),'Bundle Tag Info'!AD$6,CHAR(10),'Bundle Tag Info'!AD$12),"")</f>
        <v/>
      </c>
    </row>
    <row r="8" spans="1:30" ht="63.95" customHeight="1" x14ac:dyDescent="0.25">
      <c r="A8" s="25" t="str">
        <f>IF('Bundle Tag Info'!A$13&lt;&gt;"",CONCATENATE('Bundle Tag Info'!$A$1," ",CHAR(10),'Bundle Tag Info'!$A$2," ",'Bundle Tag Info'!$A$3,CHAR(10),'Bundle Tag Info'!A$6,CHAR(10),'Bundle Tag Info'!A$13),"")</f>
        <v>ERGON-V #2 
4K911 Rev A
JB70
SB0471</v>
      </c>
      <c r="B8" s="25" t="str">
        <f>IF('Bundle Tag Info'!B$13&lt;&gt;"",CONCATENATE('Bundle Tag Info'!$A$1," ",CHAR(10),'Bundle Tag Info'!$A$2," ",'Bundle Tag Info'!$A$3,CHAR(10),'Bundle Tag Info'!B$6,CHAR(10),'Bundle Tag Info'!B$13),"")</f>
        <v>ERGON-V #2 
4K911 Rev A
L/RAIL JB70
AT-DOOR</v>
      </c>
      <c r="C8" s="25" t="str">
        <f>IF('Bundle Tag Info'!C$13&lt;&gt;"",CONCATENATE('Bundle Tag Info'!$A$1," ",CHAR(10),'Bundle Tag Info'!$A$2," ",'Bundle Tag Info'!$A$3,CHAR(10),'Bundle Tag Info'!C$6,CHAR(10),'Bundle Tag Info'!C$13),"")</f>
        <v/>
      </c>
      <c r="D8" s="25" t="str">
        <f>IF('Bundle Tag Info'!D$13&lt;&gt;"",CONCATENATE('Bundle Tag Info'!$A$1," ",CHAR(10),'Bundle Tag Info'!$A$2," ",'Bundle Tag Info'!$A$3,CHAR(10),'Bundle Tag Info'!D$6,CHAR(10),'Bundle Tag Info'!D$13),"")</f>
        <v xml:space="preserve">ERGON-V #2 
4K911 Rev A
A
KT L/S </v>
      </c>
      <c r="E8" s="25" t="str">
        <f>IF('Bundle Tag Info'!E$13&lt;&gt;"",CONCATENATE('Bundle Tag Info'!$A$1," ",CHAR(10),'Bundle Tag Info'!$A$2," ",'Bundle Tag Info'!$A$3,CHAR(10),'Bundle Tag Info'!E$6,CHAR(10),'Bundle Tag Info'!E$13),"")</f>
        <v>ERGON-V #2 
4K911 Rev A
B
UA1200</v>
      </c>
      <c r="F8" s="25" t="str">
        <f>IF('Bundle Tag Info'!F$13&lt;&gt;"",CONCATENATE('Bundle Tag Info'!$A$1," ",CHAR(10),'Bundle Tag Info'!$A$2," ",'Bundle Tag Info'!$A$3,CHAR(10),'Bundle Tag Info'!F$6,CHAR(10),'Bundle Tag Info'!F$13),"")</f>
        <v/>
      </c>
      <c r="G8" s="25" t="str">
        <f>IF('Bundle Tag Info'!G$13&lt;&gt;"",CONCATENATE('Bundle Tag Info'!$A$1," ",CHAR(10),'Bundle Tag Info'!$A$2," ",'Bundle Tag Info'!$A$3,CHAR(10),'Bundle Tag Info'!G$6,CHAR(10),'Bundle Tag Info'!G$13),"")</f>
        <v/>
      </c>
      <c r="H8" s="25" t="str">
        <f>IF('Bundle Tag Info'!H$13&lt;&gt;"",CONCATENATE('Bundle Tag Info'!$A$1," ",CHAR(10),'Bundle Tag Info'!$A$2," ",'Bundle Tag Info'!$A$3,CHAR(10),'Bundle Tag Info'!H$6,CHAR(10),'Bundle Tag Info'!H$13),"")</f>
        <v/>
      </c>
      <c r="I8" s="25" t="str">
        <f>IF('Bundle Tag Info'!I$13&lt;&gt;"",CONCATENATE('Bundle Tag Info'!$A$1," ",CHAR(10),'Bundle Tag Info'!$A$2," ",'Bundle Tag Info'!$A$3,CHAR(10),'Bundle Tag Info'!I$6,CHAR(10),'Bundle Tag Info'!I$13),"")</f>
        <v/>
      </c>
      <c r="J8" s="25" t="str">
        <f>IF('Bundle Tag Info'!J$13&lt;&gt;"",CONCATENATE('Bundle Tag Info'!$A$1," ",CHAR(10),'Bundle Tag Info'!$A$2," ",'Bundle Tag Info'!$A$3,CHAR(10),'Bundle Tag Info'!J$6,CHAR(10),'Bundle Tag Info'!J$13),"")</f>
        <v/>
      </c>
      <c r="K8" s="25" t="str">
        <f>IF('Bundle Tag Info'!K$13&lt;&gt;"",CONCATENATE('Bundle Tag Info'!$A$1," ",CHAR(10),'Bundle Tag Info'!$A$2," ",'Bundle Tag Info'!$A$3,CHAR(10),'Bundle Tag Info'!K$6,CHAR(10),'Bundle Tag Info'!K$13),"")</f>
        <v/>
      </c>
      <c r="L8" s="25" t="str">
        <f>IF('Bundle Tag Info'!L$13&lt;&gt;"",CONCATENATE('Bundle Tag Info'!$A$1," ",CHAR(10),'Bundle Tag Info'!$A$2," ",'Bundle Tag Info'!$A$3,CHAR(10),'Bundle Tag Info'!L$6,CHAR(10),'Bundle Tag Info'!L$13),"")</f>
        <v/>
      </c>
      <c r="M8" s="25" t="str">
        <f>IF('Bundle Tag Info'!M$13&lt;&gt;"",CONCATENATE('Bundle Tag Info'!$A$1," ",CHAR(10),'Bundle Tag Info'!$A$2," ",'Bundle Tag Info'!$A$3,CHAR(10),'Bundle Tag Info'!M$6,CHAR(10),'Bundle Tag Info'!M$13),"")</f>
        <v/>
      </c>
      <c r="N8" s="25" t="str">
        <f>IF('Bundle Tag Info'!N$13&lt;&gt;"",CONCATENATE('Bundle Tag Info'!$A$1," ",CHAR(10),'Bundle Tag Info'!$A$2," ",'Bundle Tag Info'!$A$3,CHAR(10),'Bundle Tag Info'!N$6,CHAR(10),'Bundle Tag Info'!N$13),"")</f>
        <v/>
      </c>
      <c r="O8" s="25" t="str">
        <f>IF('Bundle Tag Info'!O$13&lt;&gt;"",CONCATENATE('Bundle Tag Info'!$A$1," ",CHAR(10),'Bundle Tag Info'!$A$2," ",'Bundle Tag Info'!$A$3,CHAR(10),'Bundle Tag Info'!O$6,CHAR(10),'Bundle Tag Info'!O$13),"")</f>
        <v/>
      </c>
      <c r="P8" s="25" t="str">
        <f>IF('Bundle Tag Info'!P$13&lt;&gt;"",CONCATENATE('Bundle Tag Info'!$A$1," ",CHAR(10),'Bundle Tag Info'!$A$2," ",'Bundle Tag Info'!$A$3,CHAR(10),'Bundle Tag Info'!P$6,CHAR(10),'Bundle Tag Info'!P$13),"")</f>
        <v/>
      </c>
      <c r="Q8" s="25" t="str">
        <f>IF('Bundle Tag Info'!Q$13&lt;&gt;"",CONCATENATE('Bundle Tag Info'!$A$1," ",CHAR(10),'Bundle Tag Info'!$A$2," ",'Bundle Tag Info'!$A$3,CHAR(10),'Bundle Tag Info'!Q$6,CHAR(10),'Bundle Tag Info'!Q$13),"")</f>
        <v/>
      </c>
      <c r="R8" s="25" t="str">
        <f>IF('Bundle Tag Info'!R$13&lt;&gt;"",CONCATENATE('Bundle Tag Info'!$A$1," ",CHAR(10),'Bundle Tag Info'!$A$2," ",'Bundle Tag Info'!$A$3,CHAR(10),'Bundle Tag Info'!R$6,CHAR(10),'Bundle Tag Info'!R$13),"")</f>
        <v/>
      </c>
      <c r="S8" s="25" t="str">
        <f>IF('Bundle Tag Info'!S$13&lt;&gt;"",CONCATENATE('Bundle Tag Info'!$A$1," ",CHAR(10),'Bundle Tag Info'!$A$2," ",'Bundle Tag Info'!$A$3,CHAR(10),'Bundle Tag Info'!S$6,CHAR(10),'Bundle Tag Info'!S$13),"")</f>
        <v/>
      </c>
      <c r="T8" s="25" t="str">
        <f>IF('Bundle Tag Info'!T$13&lt;&gt;"",CONCATENATE('Bundle Tag Info'!$A$1," ",CHAR(10),'Bundle Tag Info'!$A$2," ",'Bundle Tag Info'!$A$3,CHAR(10),'Bundle Tag Info'!T$6,CHAR(10),'Bundle Tag Info'!T$13),"")</f>
        <v/>
      </c>
      <c r="U8" s="25" t="str">
        <f>IF('Bundle Tag Info'!U$13&lt;&gt;"",CONCATENATE('Bundle Tag Info'!$A$1," ",CHAR(10),'Bundle Tag Info'!$A$2," ",'Bundle Tag Info'!$A$3,CHAR(10),'Bundle Tag Info'!U$6,CHAR(10),'Bundle Tag Info'!U$13),"")</f>
        <v/>
      </c>
      <c r="V8" s="25" t="str">
        <f>IF('Bundle Tag Info'!V$13&lt;&gt;"",CONCATENATE('Bundle Tag Info'!$A$1," ",CHAR(10),'Bundle Tag Info'!$A$2," ",'Bundle Tag Info'!$A$3,CHAR(10),'Bundle Tag Info'!V$6,CHAR(10),'Bundle Tag Info'!V$13),"")</f>
        <v/>
      </c>
      <c r="W8" s="25" t="str">
        <f>IF('Bundle Tag Info'!W$13&lt;&gt;"",CONCATENATE('Bundle Tag Info'!$A$1," ",CHAR(10),'Bundle Tag Info'!$A$2," ",'Bundle Tag Info'!$A$3,CHAR(10),'Bundle Tag Info'!W$6,CHAR(10),'Bundle Tag Info'!W$13),"")</f>
        <v/>
      </c>
      <c r="X8" s="25" t="str">
        <f>IF('Bundle Tag Info'!X$13&lt;&gt;"",CONCATENATE('Bundle Tag Info'!$A$1," ",CHAR(10),'Bundle Tag Info'!$A$2," ",'Bundle Tag Info'!$A$3,CHAR(10),'Bundle Tag Info'!X$6,CHAR(10),'Bundle Tag Info'!X$13),"")</f>
        <v/>
      </c>
      <c r="Y8" s="25" t="str">
        <f>IF('Bundle Tag Info'!Y$13&lt;&gt;"",CONCATENATE('Bundle Tag Info'!$A$1," ",CHAR(10),'Bundle Tag Info'!$A$2," ",'Bundle Tag Info'!$A$3,CHAR(10),'Bundle Tag Info'!Y$6,CHAR(10),'Bundle Tag Info'!Y$13),"")</f>
        <v/>
      </c>
      <c r="Z8" s="25" t="str">
        <f>IF('Bundle Tag Info'!Z$13&lt;&gt;"",CONCATENATE('Bundle Tag Info'!$A$1," ",CHAR(10),'Bundle Tag Info'!$A$2," ",'Bundle Tag Info'!$A$3,CHAR(10),'Bundle Tag Info'!Z$6,CHAR(10),'Bundle Tag Info'!Z$13),"")</f>
        <v/>
      </c>
      <c r="AA8" s="25" t="str">
        <f>IF('Bundle Tag Info'!AA$13&lt;&gt;"",CONCATENATE('Bundle Tag Info'!$A$1," ",CHAR(10),'Bundle Tag Info'!$A$2," ",'Bundle Tag Info'!$A$3,CHAR(10),'Bundle Tag Info'!AA$6,CHAR(10),'Bundle Tag Info'!AA$13),"")</f>
        <v/>
      </c>
      <c r="AB8" s="25" t="str">
        <f>IF('Bundle Tag Info'!AB$13&lt;&gt;"",CONCATENATE('Bundle Tag Info'!$A$1," ",CHAR(10),'Bundle Tag Info'!$A$2," ",'Bundle Tag Info'!$A$3,CHAR(10),'Bundle Tag Info'!AB$6,CHAR(10),'Bundle Tag Info'!AB$13),"")</f>
        <v/>
      </c>
      <c r="AC8" s="25" t="str">
        <f>IF('Bundle Tag Info'!AC$13&lt;&gt;"",CONCATENATE('Bundle Tag Info'!$A$1," ",CHAR(10),'Bundle Tag Info'!$A$2," ",'Bundle Tag Info'!$A$3,CHAR(10),'Bundle Tag Info'!AC$6,CHAR(10),'Bundle Tag Info'!AC$13),"")</f>
        <v/>
      </c>
      <c r="AD8" s="25" t="str">
        <f>IF('Bundle Tag Info'!AD$13&lt;&gt;"",CONCATENATE('Bundle Tag Info'!$A$1," ",CHAR(10),'Bundle Tag Info'!$A$2," ",'Bundle Tag Info'!$A$3,CHAR(10),'Bundle Tag Info'!AD$6,CHAR(10),'Bundle Tag Info'!AD$13),"")</f>
        <v/>
      </c>
    </row>
    <row r="9" spans="1:30" ht="63.95" customHeight="1" x14ac:dyDescent="0.25">
      <c r="A9" s="25" t="str">
        <f>IF('Bundle Tag Info'!A$14&lt;&gt;"",CONCATENATE('Bundle Tag Info'!$A$1," ",CHAR(10),'Bundle Tag Info'!$A$2," ",'Bundle Tag Info'!$A$3,CHAR(10),'Bundle Tag Info'!A$6,CHAR(10),'Bundle Tag Info'!A$14),"")</f>
        <v>ERGON-V #2 
4K911 Rev A
JB70
SB0473</v>
      </c>
      <c r="B9" s="25" t="str">
        <f>IF('Bundle Tag Info'!B$14&lt;&gt;"",CONCATENATE('Bundle Tag Info'!$A$1," ",CHAR(10),'Bundle Tag Info'!$A$2," ",'Bundle Tag Info'!$A$3,CHAR(10),'Bundle Tag Info'!B$6,CHAR(10),'Bundle Tag Info'!B$14),"")</f>
        <v>ERGON-V #2 
4K911 Rev A
L/RAIL JB70
KA-DOOR</v>
      </c>
      <c r="C9" s="25" t="str">
        <f>IF('Bundle Tag Info'!C$14&lt;&gt;"",CONCATENATE('Bundle Tag Info'!$A$1," ",CHAR(10),'Bundle Tag Info'!$A$2," ",'Bundle Tag Info'!$A$3,CHAR(10),'Bundle Tag Info'!C$6,CHAR(10),'Bundle Tag Info'!C$14),"")</f>
        <v/>
      </c>
      <c r="D9" s="25" t="str">
        <f>IF('Bundle Tag Info'!D$14&lt;&gt;"",CONCATENATE('Bundle Tag Info'!$A$1," ",CHAR(10),'Bundle Tag Info'!$A$2," ",'Bundle Tag Info'!$A$3,CHAR(10),'Bundle Tag Info'!D$6,CHAR(10),'Bundle Tag Info'!D$14),"")</f>
        <v>ERGON-V #2 
4K911 Rev A
A
KT R/S</v>
      </c>
      <c r="E9" s="25" t="str">
        <f>IF('Bundle Tag Info'!E$14&lt;&gt;"",CONCATENATE('Bundle Tag Info'!$A$1," ",CHAR(10),'Bundle Tag Info'!$A$2," ",'Bundle Tag Info'!$A$3,CHAR(10),'Bundle Tag Info'!E$6,CHAR(10),'Bundle Tag Info'!E$14),"")</f>
        <v>ERGON-V #2 
4K911 Rev A
B
XT</v>
      </c>
      <c r="F9" s="25" t="str">
        <f>IF('Bundle Tag Info'!F$14&lt;&gt;"",CONCATENATE('Bundle Tag Info'!$A$1," ",CHAR(10),'Bundle Tag Info'!$A$2," ",'Bundle Tag Info'!$A$3,CHAR(10),'Bundle Tag Info'!F$6,CHAR(10),'Bundle Tag Info'!F$14),"")</f>
        <v/>
      </c>
      <c r="G9" s="25" t="str">
        <f>IF('Bundle Tag Info'!G$14&lt;&gt;"",CONCATENATE('Bundle Tag Info'!$A$1," ",CHAR(10),'Bundle Tag Info'!$A$2," ",'Bundle Tag Info'!$A$3,CHAR(10),'Bundle Tag Info'!G$6,CHAR(10),'Bundle Tag Info'!G$14),"")</f>
        <v/>
      </c>
      <c r="H9" s="25" t="str">
        <f>IF('Bundle Tag Info'!H$14&lt;&gt;"",CONCATENATE('Bundle Tag Info'!$A$1," ",CHAR(10),'Bundle Tag Info'!$A$2," ",'Bundle Tag Info'!$A$3,CHAR(10),'Bundle Tag Info'!H$6,CHAR(10),'Bundle Tag Info'!H$14),"")</f>
        <v/>
      </c>
      <c r="I9" s="25" t="str">
        <f>IF('Bundle Tag Info'!I$14&lt;&gt;"",CONCATENATE('Bundle Tag Info'!$A$1," ",CHAR(10),'Bundle Tag Info'!$A$2," ",'Bundle Tag Info'!$A$3,CHAR(10),'Bundle Tag Info'!I$6,CHAR(10),'Bundle Tag Info'!I$14),"")</f>
        <v/>
      </c>
      <c r="J9" s="25" t="str">
        <f>IF('Bundle Tag Info'!J$14&lt;&gt;"",CONCATENATE('Bundle Tag Info'!$A$1," ",CHAR(10),'Bundle Tag Info'!$A$2," ",'Bundle Tag Info'!$A$3,CHAR(10),'Bundle Tag Info'!J$6,CHAR(10),'Bundle Tag Info'!J$14),"")</f>
        <v/>
      </c>
      <c r="K9" s="25" t="str">
        <f>IF('Bundle Tag Info'!K$14&lt;&gt;"",CONCATENATE('Bundle Tag Info'!$A$1," ",CHAR(10),'Bundle Tag Info'!$A$2," ",'Bundle Tag Info'!$A$3,CHAR(10),'Bundle Tag Info'!K$6,CHAR(10),'Bundle Tag Info'!K$14),"")</f>
        <v/>
      </c>
      <c r="L9" s="25" t="str">
        <f>IF('Bundle Tag Info'!L$14&lt;&gt;"",CONCATENATE('Bundle Tag Info'!$A$1," ",CHAR(10),'Bundle Tag Info'!$A$2," ",'Bundle Tag Info'!$A$3,CHAR(10),'Bundle Tag Info'!L$6,CHAR(10),'Bundle Tag Info'!L$14),"")</f>
        <v/>
      </c>
      <c r="M9" s="25" t="str">
        <f>IF('Bundle Tag Info'!M$14&lt;&gt;"",CONCATENATE('Bundle Tag Info'!$A$1," ",CHAR(10),'Bundle Tag Info'!$A$2," ",'Bundle Tag Info'!$A$3,CHAR(10),'Bundle Tag Info'!M$6,CHAR(10),'Bundle Tag Info'!M$14),"")</f>
        <v/>
      </c>
      <c r="N9" s="25" t="str">
        <f>IF('Bundle Tag Info'!N$14&lt;&gt;"",CONCATENATE('Bundle Tag Info'!$A$1," ",CHAR(10),'Bundle Tag Info'!$A$2," ",'Bundle Tag Info'!$A$3,CHAR(10),'Bundle Tag Info'!N$6,CHAR(10),'Bundle Tag Info'!N$14),"")</f>
        <v/>
      </c>
      <c r="O9" s="25" t="str">
        <f>IF('Bundle Tag Info'!O$14&lt;&gt;"",CONCATENATE('Bundle Tag Info'!$A$1," ",CHAR(10),'Bundle Tag Info'!$A$2," ",'Bundle Tag Info'!$A$3,CHAR(10),'Bundle Tag Info'!O$6,CHAR(10),'Bundle Tag Info'!O$14),"")</f>
        <v/>
      </c>
      <c r="P9" s="25" t="str">
        <f>IF('Bundle Tag Info'!P$14&lt;&gt;"",CONCATENATE('Bundle Tag Info'!$A$1," ",CHAR(10),'Bundle Tag Info'!$A$2," ",'Bundle Tag Info'!$A$3,CHAR(10),'Bundle Tag Info'!P$6,CHAR(10),'Bundle Tag Info'!P$14),"")</f>
        <v/>
      </c>
      <c r="Q9" s="25" t="str">
        <f>IF('Bundle Tag Info'!Q$14&lt;&gt;"",CONCATENATE('Bundle Tag Info'!$A$1," ",CHAR(10),'Bundle Tag Info'!$A$2," ",'Bundle Tag Info'!$A$3,CHAR(10),'Bundle Tag Info'!Q$6,CHAR(10),'Bundle Tag Info'!Q$14),"")</f>
        <v/>
      </c>
      <c r="R9" s="25" t="str">
        <f>IF('Bundle Tag Info'!R$14&lt;&gt;"",CONCATENATE('Bundle Tag Info'!$A$1," ",CHAR(10),'Bundle Tag Info'!$A$2," ",'Bundle Tag Info'!$A$3,CHAR(10),'Bundle Tag Info'!R$6,CHAR(10),'Bundle Tag Info'!R$14),"")</f>
        <v/>
      </c>
      <c r="S9" s="25" t="str">
        <f>IF('Bundle Tag Info'!S$14&lt;&gt;"",CONCATENATE('Bundle Tag Info'!$A$1," ",CHAR(10),'Bundle Tag Info'!$A$2," ",'Bundle Tag Info'!$A$3,CHAR(10),'Bundle Tag Info'!S$6,CHAR(10),'Bundle Tag Info'!S$14),"")</f>
        <v/>
      </c>
      <c r="T9" s="25" t="str">
        <f>IF('Bundle Tag Info'!T$14&lt;&gt;"",CONCATENATE('Bundle Tag Info'!$A$1," ",CHAR(10),'Bundle Tag Info'!$A$2," ",'Bundle Tag Info'!$A$3,CHAR(10),'Bundle Tag Info'!T$6,CHAR(10),'Bundle Tag Info'!T$14),"")</f>
        <v/>
      </c>
      <c r="U9" s="25" t="str">
        <f>IF('Bundle Tag Info'!U$14&lt;&gt;"",CONCATENATE('Bundle Tag Info'!$A$1," ",CHAR(10),'Bundle Tag Info'!$A$2," ",'Bundle Tag Info'!$A$3,CHAR(10),'Bundle Tag Info'!U$6,CHAR(10),'Bundle Tag Info'!U$14),"")</f>
        <v/>
      </c>
      <c r="V9" s="25" t="str">
        <f>IF('Bundle Tag Info'!V$14&lt;&gt;"",CONCATENATE('Bundle Tag Info'!$A$1," ",CHAR(10),'Bundle Tag Info'!$A$2," ",'Bundle Tag Info'!$A$3,CHAR(10),'Bundle Tag Info'!V$6,CHAR(10),'Bundle Tag Info'!V$14),"")</f>
        <v/>
      </c>
      <c r="W9" s="25" t="str">
        <f>IF('Bundle Tag Info'!W$14&lt;&gt;"",CONCATENATE('Bundle Tag Info'!$A$1," ",CHAR(10),'Bundle Tag Info'!$A$2," ",'Bundle Tag Info'!$A$3,CHAR(10),'Bundle Tag Info'!W$6,CHAR(10),'Bundle Tag Info'!W$14),"")</f>
        <v/>
      </c>
      <c r="X9" s="25" t="str">
        <f>IF('Bundle Tag Info'!X$14&lt;&gt;"",CONCATENATE('Bundle Tag Info'!$A$1," ",CHAR(10),'Bundle Tag Info'!$A$2," ",'Bundle Tag Info'!$A$3,CHAR(10),'Bundle Tag Info'!X$6,CHAR(10),'Bundle Tag Info'!X$14),"")</f>
        <v/>
      </c>
      <c r="Y9" s="25" t="str">
        <f>IF('Bundle Tag Info'!Y$14&lt;&gt;"",CONCATENATE('Bundle Tag Info'!$A$1," ",CHAR(10),'Bundle Tag Info'!$A$2," ",'Bundle Tag Info'!$A$3,CHAR(10),'Bundle Tag Info'!Y$6,CHAR(10),'Bundle Tag Info'!Y$14),"")</f>
        <v/>
      </c>
      <c r="Z9" s="25" t="str">
        <f>IF('Bundle Tag Info'!Z$14&lt;&gt;"",CONCATENATE('Bundle Tag Info'!$A$1," ",CHAR(10),'Bundle Tag Info'!$A$2," ",'Bundle Tag Info'!$A$3,CHAR(10),'Bundle Tag Info'!Z$6,CHAR(10),'Bundle Tag Info'!Z$14),"")</f>
        <v/>
      </c>
      <c r="AA9" s="25" t="str">
        <f>IF('Bundle Tag Info'!AA$14&lt;&gt;"",CONCATENATE('Bundle Tag Info'!$A$1," ",CHAR(10),'Bundle Tag Info'!$A$2," ",'Bundle Tag Info'!$A$3,CHAR(10),'Bundle Tag Info'!AA$6,CHAR(10),'Bundle Tag Info'!AA$14),"")</f>
        <v/>
      </c>
      <c r="AB9" s="25" t="str">
        <f>IF('Bundle Tag Info'!AB$14&lt;&gt;"",CONCATENATE('Bundle Tag Info'!$A$1," ",CHAR(10),'Bundle Tag Info'!$A$2," ",'Bundle Tag Info'!$A$3,CHAR(10),'Bundle Tag Info'!AB$6,CHAR(10),'Bundle Tag Info'!AB$14),"")</f>
        <v/>
      </c>
      <c r="AC9" s="25" t="str">
        <f>IF('Bundle Tag Info'!AC$14&lt;&gt;"",CONCATENATE('Bundle Tag Info'!$A$1," ",CHAR(10),'Bundle Tag Info'!$A$2," ",'Bundle Tag Info'!$A$3,CHAR(10),'Bundle Tag Info'!AC$6,CHAR(10),'Bundle Tag Info'!AC$14),"")</f>
        <v/>
      </c>
      <c r="AD9" s="25" t="str">
        <f>IF('Bundle Tag Info'!AD$14&lt;&gt;"",CONCATENATE('Bundle Tag Info'!$A$1," ",CHAR(10),'Bundle Tag Info'!$A$2," ",'Bundle Tag Info'!$A$3,CHAR(10),'Bundle Tag Info'!AD$6,CHAR(10),'Bundle Tag Info'!AD$14),"")</f>
        <v/>
      </c>
    </row>
    <row r="10" spans="1:30" ht="63.95" customHeight="1" x14ac:dyDescent="0.25">
      <c r="A10" s="25" t="str">
        <f>IF('Bundle Tag Info'!A$15&lt;&gt;"",CONCATENATE('Bundle Tag Info'!$A$1," ",CHAR(10),'Bundle Tag Info'!$A$2," ",'Bundle Tag Info'!$A$3,CHAR(10),'Bundle Tag Info'!A$6,CHAR(10),'Bundle Tag Info'!A$15),"")</f>
        <v>ERGON-V #2 
4K911 Rev A
JB70
SB0474</v>
      </c>
      <c r="B10" s="25" t="str">
        <f>IF('Bundle Tag Info'!B$15&lt;&gt;"",CONCATENATE('Bundle Tag Info'!$A$1," ",CHAR(10),'Bundle Tag Info'!$A$2," ",'Bundle Tag Info'!$A$3,CHAR(10),'Bundle Tag Info'!B$6,CHAR(10),'Bundle Tag Info'!B$15),"")</f>
        <v>ERGON-V #2 
4K911 Rev A
L/RAIL JB70
XT-DOOR</v>
      </c>
      <c r="C10" s="25" t="str">
        <f>IF('Bundle Tag Info'!C$15&lt;&gt;"",CONCATENATE('Bundle Tag Info'!$A$1," ",CHAR(10),'Bundle Tag Info'!$A$2," ",'Bundle Tag Info'!$A$3,CHAR(10),'Bundle Tag Info'!C$6,CHAR(10),'Bundle Tag Info'!C$15),"")</f>
        <v/>
      </c>
      <c r="D10" s="25" t="str">
        <f>IF('Bundle Tag Info'!D$15&lt;&gt;"",CONCATENATE('Bundle Tag Info'!$A$1," ",CHAR(10),'Bundle Tag Info'!$A$2," ",'Bundle Tag Info'!$A$3,CHAR(10),'Bundle Tag Info'!D$6,CHAR(10),'Bundle Tag Info'!D$15),"")</f>
        <v>ERGON-V #2 
4K911 Rev A
A
XT</v>
      </c>
      <c r="E10" s="25" t="str">
        <f>IF('Bundle Tag Info'!E$15&lt;&gt;"",CONCATENATE('Bundle Tag Info'!$A$1," ",CHAR(10),'Bundle Tag Info'!$A$2," ",'Bundle Tag Info'!$A$3,CHAR(10),'Bundle Tag Info'!E$6,CHAR(10),'Bundle Tag Info'!E$15),"")</f>
        <v>ERGON-V #2 
4K911 Rev A
B
UV0291</v>
      </c>
      <c r="F10" s="25" t="str">
        <f>IF('Bundle Tag Info'!F$15&lt;&gt;"",CONCATENATE('Bundle Tag Info'!$A$1," ",CHAR(10),'Bundle Tag Info'!$A$2," ",'Bundle Tag Info'!$A$3,CHAR(10),'Bundle Tag Info'!F$6,CHAR(10),'Bundle Tag Info'!F$15),"")</f>
        <v/>
      </c>
      <c r="G10" s="25" t="str">
        <f>IF('Bundle Tag Info'!G$15&lt;&gt;"",CONCATENATE('Bundle Tag Info'!$A$1," ",CHAR(10),'Bundle Tag Info'!$A$2," ",'Bundle Tag Info'!$A$3,CHAR(10),'Bundle Tag Info'!G$6,CHAR(10),'Bundle Tag Info'!G$15),"")</f>
        <v/>
      </c>
      <c r="H10" s="25" t="str">
        <f>IF('Bundle Tag Info'!H$15&lt;&gt;"",CONCATENATE('Bundle Tag Info'!$A$1," ",CHAR(10),'Bundle Tag Info'!$A$2," ",'Bundle Tag Info'!$A$3,CHAR(10),'Bundle Tag Info'!H$6,CHAR(10),'Bundle Tag Info'!H$15),"")</f>
        <v/>
      </c>
      <c r="I10" s="25" t="str">
        <f>IF('Bundle Tag Info'!I$15&lt;&gt;"",CONCATENATE('Bundle Tag Info'!$A$1," ",CHAR(10),'Bundle Tag Info'!$A$2," ",'Bundle Tag Info'!$A$3,CHAR(10),'Bundle Tag Info'!I$6,CHAR(10),'Bundle Tag Info'!I$15),"")</f>
        <v/>
      </c>
      <c r="J10" s="25" t="str">
        <f>IF('Bundle Tag Info'!J$15&lt;&gt;"",CONCATENATE('Bundle Tag Info'!$A$1," ",CHAR(10),'Bundle Tag Info'!$A$2," ",'Bundle Tag Info'!$A$3,CHAR(10),'Bundle Tag Info'!J$6,CHAR(10),'Bundle Tag Info'!J$15),"")</f>
        <v/>
      </c>
      <c r="K10" s="25" t="str">
        <f>IF('Bundle Tag Info'!K$15&lt;&gt;"",CONCATENATE('Bundle Tag Info'!$A$1," ",CHAR(10),'Bundle Tag Info'!$A$2," ",'Bundle Tag Info'!$A$3,CHAR(10),'Bundle Tag Info'!K$6,CHAR(10),'Bundle Tag Info'!K$15),"")</f>
        <v/>
      </c>
      <c r="L10" s="25" t="str">
        <f>IF('Bundle Tag Info'!L$15&lt;&gt;"",CONCATENATE('Bundle Tag Info'!$A$1," ",CHAR(10),'Bundle Tag Info'!$A$2," ",'Bundle Tag Info'!$A$3,CHAR(10),'Bundle Tag Info'!L$6,CHAR(10),'Bundle Tag Info'!L$15),"")</f>
        <v/>
      </c>
      <c r="M10" s="25" t="str">
        <f>IF('Bundle Tag Info'!M$15&lt;&gt;"",CONCATENATE('Bundle Tag Info'!$A$1," ",CHAR(10),'Bundle Tag Info'!$A$2," ",'Bundle Tag Info'!$A$3,CHAR(10),'Bundle Tag Info'!M$6,CHAR(10),'Bundle Tag Info'!M$15),"")</f>
        <v/>
      </c>
      <c r="N10" s="25" t="str">
        <f>IF('Bundle Tag Info'!N$15&lt;&gt;"",CONCATENATE('Bundle Tag Info'!$A$1," ",CHAR(10),'Bundle Tag Info'!$A$2," ",'Bundle Tag Info'!$A$3,CHAR(10),'Bundle Tag Info'!N$6,CHAR(10),'Bundle Tag Info'!N$15),"")</f>
        <v/>
      </c>
      <c r="O10" s="25" t="str">
        <f>IF('Bundle Tag Info'!O$15&lt;&gt;"",CONCATENATE('Bundle Tag Info'!$A$1," ",CHAR(10),'Bundle Tag Info'!$A$2," ",'Bundle Tag Info'!$A$3,CHAR(10),'Bundle Tag Info'!O$6,CHAR(10),'Bundle Tag Info'!O$15),"")</f>
        <v/>
      </c>
      <c r="P10" s="25" t="str">
        <f>IF('Bundle Tag Info'!P$15&lt;&gt;"",CONCATENATE('Bundle Tag Info'!$A$1," ",CHAR(10),'Bundle Tag Info'!$A$2," ",'Bundle Tag Info'!$A$3,CHAR(10),'Bundle Tag Info'!P$6,CHAR(10),'Bundle Tag Info'!P$15),"")</f>
        <v/>
      </c>
      <c r="Q10" s="25" t="str">
        <f>IF('Bundle Tag Info'!Q$15&lt;&gt;"",CONCATENATE('Bundle Tag Info'!$A$1," ",CHAR(10),'Bundle Tag Info'!$A$2," ",'Bundle Tag Info'!$A$3,CHAR(10),'Bundle Tag Info'!Q$6,CHAR(10),'Bundle Tag Info'!Q$15),"")</f>
        <v/>
      </c>
      <c r="R10" s="25" t="str">
        <f>IF('Bundle Tag Info'!R$15&lt;&gt;"",CONCATENATE('Bundle Tag Info'!$A$1," ",CHAR(10),'Bundle Tag Info'!$A$2," ",'Bundle Tag Info'!$A$3,CHAR(10),'Bundle Tag Info'!R$6,CHAR(10),'Bundle Tag Info'!R$15),"")</f>
        <v/>
      </c>
      <c r="S10" s="25" t="str">
        <f>IF('Bundle Tag Info'!S$15&lt;&gt;"",CONCATENATE('Bundle Tag Info'!$A$1," ",CHAR(10),'Bundle Tag Info'!$A$2," ",'Bundle Tag Info'!$A$3,CHAR(10),'Bundle Tag Info'!S$6,CHAR(10),'Bundle Tag Info'!S$15),"")</f>
        <v/>
      </c>
      <c r="T10" s="25" t="str">
        <f>IF('Bundle Tag Info'!T$15&lt;&gt;"",CONCATENATE('Bundle Tag Info'!$A$1," ",CHAR(10),'Bundle Tag Info'!$A$2," ",'Bundle Tag Info'!$A$3,CHAR(10),'Bundle Tag Info'!T$6,CHAR(10),'Bundle Tag Info'!T$15),"")</f>
        <v/>
      </c>
      <c r="U10" s="25" t="str">
        <f>IF('Bundle Tag Info'!U$15&lt;&gt;"",CONCATENATE('Bundle Tag Info'!$A$1," ",CHAR(10),'Bundle Tag Info'!$A$2," ",'Bundle Tag Info'!$A$3,CHAR(10),'Bundle Tag Info'!U$6,CHAR(10),'Bundle Tag Info'!U$15),"")</f>
        <v/>
      </c>
      <c r="V10" s="25" t="str">
        <f>IF('Bundle Tag Info'!V$15&lt;&gt;"",CONCATENATE('Bundle Tag Info'!$A$1," ",CHAR(10),'Bundle Tag Info'!$A$2," ",'Bundle Tag Info'!$A$3,CHAR(10),'Bundle Tag Info'!V$6,CHAR(10),'Bundle Tag Info'!V$15),"")</f>
        <v/>
      </c>
      <c r="W10" s="25" t="str">
        <f>IF('Bundle Tag Info'!W$15&lt;&gt;"",CONCATENATE('Bundle Tag Info'!$A$1," ",CHAR(10),'Bundle Tag Info'!$A$2," ",'Bundle Tag Info'!$A$3,CHAR(10),'Bundle Tag Info'!W$6,CHAR(10),'Bundle Tag Info'!W$15),"")</f>
        <v/>
      </c>
      <c r="X10" s="25" t="str">
        <f>IF('Bundle Tag Info'!X$15&lt;&gt;"",CONCATENATE('Bundle Tag Info'!$A$1," ",CHAR(10),'Bundle Tag Info'!$A$2," ",'Bundle Tag Info'!$A$3,CHAR(10),'Bundle Tag Info'!X$6,CHAR(10),'Bundle Tag Info'!X$15),"")</f>
        <v/>
      </c>
      <c r="Y10" s="25" t="str">
        <f>IF('Bundle Tag Info'!Y$15&lt;&gt;"",CONCATENATE('Bundle Tag Info'!$A$1," ",CHAR(10),'Bundle Tag Info'!$A$2," ",'Bundle Tag Info'!$A$3,CHAR(10),'Bundle Tag Info'!Y$6,CHAR(10),'Bundle Tag Info'!Y$15),"")</f>
        <v/>
      </c>
      <c r="Z10" s="25" t="str">
        <f>IF('Bundle Tag Info'!Z$15&lt;&gt;"",CONCATENATE('Bundle Tag Info'!$A$1," ",CHAR(10),'Bundle Tag Info'!$A$2," ",'Bundle Tag Info'!$A$3,CHAR(10),'Bundle Tag Info'!Z$6,CHAR(10),'Bundle Tag Info'!Z$15),"")</f>
        <v/>
      </c>
      <c r="AA10" s="25" t="str">
        <f>IF('Bundle Tag Info'!AA$15&lt;&gt;"",CONCATENATE('Bundle Tag Info'!$A$1," ",CHAR(10),'Bundle Tag Info'!$A$2," ",'Bundle Tag Info'!$A$3,CHAR(10),'Bundle Tag Info'!AA$6,CHAR(10),'Bundle Tag Info'!AA$15),"")</f>
        <v/>
      </c>
      <c r="AB10" s="25" t="str">
        <f>IF('Bundle Tag Info'!AB$15&lt;&gt;"",CONCATENATE('Bundle Tag Info'!$A$1," ",CHAR(10),'Bundle Tag Info'!$A$2," ",'Bundle Tag Info'!$A$3,CHAR(10),'Bundle Tag Info'!AB$6,CHAR(10),'Bundle Tag Info'!AB$15),"")</f>
        <v/>
      </c>
      <c r="AC10" s="25" t="str">
        <f>IF('Bundle Tag Info'!AC$15&lt;&gt;"",CONCATENATE('Bundle Tag Info'!$A$1," ",CHAR(10),'Bundle Tag Info'!$A$2," ",'Bundle Tag Info'!$A$3,CHAR(10),'Bundle Tag Info'!AC$6,CHAR(10),'Bundle Tag Info'!AC$15),"")</f>
        <v/>
      </c>
      <c r="AD10" s="25" t="str">
        <f>IF('Bundle Tag Info'!AD$15&lt;&gt;"",CONCATENATE('Bundle Tag Info'!$A$1," ",CHAR(10),'Bundle Tag Info'!$A$2," ",'Bundle Tag Info'!$A$3,CHAR(10),'Bundle Tag Info'!AD$6,CHAR(10),'Bundle Tag Info'!AD$15),"")</f>
        <v/>
      </c>
    </row>
    <row r="11" spans="1:30" ht="63.95" customHeight="1" x14ac:dyDescent="0.25">
      <c r="A11" s="25" t="str">
        <f>IF('Bundle Tag Info'!A$16&lt;&gt;"",CONCATENATE('Bundle Tag Info'!$A$1," ",CHAR(10),'Bundle Tag Info'!$A$2," ",'Bundle Tag Info'!$A$3,CHAR(10),'Bundle Tag Info'!A$6,CHAR(10),'Bundle Tag Info'!A$16),"")</f>
        <v>ERGON-V #2 
4K911 Rev A
JB70
SH0470</v>
      </c>
      <c r="B11" s="25" t="str">
        <f>IF('Bundle Tag Info'!B$16&lt;&gt;"",CONCATENATE('Bundle Tag Info'!$A$1," ",CHAR(10),'Bundle Tag Info'!$A$2," ",'Bundle Tag Info'!$A$3,CHAR(10),'Bundle Tag Info'!B$6,CHAR(10),'Bundle Tag Info'!B$16),"")</f>
        <v>ERGON-V #2 
4K911 Rev A
L/RAIL JB70
KA-A</v>
      </c>
      <c r="C11" s="25" t="str">
        <f>IF('Bundle Tag Info'!C$16&lt;&gt;"",CONCATENATE('Bundle Tag Info'!$A$1," ",CHAR(10),'Bundle Tag Info'!$A$2," ",'Bundle Tag Info'!$A$3,CHAR(10),'Bundle Tag Info'!C$6,CHAR(10),'Bundle Tag Info'!C$16),"")</f>
        <v/>
      </c>
      <c r="D11" s="25" t="str">
        <f>IF('Bundle Tag Info'!D$16&lt;&gt;"",CONCATENATE('Bundle Tag Info'!$A$1," ",CHAR(10),'Bundle Tag Info'!$A$2," ",'Bundle Tag Info'!$A$3,CHAR(10),'Bundle Tag Info'!D$6,CHAR(10),'Bundle Tag Info'!D$16),"")</f>
        <v>ERGON-V #2 
4K911 Rev A
A
FU</v>
      </c>
      <c r="E11" s="25" t="str">
        <f>IF('Bundle Tag Info'!E$16&lt;&gt;"",CONCATENATE('Bundle Tag Info'!$A$1," ",CHAR(10),'Bundle Tag Info'!$A$2," ",'Bundle Tag Info'!$A$3,CHAR(10),'Bundle Tag Info'!E$6,CHAR(10),'Bundle Tag Info'!E$16),"")</f>
        <v>ERGON-V #2 
4K911 Rev A
B
BA</v>
      </c>
      <c r="F11" s="25" t="str">
        <f>IF('Bundle Tag Info'!F$16&lt;&gt;"",CONCATENATE('Bundle Tag Info'!$A$1," ",CHAR(10),'Bundle Tag Info'!$A$2," ",'Bundle Tag Info'!$A$3,CHAR(10),'Bundle Tag Info'!F$6,CHAR(10),'Bundle Tag Info'!F$16),"")</f>
        <v/>
      </c>
      <c r="G11" s="25" t="str">
        <f>IF('Bundle Tag Info'!G$16&lt;&gt;"",CONCATENATE('Bundle Tag Info'!$A$1," ",CHAR(10),'Bundle Tag Info'!$A$2," ",'Bundle Tag Info'!$A$3,CHAR(10),'Bundle Tag Info'!G$6,CHAR(10),'Bundle Tag Info'!G$16),"")</f>
        <v/>
      </c>
      <c r="H11" s="25" t="str">
        <f>IF('Bundle Tag Info'!H$16&lt;&gt;"",CONCATENATE('Bundle Tag Info'!$A$1," ",CHAR(10),'Bundle Tag Info'!$A$2," ",'Bundle Tag Info'!$A$3,CHAR(10),'Bundle Tag Info'!H$6,CHAR(10),'Bundle Tag Info'!H$16),"")</f>
        <v/>
      </c>
      <c r="I11" s="25" t="str">
        <f>IF('Bundle Tag Info'!I$16&lt;&gt;"",CONCATENATE('Bundle Tag Info'!$A$1," ",CHAR(10),'Bundle Tag Info'!$A$2," ",'Bundle Tag Info'!$A$3,CHAR(10),'Bundle Tag Info'!I$6,CHAR(10),'Bundle Tag Info'!I$16),"")</f>
        <v/>
      </c>
      <c r="J11" s="25" t="str">
        <f>IF('Bundle Tag Info'!J$16&lt;&gt;"",CONCATENATE('Bundle Tag Info'!$A$1," ",CHAR(10),'Bundle Tag Info'!$A$2," ",'Bundle Tag Info'!$A$3,CHAR(10),'Bundle Tag Info'!J$6,CHAR(10),'Bundle Tag Info'!J$16),"")</f>
        <v/>
      </c>
      <c r="K11" s="25" t="str">
        <f>IF('Bundle Tag Info'!K$16&lt;&gt;"",CONCATENATE('Bundle Tag Info'!$A$1," ",CHAR(10),'Bundle Tag Info'!$A$2," ",'Bundle Tag Info'!$A$3,CHAR(10),'Bundle Tag Info'!K$6,CHAR(10),'Bundle Tag Info'!K$16),"")</f>
        <v/>
      </c>
      <c r="L11" s="25" t="str">
        <f>IF('Bundle Tag Info'!L$16&lt;&gt;"",CONCATENATE('Bundle Tag Info'!$A$1," ",CHAR(10),'Bundle Tag Info'!$A$2," ",'Bundle Tag Info'!$A$3,CHAR(10),'Bundle Tag Info'!L$6,CHAR(10),'Bundle Tag Info'!L$16),"")</f>
        <v/>
      </c>
      <c r="M11" s="25" t="str">
        <f>IF('Bundle Tag Info'!M$16&lt;&gt;"",CONCATENATE('Bundle Tag Info'!$A$1," ",CHAR(10),'Bundle Tag Info'!$A$2," ",'Bundle Tag Info'!$A$3,CHAR(10),'Bundle Tag Info'!M$6,CHAR(10),'Bundle Tag Info'!M$16),"")</f>
        <v/>
      </c>
      <c r="N11" s="25" t="str">
        <f>IF('Bundle Tag Info'!N$16&lt;&gt;"",CONCATENATE('Bundle Tag Info'!$A$1," ",CHAR(10),'Bundle Tag Info'!$A$2," ",'Bundle Tag Info'!$A$3,CHAR(10),'Bundle Tag Info'!N$6,CHAR(10),'Bundle Tag Info'!N$16),"")</f>
        <v/>
      </c>
      <c r="O11" s="25" t="str">
        <f>IF('Bundle Tag Info'!O$16&lt;&gt;"",CONCATENATE('Bundle Tag Info'!$A$1," ",CHAR(10),'Bundle Tag Info'!$A$2," ",'Bundle Tag Info'!$A$3,CHAR(10),'Bundle Tag Info'!O$6,CHAR(10),'Bundle Tag Info'!O$16),"")</f>
        <v/>
      </c>
      <c r="P11" s="25" t="str">
        <f>IF('Bundle Tag Info'!P$16&lt;&gt;"",CONCATENATE('Bundle Tag Info'!$A$1," ",CHAR(10),'Bundle Tag Info'!$A$2," ",'Bundle Tag Info'!$A$3,CHAR(10),'Bundle Tag Info'!P$6,CHAR(10),'Bundle Tag Info'!P$16),"")</f>
        <v/>
      </c>
      <c r="Q11" s="25" t="str">
        <f>IF('Bundle Tag Info'!Q$16&lt;&gt;"",CONCATENATE('Bundle Tag Info'!$A$1," ",CHAR(10),'Bundle Tag Info'!$A$2," ",'Bundle Tag Info'!$A$3,CHAR(10),'Bundle Tag Info'!Q$6,CHAR(10),'Bundle Tag Info'!Q$16),"")</f>
        <v/>
      </c>
      <c r="R11" s="25" t="str">
        <f>IF('Bundle Tag Info'!R$16&lt;&gt;"",CONCATENATE('Bundle Tag Info'!$A$1," ",CHAR(10),'Bundle Tag Info'!$A$2," ",'Bundle Tag Info'!$A$3,CHAR(10),'Bundle Tag Info'!R$6,CHAR(10),'Bundle Tag Info'!R$16),"")</f>
        <v/>
      </c>
      <c r="S11" s="25" t="str">
        <f>IF('Bundle Tag Info'!S$16&lt;&gt;"",CONCATENATE('Bundle Tag Info'!$A$1," ",CHAR(10),'Bundle Tag Info'!$A$2," ",'Bundle Tag Info'!$A$3,CHAR(10),'Bundle Tag Info'!S$6,CHAR(10),'Bundle Tag Info'!S$16),"")</f>
        <v/>
      </c>
      <c r="T11" s="25" t="str">
        <f>IF('Bundle Tag Info'!T$16&lt;&gt;"",CONCATENATE('Bundle Tag Info'!$A$1," ",CHAR(10),'Bundle Tag Info'!$A$2," ",'Bundle Tag Info'!$A$3,CHAR(10),'Bundle Tag Info'!T$6,CHAR(10),'Bundle Tag Info'!T$16),"")</f>
        <v/>
      </c>
      <c r="U11" s="25" t="str">
        <f>IF('Bundle Tag Info'!U$16&lt;&gt;"",CONCATENATE('Bundle Tag Info'!$A$1," ",CHAR(10),'Bundle Tag Info'!$A$2," ",'Bundle Tag Info'!$A$3,CHAR(10),'Bundle Tag Info'!U$6,CHAR(10),'Bundle Tag Info'!U$16),"")</f>
        <v/>
      </c>
      <c r="V11" s="25" t="str">
        <f>IF('Bundle Tag Info'!V$16&lt;&gt;"",CONCATENATE('Bundle Tag Info'!$A$1," ",CHAR(10),'Bundle Tag Info'!$A$2," ",'Bundle Tag Info'!$A$3,CHAR(10),'Bundle Tag Info'!V$6,CHAR(10),'Bundle Tag Info'!V$16),"")</f>
        <v/>
      </c>
      <c r="W11" s="25" t="str">
        <f>IF('Bundle Tag Info'!W$16&lt;&gt;"",CONCATENATE('Bundle Tag Info'!$A$1," ",CHAR(10),'Bundle Tag Info'!$A$2," ",'Bundle Tag Info'!$A$3,CHAR(10),'Bundle Tag Info'!W$6,CHAR(10),'Bundle Tag Info'!W$16),"")</f>
        <v/>
      </c>
      <c r="X11" s="25" t="str">
        <f>IF('Bundle Tag Info'!X$16&lt;&gt;"",CONCATENATE('Bundle Tag Info'!$A$1," ",CHAR(10),'Bundle Tag Info'!$A$2," ",'Bundle Tag Info'!$A$3,CHAR(10),'Bundle Tag Info'!X$6,CHAR(10),'Bundle Tag Info'!X$16),"")</f>
        <v/>
      </c>
      <c r="Y11" s="25" t="str">
        <f>IF('Bundle Tag Info'!Y$16&lt;&gt;"",CONCATENATE('Bundle Tag Info'!$A$1," ",CHAR(10),'Bundle Tag Info'!$A$2," ",'Bundle Tag Info'!$A$3,CHAR(10),'Bundle Tag Info'!Y$6,CHAR(10),'Bundle Tag Info'!Y$16),"")</f>
        <v/>
      </c>
      <c r="Z11" s="25" t="str">
        <f>IF('Bundle Tag Info'!Z$16&lt;&gt;"",CONCATENATE('Bundle Tag Info'!$A$1," ",CHAR(10),'Bundle Tag Info'!$A$2," ",'Bundle Tag Info'!$A$3,CHAR(10),'Bundle Tag Info'!Z$6,CHAR(10),'Bundle Tag Info'!Z$16),"")</f>
        <v/>
      </c>
      <c r="AA11" s="25" t="str">
        <f>IF('Bundle Tag Info'!AA$16&lt;&gt;"",CONCATENATE('Bundle Tag Info'!$A$1," ",CHAR(10),'Bundle Tag Info'!$A$2," ",'Bundle Tag Info'!$A$3,CHAR(10),'Bundle Tag Info'!AA$6,CHAR(10),'Bundle Tag Info'!AA$16),"")</f>
        <v/>
      </c>
      <c r="AB11" s="25" t="str">
        <f>IF('Bundle Tag Info'!AB$16&lt;&gt;"",CONCATENATE('Bundle Tag Info'!$A$1," ",CHAR(10),'Bundle Tag Info'!$A$2," ",'Bundle Tag Info'!$A$3,CHAR(10),'Bundle Tag Info'!AB$6,CHAR(10),'Bundle Tag Info'!AB$16),"")</f>
        <v/>
      </c>
      <c r="AC11" s="25" t="str">
        <f>IF('Bundle Tag Info'!AC$16&lt;&gt;"",CONCATENATE('Bundle Tag Info'!$A$1," ",CHAR(10),'Bundle Tag Info'!$A$2," ",'Bundle Tag Info'!$A$3,CHAR(10),'Bundle Tag Info'!AC$6,CHAR(10),'Bundle Tag Info'!AC$16),"")</f>
        <v/>
      </c>
      <c r="AD11" s="25" t="str">
        <f>IF('Bundle Tag Info'!AD$16&lt;&gt;"",CONCATENATE('Bundle Tag Info'!$A$1," ",CHAR(10),'Bundle Tag Info'!$A$2," ",'Bundle Tag Info'!$A$3,CHAR(10),'Bundle Tag Info'!AD$6,CHAR(10),'Bundle Tag Info'!AD$16),"")</f>
        <v/>
      </c>
    </row>
    <row r="12" spans="1:30" ht="63.95" customHeight="1" x14ac:dyDescent="0.25">
      <c r="A12" s="25" t="str">
        <f>IF('Bundle Tag Info'!A$17&lt;&gt;"",CONCATENATE('Bundle Tag Info'!$A$1," ",CHAR(10),'Bundle Tag Info'!$A$2," ",'Bundle Tag Info'!$A$3,CHAR(10),'Bundle Tag Info'!A$6,CHAR(10),'Bundle Tag Info'!A$17),"")</f>
        <v>ERGON-V #2 
4K911 Rev A
JB70
SH0471</v>
      </c>
      <c r="B12" s="25" t="str">
        <f>IF('Bundle Tag Info'!B$17&lt;&gt;"",CONCATENATE('Bundle Tag Info'!$A$1," ",CHAR(10),'Bundle Tag Info'!$A$2," ",'Bundle Tag Info'!$A$3,CHAR(10),'Bundle Tag Info'!B$6,CHAR(10),'Bundle Tag Info'!B$17),"")</f>
        <v>ERGON-V #2 
4K911 Rev A
L/RAIL JB70
XT/FU-A</v>
      </c>
      <c r="C12" s="25" t="str">
        <f>IF('Bundle Tag Info'!C$17&lt;&gt;"",CONCATENATE('Bundle Tag Info'!$A$1," ",CHAR(10),'Bundle Tag Info'!$A$2," ",'Bundle Tag Info'!$A$3,CHAR(10),'Bundle Tag Info'!C$6,CHAR(10),'Bundle Tag Info'!C$17),"")</f>
        <v/>
      </c>
      <c r="D12" s="25" t="str">
        <f>IF('Bundle Tag Info'!D$17&lt;&gt;"",CONCATENATE('Bundle Tag Info'!$A$1," ",CHAR(10),'Bundle Tag Info'!$A$2," ",'Bundle Tag Info'!$A$3,CHAR(10),'Bundle Tag Info'!D$6,CHAR(10),'Bundle Tag Info'!D$17),"")</f>
        <v>ERGON-V #2 
4K911 Rev A
A
UJ0131</v>
      </c>
      <c r="E12" s="25" t="str">
        <f>IF('Bundle Tag Info'!E$17&lt;&gt;"",CONCATENATE('Bundle Tag Info'!$A$1," ",CHAR(10),'Bundle Tag Info'!$A$2," ",'Bundle Tag Info'!$A$3,CHAR(10),'Bundle Tag Info'!E$6,CHAR(10),'Bundle Tag Info'!E$17),"")</f>
        <v>ERGON-V #2 
4K911 Rev A
B
FU</v>
      </c>
      <c r="F12" s="25" t="str">
        <f>IF('Bundle Tag Info'!F$17&lt;&gt;"",CONCATENATE('Bundle Tag Info'!$A$1," ",CHAR(10),'Bundle Tag Info'!$A$2," ",'Bundle Tag Info'!$A$3,CHAR(10),'Bundle Tag Info'!F$6,CHAR(10),'Bundle Tag Info'!F$17),"")</f>
        <v/>
      </c>
      <c r="G12" s="25" t="str">
        <f>IF('Bundle Tag Info'!G$17&lt;&gt;"",CONCATENATE('Bundle Tag Info'!$A$1," ",CHAR(10),'Bundle Tag Info'!$A$2," ",'Bundle Tag Info'!$A$3,CHAR(10),'Bundle Tag Info'!G$6,CHAR(10),'Bundle Tag Info'!G$17),"")</f>
        <v/>
      </c>
      <c r="H12" s="25" t="str">
        <f>IF('Bundle Tag Info'!H$17&lt;&gt;"",CONCATENATE('Bundle Tag Info'!$A$1," ",CHAR(10),'Bundle Tag Info'!$A$2," ",'Bundle Tag Info'!$A$3,CHAR(10),'Bundle Tag Info'!H$6,CHAR(10),'Bundle Tag Info'!H$17),"")</f>
        <v/>
      </c>
      <c r="I12" s="25" t="str">
        <f>IF('Bundle Tag Info'!I$17&lt;&gt;"",CONCATENATE('Bundle Tag Info'!$A$1," ",CHAR(10),'Bundle Tag Info'!$A$2," ",'Bundle Tag Info'!$A$3,CHAR(10),'Bundle Tag Info'!I$6,CHAR(10),'Bundle Tag Info'!I$17),"")</f>
        <v/>
      </c>
      <c r="J12" s="25" t="str">
        <f>IF('Bundle Tag Info'!J$17&lt;&gt;"",CONCATENATE('Bundle Tag Info'!$A$1," ",CHAR(10),'Bundle Tag Info'!$A$2," ",'Bundle Tag Info'!$A$3,CHAR(10),'Bundle Tag Info'!J$6,CHAR(10),'Bundle Tag Info'!J$17),"")</f>
        <v/>
      </c>
      <c r="K12" s="25" t="str">
        <f>IF('Bundle Tag Info'!K$17&lt;&gt;"",CONCATENATE('Bundle Tag Info'!$A$1," ",CHAR(10),'Bundle Tag Info'!$A$2," ",'Bundle Tag Info'!$A$3,CHAR(10),'Bundle Tag Info'!K$6,CHAR(10),'Bundle Tag Info'!K$17),"")</f>
        <v/>
      </c>
      <c r="L12" s="25" t="str">
        <f>IF('Bundle Tag Info'!L$17&lt;&gt;"",CONCATENATE('Bundle Tag Info'!$A$1," ",CHAR(10),'Bundle Tag Info'!$A$2," ",'Bundle Tag Info'!$A$3,CHAR(10),'Bundle Tag Info'!L$6,CHAR(10),'Bundle Tag Info'!L$17),"")</f>
        <v/>
      </c>
      <c r="M12" s="25" t="str">
        <f>IF('Bundle Tag Info'!M$17&lt;&gt;"",CONCATENATE('Bundle Tag Info'!$A$1," ",CHAR(10),'Bundle Tag Info'!$A$2," ",'Bundle Tag Info'!$A$3,CHAR(10),'Bundle Tag Info'!M$6,CHAR(10),'Bundle Tag Info'!M$17),"")</f>
        <v/>
      </c>
      <c r="N12" s="25" t="str">
        <f>IF('Bundle Tag Info'!N$17&lt;&gt;"",CONCATENATE('Bundle Tag Info'!$A$1," ",CHAR(10),'Bundle Tag Info'!$A$2," ",'Bundle Tag Info'!$A$3,CHAR(10),'Bundle Tag Info'!N$6,CHAR(10),'Bundle Tag Info'!N$17),"")</f>
        <v/>
      </c>
      <c r="O12" s="25" t="str">
        <f>IF('Bundle Tag Info'!O$17&lt;&gt;"",CONCATENATE('Bundle Tag Info'!$A$1," ",CHAR(10),'Bundle Tag Info'!$A$2," ",'Bundle Tag Info'!$A$3,CHAR(10),'Bundle Tag Info'!O$6,CHAR(10),'Bundle Tag Info'!O$17),"")</f>
        <v/>
      </c>
      <c r="P12" s="25" t="str">
        <f>IF('Bundle Tag Info'!P$17&lt;&gt;"",CONCATENATE('Bundle Tag Info'!$A$1," ",CHAR(10),'Bundle Tag Info'!$A$2," ",'Bundle Tag Info'!$A$3,CHAR(10),'Bundle Tag Info'!P$6,CHAR(10),'Bundle Tag Info'!P$17),"")</f>
        <v/>
      </c>
      <c r="Q12" s="25" t="str">
        <f>IF('Bundle Tag Info'!Q$17&lt;&gt;"",CONCATENATE('Bundle Tag Info'!$A$1," ",CHAR(10),'Bundle Tag Info'!$A$2," ",'Bundle Tag Info'!$A$3,CHAR(10),'Bundle Tag Info'!Q$6,CHAR(10),'Bundle Tag Info'!Q$17),"")</f>
        <v/>
      </c>
      <c r="R12" s="25" t="str">
        <f>IF('Bundle Tag Info'!R$17&lt;&gt;"",CONCATENATE('Bundle Tag Info'!$A$1," ",CHAR(10),'Bundle Tag Info'!$A$2," ",'Bundle Tag Info'!$A$3,CHAR(10),'Bundle Tag Info'!R$6,CHAR(10),'Bundle Tag Info'!R$17),"")</f>
        <v/>
      </c>
      <c r="S12" s="25" t="str">
        <f>IF('Bundle Tag Info'!S$17&lt;&gt;"",CONCATENATE('Bundle Tag Info'!$A$1," ",CHAR(10),'Bundle Tag Info'!$A$2," ",'Bundle Tag Info'!$A$3,CHAR(10),'Bundle Tag Info'!S$6,CHAR(10),'Bundle Tag Info'!S$17),"")</f>
        <v/>
      </c>
      <c r="T12" s="25" t="str">
        <f>IF('Bundle Tag Info'!T$17&lt;&gt;"",CONCATENATE('Bundle Tag Info'!$A$1," ",CHAR(10),'Bundle Tag Info'!$A$2," ",'Bundle Tag Info'!$A$3,CHAR(10),'Bundle Tag Info'!T$6,CHAR(10),'Bundle Tag Info'!T$17),"")</f>
        <v/>
      </c>
      <c r="U12" s="25" t="str">
        <f>IF('Bundle Tag Info'!U$17&lt;&gt;"",CONCATENATE('Bundle Tag Info'!$A$1," ",CHAR(10),'Bundle Tag Info'!$A$2," ",'Bundle Tag Info'!$A$3,CHAR(10),'Bundle Tag Info'!U$6,CHAR(10),'Bundle Tag Info'!U$17),"")</f>
        <v/>
      </c>
      <c r="V12" s="25" t="str">
        <f>IF('Bundle Tag Info'!V$17&lt;&gt;"",CONCATENATE('Bundle Tag Info'!$A$1," ",CHAR(10),'Bundle Tag Info'!$A$2," ",'Bundle Tag Info'!$A$3,CHAR(10),'Bundle Tag Info'!V$6,CHAR(10),'Bundle Tag Info'!V$17),"")</f>
        <v/>
      </c>
      <c r="W12" s="25" t="str">
        <f>IF('Bundle Tag Info'!W$17&lt;&gt;"",CONCATENATE('Bundle Tag Info'!$A$1," ",CHAR(10),'Bundle Tag Info'!$A$2," ",'Bundle Tag Info'!$A$3,CHAR(10),'Bundle Tag Info'!W$6,CHAR(10),'Bundle Tag Info'!W$17),"")</f>
        <v/>
      </c>
      <c r="X12" s="25" t="str">
        <f>IF('Bundle Tag Info'!X$17&lt;&gt;"",CONCATENATE('Bundle Tag Info'!$A$1," ",CHAR(10),'Bundle Tag Info'!$A$2," ",'Bundle Tag Info'!$A$3,CHAR(10),'Bundle Tag Info'!X$6,CHAR(10),'Bundle Tag Info'!X$17),"")</f>
        <v/>
      </c>
      <c r="Y12" s="25" t="str">
        <f>IF('Bundle Tag Info'!Y$17&lt;&gt;"",CONCATENATE('Bundle Tag Info'!$A$1," ",CHAR(10),'Bundle Tag Info'!$A$2," ",'Bundle Tag Info'!$A$3,CHAR(10),'Bundle Tag Info'!Y$6,CHAR(10),'Bundle Tag Info'!Y$17),"")</f>
        <v/>
      </c>
      <c r="Z12" s="25" t="str">
        <f>IF('Bundle Tag Info'!Z$17&lt;&gt;"",CONCATENATE('Bundle Tag Info'!$A$1," ",CHAR(10),'Bundle Tag Info'!$A$2," ",'Bundle Tag Info'!$A$3,CHAR(10),'Bundle Tag Info'!Z$6,CHAR(10),'Bundle Tag Info'!Z$17),"")</f>
        <v/>
      </c>
      <c r="AA12" s="25" t="str">
        <f>IF('Bundle Tag Info'!AA$17&lt;&gt;"",CONCATENATE('Bundle Tag Info'!$A$1," ",CHAR(10),'Bundle Tag Info'!$A$2," ",'Bundle Tag Info'!$A$3,CHAR(10),'Bundle Tag Info'!AA$6,CHAR(10),'Bundle Tag Info'!AA$17),"")</f>
        <v/>
      </c>
      <c r="AB12" s="25" t="str">
        <f>IF('Bundle Tag Info'!AB$17&lt;&gt;"",CONCATENATE('Bundle Tag Info'!$A$1," ",CHAR(10),'Bundle Tag Info'!$A$2," ",'Bundle Tag Info'!$A$3,CHAR(10),'Bundle Tag Info'!AB$6,CHAR(10),'Bundle Tag Info'!AB$17),"")</f>
        <v/>
      </c>
      <c r="AC12" s="25" t="str">
        <f>IF('Bundle Tag Info'!AC$17&lt;&gt;"",CONCATENATE('Bundle Tag Info'!$A$1," ",CHAR(10),'Bundle Tag Info'!$A$2," ",'Bundle Tag Info'!$A$3,CHAR(10),'Bundle Tag Info'!AC$6,CHAR(10),'Bundle Tag Info'!AC$17),"")</f>
        <v/>
      </c>
      <c r="AD12" s="25" t="str">
        <f>IF('Bundle Tag Info'!AD$17&lt;&gt;"",CONCATENATE('Bundle Tag Info'!$A$1," ",CHAR(10),'Bundle Tag Info'!$A$2," ",'Bundle Tag Info'!$A$3,CHAR(10),'Bundle Tag Info'!AD$6,CHAR(10),'Bundle Tag Info'!AD$17),"")</f>
        <v/>
      </c>
    </row>
    <row r="13" spans="1:30" ht="63.95" customHeight="1" x14ac:dyDescent="0.25">
      <c r="A13" s="25" t="str">
        <f>IF('Bundle Tag Info'!A$18&lt;&gt;"",CONCATENATE('Bundle Tag Info'!$A$1," ",CHAR(10),'Bundle Tag Info'!$A$2," ",'Bundle Tag Info'!$A$3,CHAR(10),'Bundle Tag Info'!A$6,CHAR(10),'Bundle Tag Info'!A$18),"")</f>
        <v>ERGON-V #2 
4K911 Rev A
JB70
SH0472</v>
      </c>
      <c r="B13" s="25" t="str">
        <f>IF('Bundle Tag Info'!B$18&lt;&gt;"",CONCATENATE('Bundle Tag Info'!$A$1," ",CHAR(10),'Bundle Tag Info'!$A$2," ",'Bundle Tag Info'!$A$3,CHAR(10),'Bundle Tag Info'!B$6,CHAR(10),'Bundle Tag Info'!B$18),"")</f>
        <v>ERGON-V #2 
4K911 Rev A
L/RAIL JB70
KA/XT-B</v>
      </c>
      <c r="C13" s="25" t="str">
        <f>IF('Bundle Tag Info'!C$18&lt;&gt;"",CONCATENATE('Bundle Tag Info'!$A$1," ",CHAR(10),'Bundle Tag Info'!$A$2," ",'Bundle Tag Info'!$A$3,CHAR(10),'Bundle Tag Info'!C$6,CHAR(10),'Bundle Tag Info'!C$18),"")</f>
        <v/>
      </c>
      <c r="D13" s="25" t="str">
        <f>IF('Bundle Tag Info'!D$18&lt;&gt;"",CONCATENATE('Bundle Tag Info'!$A$1," ",CHAR(10),'Bundle Tag Info'!$A$2," ",'Bundle Tag Info'!$A$3,CHAR(10),'Bundle Tag Info'!D$6,CHAR(10),'Bundle Tag Info'!D$18),"")</f>
        <v>ERGON-V #2 
4K911 Rev A
A
AF-B</v>
      </c>
      <c r="E13" s="25" t="str">
        <f>IF('Bundle Tag Info'!E$18&lt;&gt;"",CONCATENATE('Bundle Tag Info'!$A$1," ",CHAR(10),'Bundle Tag Info'!$A$2," ",'Bundle Tag Info'!$A$3,CHAR(10),'Bundle Tag Info'!E$6,CHAR(10),'Bundle Tag Info'!E$18),"")</f>
        <v/>
      </c>
      <c r="F13" s="25" t="str">
        <f>IF('Bundle Tag Info'!F$18&lt;&gt;"",CONCATENATE('Bundle Tag Info'!$A$1," ",CHAR(10),'Bundle Tag Info'!$A$2," ",'Bundle Tag Info'!$A$3,CHAR(10),'Bundle Tag Info'!F$6,CHAR(10),'Bundle Tag Info'!F$18),"")</f>
        <v/>
      </c>
      <c r="G13" s="25" t="str">
        <f>IF('Bundle Tag Info'!G$18&lt;&gt;"",CONCATENATE('Bundle Tag Info'!$A$1," ",CHAR(10),'Bundle Tag Info'!$A$2," ",'Bundle Tag Info'!$A$3,CHAR(10),'Bundle Tag Info'!G$6,CHAR(10),'Bundle Tag Info'!G$18),"")</f>
        <v/>
      </c>
      <c r="H13" s="25" t="str">
        <f>IF('Bundle Tag Info'!H$18&lt;&gt;"",CONCATENATE('Bundle Tag Info'!$A$1," ",CHAR(10),'Bundle Tag Info'!$A$2," ",'Bundle Tag Info'!$A$3,CHAR(10),'Bundle Tag Info'!H$6,CHAR(10),'Bundle Tag Info'!H$18),"")</f>
        <v/>
      </c>
      <c r="I13" s="25" t="str">
        <f>IF('Bundle Tag Info'!I$18&lt;&gt;"",CONCATENATE('Bundle Tag Info'!$A$1," ",CHAR(10),'Bundle Tag Info'!$A$2," ",'Bundle Tag Info'!$A$3,CHAR(10),'Bundle Tag Info'!I$6,CHAR(10),'Bundle Tag Info'!I$18),"")</f>
        <v/>
      </c>
      <c r="J13" s="25" t="str">
        <f>IF('Bundle Tag Info'!J$18&lt;&gt;"",CONCATENATE('Bundle Tag Info'!$A$1," ",CHAR(10),'Bundle Tag Info'!$A$2," ",'Bundle Tag Info'!$A$3,CHAR(10),'Bundle Tag Info'!J$6,CHAR(10),'Bundle Tag Info'!J$18),"")</f>
        <v/>
      </c>
      <c r="K13" s="25" t="str">
        <f>IF('Bundle Tag Info'!K$18&lt;&gt;"",CONCATENATE('Bundle Tag Info'!$A$1," ",CHAR(10),'Bundle Tag Info'!$A$2," ",'Bundle Tag Info'!$A$3,CHAR(10),'Bundle Tag Info'!K$6,CHAR(10),'Bundle Tag Info'!K$18),"")</f>
        <v/>
      </c>
      <c r="L13" s="25" t="str">
        <f>IF('Bundle Tag Info'!L$18&lt;&gt;"",CONCATENATE('Bundle Tag Info'!$A$1," ",CHAR(10),'Bundle Tag Info'!$A$2," ",'Bundle Tag Info'!$A$3,CHAR(10),'Bundle Tag Info'!L$6,CHAR(10),'Bundle Tag Info'!L$18),"")</f>
        <v/>
      </c>
      <c r="M13" s="25" t="str">
        <f>IF('Bundle Tag Info'!M$18&lt;&gt;"",CONCATENATE('Bundle Tag Info'!$A$1," ",CHAR(10),'Bundle Tag Info'!$A$2," ",'Bundle Tag Info'!$A$3,CHAR(10),'Bundle Tag Info'!M$6,CHAR(10),'Bundle Tag Info'!M$18),"")</f>
        <v/>
      </c>
      <c r="N13" s="25" t="str">
        <f>IF('Bundle Tag Info'!N$18&lt;&gt;"",CONCATENATE('Bundle Tag Info'!$A$1," ",CHAR(10),'Bundle Tag Info'!$A$2," ",'Bundle Tag Info'!$A$3,CHAR(10),'Bundle Tag Info'!N$6,CHAR(10),'Bundle Tag Info'!N$18),"")</f>
        <v/>
      </c>
      <c r="O13" s="25" t="str">
        <f>IF('Bundle Tag Info'!O$18&lt;&gt;"",CONCATENATE('Bundle Tag Info'!$A$1," ",CHAR(10),'Bundle Tag Info'!$A$2," ",'Bundle Tag Info'!$A$3,CHAR(10),'Bundle Tag Info'!O$6,CHAR(10),'Bundle Tag Info'!O$18),"")</f>
        <v/>
      </c>
      <c r="P13" s="25" t="str">
        <f>IF('Bundle Tag Info'!P$18&lt;&gt;"",CONCATENATE('Bundle Tag Info'!$A$1," ",CHAR(10),'Bundle Tag Info'!$A$2," ",'Bundle Tag Info'!$A$3,CHAR(10),'Bundle Tag Info'!P$6,CHAR(10),'Bundle Tag Info'!P$18),"")</f>
        <v/>
      </c>
      <c r="Q13" s="25" t="str">
        <f>IF('Bundle Tag Info'!Q$18&lt;&gt;"",CONCATENATE('Bundle Tag Info'!$A$1," ",CHAR(10),'Bundle Tag Info'!$A$2," ",'Bundle Tag Info'!$A$3,CHAR(10),'Bundle Tag Info'!Q$6,CHAR(10),'Bundle Tag Info'!Q$18),"")</f>
        <v/>
      </c>
      <c r="R13" s="25" t="str">
        <f>IF('Bundle Tag Info'!R$18&lt;&gt;"",CONCATENATE('Bundle Tag Info'!$A$1," ",CHAR(10),'Bundle Tag Info'!$A$2," ",'Bundle Tag Info'!$A$3,CHAR(10),'Bundle Tag Info'!R$6,CHAR(10),'Bundle Tag Info'!R$18),"")</f>
        <v/>
      </c>
      <c r="S13" s="25" t="str">
        <f>IF('Bundle Tag Info'!S$18&lt;&gt;"",CONCATENATE('Bundle Tag Info'!$A$1," ",CHAR(10),'Bundle Tag Info'!$A$2," ",'Bundle Tag Info'!$A$3,CHAR(10),'Bundle Tag Info'!S$6,CHAR(10),'Bundle Tag Info'!S$18),"")</f>
        <v/>
      </c>
      <c r="T13" s="25" t="str">
        <f>IF('Bundle Tag Info'!T$18&lt;&gt;"",CONCATENATE('Bundle Tag Info'!$A$1," ",CHAR(10),'Bundle Tag Info'!$A$2," ",'Bundle Tag Info'!$A$3,CHAR(10),'Bundle Tag Info'!T$6,CHAR(10),'Bundle Tag Info'!T$18),"")</f>
        <v/>
      </c>
      <c r="U13" s="25" t="str">
        <f>IF('Bundle Tag Info'!U$18&lt;&gt;"",CONCATENATE('Bundle Tag Info'!$A$1," ",CHAR(10),'Bundle Tag Info'!$A$2," ",'Bundle Tag Info'!$A$3,CHAR(10),'Bundle Tag Info'!U$6,CHAR(10),'Bundle Tag Info'!U$18),"")</f>
        <v/>
      </c>
      <c r="V13" s="25" t="str">
        <f>IF('Bundle Tag Info'!V$18&lt;&gt;"",CONCATENATE('Bundle Tag Info'!$A$1," ",CHAR(10),'Bundle Tag Info'!$A$2," ",'Bundle Tag Info'!$A$3,CHAR(10),'Bundle Tag Info'!V$6,CHAR(10),'Bundle Tag Info'!V$18),"")</f>
        <v/>
      </c>
      <c r="W13" s="25" t="str">
        <f>IF('Bundle Tag Info'!W$18&lt;&gt;"",CONCATENATE('Bundle Tag Info'!$A$1," ",CHAR(10),'Bundle Tag Info'!$A$2," ",'Bundle Tag Info'!$A$3,CHAR(10),'Bundle Tag Info'!W$6,CHAR(10),'Bundle Tag Info'!W$18),"")</f>
        <v/>
      </c>
      <c r="X13" s="25" t="str">
        <f>IF('Bundle Tag Info'!X$18&lt;&gt;"",CONCATENATE('Bundle Tag Info'!$A$1," ",CHAR(10),'Bundle Tag Info'!$A$2," ",'Bundle Tag Info'!$A$3,CHAR(10),'Bundle Tag Info'!X$6,CHAR(10),'Bundle Tag Info'!X$18),"")</f>
        <v/>
      </c>
      <c r="Y13" s="25" t="str">
        <f>IF('Bundle Tag Info'!Y$18&lt;&gt;"",CONCATENATE('Bundle Tag Info'!$A$1," ",CHAR(10),'Bundle Tag Info'!$A$2," ",'Bundle Tag Info'!$A$3,CHAR(10),'Bundle Tag Info'!Y$6,CHAR(10),'Bundle Tag Info'!Y$18),"")</f>
        <v/>
      </c>
      <c r="Z13" s="25" t="str">
        <f>IF('Bundle Tag Info'!Z$18&lt;&gt;"",CONCATENATE('Bundle Tag Info'!$A$1," ",CHAR(10),'Bundle Tag Info'!$A$2," ",'Bundle Tag Info'!$A$3,CHAR(10),'Bundle Tag Info'!Z$6,CHAR(10),'Bundle Tag Info'!Z$18),"")</f>
        <v/>
      </c>
      <c r="AA13" s="25" t="str">
        <f>IF('Bundle Tag Info'!AA$18&lt;&gt;"",CONCATENATE('Bundle Tag Info'!$A$1," ",CHAR(10),'Bundle Tag Info'!$A$2," ",'Bundle Tag Info'!$A$3,CHAR(10),'Bundle Tag Info'!AA$6,CHAR(10),'Bundle Tag Info'!AA$18),"")</f>
        <v/>
      </c>
      <c r="AB13" s="25" t="str">
        <f>IF('Bundle Tag Info'!AB$18&lt;&gt;"",CONCATENATE('Bundle Tag Info'!$A$1," ",CHAR(10),'Bundle Tag Info'!$A$2," ",'Bundle Tag Info'!$A$3,CHAR(10),'Bundle Tag Info'!AB$6,CHAR(10),'Bundle Tag Info'!AB$18),"")</f>
        <v/>
      </c>
      <c r="AC13" s="25" t="str">
        <f>IF('Bundle Tag Info'!AC$18&lt;&gt;"",CONCATENATE('Bundle Tag Info'!$A$1," ",CHAR(10),'Bundle Tag Info'!$A$2," ",'Bundle Tag Info'!$A$3,CHAR(10),'Bundle Tag Info'!AC$6,CHAR(10),'Bundle Tag Info'!AC$18),"")</f>
        <v/>
      </c>
      <c r="AD13" s="25" t="str">
        <f>IF('Bundle Tag Info'!AD$18&lt;&gt;"",CONCATENATE('Bundle Tag Info'!$A$1," ",CHAR(10),'Bundle Tag Info'!$A$2," ",'Bundle Tag Info'!$A$3,CHAR(10),'Bundle Tag Info'!AD$6,CHAR(10),'Bundle Tag Info'!AD$18),"")</f>
        <v/>
      </c>
    </row>
    <row r="14" spans="1:30" ht="63.95" customHeight="1" x14ac:dyDescent="0.25">
      <c r="A14" s="25" t="str">
        <f>IF('Bundle Tag Info'!A$19&lt;&gt;"",CONCATENATE('Bundle Tag Info'!$A$1," ",CHAR(10),'Bundle Tag Info'!$A$2," ",'Bundle Tag Info'!$A$3,CHAR(10),'Bundle Tag Info'!A$6,CHAR(10),'Bundle Tag Info'!A$19),"")</f>
        <v/>
      </c>
      <c r="B14" s="25" t="str">
        <f>IF('Bundle Tag Info'!B$19&lt;&gt;"",CONCATENATE('Bundle Tag Info'!$A$1," ",CHAR(10),'Bundle Tag Info'!$A$2," ",'Bundle Tag Info'!$A$3,CHAR(10),'Bundle Tag Info'!B$6,CHAR(10),'Bundle Tag Info'!B$19),"")</f>
        <v>ERGON-V #2 
4K911 Rev A
L/RAIL JB70
THRU RAIL</v>
      </c>
      <c r="C14" s="25" t="str">
        <f>IF('Bundle Tag Info'!C$19&lt;&gt;"",CONCATENATE('Bundle Tag Info'!$A$1," ",CHAR(10),'Bundle Tag Info'!$A$2," ",'Bundle Tag Info'!$A$3,CHAR(10),'Bundle Tag Info'!C$6,CHAR(10),'Bundle Tag Info'!C$19),"")</f>
        <v/>
      </c>
      <c r="D14" s="25" t="str">
        <f>IF('Bundle Tag Info'!D$19&lt;&gt;"",CONCATENATE('Bundle Tag Info'!$A$1," ",CHAR(10),'Bundle Tag Info'!$A$2," ",'Bundle Tag Info'!$A$3,CHAR(10),'Bundle Tag Info'!D$6,CHAR(10),'Bundle Tag Info'!D$19),"")</f>
        <v>ERGON-V #2 
4K911 Rev A
A
KA A1/2-B</v>
      </c>
      <c r="E14" s="25" t="str">
        <f>IF('Bundle Tag Info'!E$19&lt;&gt;"",CONCATENATE('Bundle Tag Info'!$A$1," ",CHAR(10),'Bundle Tag Info'!$A$2," ",'Bundle Tag Info'!$A$3,CHAR(10),'Bundle Tag Info'!E$6,CHAR(10),'Bundle Tag Info'!E$19),"")</f>
        <v/>
      </c>
      <c r="F14" s="25" t="str">
        <f>IF('Bundle Tag Info'!F$19&lt;&gt;"",CONCATENATE('Bundle Tag Info'!$A$1," ",CHAR(10),'Bundle Tag Info'!$A$2," ",'Bundle Tag Info'!$A$3,CHAR(10),'Bundle Tag Info'!F$6,CHAR(10),'Bundle Tag Info'!F$19),"")</f>
        <v/>
      </c>
      <c r="G14" s="25" t="str">
        <f>IF('Bundle Tag Info'!G$19&lt;&gt;"",CONCATENATE('Bundle Tag Info'!$A$1," ",CHAR(10),'Bundle Tag Info'!$A$2," ",'Bundle Tag Info'!$A$3,CHAR(10),'Bundle Tag Info'!G$6,CHAR(10),'Bundle Tag Info'!G$19),"")</f>
        <v/>
      </c>
      <c r="H14" s="25" t="str">
        <f>IF('Bundle Tag Info'!H$19&lt;&gt;"",CONCATENATE('Bundle Tag Info'!$A$1," ",CHAR(10),'Bundle Tag Info'!$A$2," ",'Bundle Tag Info'!$A$3,CHAR(10),'Bundle Tag Info'!H$6,CHAR(10),'Bundle Tag Info'!H$19),"")</f>
        <v/>
      </c>
      <c r="I14" s="25" t="str">
        <f>IF('Bundle Tag Info'!I$19&lt;&gt;"",CONCATENATE('Bundle Tag Info'!$A$1," ",CHAR(10),'Bundle Tag Info'!$A$2," ",'Bundle Tag Info'!$A$3,CHAR(10),'Bundle Tag Info'!I$6,CHAR(10),'Bundle Tag Info'!I$19),"")</f>
        <v/>
      </c>
      <c r="J14" s="25" t="str">
        <f>IF('Bundle Tag Info'!J$19&lt;&gt;"",CONCATENATE('Bundle Tag Info'!$A$1," ",CHAR(10),'Bundle Tag Info'!$A$2," ",'Bundle Tag Info'!$A$3,CHAR(10),'Bundle Tag Info'!J$6,CHAR(10),'Bundle Tag Info'!J$19),"")</f>
        <v/>
      </c>
      <c r="K14" s="25" t="str">
        <f>IF('Bundle Tag Info'!K$19&lt;&gt;"",CONCATENATE('Bundle Tag Info'!$A$1," ",CHAR(10),'Bundle Tag Info'!$A$2," ",'Bundle Tag Info'!$A$3,CHAR(10),'Bundle Tag Info'!K$6,CHAR(10),'Bundle Tag Info'!K$19),"")</f>
        <v/>
      </c>
      <c r="L14" s="25" t="str">
        <f>IF('Bundle Tag Info'!L$19&lt;&gt;"",CONCATENATE('Bundle Tag Info'!$A$1," ",CHAR(10),'Bundle Tag Info'!$A$2," ",'Bundle Tag Info'!$A$3,CHAR(10),'Bundle Tag Info'!L$6,CHAR(10),'Bundle Tag Info'!L$19),"")</f>
        <v/>
      </c>
      <c r="M14" s="25" t="str">
        <f>IF('Bundle Tag Info'!M$19&lt;&gt;"",CONCATENATE('Bundle Tag Info'!$A$1," ",CHAR(10),'Bundle Tag Info'!$A$2," ",'Bundle Tag Info'!$A$3,CHAR(10),'Bundle Tag Info'!M$6,CHAR(10),'Bundle Tag Info'!M$19),"")</f>
        <v/>
      </c>
      <c r="N14" s="25" t="str">
        <f>IF('Bundle Tag Info'!N$19&lt;&gt;"",CONCATENATE('Bundle Tag Info'!$A$1," ",CHAR(10),'Bundle Tag Info'!$A$2," ",'Bundle Tag Info'!$A$3,CHAR(10),'Bundle Tag Info'!N$6,CHAR(10),'Bundle Tag Info'!N$19),"")</f>
        <v/>
      </c>
      <c r="O14" s="25" t="str">
        <f>IF('Bundle Tag Info'!O$19&lt;&gt;"",CONCATENATE('Bundle Tag Info'!$A$1," ",CHAR(10),'Bundle Tag Info'!$A$2," ",'Bundle Tag Info'!$A$3,CHAR(10),'Bundle Tag Info'!O$6,CHAR(10),'Bundle Tag Info'!O$19),"")</f>
        <v/>
      </c>
      <c r="P14" s="25" t="str">
        <f>IF('Bundle Tag Info'!P$19&lt;&gt;"",CONCATENATE('Bundle Tag Info'!$A$1," ",CHAR(10),'Bundle Tag Info'!$A$2," ",'Bundle Tag Info'!$A$3,CHAR(10),'Bundle Tag Info'!P$6,CHAR(10),'Bundle Tag Info'!P$19),"")</f>
        <v/>
      </c>
      <c r="Q14" s="25" t="str">
        <f>IF('Bundle Tag Info'!Q$19&lt;&gt;"",CONCATENATE('Bundle Tag Info'!$A$1," ",CHAR(10),'Bundle Tag Info'!$A$2," ",'Bundle Tag Info'!$A$3,CHAR(10),'Bundle Tag Info'!Q$6,CHAR(10),'Bundle Tag Info'!Q$19),"")</f>
        <v/>
      </c>
      <c r="R14" s="25" t="str">
        <f>IF('Bundle Tag Info'!R$19&lt;&gt;"",CONCATENATE('Bundle Tag Info'!$A$1," ",CHAR(10),'Bundle Tag Info'!$A$2," ",'Bundle Tag Info'!$A$3,CHAR(10),'Bundle Tag Info'!R$6,CHAR(10),'Bundle Tag Info'!R$19),"")</f>
        <v/>
      </c>
      <c r="S14" s="25" t="str">
        <f>IF('Bundle Tag Info'!S$19&lt;&gt;"",CONCATENATE('Bundle Tag Info'!$A$1," ",CHAR(10),'Bundle Tag Info'!$A$2," ",'Bundle Tag Info'!$A$3,CHAR(10),'Bundle Tag Info'!S$6,CHAR(10),'Bundle Tag Info'!S$19),"")</f>
        <v/>
      </c>
      <c r="T14" s="25" t="str">
        <f>IF('Bundle Tag Info'!T$19&lt;&gt;"",CONCATENATE('Bundle Tag Info'!$A$1," ",CHAR(10),'Bundle Tag Info'!$A$2," ",'Bundle Tag Info'!$A$3,CHAR(10),'Bundle Tag Info'!T$6,CHAR(10),'Bundle Tag Info'!T$19),"")</f>
        <v/>
      </c>
      <c r="U14" s="25" t="str">
        <f>IF('Bundle Tag Info'!U$19&lt;&gt;"",CONCATENATE('Bundle Tag Info'!$A$1," ",CHAR(10),'Bundle Tag Info'!$A$2," ",'Bundle Tag Info'!$A$3,CHAR(10),'Bundle Tag Info'!U$6,CHAR(10),'Bundle Tag Info'!U$19),"")</f>
        <v/>
      </c>
      <c r="V14" s="25" t="str">
        <f>IF('Bundle Tag Info'!V$19&lt;&gt;"",CONCATENATE('Bundle Tag Info'!$A$1," ",CHAR(10),'Bundle Tag Info'!$A$2," ",'Bundle Tag Info'!$A$3,CHAR(10),'Bundle Tag Info'!V$6,CHAR(10),'Bundle Tag Info'!V$19),"")</f>
        <v/>
      </c>
      <c r="W14" s="25" t="str">
        <f>IF('Bundle Tag Info'!W$19&lt;&gt;"",CONCATENATE('Bundle Tag Info'!$A$1," ",CHAR(10),'Bundle Tag Info'!$A$2," ",'Bundle Tag Info'!$A$3,CHAR(10),'Bundle Tag Info'!W$6,CHAR(10),'Bundle Tag Info'!W$19),"")</f>
        <v/>
      </c>
      <c r="X14" s="25" t="str">
        <f>IF('Bundle Tag Info'!X$19&lt;&gt;"",CONCATENATE('Bundle Tag Info'!$A$1," ",CHAR(10),'Bundle Tag Info'!$A$2," ",'Bundle Tag Info'!$A$3,CHAR(10),'Bundle Tag Info'!X$6,CHAR(10),'Bundle Tag Info'!X$19),"")</f>
        <v/>
      </c>
      <c r="Y14" s="25" t="str">
        <f>IF('Bundle Tag Info'!Y$19&lt;&gt;"",CONCATENATE('Bundle Tag Info'!$A$1," ",CHAR(10),'Bundle Tag Info'!$A$2," ",'Bundle Tag Info'!$A$3,CHAR(10),'Bundle Tag Info'!Y$6,CHAR(10),'Bundle Tag Info'!Y$19),"")</f>
        <v/>
      </c>
      <c r="Z14" s="25" t="str">
        <f>IF('Bundle Tag Info'!Z$19&lt;&gt;"",CONCATENATE('Bundle Tag Info'!$A$1," ",CHAR(10),'Bundle Tag Info'!$A$2," ",'Bundle Tag Info'!$A$3,CHAR(10),'Bundle Tag Info'!Z$6,CHAR(10),'Bundle Tag Info'!Z$19),"")</f>
        <v/>
      </c>
      <c r="AA14" s="25" t="str">
        <f>IF('Bundle Tag Info'!AA$19&lt;&gt;"",CONCATENATE('Bundle Tag Info'!$A$1," ",CHAR(10),'Bundle Tag Info'!$A$2," ",'Bundle Tag Info'!$A$3,CHAR(10),'Bundle Tag Info'!AA$6,CHAR(10),'Bundle Tag Info'!AA$19),"")</f>
        <v/>
      </c>
      <c r="AB14" s="25" t="str">
        <f>IF('Bundle Tag Info'!AB$19&lt;&gt;"",CONCATENATE('Bundle Tag Info'!$A$1," ",CHAR(10),'Bundle Tag Info'!$A$2," ",'Bundle Tag Info'!$A$3,CHAR(10),'Bundle Tag Info'!AB$6,CHAR(10),'Bundle Tag Info'!AB$19),"")</f>
        <v/>
      </c>
      <c r="AC14" s="25" t="str">
        <f>IF('Bundle Tag Info'!AC$19&lt;&gt;"",CONCATENATE('Bundle Tag Info'!$A$1," ",CHAR(10),'Bundle Tag Info'!$A$2," ",'Bundle Tag Info'!$A$3,CHAR(10),'Bundle Tag Info'!AC$6,CHAR(10),'Bundle Tag Info'!AC$19),"")</f>
        <v/>
      </c>
      <c r="AD14" s="25" t="str">
        <f>IF('Bundle Tag Info'!AD$19&lt;&gt;"",CONCATENATE('Bundle Tag Info'!$A$1," ",CHAR(10),'Bundle Tag Info'!$A$2," ",'Bundle Tag Info'!$A$3,CHAR(10),'Bundle Tag Info'!AD$6,CHAR(10),'Bundle Tag Info'!AD$19),"")</f>
        <v/>
      </c>
    </row>
    <row r="15" spans="1:30" ht="63.95" customHeight="1" x14ac:dyDescent="0.25">
      <c r="A15" s="25" t="str">
        <f>IF('Bundle Tag Info'!A$20&lt;&gt;"",CONCATENATE('Bundle Tag Info'!$A$1," ",CHAR(10),'Bundle Tag Info'!$A$2," ",'Bundle Tag Info'!$A$3,CHAR(10),'Bundle Tag Info'!A$6,CHAR(10),'Bundle Tag Info'!A$20),"")</f>
        <v/>
      </c>
      <c r="B15" s="25" t="str">
        <f>IF('Bundle Tag Info'!B$20&lt;&gt;"",CONCATENATE('Bundle Tag Info'!$A$1," ",CHAR(10),'Bundle Tag Info'!$A$2," ",'Bundle Tag Info'!$A$3,CHAR(10),'Bundle Tag Info'!B$6,CHAR(10),'Bundle Tag Info'!B$20),"")</f>
        <v/>
      </c>
      <c r="C15" s="25" t="str">
        <f>IF('Bundle Tag Info'!C$20&lt;&gt;"",CONCATENATE('Bundle Tag Info'!$A$1," ",CHAR(10),'Bundle Tag Info'!$A$2," ",'Bundle Tag Info'!$A$3,CHAR(10),'Bundle Tag Info'!C$6,CHAR(10),'Bundle Tag Info'!C$20),"")</f>
        <v/>
      </c>
      <c r="D15" s="25" t="str">
        <f>IF('Bundle Tag Info'!D$20&lt;&gt;"",CONCATENATE('Bundle Tag Info'!$A$1," ",CHAR(10),'Bundle Tag Info'!$A$2," ",'Bundle Tag Info'!$A$3,CHAR(10),'Bundle Tag Info'!D$6,CHAR(10),'Bundle Tag Info'!D$20),"")</f>
        <v>ERGON-V #2 
4K911 Rev A
A
KA-B</v>
      </c>
      <c r="E15" s="25" t="str">
        <f>IF('Bundle Tag Info'!E$20&lt;&gt;"",CONCATENATE('Bundle Tag Info'!$A$1," ",CHAR(10),'Bundle Tag Info'!$A$2," ",'Bundle Tag Info'!$A$3,CHAR(10),'Bundle Tag Info'!E$6,CHAR(10),'Bundle Tag Info'!E$20),"")</f>
        <v/>
      </c>
      <c r="F15" s="25" t="str">
        <f>IF('Bundle Tag Info'!F$20&lt;&gt;"",CONCATENATE('Bundle Tag Info'!$A$1," ",CHAR(10),'Bundle Tag Info'!$A$2," ",'Bundle Tag Info'!$A$3,CHAR(10),'Bundle Tag Info'!F$6,CHAR(10),'Bundle Tag Info'!F$20),"")</f>
        <v/>
      </c>
      <c r="G15" s="25" t="str">
        <f>IF('Bundle Tag Info'!G$20&lt;&gt;"",CONCATENATE('Bundle Tag Info'!$A$1," ",CHAR(10),'Bundle Tag Info'!$A$2," ",'Bundle Tag Info'!$A$3,CHAR(10),'Bundle Tag Info'!G$6,CHAR(10),'Bundle Tag Info'!G$20),"")</f>
        <v/>
      </c>
      <c r="H15" s="25" t="str">
        <f>IF('Bundle Tag Info'!H$20&lt;&gt;"",CONCATENATE('Bundle Tag Info'!$A$1," ",CHAR(10),'Bundle Tag Info'!$A$2," ",'Bundle Tag Info'!$A$3,CHAR(10),'Bundle Tag Info'!H$6,CHAR(10),'Bundle Tag Info'!H$20),"")</f>
        <v/>
      </c>
      <c r="I15" s="25" t="str">
        <f>IF('Bundle Tag Info'!I$20&lt;&gt;"",CONCATENATE('Bundle Tag Info'!$A$1," ",CHAR(10),'Bundle Tag Info'!$A$2," ",'Bundle Tag Info'!$A$3,CHAR(10),'Bundle Tag Info'!I$6,CHAR(10),'Bundle Tag Info'!I$20),"")</f>
        <v/>
      </c>
      <c r="J15" s="25" t="str">
        <f>IF('Bundle Tag Info'!J$20&lt;&gt;"",CONCATENATE('Bundle Tag Info'!$A$1," ",CHAR(10),'Bundle Tag Info'!$A$2," ",'Bundle Tag Info'!$A$3,CHAR(10),'Bundle Tag Info'!J$6,CHAR(10),'Bundle Tag Info'!J$20),"")</f>
        <v/>
      </c>
      <c r="K15" s="25" t="str">
        <f>IF('Bundle Tag Info'!K$20&lt;&gt;"",CONCATENATE('Bundle Tag Info'!$A$1," ",CHAR(10),'Bundle Tag Info'!$A$2," ",'Bundle Tag Info'!$A$3,CHAR(10),'Bundle Tag Info'!K$6,CHAR(10),'Bundle Tag Info'!K$20),"")</f>
        <v/>
      </c>
      <c r="L15" s="25" t="str">
        <f>IF('Bundle Tag Info'!L$20&lt;&gt;"",CONCATENATE('Bundle Tag Info'!$A$1," ",CHAR(10),'Bundle Tag Info'!$A$2," ",'Bundle Tag Info'!$A$3,CHAR(10),'Bundle Tag Info'!L$6,CHAR(10),'Bundle Tag Info'!L$20),"")</f>
        <v/>
      </c>
      <c r="M15" s="25" t="str">
        <f>IF('Bundle Tag Info'!M$20&lt;&gt;"",CONCATENATE('Bundle Tag Info'!$A$1," ",CHAR(10),'Bundle Tag Info'!$A$2," ",'Bundle Tag Info'!$A$3,CHAR(10),'Bundle Tag Info'!M$6,CHAR(10),'Bundle Tag Info'!M$20),"")</f>
        <v/>
      </c>
      <c r="N15" s="25" t="str">
        <f>IF('Bundle Tag Info'!N$20&lt;&gt;"",CONCATENATE('Bundle Tag Info'!$A$1," ",CHAR(10),'Bundle Tag Info'!$A$2," ",'Bundle Tag Info'!$A$3,CHAR(10),'Bundle Tag Info'!N$6,CHAR(10),'Bundle Tag Info'!N$20),"")</f>
        <v/>
      </c>
      <c r="O15" s="25" t="str">
        <f>IF('Bundle Tag Info'!O$20&lt;&gt;"",CONCATENATE('Bundle Tag Info'!$A$1," ",CHAR(10),'Bundle Tag Info'!$A$2," ",'Bundle Tag Info'!$A$3,CHAR(10),'Bundle Tag Info'!O$6,CHAR(10),'Bundle Tag Info'!O$20),"")</f>
        <v/>
      </c>
      <c r="P15" s="25" t="str">
        <f>IF('Bundle Tag Info'!P$20&lt;&gt;"",CONCATENATE('Bundle Tag Info'!$A$1," ",CHAR(10),'Bundle Tag Info'!$A$2," ",'Bundle Tag Info'!$A$3,CHAR(10),'Bundle Tag Info'!P$6,CHAR(10),'Bundle Tag Info'!P$20),"")</f>
        <v/>
      </c>
      <c r="Q15" s="25" t="str">
        <f>IF('Bundle Tag Info'!Q$20&lt;&gt;"",CONCATENATE('Bundle Tag Info'!$A$1," ",CHAR(10),'Bundle Tag Info'!$A$2," ",'Bundle Tag Info'!$A$3,CHAR(10),'Bundle Tag Info'!Q$6,CHAR(10),'Bundle Tag Info'!Q$20),"")</f>
        <v/>
      </c>
      <c r="R15" s="25" t="str">
        <f>IF('Bundle Tag Info'!R$20&lt;&gt;"",CONCATENATE('Bundle Tag Info'!$A$1," ",CHAR(10),'Bundle Tag Info'!$A$2," ",'Bundle Tag Info'!$A$3,CHAR(10),'Bundle Tag Info'!R$6,CHAR(10),'Bundle Tag Info'!R$20),"")</f>
        <v/>
      </c>
      <c r="S15" s="25" t="str">
        <f>IF('Bundle Tag Info'!S$20&lt;&gt;"",CONCATENATE('Bundle Tag Info'!$A$1," ",CHAR(10),'Bundle Tag Info'!$A$2," ",'Bundle Tag Info'!$A$3,CHAR(10),'Bundle Tag Info'!S$6,CHAR(10),'Bundle Tag Info'!S$20),"")</f>
        <v/>
      </c>
      <c r="T15" s="25" t="str">
        <f>IF('Bundle Tag Info'!T$20&lt;&gt;"",CONCATENATE('Bundle Tag Info'!$A$1," ",CHAR(10),'Bundle Tag Info'!$A$2," ",'Bundle Tag Info'!$A$3,CHAR(10),'Bundle Tag Info'!T$6,CHAR(10),'Bundle Tag Info'!T$20),"")</f>
        <v/>
      </c>
      <c r="U15" s="25" t="str">
        <f>IF('Bundle Tag Info'!U$20&lt;&gt;"",CONCATENATE('Bundle Tag Info'!$A$1," ",CHAR(10),'Bundle Tag Info'!$A$2," ",'Bundle Tag Info'!$A$3,CHAR(10),'Bundle Tag Info'!U$6,CHAR(10),'Bundle Tag Info'!U$20),"")</f>
        <v/>
      </c>
      <c r="V15" s="25" t="str">
        <f>IF('Bundle Tag Info'!V$20&lt;&gt;"",CONCATENATE('Bundle Tag Info'!$A$1," ",CHAR(10),'Bundle Tag Info'!$A$2," ",'Bundle Tag Info'!$A$3,CHAR(10),'Bundle Tag Info'!V$6,CHAR(10),'Bundle Tag Info'!V$20),"")</f>
        <v/>
      </c>
      <c r="W15" s="25" t="str">
        <f>IF('Bundle Tag Info'!W$20&lt;&gt;"",CONCATENATE('Bundle Tag Info'!$A$1," ",CHAR(10),'Bundle Tag Info'!$A$2," ",'Bundle Tag Info'!$A$3,CHAR(10),'Bundle Tag Info'!W$6,CHAR(10),'Bundle Tag Info'!W$20),"")</f>
        <v/>
      </c>
      <c r="X15" s="25" t="str">
        <f>IF('Bundle Tag Info'!X$20&lt;&gt;"",CONCATENATE('Bundle Tag Info'!$A$1," ",CHAR(10),'Bundle Tag Info'!$A$2," ",'Bundle Tag Info'!$A$3,CHAR(10),'Bundle Tag Info'!X$6,CHAR(10),'Bundle Tag Info'!X$20),"")</f>
        <v/>
      </c>
      <c r="Y15" s="25" t="str">
        <f>IF('Bundle Tag Info'!Y$20&lt;&gt;"",CONCATENATE('Bundle Tag Info'!$A$1," ",CHAR(10),'Bundle Tag Info'!$A$2," ",'Bundle Tag Info'!$A$3,CHAR(10),'Bundle Tag Info'!Y$6,CHAR(10),'Bundle Tag Info'!Y$20),"")</f>
        <v/>
      </c>
      <c r="Z15" s="25" t="str">
        <f>IF('Bundle Tag Info'!Z$20&lt;&gt;"",CONCATENATE('Bundle Tag Info'!$A$1," ",CHAR(10),'Bundle Tag Info'!$A$2," ",'Bundle Tag Info'!$A$3,CHAR(10),'Bundle Tag Info'!Z$6,CHAR(10),'Bundle Tag Info'!Z$20),"")</f>
        <v/>
      </c>
      <c r="AA15" s="25" t="str">
        <f>IF('Bundle Tag Info'!AA$20&lt;&gt;"",CONCATENATE('Bundle Tag Info'!$A$1," ",CHAR(10),'Bundle Tag Info'!$A$2," ",'Bundle Tag Info'!$A$3,CHAR(10),'Bundle Tag Info'!AA$6,CHAR(10),'Bundle Tag Info'!AA$20),"")</f>
        <v/>
      </c>
      <c r="AB15" s="25" t="str">
        <f>IF('Bundle Tag Info'!AB$20&lt;&gt;"",CONCATENATE('Bundle Tag Info'!$A$1," ",CHAR(10),'Bundle Tag Info'!$A$2," ",'Bundle Tag Info'!$A$3,CHAR(10),'Bundle Tag Info'!AB$6,CHAR(10),'Bundle Tag Info'!AB$20),"")</f>
        <v/>
      </c>
      <c r="AC15" s="25" t="str">
        <f>IF('Bundle Tag Info'!AC$20&lt;&gt;"",CONCATENATE('Bundle Tag Info'!$A$1," ",CHAR(10),'Bundle Tag Info'!$A$2," ",'Bundle Tag Info'!$A$3,CHAR(10),'Bundle Tag Info'!AC$6,CHAR(10),'Bundle Tag Info'!AC$20),"")</f>
        <v/>
      </c>
      <c r="AD15" s="25" t="str">
        <f>IF('Bundle Tag Info'!AD$20&lt;&gt;"",CONCATENATE('Bundle Tag Info'!$A$1," ",CHAR(10),'Bundle Tag Info'!$A$2," ",'Bundle Tag Info'!$A$3,CHAR(10),'Bundle Tag Info'!AD$6,CHAR(10),'Bundle Tag Info'!AD$20),"")</f>
        <v/>
      </c>
    </row>
    <row r="16" spans="1:30" ht="63.95" customHeight="1" x14ac:dyDescent="0.25">
      <c r="A16" s="25" t="str">
        <f>IF('Bundle Tag Info'!A$21&lt;&gt;"",CONCATENATE('Bundle Tag Info'!$A$1," ",CHAR(10),'Bundle Tag Info'!$A$2," ",'Bundle Tag Info'!$A$3,CHAR(10),'Bundle Tag Info'!A$6,CHAR(10),'Bundle Tag Info'!A$21),"")</f>
        <v/>
      </c>
      <c r="B16" s="25" t="str">
        <f>IF('Bundle Tag Info'!B$21&lt;&gt;"",CONCATENATE('Bundle Tag Info'!$A$1," ",CHAR(10),'Bundle Tag Info'!$A$2," ",'Bundle Tag Info'!$A$3,CHAR(10),'Bundle Tag Info'!B$6,CHAR(10),'Bundle Tag Info'!B$21),"")</f>
        <v/>
      </c>
      <c r="C16" s="25" t="str">
        <f>IF('Bundle Tag Info'!C$21&lt;&gt;"",CONCATENATE('Bundle Tag Info'!$A$1," ",CHAR(10),'Bundle Tag Info'!$A$2," ",'Bundle Tag Info'!$A$3,CHAR(10),'Bundle Tag Info'!C$6,CHAR(10),'Bundle Tag Info'!C$21),"")</f>
        <v/>
      </c>
      <c r="D16" s="25" t="str">
        <f>IF('Bundle Tag Info'!D$21&lt;&gt;"",CONCATENATE('Bundle Tag Info'!$A$1," ",CHAR(10),'Bundle Tag Info'!$A$2," ",'Bundle Tag Info'!$A$3,CHAR(10),'Bundle Tag Info'!D$6,CHAR(10),'Bundle Tag Info'!D$21),"")</f>
        <v>ERGON-V #2 
4K911 Rev A
A
KT-B</v>
      </c>
      <c r="E16" s="25" t="str">
        <f>IF('Bundle Tag Info'!E$21&lt;&gt;"",CONCATENATE('Bundle Tag Info'!$A$1," ",CHAR(10),'Bundle Tag Info'!$A$2," ",'Bundle Tag Info'!$A$3,CHAR(10),'Bundle Tag Info'!E$6,CHAR(10),'Bundle Tag Info'!E$21),"")</f>
        <v/>
      </c>
      <c r="F16" s="25" t="str">
        <f>IF('Bundle Tag Info'!F$21&lt;&gt;"",CONCATENATE('Bundle Tag Info'!$A$1," ",CHAR(10),'Bundle Tag Info'!$A$2," ",'Bundle Tag Info'!$A$3,CHAR(10),'Bundle Tag Info'!F$6,CHAR(10),'Bundle Tag Info'!F$21),"")</f>
        <v/>
      </c>
      <c r="G16" s="25" t="str">
        <f>IF('Bundle Tag Info'!G$21&lt;&gt;"",CONCATENATE('Bundle Tag Info'!$A$1," ",CHAR(10),'Bundle Tag Info'!$A$2," ",'Bundle Tag Info'!$A$3,CHAR(10),'Bundle Tag Info'!G$6,CHAR(10),'Bundle Tag Info'!G$21),"")</f>
        <v/>
      </c>
      <c r="H16" s="25" t="str">
        <f>IF('Bundle Tag Info'!H$21&lt;&gt;"",CONCATENATE('Bundle Tag Info'!$A$1," ",CHAR(10),'Bundle Tag Info'!$A$2," ",'Bundle Tag Info'!$A$3,CHAR(10),'Bundle Tag Info'!H$6,CHAR(10),'Bundle Tag Info'!H$21),"")</f>
        <v/>
      </c>
      <c r="I16" s="25" t="str">
        <f>IF('Bundle Tag Info'!I$21&lt;&gt;"",CONCATENATE('Bundle Tag Info'!$A$1," ",CHAR(10),'Bundle Tag Info'!$A$2," ",'Bundle Tag Info'!$A$3,CHAR(10),'Bundle Tag Info'!I$6,CHAR(10),'Bundle Tag Info'!I$21),"")</f>
        <v/>
      </c>
      <c r="J16" s="25" t="str">
        <f>IF('Bundle Tag Info'!J$21&lt;&gt;"",CONCATENATE('Bundle Tag Info'!$A$1," ",CHAR(10),'Bundle Tag Info'!$A$2," ",'Bundle Tag Info'!$A$3,CHAR(10),'Bundle Tag Info'!J$6,CHAR(10),'Bundle Tag Info'!J$21),"")</f>
        <v/>
      </c>
      <c r="K16" s="25" t="str">
        <f>IF('Bundle Tag Info'!K$21&lt;&gt;"",CONCATENATE('Bundle Tag Info'!$A$1," ",CHAR(10),'Bundle Tag Info'!$A$2," ",'Bundle Tag Info'!$A$3,CHAR(10),'Bundle Tag Info'!K$6,CHAR(10),'Bundle Tag Info'!K$21),"")</f>
        <v/>
      </c>
      <c r="L16" s="25" t="str">
        <f>IF('Bundle Tag Info'!L$21&lt;&gt;"",CONCATENATE('Bundle Tag Info'!$A$1," ",CHAR(10),'Bundle Tag Info'!$A$2," ",'Bundle Tag Info'!$A$3,CHAR(10),'Bundle Tag Info'!L$6,CHAR(10),'Bundle Tag Info'!L$21),"")</f>
        <v/>
      </c>
      <c r="M16" s="25" t="str">
        <f>IF('Bundle Tag Info'!M$21&lt;&gt;"",CONCATENATE('Bundle Tag Info'!$A$1," ",CHAR(10),'Bundle Tag Info'!$A$2," ",'Bundle Tag Info'!$A$3,CHAR(10),'Bundle Tag Info'!M$6,CHAR(10),'Bundle Tag Info'!M$21),"")</f>
        <v/>
      </c>
      <c r="N16" s="25" t="str">
        <f>IF('Bundle Tag Info'!N$21&lt;&gt;"",CONCATENATE('Bundle Tag Info'!$A$1," ",CHAR(10),'Bundle Tag Info'!$A$2," ",'Bundle Tag Info'!$A$3,CHAR(10),'Bundle Tag Info'!N$6,CHAR(10),'Bundle Tag Info'!N$21),"")</f>
        <v/>
      </c>
      <c r="O16" s="25" t="str">
        <f>IF('Bundle Tag Info'!O$21&lt;&gt;"",CONCATENATE('Bundle Tag Info'!$A$1," ",CHAR(10),'Bundle Tag Info'!$A$2," ",'Bundle Tag Info'!$A$3,CHAR(10),'Bundle Tag Info'!O$6,CHAR(10),'Bundle Tag Info'!O$21),"")</f>
        <v/>
      </c>
      <c r="P16" s="25" t="str">
        <f>IF('Bundle Tag Info'!P$21&lt;&gt;"",CONCATENATE('Bundle Tag Info'!$A$1," ",CHAR(10),'Bundle Tag Info'!$A$2," ",'Bundle Tag Info'!$A$3,CHAR(10),'Bundle Tag Info'!P$6,CHAR(10),'Bundle Tag Info'!P$21),"")</f>
        <v/>
      </c>
      <c r="Q16" s="25" t="str">
        <f>IF('Bundle Tag Info'!Q$21&lt;&gt;"",CONCATENATE('Bundle Tag Info'!$A$1," ",CHAR(10),'Bundle Tag Info'!$A$2," ",'Bundle Tag Info'!$A$3,CHAR(10),'Bundle Tag Info'!Q$6,CHAR(10),'Bundle Tag Info'!Q$21),"")</f>
        <v/>
      </c>
      <c r="R16" s="25" t="str">
        <f>IF('Bundle Tag Info'!R$21&lt;&gt;"",CONCATENATE('Bundle Tag Info'!$A$1," ",CHAR(10),'Bundle Tag Info'!$A$2," ",'Bundle Tag Info'!$A$3,CHAR(10),'Bundle Tag Info'!R$6,CHAR(10),'Bundle Tag Info'!R$21),"")</f>
        <v/>
      </c>
      <c r="S16" s="25" t="str">
        <f>IF('Bundle Tag Info'!S$21&lt;&gt;"",CONCATENATE('Bundle Tag Info'!$A$1," ",CHAR(10),'Bundle Tag Info'!$A$2," ",'Bundle Tag Info'!$A$3,CHAR(10),'Bundle Tag Info'!S$6,CHAR(10),'Bundle Tag Info'!S$21),"")</f>
        <v/>
      </c>
      <c r="T16" s="25" t="str">
        <f>IF('Bundle Tag Info'!T$21&lt;&gt;"",CONCATENATE('Bundle Tag Info'!$A$1," ",CHAR(10),'Bundle Tag Info'!$A$2," ",'Bundle Tag Info'!$A$3,CHAR(10),'Bundle Tag Info'!T$6,CHAR(10),'Bundle Tag Info'!T$21),"")</f>
        <v/>
      </c>
      <c r="U16" s="25" t="str">
        <f>IF('Bundle Tag Info'!U$21&lt;&gt;"",CONCATENATE('Bundle Tag Info'!$A$1," ",CHAR(10),'Bundle Tag Info'!$A$2," ",'Bundle Tag Info'!$A$3,CHAR(10),'Bundle Tag Info'!U$6,CHAR(10),'Bundle Tag Info'!U$21),"")</f>
        <v/>
      </c>
      <c r="V16" s="25" t="str">
        <f>IF('Bundle Tag Info'!V$21&lt;&gt;"",CONCATENATE('Bundle Tag Info'!$A$1," ",CHAR(10),'Bundle Tag Info'!$A$2," ",'Bundle Tag Info'!$A$3,CHAR(10),'Bundle Tag Info'!V$6,CHAR(10),'Bundle Tag Info'!V$21),"")</f>
        <v/>
      </c>
      <c r="W16" s="25" t="str">
        <f>IF('Bundle Tag Info'!W$21&lt;&gt;"",CONCATENATE('Bundle Tag Info'!$A$1," ",CHAR(10),'Bundle Tag Info'!$A$2," ",'Bundle Tag Info'!$A$3,CHAR(10),'Bundle Tag Info'!W$6,CHAR(10),'Bundle Tag Info'!W$21),"")</f>
        <v/>
      </c>
      <c r="X16" s="25" t="str">
        <f>IF('Bundle Tag Info'!X$21&lt;&gt;"",CONCATENATE('Bundle Tag Info'!$A$1," ",CHAR(10),'Bundle Tag Info'!$A$2," ",'Bundle Tag Info'!$A$3,CHAR(10),'Bundle Tag Info'!X$6,CHAR(10),'Bundle Tag Info'!X$21),"")</f>
        <v/>
      </c>
      <c r="Y16" s="25" t="str">
        <f>IF('Bundle Tag Info'!Y$21&lt;&gt;"",CONCATENATE('Bundle Tag Info'!$A$1," ",CHAR(10),'Bundle Tag Info'!$A$2," ",'Bundle Tag Info'!$A$3,CHAR(10),'Bundle Tag Info'!Y$6,CHAR(10),'Bundle Tag Info'!Y$21),"")</f>
        <v/>
      </c>
      <c r="Z16" s="25" t="str">
        <f>IF('Bundle Tag Info'!Z$21&lt;&gt;"",CONCATENATE('Bundle Tag Info'!$A$1," ",CHAR(10),'Bundle Tag Info'!$A$2," ",'Bundle Tag Info'!$A$3,CHAR(10),'Bundle Tag Info'!Z$6,CHAR(10),'Bundle Tag Info'!Z$21),"")</f>
        <v/>
      </c>
      <c r="AA16" s="25" t="str">
        <f>IF('Bundle Tag Info'!AA$21&lt;&gt;"",CONCATENATE('Bundle Tag Info'!$A$1," ",CHAR(10),'Bundle Tag Info'!$A$2," ",'Bundle Tag Info'!$A$3,CHAR(10),'Bundle Tag Info'!AA$6,CHAR(10),'Bundle Tag Info'!AA$21),"")</f>
        <v/>
      </c>
      <c r="AB16" s="25" t="str">
        <f>IF('Bundle Tag Info'!AB$21&lt;&gt;"",CONCATENATE('Bundle Tag Info'!$A$1," ",CHAR(10),'Bundle Tag Info'!$A$2," ",'Bundle Tag Info'!$A$3,CHAR(10),'Bundle Tag Info'!AB$6,CHAR(10),'Bundle Tag Info'!AB$21),"")</f>
        <v/>
      </c>
      <c r="AC16" s="25" t="str">
        <f>IF('Bundle Tag Info'!AC$21&lt;&gt;"",CONCATENATE('Bundle Tag Info'!$A$1," ",CHAR(10),'Bundle Tag Info'!$A$2," ",'Bundle Tag Info'!$A$3,CHAR(10),'Bundle Tag Info'!AC$6,CHAR(10),'Bundle Tag Info'!AC$21),"")</f>
        <v/>
      </c>
      <c r="AD16" s="25" t="str">
        <f>IF('Bundle Tag Info'!AD$21&lt;&gt;"",CONCATENATE('Bundle Tag Info'!$A$1," ",CHAR(10),'Bundle Tag Info'!$A$2," ",'Bundle Tag Info'!$A$3,CHAR(10),'Bundle Tag Info'!AD$6,CHAR(10),'Bundle Tag Info'!AD$21),"")</f>
        <v/>
      </c>
    </row>
    <row r="17" spans="1:30" ht="63.95" customHeight="1" x14ac:dyDescent="0.25">
      <c r="A17" s="25" t="str">
        <f>IF('Bundle Tag Info'!A$22&lt;&gt;"",CONCATENATE('Bundle Tag Info'!$A$1," ",CHAR(10),'Bundle Tag Info'!$A$2," ",'Bundle Tag Info'!$A$3,CHAR(10),'Bundle Tag Info'!A$6,CHAR(10),'Bundle Tag Info'!A$22),"")</f>
        <v/>
      </c>
      <c r="B17" s="25" t="str">
        <f>IF('Bundle Tag Info'!B$22&lt;&gt;"",CONCATENATE('Bundle Tag Info'!$A$1," ",CHAR(10),'Bundle Tag Info'!$A$2," ",'Bundle Tag Info'!$A$3,CHAR(10),'Bundle Tag Info'!B$6,CHAR(10),'Bundle Tag Info'!B$22),"")</f>
        <v/>
      </c>
      <c r="C17" s="25" t="str">
        <f>IF('Bundle Tag Info'!C$22&lt;&gt;"",CONCATENATE('Bundle Tag Info'!$A$1," ",CHAR(10),'Bundle Tag Info'!$A$2," ",'Bundle Tag Info'!$A$3,CHAR(10),'Bundle Tag Info'!C$6,CHAR(10),'Bundle Tag Info'!C$22),"")</f>
        <v/>
      </c>
      <c r="D17" s="25" t="str">
        <f>IF('Bundle Tag Info'!D$22&lt;&gt;"",CONCATENATE('Bundle Tag Info'!$A$1," ",CHAR(10),'Bundle Tag Info'!$A$2," ",'Bundle Tag Info'!$A$3,CHAR(10),'Bundle Tag Info'!D$6,CHAR(10),'Bundle Tag Info'!D$22),"")</f>
        <v>ERGON-V #2 
4K911 Rev A
A
XT-B</v>
      </c>
      <c r="E17" s="25" t="str">
        <f>IF('Bundle Tag Info'!E$22&lt;&gt;"",CONCATENATE('Bundle Tag Info'!$A$1," ",CHAR(10),'Bundle Tag Info'!$A$2," ",'Bundle Tag Info'!$A$3,CHAR(10),'Bundle Tag Info'!E$6,CHAR(10),'Bundle Tag Info'!E$22),"")</f>
        <v/>
      </c>
      <c r="F17" s="25" t="str">
        <f>IF('Bundle Tag Info'!F$22&lt;&gt;"",CONCATENATE('Bundle Tag Info'!$A$1," ",CHAR(10),'Bundle Tag Info'!$A$2," ",'Bundle Tag Info'!$A$3,CHAR(10),'Bundle Tag Info'!F$6,CHAR(10),'Bundle Tag Info'!F$22),"")</f>
        <v/>
      </c>
      <c r="G17" s="25" t="str">
        <f>IF('Bundle Tag Info'!G$22&lt;&gt;"",CONCATENATE('Bundle Tag Info'!$A$1," ",CHAR(10),'Bundle Tag Info'!$A$2," ",'Bundle Tag Info'!$A$3,CHAR(10),'Bundle Tag Info'!G$6,CHAR(10),'Bundle Tag Info'!G$22),"")</f>
        <v/>
      </c>
      <c r="H17" s="25" t="str">
        <f>IF('Bundle Tag Info'!H$22&lt;&gt;"",CONCATENATE('Bundle Tag Info'!$A$1," ",CHAR(10),'Bundle Tag Info'!$A$2," ",'Bundle Tag Info'!$A$3,CHAR(10),'Bundle Tag Info'!H$6,CHAR(10),'Bundle Tag Info'!H$22),"")</f>
        <v/>
      </c>
      <c r="I17" s="25" t="str">
        <f>IF('Bundle Tag Info'!I$22&lt;&gt;"",CONCATENATE('Bundle Tag Info'!$A$1," ",CHAR(10),'Bundle Tag Info'!$A$2," ",'Bundle Tag Info'!$A$3,CHAR(10),'Bundle Tag Info'!I$6,CHAR(10),'Bundle Tag Info'!I$22),"")</f>
        <v/>
      </c>
      <c r="J17" s="25" t="str">
        <f>IF('Bundle Tag Info'!J$22&lt;&gt;"",CONCATENATE('Bundle Tag Info'!$A$1," ",CHAR(10),'Bundle Tag Info'!$A$2," ",'Bundle Tag Info'!$A$3,CHAR(10),'Bundle Tag Info'!J$6,CHAR(10),'Bundle Tag Info'!J$22),"")</f>
        <v/>
      </c>
      <c r="K17" s="25" t="str">
        <f>IF('Bundle Tag Info'!K$22&lt;&gt;"",CONCATENATE('Bundle Tag Info'!$A$1," ",CHAR(10),'Bundle Tag Info'!$A$2," ",'Bundle Tag Info'!$A$3,CHAR(10),'Bundle Tag Info'!K$6,CHAR(10),'Bundle Tag Info'!K$22),"")</f>
        <v/>
      </c>
      <c r="L17" s="25" t="str">
        <f>IF('Bundle Tag Info'!L$22&lt;&gt;"",CONCATENATE('Bundle Tag Info'!$A$1," ",CHAR(10),'Bundle Tag Info'!$A$2," ",'Bundle Tag Info'!$A$3,CHAR(10),'Bundle Tag Info'!L$6,CHAR(10),'Bundle Tag Info'!L$22),"")</f>
        <v/>
      </c>
      <c r="M17" s="25" t="str">
        <f>IF('Bundle Tag Info'!M$22&lt;&gt;"",CONCATENATE('Bundle Tag Info'!$A$1," ",CHAR(10),'Bundle Tag Info'!$A$2," ",'Bundle Tag Info'!$A$3,CHAR(10),'Bundle Tag Info'!M$6,CHAR(10),'Bundle Tag Info'!M$22),"")</f>
        <v/>
      </c>
      <c r="N17" s="25" t="str">
        <f>IF('Bundle Tag Info'!N$22&lt;&gt;"",CONCATENATE('Bundle Tag Info'!$A$1," ",CHAR(10),'Bundle Tag Info'!$A$2," ",'Bundle Tag Info'!$A$3,CHAR(10),'Bundle Tag Info'!N$6,CHAR(10),'Bundle Tag Info'!N$22),"")</f>
        <v/>
      </c>
      <c r="O17" s="25" t="str">
        <f>IF('Bundle Tag Info'!O$22&lt;&gt;"",CONCATENATE('Bundle Tag Info'!$A$1," ",CHAR(10),'Bundle Tag Info'!$A$2," ",'Bundle Tag Info'!$A$3,CHAR(10),'Bundle Tag Info'!O$6,CHAR(10),'Bundle Tag Info'!O$22),"")</f>
        <v/>
      </c>
      <c r="P17" s="25" t="str">
        <f>IF('Bundle Tag Info'!P$22&lt;&gt;"",CONCATENATE('Bundle Tag Info'!$A$1," ",CHAR(10),'Bundle Tag Info'!$A$2," ",'Bundle Tag Info'!$A$3,CHAR(10),'Bundle Tag Info'!P$6,CHAR(10),'Bundle Tag Info'!P$22),"")</f>
        <v/>
      </c>
      <c r="Q17" s="25" t="str">
        <f>IF('Bundle Tag Info'!Q$22&lt;&gt;"",CONCATENATE('Bundle Tag Info'!$A$1," ",CHAR(10),'Bundle Tag Info'!$A$2," ",'Bundle Tag Info'!$A$3,CHAR(10),'Bundle Tag Info'!Q$6,CHAR(10),'Bundle Tag Info'!Q$22),"")</f>
        <v/>
      </c>
      <c r="R17" s="25" t="str">
        <f>IF('Bundle Tag Info'!R$22&lt;&gt;"",CONCATENATE('Bundle Tag Info'!$A$1," ",CHAR(10),'Bundle Tag Info'!$A$2," ",'Bundle Tag Info'!$A$3,CHAR(10),'Bundle Tag Info'!R$6,CHAR(10),'Bundle Tag Info'!R$22),"")</f>
        <v/>
      </c>
      <c r="S17" s="25" t="str">
        <f>IF('Bundle Tag Info'!S$22&lt;&gt;"",CONCATENATE('Bundle Tag Info'!$A$1," ",CHAR(10),'Bundle Tag Info'!$A$2," ",'Bundle Tag Info'!$A$3,CHAR(10),'Bundle Tag Info'!S$6,CHAR(10),'Bundle Tag Info'!S$22),"")</f>
        <v/>
      </c>
      <c r="T17" s="25" t="str">
        <f>IF('Bundle Tag Info'!T$22&lt;&gt;"",CONCATENATE('Bundle Tag Info'!$A$1," ",CHAR(10),'Bundle Tag Info'!$A$2," ",'Bundle Tag Info'!$A$3,CHAR(10),'Bundle Tag Info'!T$6,CHAR(10),'Bundle Tag Info'!T$22),"")</f>
        <v/>
      </c>
      <c r="U17" s="25" t="str">
        <f>IF('Bundle Tag Info'!U$22&lt;&gt;"",CONCATENATE('Bundle Tag Info'!$A$1," ",CHAR(10),'Bundle Tag Info'!$A$2," ",'Bundle Tag Info'!$A$3,CHAR(10),'Bundle Tag Info'!U$6,CHAR(10),'Bundle Tag Info'!U$22),"")</f>
        <v/>
      </c>
      <c r="V17" s="25" t="str">
        <f>IF('Bundle Tag Info'!V$22&lt;&gt;"",CONCATENATE('Bundle Tag Info'!$A$1," ",CHAR(10),'Bundle Tag Info'!$A$2," ",'Bundle Tag Info'!$A$3,CHAR(10),'Bundle Tag Info'!V$6,CHAR(10),'Bundle Tag Info'!V$22),"")</f>
        <v/>
      </c>
      <c r="W17" s="25" t="str">
        <f>IF('Bundle Tag Info'!W$22&lt;&gt;"",CONCATENATE('Bundle Tag Info'!$A$1," ",CHAR(10),'Bundle Tag Info'!$A$2," ",'Bundle Tag Info'!$A$3,CHAR(10),'Bundle Tag Info'!W$6,CHAR(10),'Bundle Tag Info'!W$22),"")</f>
        <v/>
      </c>
      <c r="X17" s="25" t="str">
        <f>IF('Bundle Tag Info'!X$22&lt;&gt;"",CONCATENATE('Bundle Tag Info'!$A$1," ",CHAR(10),'Bundle Tag Info'!$A$2," ",'Bundle Tag Info'!$A$3,CHAR(10),'Bundle Tag Info'!X$6,CHAR(10),'Bundle Tag Info'!X$22),"")</f>
        <v/>
      </c>
      <c r="Y17" s="25" t="str">
        <f>IF('Bundle Tag Info'!Y$22&lt;&gt;"",CONCATENATE('Bundle Tag Info'!$A$1," ",CHAR(10),'Bundle Tag Info'!$A$2," ",'Bundle Tag Info'!$A$3,CHAR(10),'Bundle Tag Info'!Y$6,CHAR(10),'Bundle Tag Info'!Y$22),"")</f>
        <v/>
      </c>
      <c r="Z17" s="25" t="str">
        <f>IF('Bundle Tag Info'!Z$22&lt;&gt;"",CONCATENATE('Bundle Tag Info'!$A$1," ",CHAR(10),'Bundle Tag Info'!$A$2," ",'Bundle Tag Info'!$A$3,CHAR(10),'Bundle Tag Info'!Z$6,CHAR(10),'Bundle Tag Info'!Z$22),"")</f>
        <v/>
      </c>
      <c r="AA17" s="25" t="str">
        <f>IF('Bundle Tag Info'!AA$22&lt;&gt;"",CONCATENATE('Bundle Tag Info'!$A$1," ",CHAR(10),'Bundle Tag Info'!$A$2," ",'Bundle Tag Info'!$A$3,CHAR(10),'Bundle Tag Info'!AA$6,CHAR(10),'Bundle Tag Info'!AA$22),"")</f>
        <v/>
      </c>
      <c r="AB17" s="25" t="str">
        <f>IF('Bundle Tag Info'!AB$22&lt;&gt;"",CONCATENATE('Bundle Tag Info'!$A$1," ",CHAR(10),'Bundle Tag Info'!$A$2," ",'Bundle Tag Info'!$A$3,CHAR(10),'Bundle Tag Info'!AB$6,CHAR(10),'Bundle Tag Info'!AB$22),"")</f>
        <v/>
      </c>
      <c r="AC17" s="25" t="str">
        <f>IF('Bundle Tag Info'!AC$22&lt;&gt;"",CONCATENATE('Bundle Tag Info'!$A$1," ",CHAR(10),'Bundle Tag Info'!$A$2," ",'Bundle Tag Info'!$A$3,CHAR(10),'Bundle Tag Info'!AC$6,CHAR(10),'Bundle Tag Info'!AC$22),"")</f>
        <v/>
      </c>
      <c r="AD17" s="25" t="str">
        <f>IF('Bundle Tag Info'!AD$22&lt;&gt;"",CONCATENATE('Bundle Tag Info'!$A$1," ",CHAR(10),'Bundle Tag Info'!$A$2," ",'Bundle Tag Info'!$A$3,CHAR(10),'Bundle Tag Info'!AD$6,CHAR(10),'Bundle Tag Info'!AD$22),"")</f>
        <v/>
      </c>
    </row>
    <row r="18" spans="1:30" ht="63.95" customHeight="1" x14ac:dyDescent="0.25">
      <c r="A18" s="25" t="str">
        <f>IF('Bundle Tag Info'!A$23&lt;&gt;"",CONCATENATE('Bundle Tag Info'!$A$1," ",CHAR(10),'Bundle Tag Info'!$A$2," ",'Bundle Tag Info'!$A$3,CHAR(10),'Bundle Tag Info'!A$6,CHAR(10),'Bundle Tag Info'!A$23),"")</f>
        <v/>
      </c>
      <c r="B18" s="25" t="str">
        <f>IF('Bundle Tag Info'!B$23&lt;&gt;"",CONCATENATE('Bundle Tag Info'!$A$1," ",CHAR(10),'Bundle Tag Info'!$A$2," ",'Bundle Tag Info'!$A$3,CHAR(10),'Bundle Tag Info'!B$6,CHAR(10),'Bundle Tag Info'!B$23),"")</f>
        <v/>
      </c>
      <c r="C18" s="25" t="str">
        <f>IF('Bundle Tag Info'!C$23&lt;&gt;"",CONCATENATE('Bundle Tag Info'!$A$1," ",CHAR(10),'Bundle Tag Info'!$A$2," ",'Bundle Tag Info'!$A$3,CHAR(10),'Bundle Tag Info'!C$6,CHAR(10),'Bundle Tag Info'!C$23),"")</f>
        <v/>
      </c>
      <c r="D18" s="25" t="str">
        <f>IF('Bundle Tag Info'!D$23&lt;&gt;"",CONCATENATE('Bundle Tag Info'!$A$1," ",CHAR(10),'Bundle Tag Info'!$A$2," ",'Bundle Tag Info'!$A$3,CHAR(10),'Bundle Tag Info'!D$6,CHAR(10),'Bundle Tag Info'!D$23),"")</f>
        <v/>
      </c>
      <c r="E18" s="25" t="str">
        <f>IF('Bundle Tag Info'!E$23&lt;&gt;"",CONCATENATE('Bundle Tag Info'!$A$1," ",CHAR(10),'Bundle Tag Info'!$A$2," ",'Bundle Tag Info'!$A$3,CHAR(10),'Bundle Tag Info'!E$6,CHAR(10),'Bundle Tag Info'!E$23),"")</f>
        <v/>
      </c>
      <c r="F18" s="25" t="str">
        <f>IF('Bundle Tag Info'!F$23&lt;&gt;"",CONCATENATE('Bundle Tag Info'!$A$1," ",CHAR(10),'Bundle Tag Info'!$A$2," ",'Bundle Tag Info'!$A$3,CHAR(10),'Bundle Tag Info'!F$6,CHAR(10),'Bundle Tag Info'!F$23),"")</f>
        <v/>
      </c>
      <c r="G18" s="25" t="str">
        <f>IF('Bundle Tag Info'!G$23&lt;&gt;"",CONCATENATE('Bundle Tag Info'!$A$1," ",CHAR(10),'Bundle Tag Info'!$A$2," ",'Bundle Tag Info'!$A$3,CHAR(10),'Bundle Tag Info'!G$6,CHAR(10),'Bundle Tag Info'!G$23),"")</f>
        <v/>
      </c>
      <c r="H18" s="25" t="str">
        <f>IF('Bundle Tag Info'!H$23&lt;&gt;"",CONCATENATE('Bundle Tag Info'!$A$1," ",CHAR(10),'Bundle Tag Info'!$A$2," ",'Bundle Tag Info'!$A$3,CHAR(10),'Bundle Tag Info'!H$6,CHAR(10),'Bundle Tag Info'!H$23),"")</f>
        <v/>
      </c>
      <c r="I18" s="25" t="str">
        <f>IF('Bundle Tag Info'!I$23&lt;&gt;"",CONCATENATE('Bundle Tag Info'!$A$1," ",CHAR(10),'Bundle Tag Info'!$A$2," ",'Bundle Tag Info'!$A$3,CHAR(10),'Bundle Tag Info'!I$6,CHAR(10),'Bundle Tag Info'!I$23),"")</f>
        <v/>
      </c>
      <c r="J18" s="25" t="str">
        <f>IF('Bundle Tag Info'!J$23&lt;&gt;"",CONCATENATE('Bundle Tag Info'!$A$1," ",CHAR(10),'Bundle Tag Info'!$A$2," ",'Bundle Tag Info'!$A$3,CHAR(10),'Bundle Tag Info'!J$6,CHAR(10),'Bundle Tag Info'!J$23),"")</f>
        <v/>
      </c>
      <c r="K18" s="25" t="str">
        <f>IF('Bundle Tag Info'!K$23&lt;&gt;"",CONCATENATE('Bundle Tag Info'!$A$1," ",CHAR(10),'Bundle Tag Info'!$A$2," ",'Bundle Tag Info'!$A$3,CHAR(10),'Bundle Tag Info'!K$6,CHAR(10),'Bundle Tag Info'!K$23),"")</f>
        <v/>
      </c>
      <c r="L18" s="25" t="str">
        <f>IF('Bundle Tag Info'!L$23&lt;&gt;"",CONCATENATE('Bundle Tag Info'!$A$1," ",CHAR(10),'Bundle Tag Info'!$A$2," ",'Bundle Tag Info'!$A$3,CHAR(10),'Bundle Tag Info'!L$6,CHAR(10),'Bundle Tag Info'!L$23),"")</f>
        <v/>
      </c>
      <c r="M18" s="25" t="str">
        <f>IF('Bundle Tag Info'!M$23&lt;&gt;"",CONCATENATE('Bundle Tag Info'!$A$1," ",CHAR(10),'Bundle Tag Info'!$A$2," ",'Bundle Tag Info'!$A$3,CHAR(10),'Bundle Tag Info'!M$6,CHAR(10),'Bundle Tag Info'!M$23),"")</f>
        <v/>
      </c>
      <c r="N18" s="25" t="str">
        <f>IF('Bundle Tag Info'!N$23&lt;&gt;"",CONCATENATE('Bundle Tag Info'!$A$1," ",CHAR(10),'Bundle Tag Info'!$A$2," ",'Bundle Tag Info'!$A$3,CHAR(10),'Bundle Tag Info'!N$6,CHAR(10),'Bundle Tag Info'!N$23),"")</f>
        <v/>
      </c>
      <c r="O18" s="25" t="str">
        <f>IF('Bundle Tag Info'!O$23&lt;&gt;"",CONCATENATE('Bundle Tag Info'!$A$1," ",CHAR(10),'Bundle Tag Info'!$A$2," ",'Bundle Tag Info'!$A$3,CHAR(10),'Bundle Tag Info'!O$6,CHAR(10),'Bundle Tag Info'!O$23),"")</f>
        <v/>
      </c>
      <c r="P18" s="25" t="str">
        <f>IF('Bundle Tag Info'!P$23&lt;&gt;"",CONCATENATE('Bundle Tag Info'!$A$1," ",CHAR(10),'Bundle Tag Info'!$A$2," ",'Bundle Tag Info'!$A$3,CHAR(10),'Bundle Tag Info'!P$6,CHAR(10),'Bundle Tag Info'!P$23),"")</f>
        <v/>
      </c>
      <c r="Q18" s="25" t="str">
        <f>IF('Bundle Tag Info'!Q$23&lt;&gt;"",CONCATENATE('Bundle Tag Info'!$A$1," ",CHAR(10),'Bundle Tag Info'!$A$2," ",'Bundle Tag Info'!$A$3,CHAR(10),'Bundle Tag Info'!Q$6,CHAR(10),'Bundle Tag Info'!Q$23),"")</f>
        <v/>
      </c>
      <c r="R18" s="25" t="str">
        <f>IF('Bundle Tag Info'!R$23&lt;&gt;"",CONCATENATE('Bundle Tag Info'!$A$1," ",CHAR(10),'Bundle Tag Info'!$A$2," ",'Bundle Tag Info'!$A$3,CHAR(10),'Bundle Tag Info'!R$6,CHAR(10),'Bundle Tag Info'!R$23),"")</f>
        <v/>
      </c>
      <c r="S18" s="25" t="str">
        <f>IF('Bundle Tag Info'!S$23&lt;&gt;"",CONCATENATE('Bundle Tag Info'!$A$1," ",CHAR(10),'Bundle Tag Info'!$A$2," ",'Bundle Tag Info'!$A$3,CHAR(10),'Bundle Tag Info'!S$6,CHAR(10),'Bundle Tag Info'!S$23),"")</f>
        <v/>
      </c>
      <c r="T18" s="25" t="str">
        <f>IF('Bundle Tag Info'!T$23&lt;&gt;"",CONCATENATE('Bundle Tag Info'!$A$1," ",CHAR(10),'Bundle Tag Info'!$A$2," ",'Bundle Tag Info'!$A$3,CHAR(10),'Bundle Tag Info'!T$6,CHAR(10),'Bundle Tag Info'!T$23),"")</f>
        <v/>
      </c>
      <c r="U18" s="25" t="str">
        <f>IF('Bundle Tag Info'!U$23&lt;&gt;"",CONCATENATE('Bundle Tag Info'!$A$1," ",CHAR(10),'Bundle Tag Info'!$A$2," ",'Bundle Tag Info'!$A$3,CHAR(10),'Bundle Tag Info'!U$6,CHAR(10),'Bundle Tag Info'!U$23),"")</f>
        <v/>
      </c>
      <c r="V18" s="25" t="str">
        <f>IF('Bundle Tag Info'!V$23&lt;&gt;"",CONCATENATE('Bundle Tag Info'!$A$1," ",CHAR(10),'Bundle Tag Info'!$A$2," ",'Bundle Tag Info'!$A$3,CHAR(10),'Bundle Tag Info'!V$6,CHAR(10),'Bundle Tag Info'!V$23),"")</f>
        <v/>
      </c>
      <c r="W18" s="25" t="str">
        <f>IF('Bundle Tag Info'!W$23&lt;&gt;"",CONCATENATE('Bundle Tag Info'!$A$1," ",CHAR(10),'Bundle Tag Info'!$A$2," ",'Bundle Tag Info'!$A$3,CHAR(10),'Bundle Tag Info'!W$6,CHAR(10),'Bundle Tag Info'!W$23),"")</f>
        <v/>
      </c>
      <c r="X18" s="25" t="str">
        <f>IF('Bundle Tag Info'!X$23&lt;&gt;"",CONCATENATE('Bundle Tag Info'!$A$1," ",CHAR(10),'Bundle Tag Info'!$A$2," ",'Bundle Tag Info'!$A$3,CHAR(10),'Bundle Tag Info'!X$6,CHAR(10),'Bundle Tag Info'!X$23),"")</f>
        <v/>
      </c>
      <c r="Y18" s="25" t="str">
        <f>IF('Bundle Tag Info'!Y$23&lt;&gt;"",CONCATENATE('Bundle Tag Info'!$A$1," ",CHAR(10),'Bundle Tag Info'!$A$2," ",'Bundle Tag Info'!$A$3,CHAR(10),'Bundle Tag Info'!Y$6,CHAR(10),'Bundle Tag Info'!Y$23),"")</f>
        <v/>
      </c>
      <c r="Z18" s="25" t="str">
        <f>IF('Bundle Tag Info'!Z$23&lt;&gt;"",CONCATENATE('Bundle Tag Info'!$A$1," ",CHAR(10),'Bundle Tag Info'!$A$2," ",'Bundle Tag Info'!$A$3,CHAR(10),'Bundle Tag Info'!Z$6,CHAR(10),'Bundle Tag Info'!Z$23),"")</f>
        <v/>
      </c>
      <c r="AA18" s="25" t="str">
        <f>IF('Bundle Tag Info'!AA$23&lt;&gt;"",CONCATENATE('Bundle Tag Info'!$A$1," ",CHAR(10),'Bundle Tag Info'!$A$2," ",'Bundle Tag Info'!$A$3,CHAR(10),'Bundle Tag Info'!AA$6,CHAR(10),'Bundle Tag Info'!AA$23),"")</f>
        <v/>
      </c>
      <c r="AB18" s="25" t="str">
        <f>IF('Bundle Tag Info'!AB$23&lt;&gt;"",CONCATENATE('Bundle Tag Info'!$A$1," ",CHAR(10),'Bundle Tag Info'!$A$2," ",'Bundle Tag Info'!$A$3,CHAR(10),'Bundle Tag Info'!AB$6,CHAR(10),'Bundle Tag Info'!AB$23),"")</f>
        <v/>
      </c>
      <c r="AC18" s="25" t="str">
        <f>IF('Bundle Tag Info'!AC$23&lt;&gt;"",CONCATENATE('Bundle Tag Info'!$A$1," ",CHAR(10),'Bundle Tag Info'!$A$2," ",'Bundle Tag Info'!$A$3,CHAR(10),'Bundle Tag Info'!AC$6,CHAR(10),'Bundle Tag Info'!AC$23),"")</f>
        <v/>
      </c>
      <c r="AD18" s="25" t="str">
        <f>IF('Bundle Tag Info'!AD$23&lt;&gt;"",CONCATENATE('Bundle Tag Info'!$A$1," ",CHAR(10),'Bundle Tag Info'!$A$2," ",'Bundle Tag Info'!$A$3,CHAR(10),'Bundle Tag Info'!AD$6,CHAR(10),'Bundle Tag Info'!AD$23),"")</f>
        <v/>
      </c>
    </row>
    <row r="19" spans="1:30" ht="63.95" customHeight="1" x14ac:dyDescent="0.25">
      <c r="A19" s="25" t="str">
        <f>IF('Bundle Tag Info'!A$24&lt;&gt;"",CONCATENATE('Bundle Tag Info'!$A$1," ",CHAR(10),'Bundle Tag Info'!$A$2," ",'Bundle Tag Info'!$A$3,CHAR(10),'Bundle Tag Info'!A$6,CHAR(10),'Bundle Tag Info'!A$24),"")</f>
        <v/>
      </c>
      <c r="B19" s="25" t="str">
        <f>IF('Bundle Tag Info'!B$24&lt;&gt;"",CONCATENATE('Bundle Tag Info'!$A$1," ",CHAR(10),'Bundle Tag Info'!$A$2," ",'Bundle Tag Info'!$A$3,CHAR(10),'Bundle Tag Info'!B$6,CHAR(10),'Bundle Tag Info'!B$24),"")</f>
        <v/>
      </c>
      <c r="C19" s="25" t="str">
        <f>IF('Bundle Tag Info'!C$24&lt;&gt;"",CONCATENATE('Bundle Tag Info'!$A$1," ",CHAR(10),'Bundle Tag Info'!$A$2," ",'Bundle Tag Info'!$A$3,CHAR(10),'Bundle Tag Info'!C$6,CHAR(10),'Bundle Tag Info'!C$24),"")</f>
        <v/>
      </c>
      <c r="D19" s="25" t="str">
        <f>IF('Bundle Tag Info'!D$24&lt;&gt;"",CONCATENATE('Bundle Tag Info'!$A$1," ",CHAR(10),'Bundle Tag Info'!$A$2," ",'Bundle Tag Info'!$A$3,CHAR(10),'Bundle Tag Info'!D$6,CHAR(10),'Bundle Tag Info'!D$24),"")</f>
        <v/>
      </c>
      <c r="E19" s="25" t="str">
        <f>IF('Bundle Tag Info'!E$24&lt;&gt;"",CONCATENATE('Bundle Tag Info'!$A$1," ",CHAR(10),'Bundle Tag Info'!$A$2," ",'Bundle Tag Info'!$A$3,CHAR(10),'Bundle Tag Info'!E$6,CHAR(10),'Bundle Tag Info'!E$24),"")</f>
        <v/>
      </c>
      <c r="F19" s="25" t="str">
        <f>IF('Bundle Tag Info'!F$24&lt;&gt;"",CONCATENATE('Bundle Tag Info'!$A$1," ",CHAR(10),'Bundle Tag Info'!$A$2," ",'Bundle Tag Info'!$A$3,CHAR(10),'Bundle Tag Info'!F$6,CHAR(10),'Bundle Tag Info'!F$24),"")</f>
        <v/>
      </c>
      <c r="G19" s="25" t="str">
        <f>IF('Bundle Tag Info'!G$24&lt;&gt;"",CONCATENATE('Bundle Tag Info'!$A$1," ",CHAR(10),'Bundle Tag Info'!$A$2," ",'Bundle Tag Info'!$A$3,CHAR(10),'Bundle Tag Info'!G$6,CHAR(10),'Bundle Tag Info'!G$24),"")</f>
        <v/>
      </c>
      <c r="H19" s="25" t="str">
        <f>IF('Bundle Tag Info'!H$24&lt;&gt;"",CONCATENATE('Bundle Tag Info'!$A$1," ",CHAR(10),'Bundle Tag Info'!$A$2," ",'Bundle Tag Info'!$A$3,CHAR(10),'Bundle Tag Info'!H$6,CHAR(10),'Bundle Tag Info'!H$24),"")</f>
        <v/>
      </c>
      <c r="I19" s="25" t="str">
        <f>IF('Bundle Tag Info'!I$24&lt;&gt;"",CONCATENATE('Bundle Tag Info'!$A$1," ",CHAR(10),'Bundle Tag Info'!$A$2," ",'Bundle Tag Info'!$A$3,CHAR(10),'Bundle Tag Info'!I$6,CHAR(10),'Bundle Tag Info'!I$24),"")</f>
        <v/>
      </c>
      <c r="J19" s="25" t="str">
        <f>IF('Bundle Tag Info'!J$24&lt;&gt;"",CONCATENATE('Bundle Tag Info'!$A$1," ",CHAR(10),'Bundle Tag Info'!$A$2," ",'Bundle Tag Info'!$A$3,CHAR(10),'Bundle Tag Info'!J$6,CHAR(10),'Bundle Tag Info'!J$24),"")</f>
        <v/>
      </c>
      <c r="K19" s="25" t="str">
        <f>IF('Bundle Tag Info'!K$24&lt;&gt;"",CONCATENATE('Bundle Tag Info'!$A$1," ",CHAR(10),'Bundle Tag Info'!$A$2," ",'Bundle Tag Info'!$A$3,CHAR(10),'Bundle Tag Info'!K$6,CHAR(10),'Bundle Tag Info'!K$24),"")</f>
        <v/>
      </c>
      <c r="L19" s="25" t="str">
        <f>IF('Bundle Tag Info'!L$24&lt;&gt;"",CONCATENATE('Bundle Tag Info'!$A$1," ",CHAR(10),'Bundle Tag Info'!$A$2," ",'Bundle Tag Info'!$A$3,CHAR(10),'Bundle Tag Info'!L$6,CHAR(10),'Bundle Tag Info'!L$24),"")</f>
        <v/>
      </c>
      <c r="M19" s="25" t="str">
        <f>IF('Bundle Tag Info'!M$24&lt;&gt;"",CONCATENATE('Bundle Tag Info'!$A$1," ",CHAR(10),'Bundle Tag Info'!$A$2," ",'Bundle Tag Info'!$A$3,CHAR(10),'Bundle Tag Info'!M$6,CHAR(10),'Bundle Tag Info'!M$24),"")</f>
        <v/>
      </c>
      <c r="N19" s="25" t="str">
        <f>IF('Bundle Tag Info'!N$24&lt;&gt;"",CONCATENATE('Bundle Tag Info'!$A$1," ",CHAR(10),'Bundle Tag Info'!$A$2," ",'Bundle Tag Info'!$A$3,CHAR(10),'Bundle Tag Info'!N$6,CHAR(10),'Bundle Tag Info'!N$24),"")</f>
        <v/>
      </c>
      <c r="O19" s="25" t="str">
        <f>IF('Bundle Tag Info'!O$24&lt;&gt;"",CONCATENATE('Bundle Tag Info'!$A$1," ",CHAR(10),'Bundle Tag Info'!$A$2," ",'Bundle Tag Info'!$A$3,CHAR(10),'Bundle Tag Info'!O$6,CHAR(10),'Bundle Tag Info'!O$24),"")</f>
        <v/>
      </c>
      <c r="P19" s="25" t="str">
        <f>IF('Bundle Tag Info'!P$24&lt;&gt;"",CONCATENATE('Bundle Tag Info'!$A$1," ",CHAR(10),'Bundle Tag Info'!$A$2," ",'Bundle Tag Info'!$A$3,CHAR(10),'Bundle Tag Info'!P$6,CHAR(10),'Bundle Tag Info'!P$24),"")</f>
        <v/>
      </c>
      <c r="Q19" s="25" t="str">
        <f>IF('Bundle Tag Info'!Q$24&lt;&gt;"",CONCATENATE('Bundle Tag Info'!$A$1," ",CHAR(10),'Bundle Tag Info'!$A$2," ",'Bundle Tag Info'!$A$3,CHAR(10),'Bundle Tag Info'!Q$6,CHAR(10),'Bundle Tag Info'!Q$24),"")</f>
        <v/>
      </c>
      <c r="R19" s="25" t="str">
        <f>IF('Bundle Tag Info'!R$24&lt;&gt;"",CONCATENATE('Bundle Tag Info'!$A$1," ",CHAR(10),'Bundle Tag Info'!$A$2," ",'Bundle Tag Info'!$A$3,CHAR(10),'Bundle Tag Info'!R$6,CHAR(10),'Bundle Tag Info'!R$24),"")</f>
        <v/>
      </c>
      <c r="S19" s="25" t="str">
        <f>IF('Bundle Tag Info'!S$24&lt;&gt;"",CONCATENATE('Bundle Tag Info'!$A$1," ",CHAR(10),'Bundle Tag Info'!$A$2," ",'Bundle Tag Info'!$A$3,CHAR(10),'Bundle Tag Info'!S$6,CHAR(10),'Bundle Tag Info'!S$24),"")</f>
        <v/>
      </c>
      <c r="T19" s="25" t="str">
        <f>IF('Bundle Tag Info'!T$24&lt;&gt;"",CONCATENATE('Bundle Tag Info'!$A$1," ",CHAR(10),'Bundle Tag Info'!$A$2," ",'Bundle Tag Info'!$A$3,CHAR(10),'Bundle Tag Info'!T$6,CHAR(10),'Bundle Tag Info'!T$24),"")</f>
        <v/>
      </c>
      <c r="U19" s="25" t="str">
        <f>IF('Bundle Tag Info'!U$24&lt;&gt;"",CONCATENATE('Bundle Tag Info'!$A$1," ",CHAR(10),'Bundle Tag Info'!$A$2," ",'Bundle Tag Info'!$A$3,CHAR(10),'Bundle Tag Info'!U$6,CHAR(10),'Bundle Tag Info'!U$24),"")</f>
        <v/>
      </c>
      <c r="V19" s="25" t="str">
        <f>IF('Bundle Tag Info'!V$24&lt;&gt;"",CONCATENATE('Bundle Tag Info'!$A$1," ",CHAR(10),'Bundle Tag Info'!$A$2," ",'Bundle Tag Info'!$A$3,CHAR(10),'Bundle Tag Info'!V$6,CHAR(10),'Bundle Tag Info'!V$24),"")</f>
        <v/>
      </c>
      <c r="W19" s="25" t="str">
        <f>IF('Bundle Tag Info'!W$24&lt;&gt;"",CONCATENATE('Bundle Tag Info'!$A$1," ",CHAR(10),'Bundle Tag Info'!$A$2," ",'Bundle Tag Info'!$A$3,CHAR(10),'Bundle Tag Info'!W$6,CHAR(10),'Bundle Tag Info'!W$24),"")</f>
        <v/>
      </c>
      <c r="X19" s="25" t="str">
        <f>IF('Bundle Tag Info'!X$24&lt;&gt;"",CONCATENATE('Bundle Tag Info'!$A$1," ",CHAR(10),'Bundle Tag Info'!$A$2," ",'Bundle Tag Info'!$A$3,CHAR(10),'Bundle Tag Info'!X$6,CHAR(10),'Bundle Tag Info'!X$24),"")</f>
        <v/>
      </c>
      <c r="Y19" s="25" t="str">
        <f>IF('Bundle Tag Info'!Y$24&lt;&gt;"",CONCATENATE('Bundle Tag Info'!$A$1," ",CHAR(10),'Bundle Tag Info'!$A$2," ",'Bundle Tag Info'!$A$3,CHAR(10),'Bundle Tag Info'!Y$6,CHAR(10),'Bundle Tag Info'!Y$24),"")</f>
        <v/>
      </c>
      <c r="Z19" s="25" t="str">
        <f>IF('Bundle Tag Info'!Z$24&lt;&gt;"",CONCATENATE('Bundle Tag Info'!$A$1," ",CHAR(10),'Bundle Tag Info'!$A$2," ",'Bundle Tag Info'!$A$3,CHAR(10),'Bundle Tag Info'!Z$6,CHAR(10),'Bundle Tag Info'!Z$24),"")</f>
        <v/>
      </c>
      <c r="AA19" s="25" t="str">
        <f>IF('Bundle Tag Info'!AA$24&lt;&gt;"",CONCATENATE('Bundle Tag Info'!$A$1," ",CHAR(10),'Bundle Tag Info'!$A$2," ",'Bundle Tag Info'!$A$3,CHAR(10),'Bundle Tag Info'!AA$6,CHAR(10),'Bundle Tag Info'!AA$24),"")</f>
        <v/>
      </c>
      <c r="AB19" s="25" t="str">
        <f>IF('Bundle Tag Info'!AB$24&lt;&gt;"",CONCATENATE('Bundle Tag Info'!$A$1," ",CHAR(10),'Bundle Tag Info'!$A$2," ",'Bundle Tag Info'!$A$3,CHAR(10),'Bundle Tag Info'!AB$6,CHAR(10),'Bundle Tag Info'!AB$24),"")</f>
        <v/>
      </c>
      <c r="AC19" s="25" t="str">
        <f>IF('Bundle Tag Info'!AC$24&lt;&gt;"",CONCATENATE('Bundle Tag Info'!$A$1," ",CHAR(10),'Bundle Tag Info'!$A$2," ",'Bundle Tag Info'!$A$3,CHAR(10),'Bundle Tag Info'!AC$6,CHAR(10),'Bundle Tag Info'!AC$24),"")</f>
        <v/>
      </c>
      <c r="AD19" s="25" t="str">
        <f>IF('Bundle Tag Info'!AD$24&lt;&gt;"",CONCATENATE('Bundle Tag Info'!$A$1," ",CHAR(10),'Bundle Tag Info'!$A$2," ",'Bundle Tag Info'!$A$3,CHAR(10),'Bundle Tag Info'!AD$6,CHAR(10),'Bundle Tag Info'!AD$24),"")</f>
        <v/>
      </c>
    </row>
    <row r="20" spans="1:30" ht="63.95" customHeight="1" x14ac:dyDescent="0.25">
      <c r="A20" s="25" t="str">
        <f>IF('Bundle Tag Info'!A$25&lt;&gt;"",CONCATENATE('Bundle Tag Info'!$A$1," ",CHAR(10),'Bundle Tag Info'!$A$2," ",'Bundle Tag Info'!$A$3,CHAR(10),'Bundle Tag Info'!A$6,CHAR(10),'Bundle Tag Info'!A$25),"")</f>
        <v/>
      </c>
      <c r="B20" s="25" t="str">
        <f>IF('Bundle Tag Info'!B$25&lt;&gt;"",CONCATENATE('Bundle Tag Info'!$A$1," ",CHAR(10),'Bundle Tag Info'!$A$2," ",'Bundle Tag Info'!$A$3,CHAR(10),'Bundle Tag Info'!B$6,CHAR(10),'Bundle Tag Info'!B$25),"")</f>
        <v/>
      </c>
      <c r="C20" s="25" t="str">
        <f>IF('Bundle Tag Info'!C$25&lt;&gt;"",CONCATENATE('Bundle Tag Info'!$A$1," ",CHAR(10),'Bundle Tag Info'!$A$2," ",'Bundle Tag Info'!$A$3,CHAR(10),'Bundle Tag Info'!C$6,CHAR(10),'Bundle Tag Info'!C$25),"")</f>
        <v/>
      </c>
      <c r="D20" s="25" t="str">
        <f>IF('Bundle Tag Info'!D$25&lt;&gt;"",CONCATENATE('Bundle Tag Info'!$A$1," ",CHAR(10),'Bundle Tag Info'!$A$2," ",'Bundle Tag Info'!$A$3,CHAR(10),'Bundle Tag Info'!D$6,CHAR(10),'Bundle Tag Info'!D$25),"")</f>
        <v/>
      </c>
      <c r="E20" s="25" t="str">
        <f>IF('Bundle Tag Info'!E$25&lt;&gt;"",CONCATENATE('Bundle Tag Info'!$A$1," ",CHAR(10),'Bundle Tag Info'!$A$2," ",'Bundle Tag Info'!$A$3,CHAR(10),'Bundle Tag Info'!E$6,CHAR(10),'Bundle Tag Info'!E$25),"")</f>
        <v/>
      </c>
      <c r="F20" s="25" t="str">
        <f>IF('Bundle Tag Info'!F$25&lt;&gt;"",CONCATENATE('Bundle Tag Info'!$A$1," ",CHAR(10),'Bundle Tag Info'!$A$2," ",'Bundle Tag Info'!$A$3,CHAR(10),'Bundle Tag Info'!F$6,CHAR(10),'Bundle Tag Info'!F$25),"")</f>
        <v/>
      </c>
      <c r="G20" s="25" t="str">
        <f>IF('Bundle Tag Info'!G$25&lt;&gt;"",CONCATENATE('Bundle Tag Info'!$A$1," ",CHAR(10),'Bundle Tag Info'!$A$2," ",'Bundle Tag Info'!$A$3,CHAR(10),'Bundle Tag Info'!G$6,CHAR(10),'Bundle Tag Info'!G$25),"")</f>
        <v/>
      </c>
      <c r="H20" s="25" t="str">
        <f>IF('Bundle Tag Info'!H$25&lt;&gt;"",CONCATENATE('Bundle Tag Info'!$A$1," ",CHAR(10),'Bundle Tag Info'!$A$2," ",'Bundle Tag Info'!$A$3,CHAR(10),'Bundle Tag Info'!H$6,CHAR(10),'Bundle Tag Info'!H$25),"")</f>
        <v/>
      </c>
      <c r="I20" s="25" t="str">
        <f>IF('Bundle Tag Info'!I$25&lt;&gt;"",CONCATENATE('Bundle Tag Info'!$A$1," ",CHAR(10),'Bundle Tag Info'!$A$2," ",'Bundle Tag Info'!$A$3,CHAR(10),'Bundle Tag Info'!I$6,CHAR(10),'Bundle Tag Info'!I$25),"")</f>
        <v/>
      </c>
      <c r="J20" s="25" t="str">
        <f>IF('Bundle Tag Info'!J$25&lt;&gt;"",CONCATENATE('Bundle Tag Info'!$A$1," ",CHAR(10),'Bundle Tag Info'!$A$2," ",'Bundle Tag Info'!$A$3,CHAR(10),'Bundle Tag Info'!J$6,CHAR(10),'Bundle Tag Info'!J$25),"")</f>
        <v/>
      </c>
      <c r="K20" s="25" t="str">
        <f>IF('Bundle Tag Info'!K$25&lt;&gt;"",CONCATENATE('Bundle Tag Info'!$A$1," ",CHAR(10),'Bundle Tag Info'!$A$2," ",'Bundle Tag Info'!$A$3,CHAR(10),'Bundle Tag Info'!K$6,CHAR(10),'Bundle Tag Info'!K$25),"")</f>
        <v/>
      </c>
      <c r="L20" s="25" t="str">
        <f>IF('Bundle Tag Info'!L$25&lt;&gt;"",CONCATENATE('Bundle Tag Info'!$A$1," ",CHAR(10),'Bundle Tag Info'!$A$2," ",'Bundle Tag Info'!$A$3,CHAR(10),'Bundle Tag Info'!L$6,CHAR(10),'Bundle Tag Info'!L$25),"")</f>
        <v/>
      </c>
      <c r="M20" s="25" t="str">
        <f>IF('Bundle Tag Info'!M$25&lt;&gt;"",CONCATENATE('Bundle Tag Info'!$A$1," ",CHAR(10),'Bundle Tag Info'!$A$2," ",'Bundle Tag Info'!$A$3,CHAR(10),'Bundle Tag Info'!M$6,CHAR(10),'Bundle Tag Info'!M$25),"")</f>
        <v/>
      </c>
      <c r="N20" s="25" t="str">
        <f>IF('Bundle Tag Info'!N$25&lt;&gt;"",CONCATENATE('Bundle Tag Info'!$A$1," ",CHAR(10),'Bundle Tag Info'!$A$2," ",'Bundle Tag Info'!$A$3,CHAR(10),'Bundle Tag Info'!N$6,CHAR(10),'Bundle Tag Info'!N$25),"")</f>
        <v/>
      </c>
      <c r="O20" s="25" t="str">
        <f>IF('Bundle Tag Info'!O$25&lt;&gt;"",CONCATENATE('Bundle Tag Info'!$A$1," ",CHAR(10),'Bundle Tag Info'!$A$2," ",'Bundle Tag Info'!$A$3,CHAR(10),'Bundle Tag Info'!O$6,CHAR(10),'Bundle Tag Info'!O$25),"")</f>
        <v/>
      </c>
      <c r="P20" s="25" t="str">
        <f>IF('Bundle Tag Info'!P$25&lt;&gt;"",CONCATENATE('Bundle Tag Info'!$A$1," ",CHAR(10),'Bundle Tag Info'!$A$2," ",'Bundle Tag Info'!$A$3,CHAR(10),'Bundle Tag Info'!P$6,CHAR(10),'Bundle Tag Info'!P$25),"")</f>
        <v/>
      </c>
      <c r="Q20" s="25" t="str">
        <f>IF('Bundle Tag Info'!Q$25&lt;&gt;"",CONCATENATE('Bundle Tag Info'!$A$1," ",CHAR(10),'Bundle Tag Info'!$A$2," ",'Bundle Tag Info'!$A$3,CHAR(10),'Bundle Tag Info'!Q$6,CHAR(10),'Bundle Tag Info'!Q$25),"")</f>
        <v/>
      </c>
      <c r="R20" s="25" t="str">
        <f>IF('Bundle Tag Info'!R$25&lt;&gt;"",CONCATENATE('Bundle Tag Info'!$A$1," ",CHAR(10),'Bundle Tag Info'!$A$2," ",'Bundle Tag Info'!$A$3,CHAR(10),'Bundle Tag Info'!R$6,CHAR(10),'Bundle Tag Info'!R$25),"")</f>
        <v/>
      </c>
      <c r="S20" s="25" t="str">
        <f>IF('Bundle Tag Info'!S$25&lt;&gt;"",CONCATENATE('Bundle Tag Info'!$A$1," ",CHAR(10),'Bundle Tag Info'!$A$2," ",'Bundle Tag Info'!$A$3,CHAR(10),'Bundle Tag Info'!S$6,CHAR(10),'Bundle Tag Info'!S$25),"")</f>
        <v/>
      </c>
      <c r="T20" s="25" t="str">
        <f>IF('Bundle Tag Info'!T$25&lt;&gt;"",CONCATENATE('Bundle Tag Info'!$A$1," ",CHAR(10),'Bundle Tag Info'!$A$2," ",'Bundle Tag Info'!$A$3,CHAR(10),'Bundle Tag Info'!T$6,CHAR(10),'Bundle Tag Info'!T$25),"")</f>
        <v/>
      </c>
      <c r="U20" s="25" t="str">
        <f>IF('Bundle Tag Info'!U$25&lt;&gt;"",CONCATENATE('Bundle Tag Info'!$A$1," ",CHAR(10),'Bundle Tag Info'!$A$2," ",'Bundle Tag Info'!$A$3,CHAR(10),'Bundle Tag Info'!U$6,CHAR(10),'Bundle Tag Info'!U$25),"")</f>
        <v/>
      </c>
      <c r="V20" s="25" t="str">
        <f>IF('Bundle Tag Info'!V$25&lt;&gt;"",CONCATENATE('Bundle Tag Info'!$A$1," ",CHAR(10),'Bundle Tag Info'!$A$2," ",'Bundle Tag Info'!$A$3,CHAR(10),'Bundle Tag Info'!V$6,CHAR(10),'Bundle Tag Info'!V$25),"")</f>
        <v/>
      </c>
      <c r="W20" s="25" t="str">
        <f>IF('Bundle Tag Info'!W$25&lt;&gt;"",CONCATENATE('Bundle Tag Info'!$A$1," ",CHAR(10),'Bundle Tag Info'!$A$2," ",'Bundle Tag Info'!$A$3,CHAR(10),'Bundle Tag Info'!W$6,CHAR(10),'Bundle Tag Info'!W$25),"")</f>
        <v/>
      </c>
      <c r="X20" s="25" t="str">
        <f>IF('Bundle Tag Info'!X$25&lt;&gt;"",CONCATENATE('Bundle Tag Info'!$A$1," ",CHAR(10),'Bundle Tag Info'!$A$2," ",'Bundle Tag Info'!$A$3,CHAR(10),'Bundle Tag Info'!X$6,CHAR(10),'Bundle Tag Info'!X$25),"")</f>
        <v/>
      </c>
      <c r="Y20" s="25" t="str">
        <f>IF('Bundle Tag Info'!Y$25&lt;&gt;"",CONCATENATE('Bundle Tag Info'!$A$1," ",CHAR(10),'Bundle Tag Info'!$A$2," ",'Bundle Tag Info'!$A$3,CHAR(10),'Bundle Tag Info'!Y$6,CHAR(10),'Bundle Tag Info'!Y$25),"")</f>
        <v/>
      </c>
      <c r="Z20" s="25" t="str">
        <f>IF('Bundle Tag Info'!Z$25&lt;&gt;"",CONCATENATE('Bundle Tag Info'!$A$1," ",CHAR(10),'Bundle Tag Info'!$A$2," ",'Bundle Tag Info'!$A$3,CHAR(10),'Bundle Tag Info'!Z$6,CHAR(10),'Bundle Tag Info'!Z$25),"")</f>
        <v/>
      </c>
      <c r="AA20" s="25" t="str">
        <f>IF('Bundle Tag Info'!AA$25&lt;&gt;"",CONCATENATE('Bundle Tag Info'!$A$1," ",CHAR(10),'Bundle Tag Info'!$A$2," ",'Bundle Tag Info'!$A$3,CHAR(10),'Bundle Tag Info'!AA$6,CHAR(10),'Bundle Tag Info'!AA$25),"")</f>
        <v/>
      </c>
      <c r="AB20" s="25" t="str">
        <f>IF('Bundle Tag Info'!AB$25&lt;&gt;"",CONCATENATE('Bundle Tag Info'!$A$1," ",CHAR(10),'Bundle Tag Info'!$A$2," ",'Bundle Tag Info'!$A$3,CHAR(10),'Bundle Tag Info'!AB$6,CHAR(10),'Bundle Tag Info'!AB$25),"")</f>
        <v/>
      </c>
      <c r="AC20" s="25" t="str">
        <f>IF('Bundle Tag Info'!AC$25&lt;&gt;"",CONCATENATE('Bundle Tag Info'!$A$1," ",CHAR(10),'Bundle Tag Info'!$A$2," ",'Bundle Tag Info'!$A$3,CHAR(10),'Bundle Tag Info'!AC$6,CHAR(10),'Bundle Tag Info'!AC$25),"")</f>
        <v/>
      </c>
      <c r="AD20" s="25" t="str">
        <f>IF('Bundle Tag Info'!AD$25&lt;&gt;"",CONCATENATE('Bundle Tag Info'!$A$1," ",CHAR(10),'Bundle Tag Info'!$A$2," ",'Bundle Tag Info'!$A$3,CHAR(10),'Bundle Tag Info'!AD$6,CHAR(10),'Bundle Tag Info'!AD$25),"")</f>
        <v/>
      </c>
    </row>
    <row r="21" spans="1:30" ht="63.95" customHeight="1" x14ac:dyDescent="0.25">
      <c r="A21" s="25" t="str">
        <f>IF('Bundle Tag Info'!A$26&lt;&gt;"",CONCATENATE('Bundle Tag Info'!$A$1," ",CHAR(10),'Bundle Tag Info'!$A$2," ",'Bundle Tag Info'!$A$3,CHAR(10),'Bundle Tag Info'!A$6,CHAR(10),'Bundle Tag Info'!A$26),"")</f>
        <v/>
      </c>
      <c r="B21" s="25" t="str">
        <f>IF('Bundle Tag Info'!B$26&lt;&gt;"",CONCATENATE('Bundle Tag Info'!$A$1," ",CHAR(10),'Bundle Tag Info'!$A$2," ",'Bundle Tag Info'!$A$3,CHAR(10),'Bundle Tag Info'!B$6,CHAR(10),'Bundle Tag Info'!B$26),"")</f>
        <v/>
      </c>
      <c r="C21" s="25" t="str">
        <f>IF('Bundle Tag Info'!C$26&lt;&gt;"",CONCATENATE('Bundle Tag Info'!$A$1," ",CHAR(10),'Bundle Tag Info'!$A$2," ",'Bundle Tag Info'!$A$3,CHAR(10),'Bundle Tag Info'!C$6,CHAR(10),'Bundle Tag Info'!C$26),"")</f>
        <v/>
      </c>
      <c r="D21" s="25" t="str">
        <f>IF('Bundle Tag Info'!D$26&lt;&gt;"",CONCATENATE('Bundle Tag Info'!$A$1," ",CHAR(10),'Bundle Tag Info'!$A$2," ",'Bundle Tag Info'!$A$3,CHAR(10),'Bundle Tag Info'!D$6,CHAR(10),'Bundle Tag Info'!D$26),"")</f>
        <v/>
      </c>
      <c r="E21" s="25" t="str">
        <f>IF('Bundle Tag Info'!E$26&lt;&gt;"",CONCATENATE('Bundle Tag Info'!$A$1," ",CHAR(10),'Bundle Tag Info'!$A$2," ",'Bundle Tag Info'!$A$3,CHAR(10),'Bundle Tag Info'!E$6,CHAR(10),'Bundle Tag Info'!E$26),"")</f>
        <v/>
      </c>
      <c r="F21" s="25" t="str">
        <f>IF('Bundle Tag Info'!F$26&lt;&gt;"",CONCATENATE('Bundle Tag Info'!$A$1," ",CHAR(10),'Bundle Tag Info'!$A$2," ",'Bundle Tag Info'!$A$3,CHAR(10),'Bundle Tag Info'!F$6,CHAR(10),'Bundle Tag Info'!F$26),"")</f>
        <v/>
      </c>
      <c r="G21" s="25" t="str">
        <f>IF('Bundle Tag Info'!G$26&lt;&gt;"",CONCATENATE('Bundle Tag Info'!$A$1," ",CHAR(10),'Bundle Tag Info'!$A$2," ",'Bundle Tag Info'!$A$3,CHAR(10),'Bundle Tag Info'!G$6,CHAR(10),'Bundle Tag Info'!G$26),"")</f>
        <v/>
      </c>
      <c r="H21" s="25" t="str">
        <f>IF('Bundle Tag Info'!H$26&lt;&gt;"",CONCATENATE('Bundle Tag Info'!$A$1," ",CHAR(10),'Bundle Tag Info'!$A$2," ",'Bundle Tag Info'!$A$3,CHAR(10),'Bundle Tag Info'!H$6,CHAR(10),'Bundle Tag Info'!H$26),"")</f>
        <v/>
      </c>
      <c r="I21" s="25" t="str">
        <f>IF('Bundle Tag Info'!I$26&lt;&gt;"",CONCATENATE('Bundle Tag Info'!$A$1," ",CHAR(10),'Bundle Tag Info'!$A$2," ",'Bundle Tag Info'!$A$3,CHAR(10),'Bundle Tag Info'!I$6,CHAR(10),'Bundle Tag Info'!I$26),"")</f>
        <v/>
      </c>
      <c r="J21" s="25" t="str">
        <f>IF('Bundle Tag Info'!J$26&lt;&gt;"",CONCATENATE('Bundle Tag Info'!$A$1," ",CHAR(10),'Bundle Tag Info'!$A$2," ",'Bundle Tag Info'!$A$3,CHAR(10),'Bundle Tag Info'!J$6,CHAR(10),'Bundle Tag Info'!J$26),"")</f>
        <v/>
      </c>
      <c r="K21" s="25" t="str">
        <f>IF('Bundle Tag Info'!K$26&lt;&gt;"",CONCATENATE('Bundle Tag Info'!$A$1," ",CHAR(10),'Bundle Tag Info'!$A$2," ",'Bundle Tag Info'!$A$3,CHAR(10),'Bundle Tag Info'!K$6,CHAR(10),'Bundle Tag Info'!K$26),"")</f>
        <v/>
      </c>
      <c r="L21" s="25" t="str">
        <f>IF('Bundle Tag Info'!L$26&lt;&gt;"",CONCATENATE('Bundle Tag Info'!$A$1," ",CHAR(10),'Bundle Tag Info'!$A$2," ",'Bundle Tag Info'!$A$3,CHAR(10),'Bundle Tag Info'!L$6,CHAR(10),'Bundle Tag Info'!L$26),"")</f>
        <v/>
      </c>
      <c r="M21" s="25" t="str">
        <f>IF('Bundle Tag Info'!M$26&lt;&gt;"",CONCATENATE('Bundle Tag Info'!$A$1," ",CHAR(10),'Bundle Tag Info'!$A$2," ",'Bundle Tag Info'!$A$3,CHAR(10),'Bundle Tag Info'!M$6,CHAR(10),'Bundle Tag Info'!M$26),"")</f>
        <v/>
      </c>
      <c r="N21" s="25" t="str">
        <f>IF('Bundle Tag Info'!N$26&lt;&gt;"",CONCATENATE('Bundle Tag Info'!$A$1," ",CHAR(10),'Bundle Tag Info'!$A$2," ",'Bundle Tag Info'!$A$3,CHAR(10),'Bundle Tag Info'!N$6,CHAR(10),'Bundle Tag Info'!N$26),"")</f>
        <v/>
      </c>
      <c r="O21" s="25" t="str">
        <f>IF('Bundle Tag Info'!O$26&lt;&gt;"",CONCATENATE('Bundle Tag Info'!$A$1," ",CHAR(10),'Bundle Tag Info'!$A$2," ",'Bundle Tag Info'!$A$3,CHAR(10),'Bundle Tag Info'!O$6,CHAR(10),'Bundle Tag Info'!O$26),"")</f>
        <v/>
      </c>
      <c r="P21" s="25" t="str">
        <f>IF('Bundle Tag Info'!P$26&lt;&gt;"",CONCATENATE('Bundle Tag Info'!$A$1," ",CHAR(10),'Bundle Tag Info'!$A$2," ",'Bundle Tag Info'!$A$3,CHAR(10),'Bundle Tag Info'!P$6,CHAR(10),'Bundle Tag Info'!P$26),"")</f>
        <v/>
      </c>
      <c r="Q21" s="25" t="str">
        <f>IF('Bundle Tag Info'!Q$26&lt;&gt;"",CONCATENATE('Bundle Tag Info'!$A$1," ",CHAR(10),'Bundle Tag Info'!$A$2," ",'Bundle Tag Info'!$A$3,CHAR(10),'Bundle Tag Info'!Q$6,CHAR(10),'Bundle Tag Info'!Q$26),"")</f>
        <v/>
      </c>
      <c r="R21" s="25" t="str">
        <f>IF('Bundle Tag Info'!R$26&lt;&gt;"",CONCATENATE('Bundle Tag Info'!$A$1," ",CHAR(10),'Bundle Tag Info'!$A$2," ",'Bundle Tag Info'!$A$3,CHAR(10),'Bundle Tag Info'!R$6,CHAR(10),'Bundle Tag Info'!R$26),"")</f>
        <v/>
      </c>
      <c r="S21" s="25" t="str">
        <f>IF('Bundle Tag Info'!S$26&lt;&gt;"",CONCATENATE('Bundle Tag Info'!$A$1," ",CHAR(10),'Bundle Tag Info'!$A$2," ",'Bundle Tag Info'!$A$3,CHAR(10),'Bundle Tag Info'!S$6,CHAR(10),'Bundle Tag Info'!S$26),"")</f>
        <v/>
      </c>
      <c r="T21" s="25" t="str">
        <f>IF('Bundle Tag Info'!T$26&lt;&gt;"",CONCATENATE('Bundle Tag Info'!$A$1," ",CHAR(10),'Bundle Tag Info'!$A$2," ",'Bundle Tag Info'!$A$3,CHAR(10),'Bundle Tag Info'!T$6,CHAR(10),'Bundle Tag Info'!T$26),"")</f>
        <v/>
      </c>
      <c r="U21" s="25" t="str">
        <f>IF('Bundle Tag Info'!U$26&lt;&gt;"",CONCATENATE('Bundle Tag Info'!$A$1," ",CHAR(10),'Bundle Tag Info'!$A$2," ",'Bundle Tag Info'!$A$3,CHAR(10),'Bundle Tag Info'!U$6,CHAR(10),'Bundle Tag Info'!U$26),"")</f>
        <v/>
      </c>
      <c r="V21" s="25" t="str">
        <f>IF('Bundle Tag Info'!V$26&lt;&gt;"",CONCATENATE('Bundle Tag Info'!$A$1," ",CHAR(10),'Bundle Tag Info'!$A$2," ",'Bundle Tag Info'!$A$3,CHAR(10),'Bundle Tag Info'!V$6,CHAR(10),'Bundle Tag Info'!V$26),"")</f>
        <v/>
      </c>
      <c r="W21" s="25" t="str">
        <f>IF('Bundle Tag Info'!W$26&lt;&gt;"",CONCATENATE('Bundle Tag Info'!$A$1," ",CHAR(10),'Bundle Tag Info'!$A$2," ",'Bundle Tag Info'!$A$3,CHAR(10),'Bundle Tag Info'!W$6,CHAR(10),'Bundle Tag Info'!W$26),"")</f>
        <v/>
      </c>
      <c r="X21" s="25" t="str">
        <f>IF('Bundle Tag Info'!X$26&lt;&gt;"",CONCATENATE('Bundle Tag Info'!$A$1," ",CHAR(10),'Bundle Tag Info'!$A$2," ",'Bundle Tag Info'!$A$3,CHAR(10),'Bundle Tag Info'!X$6,CHAR(10),'Bundle Tag Info'!X$26),"")</f>
        <v/>
      </c>
      <c r="Y21" s="25" t="str">
        <f>IF('Bundle Tag Info'!Y$26&lt;&gt;"",CONCATENATE('Bundle Tag Info'!$A$1," ",CHAR(10),'Bundle Tag Info'!$A$2," ",'Bundle Tag Info'!$A$3,CHAR(10),'Bundle Tag Info'!Y$6,CHAR(10),'Bundle Tag Info'!Y$26),"")</f>
        <v/>
      </c>
      <c r="Z21" s="25" t="str">
        <f>IF('Bundle Tag Info'!Z$26&lt;&gt;"",CONCATENATE('Bundle Tag Info'!$A$1," ",CHAR(10),'Bundle Tag Info'!$A$2," ",'Bundle Tag Info'!$A$3,CHAR(10),'Bundle Tag Info'!Z$6,CHAR(10),'Bundle Tag Info'!Z$26),"")</f>
        <v/>
      </c>
      <c r="AA21" s="25" t="str">
        <f>IF('Bundle Tag Info'!AA$26&lt;&gt;"",CONCATENATE('Bundle Tag Info'!$A$1," ",CHAR(10),'Bundle Tag Info'!$A$2," ",'Bundle Tag Info'!$A$3,CHAR(10),'Bundle Tag Info'!AA$6,CHAR(10),'Bundle Tag Info'!AA$26),"")</f>
        <v/>
      </c>
      <c r="AB21" s="25" t="str">
        <f>IF('Bundle Tag Info'!AB$26&lt;&gt;"",CONCATENATE('Bundle Tag Info'!$A$1," ",CHAR(10),'Bundle Tag Info'!$A$2," ",'Bundle Tag Info'!$A$3,CHAR(10),'Bundle Tag Info'!AB$6,CHAR(10),'Bundle Tag Info'!AB$26),"")</f>
        <v/>
      </c>
      <c r="AC21" s="25" t="str">
        <f>IF('Bundle Tag Info'!AC$26&lt;&gt;"",CONCATENATE('Bundle Tag Info'!$A$1," ",CHAR(10),'Bundle Tag Info'!$A$2," ",'Bundle Tag Info'!$A$3,CHAR(10),'Bundle Tag Info'!AC$6,CHAR(10),'Bundle Tag Info'!AC$26),"")</f>
        <v/>
      </c>
      <c r="AD21" s="25" t="str">
        <f>IF('Bundle Tag Info'!AD$26&lt;&gt;"",CONCATENATE('Bundle Tag Info'!$A$1," ",CHAR(10),'Bundle Tag Info'!$A$2," ",'Bundle Tag Info'!$A$3,CHAR(10),'Bundle Tag Info'!AD$6,CHAR(10),'Bundle Tag Info'!AD$26),"")</f>
        <v/>
      </c>
    </row>
    <row r="22" spans="1:30" ht="63.95" customHeight="1" x14ac:dyDescent="0.25">
      <c r="A22" s="25" t="str">
        <f>IF('Bundle Tag Info'!A$27&lt;&gt;"",CONCATENATE('Bundle Tag Info'!$A$1," ",CHAR(10),'Bundle Tag Info'!$A$2," ",'Bundle Tag Info'!$A$3,CHAR(10),'Bundle Tag Info'!A$6,CHAR(10),'Bundle Tag Info'!A$27),"")</f>
        <v/>
      </c>
      <c r="B22" s="25" t="str">
        <f>IF('Bundle Tag Info'!B$27&lt;&gt;"",CONCATENATE('Bundle Tag Info'!$A$1," ",CHAR(10),'Bundle Tag Info'!$A$2," ",'Bundle Tag Info'!$A$3,CHAR(10),'Bundle Tag Info'!B$6,CHAR(10),'Bundle Tag Info'!B$27),"")</f>
        <v/>
      </c>
      <c r="C22" s="25" t="str">
        <f>IF('Bundle Tag Info'!C$27&lt;&gt;"",CONCATENATE('Bundle Tag Info'!$A$1," ",CHAR(10),'Bundle Tag Info'!$A$2," ",'Bundle Tag Info'!$A$3,CHAR(10),'Bundle Tag Info'!C$6,CHAR(10),'Bundle Tag Info'!C$27),"")</f>
        <v/>
      </c>
      <c r="D22" s="25" t="str">
        <f>IF('Bundle Tag Info'!D$27&lt;&gt;"",CONCATENATE('Bundle Tag Info'!$A$1," ",CHAR(10),'Bundle Tag Info'!$A$2," ",'Bundle Tag Info'!$A$3,CHAR(10),'Bundle Tag Info'!D$6,CHAR(10),'Bundle Tag Info'!D$27),"")</f>
        <v/>
      </c>
      <c r="E22" s="25" t="str">
        <f>IF('Bundle Tag Info'!E$27&lt;&gt;"",CONCATENATE('Bundle Tag Info'!$A$1," ",CHAR(10),'Bundle Tag Info'!$A$2," ",'Bundle Tag Info'!$A$3,CHAR(10),'Bundle Tag Info'!E$6,CHAR(10),'Bundle Tag Info'!E$27),"")</f>
        <v/>
      </c>
      <c r="F22" s="25" t="str">
        <f>IF('Bundle Tag Info'!F$27&lt;&gt;"",CONCATENATE('Bundle Tag Info'!$A$1," ",CHAR(10),'Bundle Tag Info'!$A$2," ",'Bundle Tag Info'!$A$3,CHAR(10),'Bundle Tag Info'!F$6,CHAR(10),'Bundle Tag Info'!F$27),"")</f>
        <v/>
      </c>
      <c r="G22" s="25" t="str">
        <f>IF('Bundle Tag Info'!G$27&lt;&gt;"",CONCATENATE('Bundle Tag Info'!$A$1," ",CHAR(10),'Bundle Tag Info'!$A$2," ",'Bundle Tag Info'!$A$3,CHAR(10),'Bundle Tag Info'!G$6,CHAR(10),'Bundle Tag Info'!G$27),"")</f>
        <v/>
      </c>
      <c r="H22" s="25" t="str">
        <f>IF('Bundle Tag Info'!H$27&lt;&gt;"",CONCATENATE('Bundle Tag Info'!$A$1," ",CHAR(10),'Bundle Tag Info'!$A$2," ",'Bundle Tag Info'!$A$3,CHAR(10),'Bundle Tag Info'!H$6,CHAR(10),'Bundle Tag Info'!H$27),"")</f>
        <v/>
      </c>
      <c r="I22" s="25" t="str">
        <f>IF('Bundle Tag Info'!I$27&lt;&gt;"",CONCATENATE('Bundle Tag Info'!$A$1," ",CHAR(10),'Bundle Tag Info'!$A$2," ",'Bundle Tag Info'!$A$3,CHAR(10),'Bundle Tag Info'!I$6,CHAR(10),'Bundle Tag Info'!I$27),"")</f>
        <v/>
      </c>
      <c r="J22" s="25" t="str">
        <f>IF('Bundle Tag Info'!J$27&lt;&gt;"",CONCATENATE('Bundle Tag Info'!$A$1," ",CHAR(10),'Bundle Tag Info'!$A$2," ",'Bundle Tag Info'!$A$3,CHAR(10),'Bundle Tag Info'!J$6,CHAR(10),'Bundle Tag Info'!J$27),"")</f>
        <v/>
      </c>
      <c r="K22" s="25" t="str">
        <f>IF('Bundle Tag Info'!K$27&lt;&gt;"",CONCATENATE('Bundle Tag Info'!$A$1," ",CHAR(10),'Bundle Tag Info'!$A$2," ",'Bundle Tag Info'!$A$3,CHAR(10),'Bundle Tag Info'!K$6,CHAR(10),'Bundle Tag Info'!K$27),"")</f>
        <v/>
      </c>
      <c r="L22" s="25" t="str">
        <f>IF('Bundle Tag Info'!L$27&lt;&gt;"",CONCATENATE('Bundle Tag Info'!$A$1," ",CHAR(10),'Bundle Tag Info'!$A$2," ",'Bundle Tag Info'!$A$3,CHAR(10),'Bundle Tag Info'!L$6,CHAR(10),'Bundle Tag Info'!L$27),"")</f>
        <v/>
      </c>
      <c r="M22" s="25" t="str">
        <f>IF('Bundle Tag Info'!M$27&lt;&gt;"",CONCATENATE('Bundle Tag Info'!$A$1," ",CHAR(10),'Bundle Tag Info'!$A$2," ",'Bundle Tag Info'!$A$3,CHAR(10),'Bundle Tag Info'!M$6,CHAR(10),'Bundle Tag Info'!M$27),"")</f>
        <v/>
      </c>
      <c r="N22" s="25" t="str">
        <f>IF('Bundle Tag Info'!N$27&lt;&gt;"",CONCATENATE('Bundle Tag Info'!$A$1," ",CHAR(10),'Bundle Tag Info'!$A$2," ",'Bundle Tag Info'!$A$3,CHAR(10),'Bundle Tag Info'!N$6,CHAR(10),'Bundle Tag Info'!N$27),"")</f>
        <v/>
      </c>
      <c r="O22" s="25" t="str">
        <f>IF('Bundle Tag Info'!O$27&lt;&gt;"",CONCATENATE('Bundle Tag Info'!$A$1," ",CHAR(10),'Bundle Tag Info'!$A$2," ",'Bundle Tag Info'!$A$3,CHAR(10),'Bundle Tag Info'!O$6,CHAR(10),'Bundle Tag Info'!O$27),"")</f>
        <v/>
      </c>
      <c r="P22" s="25" t="str">
        <f>IF('Bundle Tag Info'!P$27&lt;&gt;"",CONCATENATE('Bundle Tag Info'!$A$1," ",CHAR(10),'Bundle Tag Info'!$A$2," ",'Bundle Tag Info'!$A$3,CHAR(10),'Bundle Tag Info'!P$6,CHAR(10),'Bundle Tag Info'!P$27),"")</f>
        <v/>
      </c>
      <c r="Q22" s="25" t="str">
        <f>IF('Bundle Tag Info'!Q$27&lt;&gt;"",CONCATENATE('Bundle Tag Info'!$A$1," ",CHAR(10),'Bundle Tag Info'!$A$2," ",'Bundle Tag Info'!$A$3,CHAR(10),'Bundle Tag Info'!Q$6,CHAR(10),'Bundle Tag Info'!Q$27),"")</f>
        <v/>
      </c>
      <c r="R22" s="25" t="str">
        <f>IF('Bundle Tag Info'!R$27&lt;&gt;"",CONCATENATE('Bundle Tag Info'!$A$1," ",CHAR(10),'Bundle Tag Info'!$A$2," ",'Bundle Tag Info'!$A$3,CHAR(10),'Bundle Tag Info'!R$6,CHAR(10),'Bundle Tag Info'!R$27),"")</f>
        <v/>
      </c>
      <c r="S22" s="25" t="str">
        <f>IF('Bundle Tag Info'!S$27&lt;&gt;"",CONCATENATE('Bundle Tag Info'!$A$1," ",CHAR(10),'Bundle Tag Info'!$A$2," ",'Bundle Tag Info'!$A$3,CHAR(10),'Bundle Tag Info'!S$6,CHAR(10),'Bundle Tag Info'!S$27),"")</f>
        <v/>
      </c>
      <c r="T22" s="25" t="str">
        <f>IF('Bundle Tag Info'!T$27&lt;&gt;"",CONCATENATE('Bundle Tag Info'!$A$1," ",CHAR(10),'Bundle Tag Info'!$A$2," ",'Bundle Tag Info'!$A$3,CHAR(10),'Bundle Tag Info'!T$6,CHAR(10),'Bundle Tag Info'!T$27),"")</f>
        <v/>
      </c>
      <c r="U22" s="25" t="str">
        <f>IF('Bundle Tag Info'!U$27&lt;&gt;"",CONCATENATE('Bundle Tag Info'!$A$1," ",CHAR(10),'Bundle Tag Info'!$A$2," ",'Bundle Tag Info'!$A$3,CHAR(10),'Bundle Tag Info'!U$6,CHAR(10),'Bundle Tag Info'!U$27),"")</f>
        <v/>
      </c>
      <c r="V22" s="25" t="str">
        <f>IF('Bundle Tag Info'!V$27&lt;&gt;"",CONCATENATE('Bundle Tag Info'!$A$1," ",CHAR(10),'Bundle Tag Info'!$A$2," ",'Bundle Tag Info'!$A$3,CHAR(10),'Bundle Tag Info'!V$6,CHAR(10),'Bundle Tag Info'!V$27),"")</f>
        <v/>
      </c>
      <c r="W22" s="25" t="str">
        <f>IF('Bundle Tag Info'!W$27&lt;&gt;"",CONCATENATE('Bundle Tag Info'!$A$1," ",CHAR(10),'Bundle Tag Info'!$A$2," ",'Bundle Tag Info'!$A$3,CHAR(10),'Bundle Tag Info'!W$6,CHAR(10),'Bundle Tag Info'!W$27),"")</f>
        <v/>
      </c>
      <c r="X22" s="25" t="str">
        <f>IF('Bundle Tag Info'!X$27&lt;&gt;"",CONCATENATE('Bundle Tag Info'!$A$1," ",CHAR(10),'Bundle Tag Info'!$A$2," ",'Bundle Tag Info'!$A$3,CHAR(10),'Bundle Tag Info'!X$6,CHAR(10),'Bundle Tag Info'!X$27),"")</f>
        <v/>
      </c>
      <c r="Y22" s="25" t="str">
        <f>IF('Bundle Tag Info'!Y$27&lt;&gt;"",CONCATENATE('Bundle Tag Info'!$A$1," ",CHAR(10),'Bundle Tag Info'!$A$2," ",'Bundle Tag Info'!$A$3,CHAR(10),'Bundle Tag Info'!Y$6,CHAR(10),'Bundle Tag Info'!Y$27),"")</f>
        <v/>
      </c>
      <c r="Z22" s="25" t="str">
        <f>IF('Bundle Tag Info'!Z$27&lt;&gt;"",CONCATENATE('Bundle Tag Info'!$A$1," ",CHAR(10),'Bundle Tag Info'!$A$2," ",'Bundle Tag Info'!$A$3,CHAR(10),'Bundle Tag Info'!Z$6,CHAR(10),'Bundle Tag Info'!Z$27),"")</f>
        <v/>
      </c>
      <c r="AA22" s="25" t="str">
        <f>IF('Bundle Tag Info'!AA$27&lt;&gt;"",CONCATENATE('Bundle Tag Info'!$A$1," ",CHAR(10),'Bundle Tag Info'!$A$2," ",'Bundle Tag Info'!$A$3,CHAR(10),'Bundle Tag Info'!AA$6,CHAR(10),'Bundle Tag Info'!AA$27),"")</f>
        <v/>
      </c>
      <c r="AB22" s="25" t="str">
        <f>IF('Bundle Tag Info'!AB$27&lt;&gt;"",CONCATENATE('Bundle Tag Info'!$A$1," ",CHAR(10),'Bundle Tag Info'!$A$2," ",'Bundle Tag Info'!$A$3,CHAR(10),'Bundle Tag Info'!AB$6,CHAR(10),'Bundle Tag Info'!AB$27),"")</f>
        <v/>
      </c>
      <c r="AC22" s="25" t="str">
        <f>IF('Bundle Tag Info'!AC$27&lt;&gt;"",CONCATENATE('Bundle Tag Info'!$A$1," ",CHAR(10),'Bundle Tag Info'!$A$2," ",'Bundle Tag Info'!$A$3,CHAR(10),'Bundle Tag Info'!AC$6,CHAR(10),'Bundle Tag Info'!AC$27),"")</f>
        <v/>
      </c>
      <c r="AD22" s="25" t="str">
        <f>IF('Bundle Tag Info'!AD$27&lt;&gt;"",CONCATENATE('Bundle Tag Info'!$A$1," ",CHAR(10),'Bundle Tag Info'!$A$2," ",'Bundle Tag Info'!$A$3,CHAR(10),'Bundle Tag Info'!AD$6,CHAR(10),'Bundle Tag Info'!AD$27),"")</f>
        <v/>
      </c>
    </row>
    <row r="23" spans="1:30" ht="63.95" customHeight="1" x14ac:dyDescent="0.25">
      <c r="A23" s="25" t="str">
        <f>IF('Bundle Tag Info'!A$28&lt;&gt;"",CONCATENATE('Bundle Tag Info'!$A$1," ",CHAR(10),'Bundle Tag Info'!$A$2," ",'Bundle Tag Info'!$A$3,CHAR(10),'Bundle Tag Info'!A$6,CHAR(10),'Bundle Tag Info'!A$28),"")</f>
        <v/>
      </c>
      <c r="B23" s="25" t="str">
        <f>IF('Bundle Tag Info'!B$28&lt;&gt;"",CONCATENATE('Bundle Tag Info'!$A$1," ",CHAR(10),'Bundle Tag Info'!$A$2," ",'Bundle Tag Info'!$A$3,CHAR(10),'Bundle Tag Info'!B$6,CHAR(10),'Bundle Tag Info'!B$28),"")</f>
        <v/>
      </c>
      <c r="C23" s="25" t="str">
        <f>IF('Bundle Tag Info'!C$28&lt;&gt;"",CONCATENATE('Bundle Tag Info'!$A$1," ",CHAR(10),'Bundle Tag Info'!$A$2," ",'Bundle Tag Info'!$A$3,CHAR(10),'Bundle Tag Info'!C$6,CHAR(10),'Bundle Tag Info'!C$28),"")</f>
        <v/>
      </c>
      <c r="D23" s="25" t="str">
        <f>IF('Bundle Tag Info'!D$28&lt;&gt;"",CONCATENATE('Bundle Tag Info'!$A$1," ",CHAR(10),'Bundle Tag Info'!$A$2," ",'Bundle Tag Info'!$A$3,CHAR(10),'Bundle Tag Info'!D$6,CHAR(10),'Bundle Tag Info'!D$28),"")</f>
        <v/>
      </c>
      <c r="E23" s="25" t="str">
        <f>IF('Bundle Tag Info'!E$28&lt;&gt;"",CONCATENATE('Bundle Tag Info'!$A$1," ",CHAR(10),'Bundle Tag Info'!$A$2," ",'Bundle Tag Info'!$A$3,CHAR(10),'Bundle Tag Info'!E$6,CHAR(10),'Bundle Tag Info'!E$28),"")</f>
        <v/>
      </c>
      <c r="F23" s="25" t="str">
        <f>IF('Bundle Tag Info'!F$28&lt;&gt;"",CONCATENATE('Bundle Tag Info'!$A$1," ",CHAR(10),'Bundle Tag Info'!$A$2," ",'Bundle Tag Info'!$A$3,CHAR(10),'Bundle Tag Info'!F$6,CHAR(10),'Bundle Tag Info'!F$28),"")</f>
        <v/>
      </c>
      <c r="G23" s="25" t="str">
        <f>IF('Bundle Tag Info'!G$28&lt;&gt;"",CONCATENATE('Bundle Tag Info'!$A$1," ",CHAR(10),'Bundle Tag Info'!$A$2," ",'Bundle Tag Info'!$A$3,CHAR(10),'Bundle Tag Info'!G$6,CHAR(10),'Bundle Tag Info'!G$28),"")</f>
        <v/>
      </c>
      <c r="H23" s="25" t="str">
        <f>IF('Bundle Tag Info'!H$28&lt;&gt;"",CONCATENATE('Bundle Tag Info'!$A$1," ",CHAR(10),'Bundle Tag Info'!$A$2," ",'Bundle Tag Info'!$A$3,CHAR(10),'Bundle Tag Info'!H$6,CHAR(10),'Bundle Tag Info'!H$28),"")</f>
        <v/>
      </c>
      <c r="I23" s="25" t="str">
        <f>IF('Bundle Tag Info'!I$28&lt;&gt;"",CONCATENATE('Bundle Tag Info'!$A$1," ",CHAR(10),'Bundle Tag Info'!$A$2," ",'Bundle Tag Info'!$A$3,CHAR(10),'Bundle Tag Info'!I$6,CHAR(10),'Bundle Tag Info'!I$28),"")</f>
        <v/>
      </c>
      <c r="J23" s="25" t="str">
        <f>IF('Bundle Tag Info'!J$28&lt;&gt;"",CONCATENATE('Bundle Tag Info'!$A$1," ",CHAR(10),'Bundle Tag Info'!$A$2," ",'Bundle Tag Info'!$A$3,CHAR(10),'Bundle Tag Info'!J$6,CHAR(10),'Bundle Tag Info'!J$28),"")</f>
        <v/>
      </c>
      <c r="K23" s="25" t="str">
        <f>IF('Bundle Tag Info'!K$28&lt;&gt;"",CONCATENATE('Bundle Tag Info'!$A$1," ",CHAR(10),'Bundle Tag Info'!$A$2," ",'Bundle Tag Info'!$A$3,CHAR(10),'Bundle Tag Info'!K$6,CHAR(10),'Bundle Tag Info'!K$28),"")</f>
        <v/>
      </c>
      <c r="L23" s="25" t="str">
        <f>IF('Bundle Tag Info'!L$28&lt;&gt;"",CONCATENATE('Bundle Tag Info'!$A$1," ",CHAR(10),'Bundle Tag Info'!$A$2," ",'Bundle Tag Info'!$A$3,CHAR(10),'Bundle Tag Info'!L$6,CHAR(10),'Bundle Tag Info'!L$28),"")</f>
        <v/>
      </c>
      <c r="M23" s="25" t="str">
        <f>IF('Bundle Tag Info'!M$28&lt;&gt;"",CONCATENATE('Bundle Tag Info'!$A$1," ",CHAR(10),'Bundle Tag Info'!$A$2," ",'Bundle Tag Info'!$A$3,CHAR(10),'Bundle Tag Info'!M$6,CHAR(10),'Bundle Tag Info'!M$28),"")</f>
        <v/>
      </c>
      <c r="N23" s="25" t="str">
        <f>IF('Bundle Tag Info'!N$28&lt;&gt;"",CONCATENATE('Bundle Tag Info'!$A$1," ",CHAR(10),'Bundle Tag Info'!$A$2," ",'Bundle Tag Info'!$A$3,CHAR(10),'Bundle Tag Info'!N$6,CHAR(10),'Bundle Tag Info'!N$28),"")</f>
        <v/>
      </c>
      <c r="O23" s="25" t="str">
        <f>IF('Bundle Tag Info'!O$28&lt;&gt;"",CONCATENATE('Bundle Tag Info'!$A$1," ",CHAR(10),'Bundle Tag Info'!$A$2," ",'Bundle Tag Info'!$A$3,CHAR(10),'Bundle Tag Info'!O$6,CHAR(10),'Bundle Tag Info'!O$28),"")</f>
        <v/>
      </c>
      <c r="P23" s="25" t="str">
        <f>IF('Bundle Tag Info'!P$28&lt;&gt;"",CONCATENATE('Bundle Tag Info'!$A$1," ",CHAR(10),'Bundle Tag Info'!$A$2," ",'Bundle Tag Info'!$A$3,CHAR(10),'Bundle Tag Info'!P$6,CHAR(10),'Bundle Tag Info'!P$28),"")</f>
        <v/>
      </c>
      <c r="Q23" s="25" t="str">
        <f>IF('Bundle Tag Info'!Q$28&lt;&gt;"",CONCATENATE('Bundle Tag Info'!$A$1," ",CHAR(10),'Bundle Tag Info'!$A$2," ",'Bundle Tag Info'!$A$3,CHAR(10),'Bundle Tag Info'!Q$6,CHAR(10),'Bundle Tag Info'!Q$28),"")</f>
        <v/>
      </c>
      <c r="R23" s="25" t="str">
        <f>IF('Bundle Tag Info'!R$28&lt;&gt;"",CONCATENATE('Bundle Tag Info'!$A$1," ",CHAR(10),'Bundle Tag Info'!$A$2," ",'Bundle Tag Info'!$A$3,CHAR(10),'Bundle Tag Info'!R$6,CHAR(10),'Bundle Tag Info'!R$28),"")</f>
        <v/>
      </c>
      <c r="S23" s="25" t="str">
        <f>IF('Bundle Tag Info'!S$28&lt;&gt;"",CONCATENATE('Bundle Tag Info'!$A$1," ",CHAR(10),'Bundle Tag Info'!$A$2," ",'Bundle Tag Info'!$A$3,CHAR(10),'Bundle Tag Info'!S$6,CHAR(10),'Bundle Tag Info'!S$28),"")</f>
        <v/>
      </c>
      <c r="T23" s="25" t="str">
        <f>IF('Bundle Tag Info'!T$28&lt;&gt;"",CONCATENATE('Bundle Tag Info'!$A$1," ",CHAR(10),'Bundle Tag Info'!$A$2," ",'Bundle Tag Info'!$A$3,CHAR(10),'Bundle Tag Info'!T$6,CHAR(10),'Bundle Tag Info'!T$28),"")</f>
        <v/>
      </c>
      <c r="U23" s="25" t="str">
        <f>IF('Bundle Tag Info'!U$28&lt;&gt;"",CONCATENATE('Bundle Tag Info'!$A$1," ",CHAR(10),'Bundle Tag Info'!$A$2," ",'Bundle Tag Info'!$A$3,CHAR(10),'Bundle Tag Info'!U$6,CHAR(10),'Bundle Tag Info'!U$28),"")</f>
        <v/>
      </c>
      <c r="V23" s="25" t="str">
        <f>IF('Bundle Tag Info'!V$28&lt;&gt;"",CONCATENATE('Bundle Tag Info'!$A$1," ",CHAR(10),'Bundle Tag Info'!$A$2," ",'Bundle Tag Info'!$A$3,CHAR(10),'Bundle Tag Info'!V$6,CHAR(10),'Bundle Tag Info'!V$28),"")</f>
        <v/>
      </c>
      <c r="W23" s="25" t="str">
        <f>IF('Bundle Tag Info'!W$28&lt;&gt;"",CONCATENATE('Bundle Tag Info'!$A$1," ",CHAR(10),'Bundle Tag Info'!$A$2," ",'Bundle Tag Info'!$A$3,CHAR(10),'Bundle Tag Info'!W$6,CHAR(10),'Bundle Tag Info'!W$28),"")</f>
        <v/>
      </c>
      <c r="X23" s="25" t="str">
        <f>IF('Bundle Tag Info'!X$28&lt;&gt;"",CONCATENATE('Bundle Tag Info'!$A$1," ",CHAR(10),'Bundle Tag Info'!$A$2," ",'Bundle Tag Info'!$A$3,CHAR(10),'Bundle Tag Info'!X$6,CHAR(10),'Bundle Tag Info'!X$28),"")</f>
        <v/>
      </c>
      <c r="Y23" s="25" t="str">
        <f>IF('Bundle Tag Info'!Y$28&lt;&gt;"",CONCATENATE('Bundle Tag Info'!$A$1," ",CHAR(10),'Bundle Tag Info'!$A$2," ",'Bundle Tag Info'!$A$3,CHAR(10),'Bundle Tag Info'!Y$6,CHAR(10),'Bundle Tag Info'!Y$28),"")</f>
        <v/>
      </c>
      <c r="Z23" s="25" t="str">
        <f>IF('Bundle Tag Info'!Z$28&lt;&gt;"",CONCATENATE('Bundle Tag Info'!$A$1," ",CHAR(10),'Bundle Tag Info'!$A$2," ",'Bundle Tag Info'!$A$3,CHAR(10),'Bundle Tag Info'!Z$6,CHAR(10),'Bundle Tag Info'!Z$28),"")</f>
        <v/>
      </c>
      <c r="AA23" s="25" t="str">
        <f>IF('Bundle Tag Info'!AA$28&lt;&gt;"",CONCATENATE('Bundle Tag Info'!$A$1," ",CHAR(10),'Bundle Tag Info'!$A$2," ",'Bundle Tag Info'!$A$3,CHAR(10),'Bundle Tag Info'!AA$6,CHAR(10),'Bundle Tag Info'!AA$28),"")</f>
        <v/>
      </c>
      <c r="AB23" s="25" t="str">
        <f>IF('Bundle Tag Info'!AB$28&lt;&gt;"",CONCATENATE('Bundle Tag Info'!$A$1," ",CHAR(10),'Bundle Tag Info'!$A$2," ",'Bundle Tag Info'!$A$3,CHAR(10),'Bundle Tag Info'!AB$6,CHAR(10),'Bundle Tag Info'!AB$28),"")</f>
        <v/>
      </c>
      <c r="AC23" s="25" t="str">
        <f>IF('Bundle Tag Info'!AC$28&lt;&gt;"",CONCATENATE('Bundle Tag Info'!$A$1," ",CHAR(10),'Bundle Tag Info'!$A$2," ",'Bundle Tag Info'!$A$3,CHAR(10),'Bundle Tag Info'!AC$6,CHAR(10),'Bundle Tag Info'!AC$28),"")</f>
        <v/>
      </c>
      <c r="AD23" s="25" t="str">
        <f>IF('Bundle Tag Info'!AD$28&lt;&gt;"",CONCATENATE('Bundle Tag Info'!$A$1," ",CHAR(10),'Bundle Tag Info'!$A$2," ",'Bundle Tag Info'!$A$3,CHAR(10),'Bundle Tag Info'!AD$6,CHAR(10),'Bundle Tag Info'!AD$28),"")</f>
        <v/>
      </c>
    </row>
    <row r="24" spans="1:30" ht="63.95" customHeight="1" x14ac:dyDescent="0.25">
      <c r="A24" s="25" t="str">
        <f>IF('Bundle Tag Info'!A$29&lt;&gt;"",CONCATENATE('Bundle Tag Info'!$A$1," ",CHAR(10),'Bundle Tag Info'!$A$2," ",'Bundle Tag Info'!$A$3,CHAR(10),'Bundle Tag Info'!A$6,CHAR(10),'Bundle Tag Info'!A$29),"")</f>
        <v/>
      </c>
      <c r="B24" s="25" t="str">
        <f>IF('Bundle Tag Info'!B$29&lt;&gt;"",CONCATENATE('Bundle Tag Info'!$A$1," ",CHAR(10),'Bundle Tag Info'!$A$2," ",'Bundle Tag Info'!$A$3,CHAR(10),'Bundle Tag Info'!B$6,CHAR(10),'Bundle Tag Info'!B$29),"")</f>
        <v/>
      </c>
      <c r="C24" s="25" t="str">
        <f>IF('Bundle Tag Info'!C$29&lt;&gt;"",CONCATENATE('Bundle Tag Info'!$A$1," ",CHAR(10),'Bundle Tag Info'!$A$2," ",'Bundle Tag Info'!$A$3,CHAR(10),'Bundle Tag Info'!C$6,CHAR(10),'Bundle Tag Info'!C$29),"")</f>
        <v/>
      </c>
      <c r="D24" s="25" t="str">
        <f>IF('Bundle Tag Info'!D$29&lt;&gt;"",CONCATENATE('Bundle Tag Info'!$A$1," ",CHAR(10),'Bundle Tag Info'!$A$2," ",'Bundle Tag Info'!$A$3,CHAR(10),'Bundle Tag Info'!D$6,CHAR(10),'Bundle Tag Info'!D$29),"")</f>
        <v/>
      </c>
      <c r="E24" s="25" t="str">
        <f>IF('Bundle Tag Info'!E$29&lt;&gt;"",CONCATENATE('Bundle Tag Info'!$A$1," ",CHAR(10),'Bundle Tag Info'!$A$2," ",'Bundle Tag Info'!$A$3,CHAR(10),'Bundle Tag Info'!E$6,CHAR(10),'Bundle Tag Info'!E$29),"")</f>
        <v/>
      </c>
      <c r="F24" s="25" t="str">
        <f>IF('Bundle Tag Info'!F$29&lt;&gt;"",CONCATENATE('Bundle Tag Info'!$A$1," ",CHAR(10),'Bundle Tag Info'!$A$2," ",'Bundle Tag Info'!$A$3,CHAR(10),'Bundle Tag Info'!F$6,CHAR(10),'Bundle Tag Info'!F$29),"")</f>
        <v/>
      </c>
      <c r="G24" s="25" t="str">
        <f>IF('Bundle Tag Info'!G$29&lt;&gt;"",CONCATENATE('Bundle Tag Info'!$A$1," ",CHAR(10),'Bundle Tag Info'!$A$2," ",'Bundle Tag Info'!$A$3,CHAR(10),'Bundle Tag Info'!G$6,CHAR(10),'Bundle Tag Info'!G$29),"")</f>
        <v/>
      </c>
      <c r="H24" s="25" t="str">
        <f>IF('Bundle Tag Info'!H$29&lt;&gt;"",CONCATENATE('Bundle Tag Info'!$A$1," ",CHAR(10),'Bundle Tag Info'!$A$2," ",'Bundle Tag Info'!$A$3,CHAR(10),'Bundle Tag Info'!H$6,CHAR(10),'Bundle Tag Info'!H$29),"")</f>
        <v/>
      </c>
      <c r="I24" s="25" t="str">
        <f>IF('Bundle Tag Info'!I$29&lt;&gt;"",CONCATENATE('Bundle Tag Info'!$A$1," ",CHAR(10),'Bundle Tag Info'!$A$2," ",'Bundle Tag Info'!$A$3,CHAR(10),'Bundle Tag Info'!I$6,CHAR(10),'Bundle Tag Info'!I$29),"")</f>
        <v/>
      </c>
      <c r="J24" s="25" t="str">
        <f>IF('Bundle Tag Info'!J$29&lt;&gt;"",CONCATENATE('Bundle Tag Info'!$A$1," ",CHAR(10),'Bundle Tag Info'!$A$2," ",'Bundle Tag Info'!$A$3,CHAR(10),'Bundle Tag Info'!J$6,CHAR(10),'Bundle Tag Info'!J$29),"")</f>
        <v/>
      </c>
      <c r="K24" s="25" t="str">
        <f>IF('Bundle Tag Info'!K$29&lt;&gt;"",CONCATENATE('Bundle Tag Info'!$A$1," ",CHAR(10),'Bundle Tag Info'!$A$2," ",'Bundle Tag Info'!$A$3,CHAR(10),'Bundle Tag Info'!K$6,CHAR(10),'Bundle Tag Info'!K$29),"")</f>
        <v/>
      </c>
      <c r="L24" s="25" t="str">
        <f>IF('Bundle Tag Info'!L$29&lt;&gt;"",CONCATENATE('Bundle Tag Info'!$A$1," ",CHAR(10),'Bundle Tag Info'!$A$2," ",'Bundle Tag Info'!$A$3,CHAR(10),'Bundle Tag Info'!L$6,CHAR(10),'Bundle Tag Info'!L$29),"")</f>
        <v/>
      </c>
      <c r="M24" s="25" t="str">
        <f>IF('Bundle Tag Info'!M$29&lt;&gt;"",CONCATENATE('Bundle Tag Info'!$A$1," ",CHAR(10),'Bundle Tag Info'!$A$2," ",'Bundle Tag Info'!$A$3,CHAR(10),'Bundle Tag Info'!M$6,CHAR(10),'Bundle Tag Info'!M$29),"")</f>
        <v/>
      </c>
      <c r="N24" s="25" t="str">
        <f>IF('Bundle Tag Info'!N$29&lt;&gt;"",CONCATENATE('Bundle Tag Info'!$A$1," ",CHAR(10),'Bundle Tag Info'!$A$2," ",'Bundle Tag Info'!$A$3,CHAR(10),'Bundle Tag Info'!N$6,CHAR(10),'Bundle Tag Info'!N$29),"")</f>
        <v/>
      </c>
      <c r="O24" s="25" t="str">
        <f>IF('Bundle Tag Info'!O$29&lt;&gt;"",CONCATENATE('Bundle Tag Info'!$A$1," ",CHAR(10),'Bundle Tag Info'!$A$2," ",'Bundle Tag Info'!$A$3,CHAR(10),'Bundle Tag Info'!O$6,CHAR(10),'Bundle Tag Info'!O$29),"")</f>
        <v/>
      </c>
      <c r="P24" s="25" t="str">
        <f>IF('Bundle Tag Info'!P$29&lt;&gt;"",CONCATENATE('Bundle Tag Info'!$A$1," ",CHAR(10),'Bundle Tag Info'!$A$2," ",'Bundle Tag Info'!$A$3,CHAR(10),'Bundle Tag Info'!P$6,CHAR(10),'Bundle Tag Info'!P$29),"")</f>
        <v/>
      </c>
      <c r="Q24" s="25" t="str">
        <f>IF('Bundle Tag Info'!Q$29&lt;&gt;"",CONCATENATE('Bundle Tag Info'!$A$1," ",CHAR(10),'Bundle Tag Info'!$A$2," ",'Bundle Tag Info'!$A$3,CHAR(10),'Bundle Tag Info'!Q$6,CHAR(10),'Bundle Tag Info'!Q$29),"")</f>
        <v/>
      </c>
      <c r="R24" s="25" t="str">
        <f>IF('Bundle Tag Info'!R$29&lt;&gt;"",CONCATENATE('Bundle Tag Info'!$A$1," ",CHAR(10),'Bundle Tag Info'!$A$2," ",'Bundle Tag Info'!$A$3,CHAR(10),'Bundle Tag Info'!R$6,CHAR(10),'Bundle Tag Info'!R$29),"")</f>
        <v/>
      </c>
      <c r="S24" s="25" t="str">
        <f>IF('Bundle Tag Info'!S$29&lt;&gt;"",CONCATENATE('Bundle Tag Info'!$A$1," ",CHAR(10),'Bundle Tag Info'!$A$2," ",'Bundle Tag Info'!$A$3,CHAR(10),'Bundle Tag Info'!S$6,CHAR(10),'Bundle Tag Info'!S$29),"")</f>
        <v/>
      </c>
      <c r="T24" s="25" t="str">
        <f>IF('Bundle Tag Info'!T$29&lt;&gt;"",CONCATENATE('Bundle Tag Info'!$A$1," ",CHAR(10),'Bundle Tag Info'!$A$2," ",'Bundle Tag Info'!$A$3,CHAR(10),'Bundle Tag Info'!T$6,CHAR(10),'Bundle Tag Info'!T$29),"")</f>
        <v/>
      </c>
      <c r="U24" s="25" t="str">
        <f>IF('Bundle Tag Info'!U$29&lt;&gt;"",CONCATENATE('Bundle Tag Info'!$A$1," ",CHAR(10),'Bundle Tag Info'!$A$2," ",'Bundle Tag Info'!$A$3,CHAR(10),'Bundle Tag Info'!U$6,CHAR(10),'Bundle Tag Info'!U$29),"")</f>
        <v/>
      </c>
      <c r="V24" s="25" t="str">
        <f>IF('Bundle Tag Info'!V$29&lt;&gt;"",CONCATENATE('Bundle Tag Info'!$A$1," ",CHAR(10),'Bundle Tag Info'!$A$2," ",'Bundle Tag Info'!$A$3,CHAR(10),'Bundle Tag Info'!V$6,CHAR(10),'Bundle Tag Info'!V$29),"")</f>
        <v/>
      </c>
      <c r="W24" s="25" t="str">
        <f>IF('Bundle Tag Info'!W$29&lt;&gt;"",CONCATENATE('Bundle Tag Info'!$A$1," ",CHAR(10),'Bundle Tag Info'!$A$2," ",'Bundle Tag Info'!$A$3,CHAR(10),'Bundle Tag Info'!W$6,CHAR(10),'Bundle Tag Info'!W$29),"")</f>
        <v/>
      </c>
      <c r="X24" s="25" t="str">
        <f>IF('Bundle Tag Info'!X$29&lt;&gt;"",CONCATENATE('Bundle Tag Info'!$A$1," ",CHAR(10),'Bundle Tag Info'!$A$2," ",'Bundle Tag Info'!$A$3,CHAR(10),'Bundle Tag Info'!X$6,CHAR(10),'Bundle Tag Info'!X$29),"")</f>
        <v/>
      </c>
      <c r="Y24" s="25" t="str">
        <f>IF('Bundle Tag Info'!Y$29&lt;&gt;"",CONCATENATE('Bundle Tag Info'!$A$1," ",CHAR(10),'Bundle Tag Info'!$A$2," ",'Bundle Tag Info'!$A$3,CHAR(10),'Bundle Tag Info'!Y$6,CHAR(10),'Bundle Tag Info'!Y$29),"")</f>
        <v/>
      </c>
      <c r="Z24" s="25" t="str">
        <f>IF('Bundle Tag Info'!Z$29&lt;&gt;"",CONCATENATE('Bundle Tag Info'!$A$1," ",CHAR(10),'Bundle Tag Info'!$A$2," ",'Bundle Tag Info'!$A$3,CHAR(10),'Bundle Tag Info'!Z$6,CHAR(10),'Bundle Tag Info'!Z$29),"")</f>
        <v/>
      </c>
      <c r="AA24" s="25" t="str">
        <f>IF('Bundle Tag Info'!AA$29&lt;&gt;"",CONCATENATE('Bundle Tag Info'!$A$1," ",CHAR(10),'Bundle Tag Info'!$A$2," ",'Bundle Tag Info'!$A$3,CHAR(10),'Bundle Tag Info'!AA$6,CHAR(10),'Bundle Tag Info'!AA$29),"")</f>
        <v/>
      </c>
      <c r="AB24" s="25" t="str">
        <f>IF('Bundle Tag Info'!AB$29&lt;&gt;"",CONCATENATE('Bundle Tag Info'!$A$1," ",CHAR(10),'Bundle Tag Info'!$A$2," ",'Bundle Tag Info'!$A$3,CHAR(10),'Bundle Tag Info'!AB$6,CHAR(10),'Bundle Tag Info'!AB$29),"")</f>
        <v/>
      </c>
      <c r="AC24" s="25" t="str">
        <f>IF('Bundle Tag Info'!AC$29&lt;&gt;"",CONCATENATE('Bundle Tag Info'!$A$1," ",CHAR(10),'Bundle Tag Info'!$A$2," ",'Bundle Tag Info'!$A$3,CHAR(10),'Bundle Tag Info'!AC$6,CHAR(10),'Bundle Tag Info'!AC$29),"")</f>
        <v/>
      </c>
      <c r="AD24" s="25" t="str">
        <f>IF('Bundle Tag Info'!AD$29&lt;&gt;"",CONCATENATE('Bundle Tag Info'!$A$1," ",CHAR(10),'Bundle Tag Info'!$A$2," ",'Bundle Tag Info'!$A$3,CHAR(10),'Bundle Tag Info'!AD$6,CHAR(10),'Bundle Tag Info'!AD$29),"")</f>
        <v/>
      </c>
    </row>
    <row r="25" spans="1:30" ht="63.95" customHeight="1" x14ac:dyDescent="0.25">
      <c r="A25" s="25" t="str">
        <f>IF('Bundle Tag Info'!A$30&lt;&gt;"",CONCATENATE('Bundle Tag Info'!$A$1," ",CHAR(10),'Bundle Tag Info'!$A$2," ",'Bundle Tag Info'!$A$3,CHAR(10),'Bundle Tag Info'!A$6,CHAR(10),'Bundle Tag Info'!A$30),"")</f>
        <v/>
      </c>
      <c r="B25" s="25" t="str">
        <f>IF('Bundle Tag Info'!B$30&lt;&gt;"",CONCATENATE('Bundle Tag Info'!$A$1," ",CHAR(10),'Bundle Tag Info'!$A$2," ",'Bundle Tag Info'!$A$3,CHAR(10),'Bundle Tag Info'!B$6,CHAR(10),'Bundle Tag Info'!B$30),"")</f>
        <v/>
      </c>
      <c r="C25" s="25" t="str">
        <f>IF('Bundle Tag Info'!C$30&lt;&gt;"",CONCATENATE('Bundle Tag Info'!$A$1," ",CHAR(10),'Bundle Tag Info'!$A$2," ",'Bundle Tag Info'!$A$3,CHAR(10),'Bundle Tag Info'!C$6,CHAR(10),'Bundle Tag Info'!C$30),"")</f>
        <v/>
      </c>
      <c r="D25" s="25" t="str">
        <f>IF('Bundle Tag Info'!D$30&lt;&gt;"",CONCATENATE('Bundle Tag Info'!$A$1," ",CHAR(10),'Bundle Tag Info'!$A$2," ",'Bundle Tag Info'!$A$3,CHAR(10),'Bundle Tag Info'!D$6,CHAR(10),'Bundle Tag Info'!D$30),"")</f>
        <v/>
      </c>
      <c r="E25" s="25" t="str">
        <f>IF('Bundle Tag Info'!E$30&lt;&gt;"",CONCATENATE('Bundle Tag Info'!$A$1," ",CHAR(10),'Bundle Tag Info'!$A$2," ",'Bundle Tag Info'!$A$3,CHAR(10),'Bundle Tag Info'!E$6,CHAR(10),'Bundle Tag Info'!E$30),"")</f>
        <v/>
      </c>
      <c r="F25" s="25" t="str">
        <f>IF('Bundle Tag Info'!F$30&lt;&gt;"",CONCATENATE('Bundle Tag Info'!$A$1," ",CHAR(10),'Bundle Tag Info'!$A$2," ",'Bundle Tag Info'!$A$3,CHAR(10),'Bundle Tag Info'!F$6,CHAR(10),'Bundle Tag Info'!F$30),"")</f>
        <v/>
      </c>
      <c r="G25" s="25" t="str">
        <f>IF('Bundle Tag Info'!G$30&lt;&gt;"",CONCATENATE('Bundle Tag Info'!$A$1," ",CHAR(10),'Bundle Tag Info'!$A$2," ",'Bundle Tag Info'!$A$3,CHAR(10),'Bundle Tag Info'!G$6,CHAR(10),'Bundle Tag Info'!G$30),"")</f>
        <v/>
      </c>
      <c r="H25" s="25" t="str">
        <f>IF('Bundle Tag Info'!H$30&lt;&gt;"",CONCATENATE('Bundle Tag Info'!$A$1," ",CHAR(10),'Bundle Tag Info'!$A$2," ",'Bundle Tag Info'!$A$3,CHAR(10),'Bundle Tag Info'!H$6,CHAR(10),'Bundle Tag Info'!H$30),"")</f>
        <v/>
      </c>
      <c r="I25" s="25" t="str">
        <f>IF('Bundle Tag Info'!I$30&lt;&gt;"",CONCATENATE('Bundle Tag Info'!$A$1," ",CHAR(10),'Bundle Tag Info'!$A$2," ",'Bundle Tag Info'!$A$3,CHAR(10),'Bundle Tag Info'!I$6,CHAR(10),'Bundle Tag Info'!I$30),"")</f>
        <v/>
      </c>
      <c r="J25" s="25" t="str">
        <f>IF('Bundle Tag Info'!J$30&lt;&gt;"",CONCATENATE('Bundle Tag Info'!$A$1," ",CHAR(10),'Bundle Tag Info'!$A$2," ",'Bundle Tag Info'!$A$3,CHAR(10),'Bundle Tag Info'!J$6,CHAR(10),'Bundle Tag Info'!J$30),"")</f>
        <v/>
      </c>
      <c r="K25" s="25" t="str">
        <f>IF('Bundle Tag Info'!K$30&lt;&gt;"",CONCATENATE('Bundle Tag Info'!$A$1," ",CHAR(10),'Bundle Tag Info'!$A$2," ",'Bundle Tag Info'!$A$3,CHAR(10),'Bundle Tag Info'!K$6,CHAR(10),'Bundle Tag Info'!K$30),"")</f>
        <v/>
      </c>
      <c r="L25" s="25" t="str">
        <f>IF('Bundle Tag Info'!L$30&lt;&gt;"",CONCATENATE('Bundle Tag Info'!$A$1," ",CHAR(10),'Bundle Tag Info'!$A$2," ",'Bundle Tag Info'!$A$3,CHAR(10),'Bundle Tag Info'!L$6,CHAR(10),'Bundle Tag Info'!L$30),"")</f>
        <v/>
      </c>
      <c r="M25" s="25" t="str">
        <f>IF('Bundle Tag Info'!M$30&lt;&gt;"",CONCATENATE('Bundle Tag Info'!$A$1," ",CHAR(10),'Bundle Tag Info'!$A$2," ",'Bundle Tag Info'!$A$3,CHAR(10),'Bundle Tag Info'!M$6,CHAR(10),'Bundle Tag Info'!M$30),"")</f>
        <v/>
      </c>
      <c r="N25" s="25" t="str">
        <f>IF('Bundle Tag Info'!N$30&lt;&gt;"",CONCATENATE('Bundle Tag Info'!$A$1," ",CHAR(10),'Bundle Tag Info'!$A$2," ",'Bundle Tag Info'!$A$3,CHAR(10),'Bundle Tag Info'!N$6,CHAR(10),'Bundle Tag Info'!N$30),"")</f>
        <v/>
      </c>
      <c r="O25" s="25" t="str">
        <f>IF('Bundle Tag Info'!O$30&lt;&gt;"",CONCATENATE('Bundle Tag Info'!$A$1," ",CHAR(10),'Bundle Tag Info'!$A$2," ",'Bundle Tag Info'!$A$3,CHAR(10),'Bundle Tag Info'!O$6,CHAR(10),'Bundle Tag Info'!O$30),"")</f>
        <v/>
      </c>
      <c r="P25" s="25" t="str">
        <f>IF('Bundle Tag Info'!P$30&lt;&gt;"",CONCATENATE('Bundle Tag Info'!$A$1," ",CHAR(10),'Bundle Tag Info'!$A$2," ",'Bundle Tag Info'!$A$3,CHAR(10),'Bundle Tag Info'!P$6,CHAR(10),'Bundle Tag Info'!P$30),"")</f>
        <v/>
      </c>
      <c r="Q25" s="25" t="str">
        <f>IF('Bundle Tag Info'!Q$30&lt;&gt;"",CONCATENATE('Bundle Tag Info'!$A$1," ",CHAR(10),'Bundle Tag Info'!$A$2," ",'Bundle Tag Info'!$A$3,CHAR(10),'Bundle Tag Info'!Q$6,CHAR(10),'Bundle Tag Info'!Q$30),"")</f>
        <v/>
      </c>
      <c r="R25" s="25" t="str">
        <f>IF('Bundle Tag Info'!R$30&lt;&gt;"",CONCATENATE('Bundle Tag Info'!$A$1," ",CHAR(10),'Bundle Tag Info'!$A$2," ",'Bundle Tag Info'!$A$3,CHAR(10),'Bundle Tag Info'!R$6,CHAR(10),'Bundle Tag Info'!R$30),"")</f>
        <v/>
      </c>
      <c r="S25" s="25" t="str">
        <f>IF('Bundle Tag Info'!S$30&lt;&gt;"",CONCATENATE('Bundle Tag Info'!$A$1," ",CHAR(10),'Bundle Tag Info'!$A$2," ",'Bundle Tag Info'!$A$3,CHAR(10),'Bundle Tag Info'!S$6,CHAR(10),'Bundle Tag Info'!S$30),"")</f>
        <v/>
      </c>
      <c r="T25" s="25" t="str">
        <f>IF('Bundle Tag Info'!T$30&lt;&gt;"",CONCATENATE('Bundle Tag Info'!$A$1," ",CHAR(10),'Bundle Tag Info'!$A$2," ",'Bundle Tag Info'!$A$3,CHAR(10),'Bundle Tag Info'!T$6,CHAR(10),'Bundle Tag Info'!T$30),"")</f>
        <v/>
      </c>
      <c r="U25" s="25" t="str">
        <f>IF('Bundle Tag Info'!U$30&lt;&gt;"",CONCATENATE('Bundle Tag Info'!$A$1," ",CHAR(10),'Bundle Tag Info'!$A$2," ",'Bundle Tag Info'!$A$3,CHAR(10),'Bundle Tag Info'!U$6,CHAR(10),'Bundle Tag Info'!U$30),"")</f>
        <v/>
      </c>
      <c r="V25" s="25" t="str">
        <f>IF('Bundle Tag Info'!V$30&lt;&gt;"",CONCATENATE('Bundle Tag Info'!$A$1," ",CHAR(10),'Bundle Tag Info'!$A$2," ",'Bundle Tag Info'!$A$3,CHAR(10),'Bundle Tag Info'!V$6,CHAR(10),'Bundle Tag Info'!V$30),"")</f>
        <v/>
      </c>
      <c r="W25" s="25" t="str">
        <f>IF('Bundle Tag Info'!W$30&lt;&gt;"",CONCATENATE('Bundle Tag Info'!$A$1," ",CHAR(10),'Bundle Tag Info'!$A$2," ",'Bundle Tag Info'!$A$3,CHAR(10),'Bundle Tag Info'!W$6,CHAR(10),'Bundle Tag Info'!W$30),"")</f>
        <v/>
      </c>
      <c r="X25" s="25" t="str">
        <f>IF('Bundle Tag Info'!X$30&lt;&gt;"",CONCATENATE('Bundle Tag Info'!$A$1," ",CHAR(10),'Bundle Tag Info'!$A$2," ",'Bundle Tag Info'!$A$3,CHAR(10),'Bundle Tag Info'!X$6,CHAR(10),'Bundle Tag Info'!X$30),"")</f>
        <v/>
      </c>
      <c r="Y25" s="25" t="str">
        <f>IF('Bundle Tag Info'!Y$30&lt;&gt;"",CONCATENATE('Bundle Tag Info'!$A$1," ",CHAR(10),'Bundle Tag Info'!$A$2," ",'Bundle Tag Info'!$A$3,CHAR(10),'Bundle Tag Info'!Y$6,CHAR(10),'Bundle Tag Info'!Y$30),"")</f>
        <v/>
      </c>
      <c r="Z25" s="25" t="str">
        <f>IF('Bundle Tag Info'!Z$30&lt;&gt;"",CONCATENATE('Bundle Tag Info'!$A$1," ",CHAR(10),'Bundle Tag Info'!$A$2," ",'Bundle Tag Info'!$A$3,CHAR(10),'Bundle Tag Info'!Z$6,CHAR(10),'Bundle Tag Info'!Z$30),"")</f>
        <v/>
      </c>
      <c r="AA25" s="25" t="str">
        <f>IF('Bundle Tag Info'!AA$30&lt;&gt;"",CONCATENATE('Bundle Tag Info'!$A$1," ",CHAR(10),'Bundle Tag Info'!$A$2," ",'Bundle Tag Info'!$A$3,CHAR(10),'Bundle Tag Info'!AA$6,CHAR(10),'Bundle Tag Info'!AA$30),"")</f>
        <v/>
      </c>
      <c r="AB25" s="25" t="str">
        <f>IF('Bundle Tag Info'!AB$30&lt;&gt;"",CONCATENATE('Bundle Tag Info'!$A$1," ",CHAR(10),'Bundle Tag Info'!$A$2," ",'Bundle Tag Info'!$A$3,CHAR(10),'Bundle Tag Info'!AB$6,CHAR(10),'Bundle Tag Info'!AB$30),"")</f>
        <v/>
      </c>
      <c r="AC25" s="25" t="str">
        <f>IF('Bundle Tag Info'!AC$30&lt;&gt;"",CONCATENATE('Bundle Tag Info'!$A$1," ",CHAR(10),'Bundle Tag Info'!$A$2," ",'Bundle Tag Info'!$A$3,CHAR(10),'Bundle Tag Info'!AC$6,CHAR(10),'Bundle Tag Info'!AC$30),"")</f>
        <v/>
      </c>
      <c r="AD25" s="25" t="str">
        <f>IF('Bundle Tag Info'!AD$30&lt;&gt;"",CONCATENATE('Bundle Tag Info'!$A$1," ",CHAR(10),'Bundle Tag Info'!$A$2," ",'Bundle Tag Info'!$A$3,CHAR(10),'Bundle Tag Info'!AD$6,CHAR(10),'Bundle Tag Info'!AD$30),"")</f>
        <v/>
      </c>
    </row>
    <row r="26" spans="1:30" ht="63.95" customHeight="1" x14ac:dyDescent="0.25">
      <c r="A26" s="25" t="str">
        <f>IF('Bundle Tag Info'!A$31&lt;&gt;"",CONCATENATE('Bundle Tag Info'!$A$1," ",CHAR(10),'Bundle Tag Info'!$A$2," ",'Bundle Tag Info'!$A$3,CHAR(10),'Bundle Tag Info'!A$6,CHAR(10),'Bundle Tag Info'!A$31),"")</f>
        <v/>
      </c>
      <c r="B26" s="25" t="str">
        <f>IF('Bundle Tag Info'!B$31&lt;&gt;"",CONCATENATE('Bundle Tag Info'!$A$1," ",CHAR(10),'Bundle Tag Info'!$A$2," ",'Bundle Tag Info'!$A$3,CHAR(10),'Bundle Tag Info'!B$6,CHAR(10),'Bundle Tag Info'!B$31),"")</f>
        <v/>
      </c>
      <c r="C26" s="25" t="str">
        <f>IF('Bundle Tag Info'!C$31&lt;&gt;"",CONCATENATE('Bundle Tag Info'!$A$1," ",CHAR(10),'Bundle Tag Info'!$A$2," ",'Bundle Tag Info'!$A$3,CHAR(10),'Bundle Tag Info'!C$6,CHAR(10),'Bundle Tag Info'!C$31),"")</f>
        <v/>
      </c>
      <c r="D26" s="25" t="str">
        <f>IF('Bundle Tag Info'!D$31&lt;&gt;"",CONCATENATE('Bundle Tag Info'!$A$1," ",CHAR(10),'Bundle Tag Info'!$A$2," ",'Bundle Tag Info'!$A$3,CHAR(10),'Bundle Tag Info'!D$6,CHAR(10),'Bundle Tag Info'!D$31),"")</f>
        <v/>
      </c>
      <c r="E26" s="25" t="str">
        <f>IF('Bundle Tag Info'!E$31&lt;&gt;"",CONCATENATE('Bundle Tag Info'!$A$1," ",CHAR(10),'Bundle Tag Info'!$A$2," ",'Bundle Tag Info'!$A$3,CHAR(10),'Bundle Tag Info'!E$6,CHAR(10),'Bundle Tag Info'!E$31),"")</f>
        <v/>
      </c>
      <c r="F26" s="25" t="str">
        <f>IF('Bundle Tag Info'!F$31&lt;&gt;"",CONCATENATE('Bundle Tag Info'!$A$1," ",CHAR(10),'Bundle Tag Info'!$A$2," ",'Bundle Tag Info'!$A$3,CHAR(10),'Bundle Tag Info'!F$6,CHAR(10),'Bundle Tag Info'!F$31),"")</f>
        <v/>
      </c>
      <c r="G26" s="25" t="str">
        <f>IF('Bundle Tag Info'!G$31&lt;&gt;"",CONCATENATE('Bundle Tag Info'!$A$1," ",CHAR(10),'Bundle Tag Info'!$A$2," ",'Bundle Tag Info'!$A$3,CHAR(10),'Bundle Tag Info'!G$6,CHAR(10),'Bundle Tag Info'!G$31),"")</f>
        <v/>
      </c>
      <c r="H26" s="25" t="str">
        <f>IF('Bundle Tag Info'!H$31&lt;&gt;"",CONCATENATE('Bundle Tag Info'!$A$1," ",CHAR(10),'Bundle Tag Info'!$A$2," ",'Bundle Tag Info'!$A$3,CHAR(10),'Bundle Tag Info'!H$6,CHAR(10),'Bundle Tag Info'!H$31),"")</f>
        <v/>
      </c>
      <c r="I26" s="25" t="str">
        <f>IF('Bundle Tag Info'!I$31&lt;&gt;"",CONCATENATE('Bundle Tag Info'!$A$1," ",CHAR(10),'Bundle Tag Info'!$A$2," ",'Bundle Tag Info'!$A$3,CHAR(10),'Bundle Tag Info'!I$6,CHAR(10),'Bundle Tag Info'!I$31),"")</f>
        <v/>
      </c>
      <c r="J26" s="25" t="str">
        <f>IF('Bundle Tag Info'!J$31&lt;&gt;"",CONCATENATE('Bundle Tag Info'!$A$1," ",CHAR(10),'Bundle Tag Info'!$A$2," ",'Bundle Tag Info'!$A$3,CHAR(10),'Bundle Tag Info'!J$6,CHAR(10),'Bundle Tag Info'!J$31),"")</f>
        <v/>
      </c>
      <c r="K26" s="25" t="str">
        <f>IF('Bundle Tag Info'!K$31&lt;&gt;"",CONCATENATE('Bundle Tag Info'!$A$1," ",CHAR(10),'Bundle Tag Info'!$A$2," ",'Bundle Tag Info'!$A$3,CHAR(10),'Bundle Tag Info'!K$6,CHAR(10),'Bundle Tag Info'!K$31),"")</f>
        <v/>
      </c>
      <c r="L26" s="25" t="str">
        <f>IF('Bundle Tag Info'!L$31&lt;&gt;"",CONCATENATE('Bundle Tag Info'!$A$1," ",CHAR(10),'Bundle Tag Info'!$A$2," ",'Bundle Tag Info'!$A$3,CHAR(10),'Bundle Tag Info'!L$6,CHAR(10),'Bundle Tag Info'!L$31),"")</f>
        <v/>
      </c>
      <c r="M26" s="25" t="str">
        <f>IF('Bundle Tag Info'!M$31&lt;&gt;"",CONCATENATE('Bundle Tag Info'!$A$1," ",CHAR(10),'Bundle Tag Info'!$A$2," ",'Bundle Tag Info'!$A$3,CHAR(10),'Bundle Tag Info'!M$6,CHAR(10),'Bundle Tag Info'!M$31),"")</f>
        <v/>
      </c>
      <c r="N26" s="25" t="str">
        <f>IF('Bundle Tag Info'!N$31&lt;&gt;"",CONCATENATE('Bundle Tag Info'!$A$1," ",CHAR(10),'Bundle Tag Info'!$A$2," ",'Bundle Tag Info'!$A$3,CHAR(10),'Bundle Tag Info'!N$6,CHAR(10),'Bundle Tag Info'!N$31),"")</f>
        <v/>
      </c>
      <c r="O26" s="25" t="str">
        <f>IF('Bundle Tag Info'!O$31&lt;&gt;"",CONCATENATE('Bundle Tag Info'!$A$1," ",CHAR(10),'Bundle Tag Info'!$A$2," ",'Bundle Tag Info'!$A$3,CHAR(10),'Bundle Tag Info'!O$6,CHAR(10),'Bundle Tag Info'!O$31),"")</f>
        <v/>
      </c>
      <c r="P26" s="25" t="str">
        <f>IF('Bundle Tag Info'!P$31&lt;&gt;"",CONCATENATE('Bundle Tag Info'!$A$1," ",CHAR(10),'Bundle Tag Info'!$A$2," ",'Bundle Tag Info'!$A$3,CHAR(10),'Bundle Tag Info'!P$6,CHAR(10),'Bundle Tag Info'!P$31),"")</f>
        <v/>
      </c>
      <c r="Q26" s="25" t="str">
        <f>IF('Bundle Tag Info'!Q$31&lt;&gt;"",CONCATENATE('Bundle Tag Info'!$A$1," ",CHAR(10),'Bundle Tag Info'!$A$2," ",'Bundle Tag Info'!$A$3,CHAR(10),'Bundle Tag Info'!Q$6,CHAR(10),'Bundle Tag Info'!Q$31),"")</f>
        <v/>
      </c>
      <c r="R26" s="25" t="str">
        <f>IF('Bundle Tag Info'!R$31&lt;&gt;"",CONCATENATE('Bundle Tag Info'!$A$1," ",CHAR(10),'Bundle Tag Info'!$A$2," ",'Bundle Tag Info'!$A$3,CHAR(10),'Bundle Tag Info'!R$6,CHAR(10),'Bundle Tag Info'!R$31),"")</f>
        <v/>
      </c>
      <c r="S26" s="25" t="str">
        <f>IF('Bundle Tag Info'!S$31&lt;&gt;"",CONCATENATE('Bundle Tag Info'!$A$1," ",CHAR(10),'Bundle Tag Info'!$A$2," ",'Bundle Tag Info'!$A$3,CHAR(10),'Bundle Tag Info'!S$6,CHAR(10),'Bundle Tag Info'!S$31),"")</f>
        <v/>
      </c>
      <c r="T26" s="25" t="str">
        <f>IF('Bundle Tag Info'!T$31&lt;&gt;"",CONCATENATE('Bundle Tag Info'!$A$1," ",CHAR(10),'Bundle Tag Info'!$A$2," ",'Bundle Tag Info'!$A$3,CHAR(10),'Bundle Tag Info'!T$6,CHAR(10),'Bundle Tag Info'!T$31),"")</f>
        <v/>
      </c>
      <c r="U26" s="25" t="str">
        <f>IF('Bundle Tag Info'!U$31&lt;&gt;"",CONCATENATE('Bundle Tag Info'!$A$1," ",CHAR(10),'Bundle Tag Info'!$A$2," ",'Bundle Tag Info'!$A$3,CHAR(10),'Bundle Tag Info'!U$6,CHAR(10),'Bundle Tag Info'!U$31),"")</f>
        <v/>
      </c>
      <c r="V26" s="25" t="str">
        <f>IF('Bundle Tag Info'!V$31&lt;&gt;"",CONCATENATE('Bundle Tag Info'!$A$1," ",CHAR(10),'Bundle Tag Info'!$A$2," ",'Bundle Tag Info'!$A$3,CHAR(10),'Bundle Tag Info'!V$6,CHAR(10),'Bundle Tag Info'!V$31),"")</f>
        <v/>
      </c>
      <c r="W26" s="25" t="str">
        <f>IF('Bundle Tag Info'!W$31&lt;&gt;"",CONCATENATE('Bundle Tag Info'!$A$1," ",CHAR(10),'Bundle Tag Info'!$A$2," ",'Bundle Tag Info'!$A$3,CHAR(10),'Bundle Tag Info'!W$6,CHAR(10),'Bundle Tag Info'!W$31),"")</f>
        <v/>
      </c>
      <c r="X26" s="25" t="str">
        <f>IF('Bundle Tag Info'!X$31&lt;&gt;"",CONCATENATE('Bundle Tag Info'!$A$1," ",CHAR(10),'Bundle Tag Info'!$A$2," ",'Bundle Tag Info'!$A$3,CHAR(10),'Bundle Tag Info'!X$6,CHAR(10),'Bundle Tag Info'!X$31),"")</f>
        <v/>
      </c>
      <c r="Y26" s="25" t="str">
        <f>IF('Bundle Tag Info'!Y$31&lt;&gt;"",CONCATENATE('Bundle Tag Info'!$A$1," ",CHAR(10),'Bundle Tag Info'!$A$2," ",'Bundle Tag Info'!$A$3,CHAR(10),'Bundle Tag Info'!Y$6,CHAR(10),'Bundle Tag Info'!Y$31),"")</f>
        <v/>
      </c>
      <c r="Z26" s="25" t="str">
        <f>IF('Bundle Tag Info'!Z$31&lt;&gt;"",CONCATENATE('Bundle Tag Info'!$A$1," ",CHAR(10),'Bundle Tag Info'!$A$2," ",'Bundle Tag Info'!$A$3,CHAR(10),'Bundle Tag Info'!Z$6,CHAR(10),'Bundle Tag Info'!Z$31),"")</f>
        <v/>
      </c>
      <c r="AA26" s="25" t="str">
        <f>IF('Bundle Tag Info'!AA$31&lt;&gt;"",CONCATENATE('Bundle Tag Info'!$A$1," ",CHAR(10),'Bundle Tag Info'!$A$2," ",'Bundle Tag Info'!$A$3,CHAR(10),'Bundle Tag Info'!AA$6,CHAR(10),'Bundle Tag Info'!AA$31),"")</f>
        <v/>
      </c>
      <c r="AB26" s="25" t="str">
        <f>IF('Bundle Tag Info'!AB$31&lt;&gt;"",CONCATENATE('Bundle Tag Info'!$A$1," ",CHAR(10),'Bundle Tag Info'!$A$2," ",'Bundle Tag Info'!$A$3,CHAR(10),'Bundle Tag Info'!AB$6,CHAR(10),'Bundle Tag Info'!AB$31),"")</f>
        <v/>
      </c>
      <c r="AC26" s="25" t="str">
        <f>IF('Bundle Tag Info'!AC$31&lt;&gt;"",CONCATENATE('Bundle Tag Info'!$A$1," ",CHAR(10),'Bundle Tag Info'!$A$2," ",'Bundle Tag Info'!$A$3,CHAR(10),'Bundle Tag Info'!AC$6,CHAR(10),'Bundle Tag Info'!AC$31),"")</f>
        <v/>
      </c>
      <c r="AD26" s="25" t="str">
        <f>IF('Bundle Tag Info'!AD$31&lt;&gt;"",CONCATENATE('Bundle Tag Info'!$A$1," ",CHAR(10),'Bundle Tag Info'!$A$2," ",'Bundle Tag Info'!$A$3,CHAR(10),'Bundle Tag Info'!AD$6,CHAR(10),'Bundle Tag Info'!AD$31),"")</f>
        <v/>
      </c>
    </row>
    <row r="27" spans="1:30" ht="63.95" customHeight="1" x14ac:dyDescent="0.25">
      <c r="A27" s="25" t="str">
        <f>IF('Bundle Tag Info'!A$32&lt;&gt;"",CONCATENATE('Bundle Tag Info'!$A$1," ",CHAR(10),'Bundle Tag Info'!$A$2," ",'Bundle Tag Info'!$A$3,CHAR(10),'Bundle Tag Info'!A$6,CHAR(10),'Bundle Tag Info'!A$32),"")</f>
        <v/>
      </c>
      <c r="B27" s="25" t="str">
        <f>IF('Bundle Tag Info'!B$32&lt;&gt;"",CONCATENATE('Bundle Tag Info'!$A$1," ",CHAR(10),'Bundle Tag Info'!$A$2," ",'Bundle Tag Info'!$A$3,CHAR(10),'Bundle Tag Info'!B$6,CHAR(10),'Bundle Tag Info'!B$32),"")</f>
        <v/>
      </c>
      <c r="C27" s="25" t="str">
        <f>IF('Bundle Tag Info'!C$32&lt;&gt;"",CONCATENATE('Bundle Tag Info'!$A$1," ",CHAR(10),'Bundle Tag Info'!$A$2," ",'Bundle Tag Info'!$A$3,CHAR(10),'Bundle Tag Info'!C$6,CHAR(10),'Bundle Tag Info'!C$32),"")</f>
        <v/>
      </c>
      <c r="D27" s="25" t="str">
        <f>IF('Bundle Tag Info'!D$32&lt;&gt;"",CONCATENATE('Bundle Tag Info'!$A$1," ",CHAR(10),'Bundle Tag Info'!$A$2," ",'Bundle Tag Info'!$A$3,CHAR(10),'Bundle Tag Info'!D$6,CHAR(10),'Bundle Tag Info'!D$32),"")</f>
        <v/>
      </c>
      <c r="E27" s="25" t="str">
        <f>IF('Bundle Tag Info'!E$32&lt;&gt;"",CONCATENATE('Bundle Tag Info'!$A$1," ",CHAR(10),'Bundle Tag Info'!$A$2," ",'Bundle Tag Info'!$A$3,CHAR(10),'Bundle Tag Info'!E$6,CHAR(10),'Bundle Tag Info'!E$32),"")</f>
        <v/>
      </c>
      <c r="F27" s="25" t="str">
        <f>IF('Bundle Tag Info'!F$32&lt;&gt;"",CONCATENATE('Bundle Tag Info'!$A$1," ",CHAR(10),'Bundle Tag Info'!$A$2," ",'Bundle Tag Info'!$A$3,CHAR(10),'Bundle Tag Info'!F$6,CHAR(10),'Bundle Tag Info'!F$32),"")</f>
        <v/>
      </c>
      <c r="G27" s="25" t="str">
        <f>IF('Bundle Tag Info'!G$32&lt;&gt;"",CONCATENATE('Bundle Tag Info'!$A$1," ",CHAR(10),'Bundle Tag Info'!$A$2," ",'Bundle Tag Info'!$A$3,CHAR(10),'Bundle Tag Info'!G$6,CHAR(10),'Bundle Tag Info'!G$32),"")</f>
        <v/>
      </c>
      <c r="H27" s="25" t="str">
        <f>IF('Bundle Tag Info'!H$32&lt;&gt;"",CONCATENATE('Bundle Tag Info'!$A$1," ",CHAR(10),'Bundle Tag Info'!$A$2," ",'Bundle Tag Info'!$A$3,CHAR(10),'Bundle Tag Info'!H$6,CHAR(10),'Bundle Tag Info'!H$32),"")</f>
        <v/>
      </c>
      <c r="I27" s="25" t="str">
        <f>IF('Bundle Tag Info'!I$32&lt;&gt;"",CONCATENATE('Bundle Tag Info'!$A$1," ",CHAR(10),'Bundle Tag Info'!$A$2," ",'Bundle Tag Info'!$A$3,CHAR(10),'Bundle Tag Info'!I$6,CHAR(10),'Bundle Tag Info'!I$32),"")</f>
        <v/>
      </c>
      <c r="J27" s="25" t="str">
        <f>IF('Bundle Tag Info'!J$32&lt;&gt;"",CONCATENATE('Bundle Tag Info'!$A$1," ",CHAR(10),'Bundle Tag Info'!$A$2," ",'Bundle Tag Info'!$A$3,CHAR(10),'Bundle Tag Info'!J$6,CHAR(10),'Bundle Tag Info'!J$32),"")</f>
        <v/>
      </c>
      <c r="K27" s="25" t="str">
        <f>IF('Bundle Tag Info'!K$32&lt;&gt;"",CONCATENATE('Bundle Tag Info'!$A$1," ",CHAR(10),'Bundle Tag Info'!$A$2," ",'Bundle Tag Info'!$A$3,CHAR(10),'Bundle Tag Info'!K$6,CHAR(10),'Bundle Tag Info'!K$32),"")</f>
        <v/>
      </c>
      <c r="L27" s="25" t="str">
        <f>IF('Bundle Tag Info'!L$32&lt;&gt;"",CONCATENATE('Bundle Tag Info'!$A$1," ",CHAR(10),'Bundle Tag Info'!$A$2," ",'Bundle Tag Info'!$A$3,CHAR(10),'Bundle Tag Info'!L$6,CHAR(10),'Bundle Tag Info'!L$32),"")</f>
        <v/>
      </c>
      <c r="M27" s="25" t="str">
        <f>IF('Bundle Tag Info'!M$32&lt;&gt;"",CONCATENATE('Bundle Tag Info'!$A$1," ",CHAR(10),'Bundle Tag Info'!$A$2," ",'Bundle Tag Info'!$A$3,CHAR(10),'Bundle Tag Info'!M$6,CHAR(10),'Bundle Tag Info'!M$32),"")</f>
        <v/>
      </c>
      <c r="N27" s="25" t="str">
        <f>IF('Bundle Tag Info'!N$32&lt;&gt;"",CONCATENATE('Bundle Tag Info'!$A$1," ",CHAR(10),'Bundle Tag Info'!$A$2," ",'Bundle Tag Info'!$A$3,CHAR(10),'Bundle Tag Info'!N$6,CHAR(10),'Bundle Tag Info'!N$32),"")</f>
        <v/>
      </c>
      <c r="O27" s="25" t="str">
        <f>IF('Bundle Tag Info'!O$32&lt;&gt;"",CONCATENATE('Bundle Tag Info'!$A$1," ",CHAR(10),'Bundle Tag Info'!$A$2," ",'Bundle Tag Info'!$A$3,CHAR(10),'Bundle Tag Info'!O$6,CHAR(10),'Bundle Tag Info'!O$32),"")</f>
        <v/>
      </c>
      <c r="P27" s="25" t="str">
        <f>IF('Bundle Tag Info'!P$32&lt;&gt;"",CONCATENATE('Bundle Tag Info'!$A$1," ",CHAR(10),'Bundle Tag Info'!$A$2," ",'Bundle Tag Info'!$A$3,CHAR(10),'Bundle Tag Info'!P$6,CHAR(10),'Bundle Tag Info'!P$32),"")</f>
        <v/>
      </c>
      <c r="Q27" s="25" t="str">
        <f>IF('Bundle Tag Info'!Q$32&lt;&gt;"",CONCATENATE('Bundle Tag Info'!$A$1," ",CHAR(10),'Bundle Tag Info'!$A$2," ",'Bundle Tag Info'!$A$3,CHAR(10),'Bundle Tag Info'!Q$6,CHAR(10),'Bundle Tag Info'!Q$32),"")</f>
        <v/>
      </c>
      <c r="R27" s="25" t="str">
        <f>IF('Bundle Tag Info'!R$32&lt;&gt;"",CONCATENATE('Bundle Tag Info'!$A$1," ",CHAR(10),'Bundle Tag Info'!$A$2," ",'Bundle Tag Info'!$A$3,CHAR(10),'Bundle Tag Info'!R$6,CHAR(10),'Bundle Tag Info'!R$32),"")</f>
        <v/>
      </c>
      <c r="S27" s="25" t="str">
        <f>IF('Bundle Tag Info'!S$32&lt;&gt;"",CONCATENATE('Bundle Tag Info'!$A$1," ",CHAR(10),'Bundle Tag Info'!$A$2," ",'Bundle Tag Info'!$A$3,CHAR(10),'Bundle Tag Info'!S$6,CHAR(10),'Bundle Tag Info'!S$32),"")</f>
        <v/>
      </c>
      <c r="T27" s="25" t="str">
        <f>IF('Bundle Tag Info'!T$32&lt;&gt;"",CONCATENATE('Bundle Tag Info'!$A$1," ",CHAR(10),'Bundle Tag Info'!$A$2," ",'Bundle Tag Info'!$A$3,CHAR(10),'Bundle Tag Info'!T$6,CHAR(10),'Bundle Tag Info'!T$32),"")</f>
        <v/>
      </c>
      <c r="U27" s="25" t="str">
        <f>IF('Bundle Tag Info'!U$32&lt;&gt;"",CONCATENATE('Bundle Tag Info'!$A$1," ",CHAR(10),'Bundle Tag Info'!$A$2," ",'Bundle Tag Info'!$A$3,CHAR(10),'Bundle Tag Info'!U$6,CHAR(10),'Bundle Tag Info'!U$32),"")</f>
        <v/>
      </c>
      <c r="V27" s="25" t="str">
        <f>IF('Bundle Tag Info'!V$32&lt;&gt;"",CONCATENATE('Bundle Tag Info'!$A$1," ",CHAR(10),'Bundle Tag Info'!$A$2," ",'Bundle Tag Info'!$A$3,CHAR(10),'Bundle Tag Info'!V$6,CHAR(10),'Bundle Tag Info'!V$32),"")</f>
        <v/>
      </c>
      <c r="W27" s="25" t="str">
        <f>IF('Bundle Tag Info'!W$32&lt;&gt;"",CONCATENATE('Bundle Tag Info'!$A$1," ",CHAR(10),'Bundle Tag Info'!$A$2," ",'Bundle Tag Info'!$A$3,CHAR(10),'Bundle Tag Info'!W$6,CHAR(10),'Bundle Tag Info'!W$32),"")</f>
        <v/>
      </c>
      <c r="X27" s="25" t="str">
        <f>IF('Bundle Tag Info'!X$32&lt;&gt;"",CONCATENATE('Bundle Tag Info'!$A$1," ",CHAR(10),'Bundle Tag Info'!$A$2," ",'Bundle Tag Info'!$A$3,CHAR(10),'Bundle Tag Info'!X$6,CHAR(10),'Bundle Tag Info'!X$32),"")</f>
        <v/>
      </c>
      <c r="Y27" s="25" t="str">
        <f>IF('Bundle Tag Info'!Y$32&lt;&gt;"",CONCATENATE('Bundle Tag Info'!$A$1," ",CHAR(10),'Bundle Tag Info'!$A$2," ",'Bundle Tag Info'!$A$3,CHAR(10),'Bundle Tag Info'!Y$6,CHAR(10),'Bundle Tag Info'!Y$32),"")</f>
        <v/>
      </c>
      <c r="Z27" s="25" t="str">
        <f>IF('Bundle Tag Info'!Z$32&lt;&gt;"",CONCATENATE('Bundle Tag Info'!$A$1," ",CHAR(10),'Bundle Tag Info'!$A$2," ",'Bundle Tag Info'!$A$3,CHAR(10),'Bundle Tag Info'!Z$6,CHAR(10),'Bundle Tag Info'!Z$32),"")</f>
        <v/>
      </c>
      <c r="AA27" s="25" t="str">
        <f>IF('Bundle Tag Info'!AA$32&lt;&gt;"",CONCATENATE('Bundle Tag Info'!$A$1," ",CHAR(10),'Bundle Tag Info'!$A$2," ",'Bundle Tag Info'!$A$3,CHAR(10),'Bundle Tag Info'!AA$6,CHAR(10),'Bundle Tag Info'!AA$32),"")</f>
        <v/>
      </c>
      <c r="AB27" s="25" t="str">
        <f>IF('Bundle Tag Info'!AB$32&lt;&gt;"",CONCATENATE('Bundle Tag Info'!$A$1," ",CHAR(10),'Bundle Tag Info'!$A$2," ",'Bundle Tag Info'!$A$3,CHAR(10),'Bundle Tag Info'!AB$6,CHAR(10),'Bundle Tag Info'!AB$32),"")</f>
        <v/>
      </c>
      <c r="AC27" s="25" t="str">
        <f>IF('Bundle Tag Info'!AC$32&lt;&gt;"",CONCATENATE('Bundle Tag Info'!$A$1," ",CHAR(10),'Bundle Tag Info'!$A$2," ",'Bundle Tag Info'!$A$3,CHAR(10),'Bundle Tag Info'!AC$6,CHAR(10),'Bundle Tag Info'!AC$32),"")</f>
        <v/>
      </c>
      <c r="AD27" s="25" t="str">
        <f>IF('Bundle Tag Info'!AD$32&lt;&gt;"",CONCATENATE('Bundle Tag Info'!$A$1," ",CHAR(10),'Bundle Tag Info'!$A$2," ",'Bundle Tag Info'!$A$3,CHAR(10),'Bundle Tag Info'!AD$6,CHAR(10),'Bundle Tag Info'!AD$32),"")</f>
        <v/>
      </c>
    </row>
    <row r="28" spans="1:30" ht="63.95" customHeight="1" x14ac:dyDescent="0.25">
      <c r="A28" s="25" t="str">
        <f>IF('Bundle Tag Info'!A$33&lt;&gt;"",CONCATENATE('Bundle Tag Info'!$A$1," ",CHAR(10),'Bundle Tag Info'!$A$2," ",'Bundle Tag Info'!$A$3,CHAR(10),'Bundle Tag Info'!A$6,CHAR(10),'Bundle Tag Info'!A$33),"")</f>
        <v/>
      </c>
      <c r="B28" s="25" t="str">
        <f>IF('Bundle Tag Info'!B$33&lt;&gt;"",CONCATENATE('Bundle Tag Info'!$A$1," ",CHAR(10),'Bundle Tag Info'!$A$2," ",'Bundle Tag Info'!$A$3,CHAR(10),'Bundle Tag Info'!B$6,CHAR(10),'Bundle Tag Info'!B$33),"")</f>
        <v/>
      </c>
      <c r="C28" s="25" t="str">
        <f>IF('Bundle Tag Info'!C$33&lt;&gt;"",CONCATENATE('Bundle Tag Info'!$A$1," ",CHAR(10),'Bundle Tag Info'!$A$2," ",'Bundle Tag Info'!$A$3,CHAR(10),'Bundle Tag Info'!C$6,CHAR(10),'Bundle Tag Info'!C$33),"")</f>
        <v/>
      </c>
      <c r="D28" s="25" t="str">
        <f>IF('Bundle Tag Info'!D$33&lt;&gt;"",CONCATENATE('Bundle Tag Info'!$A$1," ",CHAR(10),'Bundle Tag Info'!$A$2," ",'Bundle Tag Info'!$A$3,CHAR(10),'Bundle Tag Info'!D$6,CHAR(10),'Bundle Tag Info'!D$33),"")</f>
        <v/>
      </c>
      <c r="E28" s="25" t="str">
        <f>IF('Bundle Tag Info'!E$33&lt;&gt;"",CONCATENATE('Bundle Tag Info'!$A$1," ",CHAR(10),'Bundle Tag Info'!$A$2," ",'Bundle Tag Info'!$A$3,CHAR(10),'Bundle Tag Info'!E$6,CHAR(10),'Bundle Tag Info'!E$33),"")</f>
        <v/>
      </c>
      <c r="F28" s="25" t="str">
        <f>IF('Bundle Tag Info'!F$33&lt;&gt;"",CONCATENATE('Bundle Tag Info'!$A$1," ",CHAR(10),'Bundle Tag Info'!$A$2," ",'Bundle Tag Info'!$A$3,CHAR(10),'Bundle Tag Info'!F$6,CHAR(10),'Bundle Tag Info'!F$33),"")</f>
        <v/>
      </c>
      <c r="G28" s="25" t="str">
        <f>IF('Bundle Tag Info'!G$33&lt;&gt;"",CONCATENATE('Bundle Tag Info'!$A$1," ",CHAR(10),'Bundle Tag Info'!$A$2," ",'Bundle Tag Info'!$A$3,CHAR(10),'Bundle Tag Info'!G$6,CHAR(10),'Bundle Tag Info'!G$33),"")</f>
        <v/>
      </c>
      <c r="H28" s="25" t="str">
        <f>IF('Bundle Tag Info'!H$33&lt;&gt;"",CONCATENATE('Bundle Tag Info'!$A$1," ",CHAR(10),'Bundle Tag Info'!$A$2," ",'Bundle Tag Info'!$A$3,CHAR(10),'Bundle Tag Info'!H$6,CHAR(10),'Bundle Tag Info'!H$33),"")</f>
        <v/>
      </c>
      <c r="I28" s="25" t="str">
        <f>IF('Bundle Tag Info'!I$33&lt;&gt;"",CONCATENATE('Bundle Tag Info'!$A$1," ",CHAR(10),'Bundle Tag Info'!$A$2," ",'Bundle Tag Info'!$A$3,CHAR(10),'Bundle Tag Info'!I$6,CHAR(10),'Bundle Tag Info'!I$33),"")</f>
        <v/>
      </c>
      <c r="J28" s="25" t="str">
        <f>IF('Bundle Tag Info'!J$33&lt;&gt;"",CONCATENATE('Bundle Tag Info'!$A$1," ",CHAR(10),'Bundle Tag Info'!$A$2," ",'Bundle Tag Info'!$A$3,CHAR(10),'Bundle Tag Info'!J$6,CHAR(10),'Bundle Tag Info'!J$33),"")</f>
        <v/>
      </c>
      <c r="K28" s="25" t="str">
        <f>IF('Bundle Tag Info'!K$33&lt;&gt;"",CONCATENATE('Bundle Tag Info'!$A$1," ",CHAR(10),'Bundle Tag Info'!$A$2," ",'Bundle Tag Info'!$A$3,CHAR(10),'Bundle Tag Info'!K$6,CHAR(10),'Bundle Tag Info'!K$33),"")</f>
        <v/>
      </c>
      <c r="L28" s="25" t="str">
        <f>IF('Bundle Tag Info'!L$33&lt;&gt;"",CONCATENATE('Bundle Tag Info'!$A$1," ",CHAR(10),'Bundle Tag Info'!$A$2," ",'Bundle Tag Info'!$A$3,CHAR(10),'Bundle Tag Info'!L$6,CHAR(10),'Bundle Tag Info'!L$33),"")</f>
        <v/>
      </c>
      <c r="M28" s="25" t="str">
        <f>IF('Bundle Tag Info'!M$33&lt;&gt;"",CONCATENATE('Bundle Tag Info'!$A$1," ",CHAR(10),'Bundle Tag Info'!$A$2," ",'Bundle Tag Info'!$A$3,CHAR(10),'Bundle Tag Info'!M$6,CHAR(10),'Bundle Tag Info'!M$33),"")</f>
        <v/>
      </c>
      <c r="N28" s="25" t="str">
        <f>IF('Bundle Tag Info'!N$33&lt;&gt;"",CONCATENATE('Bundle Tag Info'!$A$1," ",CHAR(10),'Bundle Tag Info'!$A$2," ",'Bundle Tag Info'!$A$3,CHAR(10),'Bundle Tag Info'!N$6,CHAR(10),'Bundle Tag Info'!N$33),"")</f>
        <v/>
      </c>
      <c r="O28" s="25" t="str">
        <f>IF('Bundle Tag Info'!O$33&lt;&gt;"",CONCATENATE('Bundle Tag Info'!$A$1," ",CHAR(10),'Bundle Tag Info'!$A$2," ",'Bundle Tag Info'!$A$3,CHAR(10),'Bundle Tag Info'!O$6,CHAR(10),'Bundle Tag Info'!O$33),"")</f>
        <v/>
      </c>
      <c r="P28" s="25" t="str">
        <f>IF('Bundle Tag Info'!P$33&lt;&gt;"",CONCATENATE('Bundle Tag Info'!$A$1," ",CHAR(10),'Bundle Tag Info'!$A$2," ",'Bundle Tag Info'!$A$3,CHAR(10),'Bundle Tag Info'!P$6,CHAR(10),'Bundle Tag Info'!P$33),"")</f>
        <v/>
      </c>
      <c r="Q28" s="25" t="str">
        <f>IF('Bundle Tag Info'!Q$33&lt;&gt;"",CONCATENATE('Bundle Tag Info'!$A$1," ",CHAR(10),'Bundle Tag Info'!$A$2," ",'Bundle Tag Info'!$A$3,CHAR(10),'Bundle Tag Info'!Q$6,CHAR(10),'Bundle Tag Info'!Q$33),"")</f>
        <v/>
      </c>
      <c r="R28" s="25" t="str">
        <f>IF('Bundle Tag Info'!R$33&lt;&gt;"",CONCATENATE('Bundle Tag Info'!$A$1," ",CHAR(10),'Bundle Tag Info'!$A$2," ",'Bundle Tag Info'!$A$3,CHAR(10),'Bundle Tag Info'!R$6,CHAR(10),'Bundle Tag Info'!R$33),"")</f>
        <v/>
      </c>
      <c r="S28" s="25" t="str">
        <f>IF('Bundle Tag Info'!S$33&lt;&gt;"",CONCATENATE('Bundle Tag Info'!$A$1," ",CHAR(10),'Bundle Tag Info'!$A$2," ",'Bundle Tag Info'!$A$3,CHAR(10),'Bundle Tag Info'!S$6,CHAR(10),'Bundle Tag Info'!S$33),"")</f>
        <v/>
      </c>
      <c r="T28" s="25" t="str">
        <f>IF('Bundle Tag Info'!T$33&lt;&gt;"",CONCATENATE('Bundle Tag Info'!$A$1," ",CHAR(10),'Bundle Tag Info'!$A$2," ",'Bundle Tag Info'!$A$3,CHAR(10),'Bundle Tag Info'!T$6,CHAR(10),'Bundle Tag Info'!T$33),"")</f>
        <v/>
      </c>
      <c r="U28" s="25" t="str">
        <f>IF('Bundle Tag Info'!U$33&lt;&gt;"",CONCATENATE('Bundle Tag Info'!$A$1," ",CHAR(10),'Bundle Tag Info'!$A$2," ",'Bundle Tag Info'!$A$3,CHAR(10),'Bundle Tag Info'!U$6,CHAR(10),'Bundle Tag Info'!U$33),"")</f>
        <v/>
      </c>
      <c r="V28" s="25" t="str">
        <f>IF('Bundle Tag Info'!V$33&lt;&gt;"",CONCATENATE('Bundle Tag Info'!$A$1," ",CHAR(10),'Bundle Tag Info'!$A$2," ",'Bundle Tag Info'!$A$3,CHAR(10),'Bundle Tag Info'!V$6,CHAR(10),'Bundle Tag Info'!V$33),"")</f>
        <v/>
      </c>
      <c r="W28" s="25" t="str">
        <f>IF('Bundle Tag Info'!W$33&lt;&gt;"",CONCATENATE('Bundle Tag Info'!$A$1," ",CHAR(10),'Bundle Tag Info'!$A$2," ",'Bundle Tag Info'!$A$3,CHAR(10),'Bundle Tag Info'!W$6,CHAR(10),'Bundle Tag Info'!W$33),"")</f>
        <v/>
      </c>
      <c r="X28" s="25" t="str">
        <f>IF('Bundle Tag Info'!X$33&lt;&gt;"",CONCATENATE('Bundle Tag Info'!$A$1," ",CHAR(10),'Bundle Tag Info'!$A$2," ",'Bundle Tag Info'!$A$3,CHAR(10),'Bundle Tag Info'!X$6,CHAR(10),'Bundle Tag Info'!X$33),"")</f>
        <v/>
      </c>
      <c r="Y28" s="25" t="str">
        <f>IF('Bundle Tag Info'!Y$33&lt;&gt;"",CONCATENATE('Bundle Tag Info'!$A$1," ",CHAR(10),'Bundle Tag Info'!$A$2," ",'Bundle Tag Info'!$A$3,CHAR(10),'Bundle Tag Info'!Y$6,CHAR(10),'Bundle Tag Info'!Y$33),"")</f>
        <v/>
      </c>
      <c r="Z28" s="25" t="str">
        <f>IF('Bundle Tag Info'!Z$33&lt;&gt;"",CONCATENATE('Bundle Tag Info'!$A$1," ",CHAR(10),'Bundle Tag Info'!$A$2," ",'Bundle Tag Info'!$A$3,CHAR(10),'Bundle Tag Info'!Z$6,CHAR(10),'Bundle Tag Info'!Z$33),"")</f>
        <v/>
      </c>
      <c r="AA28" s="25" t="str">
        <f>IF('Bundle Tag Info'!AA$33&lt;&gt;"",CONCATENATE('Bundle Tag Info'!$A$1," ",CHAR(10),'Bundle Tag Info'!$A$2," ",'Bundle Tag Info'!$A$3,CHAR(10),'Bundle Tag Info'!AA$6,CHAR(10),'Bundle Tag Info'!AA$33),"")</f>
        <v/>
      </c>
      <c r="AB28" s="25" t="str">
        <f>IF('Bundle Tag Info'!AB$33&lt;&gt;"",CONCATENATE('Bundle Tag Info'!$A$1," ",CHAR(10),'Bundle Tag Info'!$A$2," ",'Bundle Tag Info'!$A$3,CHAR(10),'Bundle Tag Info'!AB$6,CHAR(10),'Bundle Tag Info'!AB$33),"")</f>
        <v/>
      </c>
      <c r="AC28" s="25" t="str">
        <f>IF('Bundle Tag Info'!AC$33&lt;&gt;"",CONCATENATE('Bundle Tag Info'!$A$1," ",CHAR(10),'Bundle Tag Info'!$A$2," ",'Bundle Tag Info'!$A$3,CHAR(10),'Bundle Tag Info'!AC$6,CHAR(10),'Bundle Tag Info'!AC$33),"")</f>
        <v/>
      </c>
      <c r="AD28" s="25" t="str">
        <f>IF('Bundle Tag Info'!AD$33&lt;&gt;"",CONCATENATE('Bundle Tag Info'!$A$1," ",CHAR(10),'Bundle Tag Info'!$A$2," ",'Bundle Tag Info'!$A$3,CHAR(10),'Bundle Tag Info'!AD$6,CHAR(10),'Bundle Tag Info'!AD$33),"")</f>
        <v/>
      </c>
    </row>
    <row r="29" spans="1:30" ht="63.95" customHeight="1" x14ac:dyDescent="0.25">
      <c r="A29" s="25" t="str">
        <f>IF('Bundle Tag Info'!A$34&lt;&gt;"",CONCATENATE('Bundle Tag Info'!$A$1," ",CHAR(10),'Bundle Tag Info'!$A$2," ",'Bundle Tag Info'!$A$3,CHAR(10),'Bundle Tag Info'!A$6,CHAR(10),'Bundle Tag Info'!A$34),"")</f>
        <v/>
      </c>
      <c r="B29" s="25" t="str">
        <f>IF('Bundle Tag Info'!B$34&lt;&gt;"",CONCATENATE('Bundle Tag Info'!$A$1," ",CHAR(10),'Bundle Tag Info'!$A$2," ",'Bundle Tag Info'!$A$3,CHAR(10),'Bundle Tag Info'!B$6,CHAR(10),'Bundle Tag Info'!B$34),"")</f>
        <v/>
      </c>
      <c r="C29" s="25" t="str">
        <f>IF('Bundle Tag Info'!C$34&lt;&gt;"",CONCATENATE('Bundle Tag Info'!$A$1," ",CHAR(10),'Bundle Tag Info'!$A$2," ",'Bundle Tag Info'!$A$3,CHAR(10),'Bundle Tag Info'!C$6,CHAR(10),'Bundle Tag Info'!C$34),"")</f>
        <v/>
      </c>
      <c r="D29" s="25" t="str">
        <f>IF('Bundle Tag Info'!D$34&lt;&gt;"",CONCATENATE('Bundle Tag Info'!$A$1," ",CHAR(10),'Bundle Tag Info'!$A$2," ",'Bundle Tag Info'!$A$3,CHAR(10),'Bundle Tag Info'!D$6,CHAR(10),'Bundle Tag Info'!D$34),"")</f>
        <v/>
      </c>
      <c r="E29" s="25" t="str">
        <f>IF('Bundle Tag Info'!E$34&lt;&gt;"",CONCATENATE('Bundle Tag Info'!$A$1," ",CHAR(10),'Bundle Tag Info'!$A$2," ",'Bundle Tag Info'!$A$3,CHAR(10),'Bundle Tag Info'!E$6,CHAR(10),'Bundle Tag Info'!E$34),"")</f>
        <v/>
      </c>
      <c r="F29" s="25" t="str">
        <f>IF('Bundle Tag Info'!F$34&lt;&gt;"",CONCATENATE('Bundle Tag Info'!$A$1," ",CHAR(10),'Bundle Tag Info'!$A$2," ",'Bundle Tag Info'!$A$3,CHAR(10),'Bundle Tag Info'!F$6,CHAR(10),'Bundle Tag Info'!F$34),"")</f>
        <v/>
      </c>
      <c r="G29" s="25" t="str">
        <f>IF('Bundle Tag Info'!G$34&lt;&gt;"",CONCATENATE('Bundle Tag Info'!$A$1," ",CHAR(10),'Bundle Tag Info'!$A$2," ",'Bundle Tag Info'!$A$3,CHAR(10),'Bundle Tag Info'!G$6,CHAR(10),'Bundle Tag Info'!G$34),"")</f>
        <v/>
      </c>
      <c r="H29" s="25" t="str">
        <f>IF('Bundle Tag Info'!H$34&lt;&gt;"",CONCATENATE('Bundle Tag Info'!$A$1," ",CHAR(10),'Bundle Tag Info'!$A$2," ",'Bundle Tag Info'!$A$3,CHAR(10),'Bundle Tag Info'!H$6,CHAR(10),'Bundle Tag Info'!H$34),"")</f>
        <v/>
      </c>
      <c r="I29" s="25" t="str">
        <f>IF('Bundle Tag Info'!I$34&lt;&gt;"",CONCATENATE('Bundle Tag Info'!$A$1," ",CHAR(10),'Bundle Tag Info'!$A$2," ",'Bundle Tag Info'!$A$3,CHAR(10),'Bundle Tag Info'!I$6,CHAR(10),'Bundle Tag Info'!I$34),"")</f>
        <v/>
      </c>
      <c r="J29" s="25" t="str">
        <f>IF('Bundle Tag Info'!J$34&lt;&gt;"",CONCATENATE('Bundle Tag Info'!$A$1," ",CHAR(10),'Bundle Tag Info'!$A$2," ",'Bundle Tag Info'!$A$3,CHAR(10),'Bundle Tag Info'!J$6,CHAR(10),'Bundle Tag Info'!J$34),"")</f>
        <v/>
      </c>
      <c r="K29" s="25" t="str">
        <f>IF('Bundle Tag Info'!K$34&lt;&gt;"",CONCATENATE('Bundle Tag Info'!$A$1," ",CHAR(10),'Bundle Tag Info'!$A$2," ",'Bundle Tag Info'!$A$3,CHAR(10),'Bundle Tag Info'!K$6,CHAR(10),'Bundle Tag Info'!K$34),"")</f>
        <v/>
      </c>
      <c r="L29" s="25" t="str">
        <f>IF('Bundle Tag Info'!L$34&lt;&gt;"",CONCATENATE('Bundle Tag Info'!$A$1," ",CHAR(10),'Bundle Tag Info'!$A$2," ",'Bundle Tag Info'!$A$3,CHAR(10),'Bundle Tag Info'!L$6,CHAR(10),'Bundle Tag Info'!L$34),"")</f>
        <v/>
      </c>
      <c r="M29" s="25" t="str">
        <f>IF('Bundle Tag Info'!M$34&lt;&gt;"",CONCATENATE('Bundle Tag Info'!$A$1," ",CHAR(10),'Bundle Tag Info'!$A$2," ",'Bundle Tag Info'!$A$3,CHAR(10),'Bundle Tag Info'!M$6,CHAR(10),'Bundle Tag Info'!M$34),"")</f>
        <v/>
      </c>
      <c r="N29" s="25" t="str">
        <f>IF('Bundle Tag Info'!N$34&lt;&gt;"",CONCATENATE('Bundle Tag Info'!$A$1," ",CHAR(10),'Bundle Tag Info'!$A$2," ",'Bundle Tag Info'!$A$3,CHAR(10),'Bundle Tag Info'!N$6,CHAR(10),'Bundle Tag Info'!N$34),"")</f>
        <v/>
      </c>
      <c r="O29" s="25" t="str">
        <f>IF('Bundle Tag Info'!O$34&lt;&gt;"",CONCATENATE('Bundle Tag Info'!$A$1," ",CHAR(10),'Bundle Tag Info'!$A$2," ",'Bundle Tag Info'!$A$3,CHAR(10),'Bundle Tag Info'!O$6,CHAR(10),'Bundle Tag Info'!O$34),"")</f>
        <v/>
      </c>
      <c r="P29" s="25" t="str">
        <f>IF('Bundle Tag Info'!P$34&lt;&gt;"",CONCATENATE('Bundle Tag Info'!$A$1," ",CHAR(10),'Bundle Tag Info'!$A$2," ",'Bundle Tag Info'!$A$3,CHAR(10),'Bundle Tag Info'!P$6,CHAR(10),'Bundle Tag Info'!P$34),"")</f>
        <v/>
      </c>
      <c r="Q29" s="25" t="str">
        <f>IF('Bundle Tag Info'!Q$34&lt;&gt;"",CONCATENATE('Bundle Tag Info'!$A$1," ",CHAR(10),'Bundle Tag Info'!$A$2," ",'Bundle Tag Info'!$A$3,CHAR(10),'Bundle Tag Info'!Q$6,CHAR(10),'Bundle Tag Info'!Q$34),"")</f>
        <v/>
      </c>
      <c r="R29" s="25" t="str">
        <f>IF('Bundle Tag Info'!R$34&lt;&gt;"",CONCATENATE('Bundle Tag Info'!$A$1," ",CHAR(10),'Bundle Tag Info'!$A$2," ",'Bundle Tag Info'!$A$3,CHAR(10),'Bundle Tag Info'!R$6,CHAR(10),'Bundle Tag Info'!R$34),"")</f>
        <v/>
      </c>
      <c r="S29" s="25" t="str">
        <f>IF('Bundle Tag Info'!S$34&lt;&gt;"",CONCATENATE('Bundle Tag Info'!$A$1," ",CHAR(10),'Bundle Tag Info'!$A$2," ",'Bundle Tag Info'!$A$3,CHAR(10),'Bundle Tag Info'!S$6,CHAR(10),'Bundle Tag Info'!S$34),"")</f>
        <v/>
      </c>
      <c r="T29" s="25" t="str">
        <f>IF('Bundle Tag Info'!T$34&lt;&gt;"",CONCATENATE('Bundle Tag Info'!$A$1," ",CHAR(10),'Bundle Tag Info'!$A$2," ",'Bundle Tag Info'!$A$3,CHAR(10),'Bundle Tag Info'!T$6,CHAR(10),'Bundle Tag Info'!T$34),"")</f>
        <v/>
      </c>
      <c r="U29" s="25" t="str">
        <f>IF('Bundle Tag Info'!U$34&lt;&gt;"",CONCATENATE('Bundle Tag Info'!$A$1," ",CHAR(10),'Bundle Tag Info'!$A$2," ",'Bundle Tag Info'!$A$3,CHAR(10),'Bundle Tag Info'!U$6,CHAR(10),'Bundle Tag Info'!U$34),"")</f>
        <v/>
      </c>
      <c r="V29" s="25" t="str">
        <f>IF('Bundle Tag Info'!V$34&lt;&gt;"",CONCATENATE('Bundle Tag Info'!$A$1," ",CHAR(10),'Bundle Tag Info'!$A$2," ",'Bundle Tag Info'!$A$3,CHAR(10),'Bundle Tag Info'!V$6,CHAR(10),'Bundle Tag Info'!V$34),"")</f>
        <v/>
      </c>
      <c r="W29" s="25" t="str">
        <f>IF('Bundle Tag Info'!W$34&lt;&gt;"",CONCATENATE('Bundle Tag Info'!$A$1," ",CHAR(10),'Bundle Tag Info'!$A$2," ",'Bundle Tag Info'!$A$3,CHAR(10),'Bundle Tag Info'!W$6,CHAR(10),'Bundle Tag Info'!W$34),"")</f>
        <v/>
      </c>
      <c r="X29" s="25" t="str">
        <f>IF('Bundle Tag Info'!X$34&lt;&gt;"",CONCATENATE('Bundle Tag Info'!$A$1," ",CHAR(10),'Bundle Tag Info'!$A$2," ",'Bundle Tag Info'!$A$3,CHAR(10),'Bundle Tag Info'!X$6,CHAR(10),'Bundle Tag Info'!X$34),"")</f>
        <v/>
      </c>
      <c r="Y29" s="25" t="str">
        <f>IF('Bundle Tag Info'!Y$34&lt;&gt;"",CONCATENATE('Bundle Tag Info'!$A$1," ",CHAR(10),'Bundle Tag Info'!$A$2," ",'Bundle Tag Info'!$A$3,CHAR(10),'Bundle Tag Info'!Y$6,CHAR(10),'Bundle Tag Info'!Y$34),"")</f>
        <v/>
      </c>
      <c r="Z29" s="25" t="str">
        <f>IF('Bundle Tag Info'!Z$34&lt;&gt;"",CONCATENATE('Bundle Tag Info'!$A$1," ",CHAR(10),'Bundle Tag Info'!$A$2," ",'Bundle Tag Info'!$A$3,CHAR(10),'Bundle Tag Info'!Z$6,CHAR(10),'Bundle Tag Info'!Z$34),"")</f>
        <v/>
      </c>
      <c r="AA29" s="25" t="str">
        <f>IF('Bundle Tag Info'!AA$34&lt;&gt;"",CONCATENATE('Bundle Tag Info'!$A$1," ",CHAR(10),'Bundle Tag Info'!$A$2," ",'Bundle Tag Info'!$A$3,CHAR(10),'Bundle Tag Info'!AA$6,CHAR(10),'Bundle Tag Info'!AA$34),"")</f>
        <v/>
      </c>
      <c r="AB29" s="25" t="str">
        <f>IF('Bundle Tag Info'!AB$34&lt;&gt;"",CONCATENATE('Bundle Tag Info'!$A$1," ",CHAR(10),'Bundle Tag Info'!$A$2," ",'Bundle Tag Info'!$A$3,CHAR(10),'Bundle Tag Info'!AB$6,CHAR(10),'Bundle Tag Info'!AB$34),"")</f>
        <v/>
      </c>
      <c r="AC29" s="25" t="str">
        <f>IF('Bundle Tag Info'!AC$34&lt;&gt;"",CONCATENATE('Bundle Tag Info'!$A$1," ",CHAR(10),'Bundle Tag Info'!$A$2," ",'Bundle Tag Info'!$A$3,CHAR(10),'Bundle Tag Info'!AC$6,CHAR(10),'Bundle Tag Info'!AC$34),"")</f>
        <v/>
      </c>
      <c r="AD29" s="25" t="str">
        <f>IF('Bundle Tag Info'!AD$34&lt;&gt;"",CONCATENATE('Bundle Tag Info'!$A$1," ",CHAR(10),'Bundle Tag Info'!$A$2," ",'Bundle Tag Info'!$A$3,CHAR(10),'Bundle Tag Info'!AD$6,CHAR(10),'Bundle Tag Info'!AD$34),"")</f>
        <v/>
      </c>
    </row>
    <row r="30" spans="1:30" ht="63.95" customHeight="1" x14ac:dyDescent="0.25">
      <c r="A30" s="25" t="str">
        <f>IF('Bundle Tag Info'!A$35&lt;&gt;"",CONCATENATE('Bundle Tag Info'!$A$1," ",CHAR(10),'Bundle Tag Info'!$A$2," ",'Bundle Tag Info'!$A$3,CHAR(10),'Bundle Tag Info'!A$6,CHAR(10),'Bundle Tag Info'!A$35),"")</f>
        <v/>
      </c>
      <c r="B30" s="25" t="str">
        <f>IF('Bundle Tag Info'!B$35&lt;&gt;"",CONCATENATE('Bundle Tag Info'!$A$1," ",CHAR(10),'Bundle Tag Info'!$A$2," ",'Bundle Tag Info'!$A$3,CHAR(10),'Bundle Tag Info'!B$6,CHAR(10),'Bundle Tag Info'!B$35),"")</f>
        <v/>
      </c>
      <c r="C30" s="25" t="str">
        <f>IF('Bundle Tag Info'!C$35&lt;&gt;"",CONCATENATE('Bundle Tag Info'!$A$1," ",CHAR(10),'Bundle Tag Info'!$A$2," ",'Bundle Tag Info'!$A$3,CHAR(10),'Bundle Tag Info'!C$6,CHAR(10),'Bundle Tag Info'!C$35),"")</f>
        <v/>
      </c>
      <c r="D30" s="25" t="str">
        <f>IF('Bundle Tag Info'!D$35&lt;&gt;"",CONCATENATE('Bundle Tag Info'!$A$1," ",CHAR(10),'Bundle Tag Info'!$A$2," ",'Bundle Tag Info'!$A$3,CHAR(10),'Bundle Tag Info'!D$6,CHAR(10),'Bundle Tag Info'!D$35),"")</f>
        <v/>
      </c>
      <c r="E30" s="25" t="str">
        <f>IF('Bundle Tag Info'!E$35&lt;&gt;"",CONCATENATE('Bundle Tag Info'!$A$1," ",CHAR(10),'Bundle Tag Info'!$A$2," ",'Bundle Tag Info'!$A$3,CHAR(10),'Bundle Tag Info'!E$6,CHAR(10),'Bundle Tag Info'!E$35),"")</f>
        <v/>
      </c>
      <c r="F30" s="25" t="str">
        <f>IF('Bundle Tag Info'!F$35&lt;&gt;"",CONCATENATE('Bundle Tag Info'!$A$1," ",CHAR(10),'Bundle Tag Info'!$A$2," ",'Bundle Tag Info'!$A$3,CHAR(10),'Bundle Tag Info'!F$6,CHAR(10),'Bundle Tag Info'!F$35),"")</f>
        <v/>
      </c>
      <c r="G30" s="25" t="str">
        <f>IF('Bundle Tag Info'!G$35&lt;&gt;"",CONCATENATE('Bundle Tag Info'!$A$1," ",CHAR(10),'Bundle Tag Info'!$A$2," ",'Bundle Tag Info'!$A$3,CHAR(10),'Bundle Tag Info'!G$6,CHAR(10),'Bundle Tag Info'!G$35),"")</f>
        <v/>
      </c>
      <c r="H30" s="25" t="str">
        <f>IF('Bundle Tag Info'!H$35&lt;&gt;"",CONCATENATE('Bundle Tag Info'!$A$1," ",CHAR(10),'Bundle Tag Info'!$A$2," ",'Bundle Tag Info'!$A$3,CHAR(10),'Bundle Tag Info'!H$6,CHAR(10),'Bundle Tag Info'!H$35),"")</f>
        <v/>
      </c>
      <c r="I30" s="25" t="str">
        <f>IF('Bundle Tag Info'!I$35&lt;&gt;"",CONCATENATE('Bundle Tag Info'!$A$1," ",CHAR(10),'Bundle Tag Info'!$A$2," ",'Bundle Tag Info'!$A$3,CHAR(10),'Bundle Tag Info'!I$6,CHAR(10),'Bundle Tag Info'!I$35),"")</f>
        <v/>
      </c>
      <c r="J30" s="25" t="str">
        <f>IF('Bundle Tag Info'!J$35&lt;&gt;"",CONCATENATE('Bundle Tag Info'!$A$1," ",CHAR(10),'Bundle Tag Info'!$A$2," ",'Bundle Tag Info'!$A$3,CHAR(10),'Bundle Tag Info'!J$6,CHAR(10),'Bundle Tag Info'!J$35),"")</f>
        <v/>
      </c>
      <c r="K30" s="25" t="str">
        <f>IF('Bundle Tag Info'!K$35&lt;&gt;"",CONCATENATE('Bundle Tag Info'!$A$1," ",CHAR(10),'Bundle Tag Info'!$A$2," ",'Bundle Tag Info'!$A$3,CHAR(10),'Bundle Tag Info'!K$6,CHAR(10),'Bundle Tag Info'!K$35),"")</f>
        <v/>
      </c>
      <c r="L30" s="25" t="str">
        <f>IF('Bundle Tag Info'!L$35&lt;&gt;"",CONCATENATE('Bundle Tag Info'!$A$1," ",CHAR(10),'Bundle Tag Info'!$A$2," ",'Bundle Tag Info'!$A$3,CHAR(10),'Bundle Tag Info'!L$6,CHAR(10),'Bundle Tag Info'!L$35),"")</f>
        <v/>
      </c>
      <c r="M30" s="25" t="str">
        <f>IF('Bundle Tag Info'!M$35&lt;&gt;"",CONCATENATE('Bundle Tag Info'!$A$1," ",CHAR(10),'Bundle Tag Info'!$A$2," ",'Bundle Tag Info'!$A$3,CHAR(10),'Bundle Tag Info'!M$6,CHAR(10),'Bundle Tag Info'!M$35),"")</f>
        <v/>
      </c>
      <c r="N30" s="25" t="str">
        <f>IF('Bundle Tag Info'!N$35&lt;&gt;"",CONCATENATE('Bundle Tag Info'!$A$1," ",CHAR(10),'Bundle Tag Info'!$A$2," ",'Bundle Tag Info'!$A$3,CHAR(10),'Bundle Tag Info'!N$6,CHAR(10),'Bundle Tag Info'!N$35),"")</f>
        <v/>
      </c>
      <c r="O30" s="25" t="str">
        <f>IF('Bundle Tag Info'!O$35&lt;&gt;"",CONCATENATE('Bundle Tag Info'!$A$1," ",CHAR(10),'Bundle Tag Info'!$A$2," ",'Bundle Tag Info'!$A$3,CHAR(10),'Bundle Tag Info'!O$6,CHAR(10),'Bundle Tag Info'!O$35),"")</f>
        <v/>
      </c>
      <c r="P30" s="25" t="str">
        <f>IF('Bundle Tag Info'!P$35&lt;&gt;"",CONCATENATE('Bundle Tag Info'!$A$1," ",CHAR(10),'Bundle Tag Info'!$A$2," ",'Bundle Tag Info'!$A$3,CHAR(10),'Bundle Tag Info'!P$6,CHAR(10),'Bundle Tag Info'!P$35),"")</f>
        <v/>
      </c>
      <c r="Q30" s="25" t="str">
        <f>IF('Bundle Tag Info'!Q$35&lt;&gt;"",CONCATENATE('Bundle Tag Info'!$A$1," ",CHAR(10),'Bundle Tag Info'!$A$2," ",'Bundle Tag Info'!$A$3,CHAR(10),'Bundle Tag Info'!Q$6,CHAR(10),'Bundle Tag Info'!Q$35),"")</f>
        <v/>
      </c>
      <c r="R30" s="25" t="str">
        <f>IF('Bundle Tag Info'!R$35&lt;&gt;"",CONCATENATE('Bundle Tag Info'!$A$1," ",CHAR(10),'Bundle Tag Info'!$A$2," ",'Bundle Tag Info'!$A$3,CHAR(10),'Bundle Tag Info'!R$6,CHAR(10),'Bundle Tag Info'!R$35),"")</f>
        <v/>
      </c>
      <c r="S30" s="25" t="str">
        <f>IF('Bundle Tag Info'!S$35&lt;&gt;"",CONCATENATE('Bundle Tag Info'!$A$1," ",CHAR(10),'Bundle Tag Info'!$A$2," ",'Bundle Tag Info'!$A$3,CHAR(10),'Bundle Tag Info'!S$6,CHAR(10),'Bundle Tag Info'!S$35),"")</f>
        <v/>
      </c>
      <c r="T30" s="25" t="str">
        <f>IF('Bundle Tag Info'!T$35&lt;&gt;"",CONCATENATE('Bundle Tag Info'!$A$1," ",CHAR(10),'Bundle Tag Info'!$A$2," ",'Bundle Tag Info'!$A$3,CHAR(10),'Bundle Tag Info'!T$6,CHAR(10),'Bundle Tag Info'!T$35),"")</f>
        <v/>
      </c>
      <c r="U30" s="25" t="str">
        <f>IF('Bundle Tag Info'!U$35&lt;&gt;"",CONCATENATE('Bundle Tag Info'!$A$1," ",CHAR(10),'Bundle Tag Info'!$A$2," ",'Bundle Tag Info'!$A$3,CHAR(10),'Bundle Tag Info'!U$6,CHAR(10),'Bundle Tag Info'!U$35),"")</f>
        <v/>
      </c>
      <c r="V30" s="25" t="str">
        <f>IF('Bundle Tag Info'!V$35&lt;&gt;"",CONCATENATE('Bundle Tag Info'!$A$1," ",CHAR(10),'Bundle Tag Info'!$A$2," ",'Bundle Tag Info'!$A$3,CHAR(10),'Bundle Tag Info'!V$6,CHAR(10),'Bundle Tag Info'!V$35),"")</f>
        <v/>
      </c>
      <c r="W30" s="25" t="str">
        <f>IF('Bundle Tag Info'!W$35&lt;&gt;"",CONCATENATE('Bundle Tag Info'!$A$1," ",CHAR(10),'Bundle Tag Info'!$A$2," ",'Bundle Tag Info'!$A$3,CHAR(10),'Bundle Tag Info'!W$6,CHAR(10),'Bundle Tag Info'!W$35),"")</f>
        <v/>
      </c>
      <c r="X30" s="25" t="str">
        <f>IF('Bundle Tag Info'!X$35&lt;&gt;"",CONCATENATE('Bundle Tag Info'!$A$1," ",CHAR(10),'Bundle Tag Info'!$A$2," ",'Bundle Tag Info'!$A$3,CHAR(10),'Bundle Tag Info'!X$6,CHAR(10),'Bundle Tag Info'!X$35),"")</f>
        <v/>
      </c>
      <c r="Y30" s="25" t="str">
        <f>IF('Bundle Tag Info'!Y$35&lt;&gt;"",CONCATENATE('Bundle Tag Info'!$A$1," ",CHAR(10),'Bundle Tag Info'!$A$2," ",'Bundle Tag Info'!$A$3,CHAR(10),'Bundle Tag Info'!Y$6,CHAR(10),'Bundle Tag Info'!Y$35),"")</f>
        <v/>
      </c>
      <c r="Z30" s="25" t="str">
        <f>IF('Bundle Tag Info'!Z$35&lt;&gt;"",CONCATENATE('Bundle Tag Info'!$A$1," ",CHAR(10),'Bundle Tag Info'!$A$2," ",'Bundle Tag Info'!$A$3,CHAR(10),'Bundle Tag Info'!Z$6,CHAR(10),'Bundle Tag Info'!Z$35),"")</f>
        <v/>
      </c>
      <c r="AA30" s="25" t="str">
        <f>IF('Bundle Tag Info'!AA$35&lt;&gt;"",CONCATENATE('Bundle Tag Info'!$A$1," ",CHAR(10),'Bundle Tag Info'!$A$2," ",'Bundle Tag Info'!$A$3,CHAR(10),'Bundle Tag Info'!AA$6,CHAR(10),'Bundle Tag Info'!AA$35),"")</f>
        <v/>
      </c>
      <c r="AB30" s="25" t="str">
        <f>IF('Bundle Tag Info'!AB$35&lt;&gt;"",CONCATENATE('Bundle Tag Info'!$A$1," ",CHAR(10),'Bundle Tag Info'!$A$2," ",'Bundle Tag Info'!$A$3,CHAR(10),'Bundle Tag Info'!AB$6,CHAR(10),'Bundle Tag Info'!AB$35),"")</f>
        <v/>
      </c>
      <c r="AC30" s="25" t="str">
        <f>IF('Bundle Tag Info'!AC$35&lt;&gt;"",CONCATENATE('Bundle Tag Info'!$A$1," ",CHAR(10),'Bundle Tag Info'!$A$2," ",'Bundle Tag Info'!$A$3,CHAR(10),'Bundle Tag Info'!AC$6,CHAR(10),'Bundle Tag Info'!AC$35),"")</f>
        <v/>
      </c>
      <c r="AD30" s="25" t="str">
        <f>IF('Bundle Tag Info'!AD$35&lt;&gt;"",CONCATENATE('Bundle Tag Info'!$A$1," ",CHAR(10),'Bundle Tag Info'!$A$2," ",'Bundle Tag Info'!$A$3,CHAR(10),'Bundle Tag Info'!AD$6,CHAR(10),'Bundle Tag Info'!AD$35),"")</f>
        <v/>
      </c>
    </row>
    <row r="31" spans="1:30" ht="63.95" customHeight="1" x14ac:dyDescent="0.25">
      <c r="A31" s="25" t="str">
        <f>IF('Bundle Tag Info'!A$36&lt;&gt;"",CONCATENATE('Bundle Tag Info'!$A$1," ",CHAR(10),'Bundle Tag Info'!$A$2," ",'Bundle Tag Info'!$A$3,CHAR(10),'Bundle Tag Info'!A$6,CHAR(10),'Bundle Tag Info'!A$36),"")</f>
        <v/>
      </c>
      <c r="B31" s="25" t="str">
        <f>IF('Bundle Tag Info'!B$36&lt;&gt;"",CONCATENATE('Bundle Tag Info'!$A$1," ",CHAR(10),'Bundle Tag Info'!$A$2," ",'Bundle Tag Info'!$A$3,CHAR(10),'Bundle Tag Info'!B$6,CHAR(10),'Bundle Tag Info'!B$36),"")</f>
        <v/>
      </c>
      <c r="C31" s="25" t="str">
        <f>IF('Bundle Tag Info'!C$36&lt;&gt;"",CONCATENATE('Bundle Tag Info'!$A$1," ",CHAR(10),'Bundle Tag Info'!$A$2," ",'Bundle Tag Info'!$A$3,CHAR(10),'Bundle Tag Info'!C$6,CHAR(10),'Bundle Tag Info'!C$36),"")</f>
        <v/>
      </c>
      <c r="D31" s="25" t="str">
        <f>IF('Bundle Tag Info'!D$36&lt;&gt;"",CONCATENATE('Bundle Tag Info'!$A$1," ",CHAR(10),'Bundle Tag Info'!$A$2," ",'Bundle Tag Info'!$A$3,CHAR(10),'Bundle Tag Info'!D$6,CHAR(10),'Bundle Tag Info'!D$36),"")</f>
        <v/>
      </c>
      <c r="E31" s="25" t="str">
        <f>IF('Bundle Tag Info'!E$36&lt;&gt;"",CONCATENATE('Bundle Tag Info'!$A$1," ",CHAR(10),'Bundle Tag Info'!$A$2," ",'Bundle Tag Info'!$A$3,CHAR(10),'Bundle Tag Info'!E$6,CHAR(10),'Bundle Tag Info'!E$36),"")</f>
        <v/>
      </c>
      <c r="F31" s="25" t="str">
        <f>IF('Bundle Tag Info'!F$36&lt;&gt;"",CONCATENATE('Bundle Tag Info'!$A$1," ",CHAR(10),'Bundle Tag Info'!$A$2," ",'Bundle Tag Info'!$A$3,CHAR(10),'Bundle Tag Info'!F$6,CHAR(10),'Bundle Tag Info'!F$36),"")</f>
        <v/>
      </c>
      <c r="G31" s="25" t="str">
        <f>IF('Bundle Tag Info'!G$36&lt;&gt;"",CONCATENATE('Bundle Tag Info'!$A$1," ",CHAR(10),'Bundle Tag Info'!$A$2," ",'Bundle Tag Info'!$A$3,CHAR(10),'Bundle Tag Info'!G$6,CHAR(10),'Bundle Tag Info'!G$36),"")</f>
        <v/>
      </c>
      <c r="H31" s="25" t="str">
        <f>IF('Bundle Tag Info'!H$36&lt;&gt;"",CONCATENATE('Bundle Tag Info'!$A$1," ",CHAR(10),'Bundle Tag Info'!$A$2," ",'Bundle Tag Info'!$A$3,CHAR(10),'Bundle Tag Info'!H$6,CHAR(10),'Bundle Tag Info'!H$36),"")</f>
        <v/>
      </c>
      <c r="I31" s="25" t="str">
        <f>IF('Bundle Tag Info'!I$36&lt;&gt;"",CONCATENATE('Bundle Tag Info'!$A$1," ",CHAR(10),'Bundle Tag Info'!$A$2," ",'Bundle Tag Info'!$A$3,CHAR(10),'Bundle Tag Info'!I$6,CHAR(10),'Bundle Tag Info'!I$36),"")</f>
        <v/>
      </c>
      <c r="J31" s="25" t="str">
        <f>IF('Bundle Tag Info'!J$36&lt;&gt;"",CONCATENATE('Bundle Tag Info'!$A$1," ",CHAR(10),'Bundle Tag Info'!$A$2," ",'Bundle Tag Info'!$A$3,CHAR(10),'Bundle Tag Info'!J$6,CHAR(10),'Bundle Tag Info'!J$36),"")</f>
        <v/>
      </c>
      <c r="K31" s="25" t="str">
        <f>IF('Bundle Tag Info'!K$36&lt;&gt;"",CONCATENATE('Bundle Tag Info'!$A$1," ",CHAR(10),'Bundle Tag Info'!$A$2," ",'Bundle Tag Info'!$A$3,CHAR(10),'Bundle Tag Info'!K$6,CHAR(10),'Bundle Tag Info'!K$36),"")</f>
        <v/>
      </c>
      <c r="L31" s="25" t="str">
        <f>IF('Bundle Tag Info'!L$36&lt;&gt;"",CONCATENATE('Bundle Tag Info'!$A$1," ",CHAR(10),'Bundle Tag Info'!$A$2," ",'Bundle Tag Info'!$A$3,CHAR(10),'Bundle Tag Info'!L$6,CHAR(10),'Bundle Tag Info'!L$36),"")</f>
        <v/>
      </c>
      <c r="M31" s="25" t="str">
        <f>IF('Bundle Tag Info'!M$36&lt;&gt;"",CONCATENATE('Bundle Tag Info'!$A$1," ",CHAR(10),'Bundle Tag Info'!$A$2," ",'Bundle Tag Info'!$A$3,CHAR(10),'Bundle Tag Info'!M$6,CHAR(10),'Bundle Tag Info'!M$36),"")</f>
        <v/>
      </c>
      <c r="N31" s="25" t="str">
        <f>IF('Bundle Tag Info'!N$36&lt;&gt;"",CONCATENATE('Bundle Tag Info'!$A$1," ",CHAR(10),'Bundle Tag Info'!$A$2," ",'Bundle Tag Info'!$A$3,CHAR(10),'Bundle Tag Info'!N$6,CHAR(10),'Bundle Tag Info'!N$36),"")</f>
        <v/>
      </c>
      <c r="O31" s="25" t="str">
        <f>IF('Bundle Tag Info'!O$36&lt;&gt;"",CONCATENATE('Bundle Tag Info'!$A$1," ",CHAR(10),'Bundle Tag Info'!$A$2," ",'Bundle Tag Info'!$A$3,CHAR(10),'Bundle Tag Info'!O$6,CHAR(10),'Bundle Tag Info'!O$36),"")</f>
        <v/>
      </c>
      <c r="P31" s="25" t="str">
        <f>IF('Bundle Tag Info'!P$36&lt;&gt;"",CONCATENATE('Bundle Tag Info'!$A$1," ",CHAR(10),'Bundle Tag Info'!$A$2," ",'Bundle Tag Info'!$A$3,CHAR(10),'Bundle Tag Info'!P$6,CHAR(10),'Bundle Tag Info'!P$36),"")</f>
        <v/>
      </c>
      <c r="Q31" s="25" t="str">
        <f>IF('Bundle Tag Info'!Q$36&lt;&gt;"",CONCATENATE('Bundle Tag Info'!$A$1," ",CHAR(10),'Bundle Tag Info'!$A$2," ",'Bundle Tag Info'!$A$3,CHAR(10),'Bundle Tag Info'!Q$6,CHAR(10),'Bundle Tag Info'!Q$36),"")</f>
        <v/>
      </c>
      <c r="R31" s="25" t="str">
        <f>IF('Bundle Tag Info'!R$36&lt;&gt;"",CONCATENATE('Bundle Tag Info'!$A$1," ",CHAR(10),'Bundle Tag Info'!$A$2," ",'Bundle Tag Info'!$A$3,CHAR(10),'Bundle Tag Info'!R$6,CHAR(10),'Bundle Tag Info'!R$36),"")</f>
        <v/>
      </c>
      <c r="S31" s="25" t="str">
        <f>IF('Bundle Tag Info'!S$36&lt;&gt;"",CONCATENATE('Bundle Tag Info'!$A$1," ",CHAR(10),'Bundle Tag Info'!$A$2," ",'Bundle Tag Info'!$A$3,CHAR(10),'Bundle Tag Info'!S$6,CHAR(10),'Bundle Tag Info'!S$36),"")</f>
        <v/>
      </c>
      <c r="T31" s="25" t="str">
        <f>IF('Bundle Tag Info'!T$36&lt;&gt;"",CONCATENATE('Bundle Tag Info'!$A$1," ",CHAR(10),'Bundle Tag Info'!$A$2," ",'Bundle Tag Info'!$A$3,CHAR(10),'Bundle Tag Info'!T$6,CHAR(10),'Bundle Tag Info'!T$36),"")</f>
        <v/>
      </c>
      <c r="U31" s="25" t="str">
        <f>IF('Bundle Tag Info'!U$36&lt;&gt;"",CONCATENATE('Bundle Tag Info'!$A$1," ",CHAR(10),'Bundle Tag Info'!$A$2," ",'Bundle Tag Info'!$A$3,CHAR(10),'Bundle Tag Info'!U$6,CHAR(10),'Bundle Tag Info'!U$36),"")</f>
        <v/>
      </c>
      <c r="V31" s="25" t="str">
        <f>IF('Bundle Tag Info'!V$36&lt;&gt;"",CONCATENATE('Bundle Tag Info'!$A$1," ",CHAR(10),'Bundle Tag Info'!$A$2," ",'Bundle Tag Info'!$A$3,CHAR(10),'Bundle Tag Info'!V$6,CHAR(10),'Bundle Tag Info'!V$36),"")</f>
        <v/>
      </c>
      <c r="W31" s="25" t="str">
        <f>IF('Bundle Tag Info'!W$36&lt;&gt;"",CONCATENATE('Bundle Tag Info'!$A$1," ",CHAR(10),'Bundle Tag Info'!$A$2," ",'Bundle Tag Info'!$A$3,CHAR(10),'Bundle Tag Info'!W$6,CHAR(10),'Bundle Tag Info'!W$36),"")</f>
        <v/>
      </c>
      <c r="X31" s="25" t="str">
        <f>IF('Bundle Tag Info'!X$36&lt;&gt;"",CONCATENATE('Bundle Tag Info'!$A$1," ",CHAR(10),'Bundle Tag Info'!$A$2," ",'Bundle Tag Info'!$A$3,CHAR(10),'Bundle Tag Info'!X$6,CHAR(10),'Bundle Tag Info'!X$36),"")</f>
        <v/>
      </c>
      <c r="Y31" s="25" t="str">
        <f>IF('Bundle Tag Info'!Y$36&lt;&gt;"",CONCATENATE('Bundle Tag Info'!$A$1," ",CHAR(10),'Bundle Tag Info'!$A$2," ",'Bundle Tag Info'!$A$3,CHAR(10),'Bundle Tag Info'!Y$6,CHAR(10),'Bundle Tag Info'!Y$36),"")</f>
        <v/>
      </c>
      <c r="Z31" s="25" t="str">
        <f>IF('Bundle Tag Info'!Z$36&lt;&gt;"",CONCATENATE('Bundle Tag Info'!$A$1," ",CHAR(10),'Bundle Tag Info'!$A$2," ",'Bundle Tag Info'!$A$3,CHAR(10),'Bundle Tag Info'!Z$6,CHAR(10),'Bundle Tag Info'!Z$36),"")</f>
        <v/>
      </c>
      <c r="AA31" s="25" t="str">
        <f>IF('Bundle Tag Info'!AA$36&lt;&gt;"",CONCATENATE('Bundle Tag Info'!$A$1," ",CHAR(10),'Bundle Tag Info'!$A$2," ",'Bundle Tag Info'!$A$3,CHAR(10),'Bundle Tag Info'!AA$6,CHAR(10),'Bundle Tag Info'!AA$36),"")</f>
        <v/>
      </c>
      <c r="AB31" s="25" t="str">
        <f>IF('Bundle Tag Info'!AB$36&lt;&gt;"",CONCATENATE('Bundle Tag Info'!$A$1," ",CHAR(10),'Bundle Tag Info'!$A$2," ",'Bundle Tag Info'!$A$3,CHAR(10),'Bundle Tag Info'!AB$6,CHAR(10),'Bundle Tag Info'!AB$36),"")</f>
        <v/>
      </c>
      <c r="AC31" s="25" t="str">
        <f>IF('Bundle Tag Info'!AC$36&lt;&gt;"",CONCATENATE('Bundle Tag Info'!$A$1," ",CHAR(10),'Bundle Tag Info'!$A$2," ",'Bundle Tag Info'!$A$3,CHAR(10),'Bundle Tag Info'!AC$6,CHAR(10),'Bundle Tag Info'!AC$36),"")</f>
        <v/>
      </c>
      <c r="AD31" s="25" t="str">
        <f>IF('Bundle Tag Info'!AD$36&lt;&gt;"",CONCATENATE('Bundle Tag Info'!$A$1," ",CHAR(10),'Bundle Tag Info'!$A$2," ",'Bundle Tag Info'!$A$3,CHAR(10),'Bundle Tag Info'!AD$6,CHAR(10),'Bundle Tag Info'!AD$36),"")</f>
        <v/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63F9FA-48EE-4BA9-8A38-4BD2ABA61DFB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ABF034-85C2-4F79-AF76-4C734F789DB2}">
  <dimension ref="A1:AD68"/>
  <sheetViews>
    <sheetView zoomScale="115" zoomScaleNormal="115" workbookViewId="0"/>
  </sheetViews>
  <sheetFormatPr defaultRowHeight="15" x14ac:dyDescent="0.25"/>
  <cols>
    <col min="1" max="30" width="20.7109375" customWidth="1"/>
  </cols>
  <sheetData>
    <row r="1" spans="1:30" ht="63.95" customHeight="1" x14ac:dyDescent="0.25">
      <c r="A1" s="25" t="str">
        <f>IF('Bundle Tag Info'!A$7&lt;&gt;"",CONCATENATE('Bundle Tag Info'!$A$1," ",CHAR(10),'Bundle Tag Info'!$A$2," ",'Bundle Tag Info'!$A$3,CHAR(10),'Bundle Tag Info'!A$6,CHAR(10),'Bundle Tag Info'!A$7),"")</f>
        <v>ERGON-V #2 
4K911 Rev A
JB70
AT1100</v>
      </c>
      <c r="J1" s="25" t="str">
        <f>IF('Bundle Tag Info'!J$7&lt;&gt;"",CONCATENATE('Bundle Tag Info'!$A$1," ",CHAR(10),'Bundle Tag Info'!$A$2," ",'Bundle Tag Info'!$A$3,CHAR(10),'Bundle Tag Info'!J$6,CHAR(10),'Bundle Tag Info'!J$7),"")</f>
        <v/>
      </c>
      <c r="K1" s="25" t="str">
        <f>IF('Bundle Tag Info'!K$7&lt;&gt;"",CONCATENATE('Bundle Tag Info'!$A$1," ",CHAR(10),'Bundle Tag Info'!$A$2," ",'Bundle Tag Info'!$A$3,CHAR(10),'Bundle Tag Info'!K$6,CHAR(10),'Bundle Tag Info'!K$7),"")</f>
        <v/>
      </c>
      <c r="L1" s="25" t="str">
        <f>IF('Bundle Tag Info'!L$7&lt;&gt;"",CONCATENATE('Bundle Tag Info'!$A$1," ",CHAR(10),'Bundle Tag Info'!$A$2," ",'Bundle Tag Info'!$A$3,CHAR(10),'Bundle Tag Info'!L$6,CHAR(10),'Bundle Tag Info'!L$7),"")</f>
        <v/>
      </c>
      <c r="M1" s="25" t="str">
        <f>IF('Bundle Tag Info'!M$7&lt;&gt;"",CONCATENATE('Bundle Tag Info'!$A$1," ",CHAR(10),'Bundle Tag Info'!$A$2," ",'Bundle Tag Info'!$A$3,CHAR(10),'Bundle Tag Info'!M$6,CHAR(10),'Bundle Tag Info'!M$7),"")</f>
        <v/>
      </c>
      <c r="N1" s="25" t="str">
        <f>IF('Bundle Tag Info'!N$7&lt;&gt;"",CONCATENATE('Bundle Tag Info'!$A$1," ",CHAR(10),'Bundle Tag Info'!$A$2," ",'Bundle Tag Info'!$A$3,CHAR(10),'Bundle Tag Info'!N$6,CHAR(10),'Bundle Tag Info'!N$7),"")</f>
        <v/>
      </c>
      <c r="O1" s="25" t="str">
        <f>IF('Bundle Tag Info'!O$7&lt;&gt;"",CONCATENATE('Bundle Tag Info'!$A$1," ",CHAR(10),'Bundle Tag Info'!$A$2," ",'Bundle Tag Info'!$A$3,CHAR(10),'Bundle Tag Info'!O$6,CHAR(10),'Bundle Tag Info'!O$7),"")</f>
        <v/>
      </c>
      <c r="P1" s="25" t="str">
        <f>IF('Bundle Tag Info'!P$7&lt;&gt;"",CONCATENATE('Bundle Tag Info'!$A$1," ",CHAR(10),'Bundle Tag Info'!$A$2," ",'Bundle Tag Info'!$A$3,CHAR(10),'Bundle Tag Info'!P$6,CHAR(10),'Bundle Tag Info'!P$7),"")</f>
        <v/>
      </c>
      <c r="Q1" s="25" t="str">
        <f>IF('Bundle Tag Info'!Q$7&lt;&gt;"",CONCATENATE('Bundle Tag Info'!$A$1," ",CHAR(10),'Bundle Tag Info'!$A$2," ",'Bundle Tag Info'!$A$3,CHAR(10),'Bundle Tag Info'!Q$6,CHAR(10),'Bundle Tag Info'!Q$7),"")</f>
        <v/>
      </c>
      <c r="R1" s="25" t="str">
        <f>IF('Bundle Tag Info'!R$7&lt;&gt;"",CONCATENATE('Bundle Tag Info'!$A$1," ",CHAR(10),'Bundle Tag Info'!$A$2," ",'Bundle Tag Info'!$A$3,CHAR(10),'Bundle Tag Info'!R$6,CHAR(10),'Bundle Tag Info'!R$7),"")</f>
        <v/>
      </c>
      <c r="S1" s="25" t="str">
        <f>IF('Bundle Tag Info'!S$7&lt;&gt;"",CONCATENATE('Bundle Tag Info'!$A$1," ",CHAR(10),'Bundle Tag Info'!$A$2," ",'Bundle Tag Info'!$A$3,CHAR(10),'Bundle Tag Info'!S$6,CHAR(10),'Bundle Tag Info'!S$7),"")</f>
        <v/>
      </c>
      <c r="T1" s="25" t="str">
        <f>IF('Bundle Tag Info'!T$7&lt;&gt;"",CONCATENATE('Bundle Tag Info'!$A$1," ",CHAR(10),'Bundle Tag Info'!$A$2," ",'Bundle Tag Info'!$A$3,CHAR(10),'Bundle Tag Info'!T$6,CHAR(10),'Bundle Tag Info'!T$7),"")</f>
        <v/>
      </c>
      <c r="U1" s="25" t="str">
        <f>IF('Bundle Tag Info'!U$7&lt;&gt;"",CONCATENATE('Bundle Tag Info'!$A$1," ",CHAR(10),'Bundle Tag Info'!$A$2," ",'Bundle Tag Info'!$A$3,CHAR(10),'Bundle Tag Info'!U$6,CHAR(10),'Bundle Tag Info'!U$7),"")</f>
        <v/>
      </c>
      <c r="V1" s="25" t="str">
        <f>IF('Bundle Tag Info'!V$7&lt;&gt;"",CONCATENATE('Bundle Tag Info'!$A$1," ",CHAR(10),'Bundle Tag Info'!$A$2," ",'Bundle Tag Info'!$A$3,CHAR(10),'Bundle Tag Info'!V$6,CHAR(10),'Bundle Tag Info'!V$7),"")</f>
        <v/>
      </c>
      <c r="W1" s="25" t="str">
        <f>IF('Bundle Tag Info'!W$7&lt;&gt;"",CONCATENATE('Bundle Tag Info'!$A$1," ",CHAR(10),'Bundle Tag Info'!$A$2," ",'Bundle Tag Info'!$A$3,CHAR(10),'Bundle Tag Info'!W$6,CHAR(10),'Bundle Tag Info'!W$7),"")</f>
        <v/>
      </c>
      <c r="X1" s="25" t="str">
        <f>IF('Bundle Tag Info'!X$7&lt;&gt;"",CONCATENATE('Bundle Tag Info'!$A$1," ",CHAR(10),'Bundle Tag Info'!$A$2," ",'Bundle Tag Info'!$A$3,CHAR(10),'Bundle Tag Info'!X$6,CHAR(10),'Bundle Tag Info'!X$7),"")</f>
        <v/>
      </c>
      <c r="Y1" s="25" t="str">
        <f>IF('Bundle Tag Info'!Y$7&lt;&gt;"",CONCATENATE('Bundle Tag Info'!$A$1," ",CHAR(10),'Bundle Tag Info'!$A$2," ",'Bundle Tag Info'!$A$3,CHAR(10),'Bundle Tag Info'!Y$6,CHAR(10),'Bundle Tag Info'!Y$7),"")</f>
        <v/>
      </c>
      <c r="Z1" s="25" t="str">
        <f>IF('Bundle Tag Info'!Z$7&lt;&gt;"",CONCATENATE('Bundle Tag Info'!$A$1," ",CHAR(10),'Bundle Tag Info'!$A$2," ",'Bundle Tag Info'!$A$3,CHAR(10),'Bundle Tag Info'!Z$6,CHAR(10),'Bundle Tag Info'!Z$7),"")</f>
        <v/>
      </c>
      <c r="AA1" s="25" t="str">
        <f>IF('Bundle Tag Info'!AA$7&lt;&gt;"",CONCATENATE('Bundle Tag Info'!$A$1," ",CHAR(10),'Bundle Tag Info'!$A$2," ",'Bundle Tag Info'!$A$3,CHAR(10),'Bundle Tag Info'!AA$6,CHAR(10),'Bundle Tag Info'!AA$7),"")</f>
        <v/>
      </c>
      <c r="AB1" s="25" t="str">
        <f>IF('Bundle Tag Info'!AB$7&lt;&gt;"",CONCATENATE('Bundle Tag Info'!$A$1," ",CHAR(10),'Bundle Tag Info'!$A$2," ",'Bundle Tag Info'!$A$3,CHAR(10),'Bundle Tag Info'!AB$6,CHAR(10),'Bundle Tag Info'!AB$7),"")</f>
        <v/>
      </c>
      <c r="AC1" s="25" t="str">
        <f>IF('Bundle Tag Info'!AC$7&lt;&gt;"",CONCATENATE('Bundle Tag Info'!$A$1," ",CHAR(10),'Bundle Tag Info'!$A$2," ",'Bundle Tag Info'!$A$3,CHAR(10),'Bundle Tag Info'!AC$6,CHAR(10),'Bundle Tag Info'!AC$7),"")</f>
        <v/>
      </c>
      <c r="AD1" s="25" t="str">
        <f>IF('Bundle Tag Info'!AD$7&lt;&gt;"",CONCATENATE('Bundle Tag Info'!$A$1," ",CHAR(10),'Bundle Tag Info'!$A$2," ",'Bundle Tag Info'!$A$3,CHAR(10),'Bundle Tag Info'!AD$6,CHAR(10),'Bundle Tag Info'!AD$7),"")</f>
        <v/>
      </c>
    </row>
    <row r="2" spans="1:30" ht="63.95" customHeight="1" x14ac:dyDescent="0.25">
      <c r="A2" s="25" t="str">
        <f>IF('Bundle Tag Info'!A$8&lt;&gt;"",CONCATENATE('Bundle Tag Info'!$A$1," ",CHAR(10),'Bundle Tag Info'!$A$2," ",'Bundle Tag Info'!$A$3,CHAR(10),'Bundle Tag Info'!A$6,CHAR(10),'Bundle Tag Info'!A$8),"")</f>
        <v>ERGON-V #2 
4K911 Rev A
JB70
AT0170</v>
      </c>
      <c r="G2" s="25" t="str">
        <f>IF('Bundle Tag Info'!G$8&lt;&gt;"",CONCATENATE('Bundle Tag Info'!$A$1," ",CHAR(10),'Bundle Tag Info'!$A$2," ",'Bundle Tag Info'!$A$3,CHAR(10),'Bundle Tag Info'!G$6,CHAR(10),'Bundle Tag Info'!G$8),"")</f>
        <v/>
      </c>
      <c r="J2" s="25" t="str">
        <f>IF('Bundle Tag Info'!J$8&lt;&gt;"",CONCATENATE('Bundle Tag Info'!$A$1," ",CHAR(10),'Bundle Tag Info'!$A$2," ",'Bundle Tag Info'!$A$3,CHAR(10),'Bundle Tag Info'!J$6,CHAR(10),'Bundle Tag Info'!J$8),"")</f>
        <v/>
      </c>
      <c r="K2" s="25" t="str">
        <f>IF('Bundle Tag Info'!K$8&lt;&gt;"",CONCATENATE('Bundle Tag Info'!$A$1," ",CHAR(10),'Bundle Tag Info'!$A$2," ",'Bundle Tag Info'!$A$3,CHAR(10),'Bundle Tag Info'!K$6,CHAR(10),'Bundle Tag Info'!K$8),"")</f>
        <v/>
      </c>
      <c r="L2" s="25" t="str">
        <f>IF('Bundle Tag Info'!L$8&lt;&gt;"",CONCATENATE('Bundle Tag Info'!$A$1," ",CHAR(10),'Bundle Tag Info'!$A$2," ",'Bundle Tag Info'!$A$3,CHAR(10),'Bundle Tag Info'!L$6,CHAR(10),'Bundle Tag Info'!L$8),"")</f>
        <v/>
      </c>
      <c r="M2" s="25" t="str">
        <f>IF('Bundle Tag Info'!M$8&lt;&gt;"",CONCATENATE('Bundle Tag Info'!$A$1," ",CHAR(10),'Bundle Tag Info'!$A$2," ",'Bundle Tag Info'!$A$3,CHAR(10),'Bundle Tag Info'!M$6,CHAR(10),'Bundle Tag Info'!M$8),"")</f>
        <v/>
      </c>
      <c r="N2" s="25" t="str">
        <f>IF('Bundle Tag Info'!N$8&lt;&gt;"",CONCATENATE('Bundle Tag Info'!$A$1," ",CHAR(10),'Bundle Tag Info'!$A$2," ",'Bundle Tag Info'!$A$3,CHAR(10),'Bundle Tag Info'!N$6,CHAR(10),'Bundle Tag Info'!N$8),"")</f>
        <v/>
      </c>
      <c r="O2" s="25" t="str">
        <f>IF('Bundle Tag Info'!O$8&lt;&gt;"",CONCATENATE('Bundle Tag Info'!$A$1," ",CHAR(10),'Bundle Tag Info'!$A$2," ",'Bundle Tag Info'!$A$3,CHAR(10),'Bundle Tag Info'!O$6,CHAR(10),'Bundle Tag Info'!O$8),"")</f>
        <v/>
      </c>
      <c r="P2" s="25" t="str">
        <f>IF('Bundle Tag Info'!P$8&lt;&gt;"",CONCATENATE('Bundle Tag Info'!$A$1," ",CHAR(10),'Bundle Tag Info'!$A$2," ",'Bundle Tag Info'!$A$3,CHAR(10),'Bundle Tag Info'!P$6,CHAR(10),'Bundle Tag Info'!P$8),"")</f>
        <v/>
      </c>
      <c r="Q2" s="25" t="str">
        <f>IF('Bundle Tag Info'!Q$8&lt;&gt;"",CONCATENATE('Bundle Tag Info'!$A$1," ",CHAR(10),'Bundle Tag Info'!$A$2," ",'Bundle Tag Info'!$A$3,CHAR(10),'Bundle Tag Info'!Q$6,CHAR(10),'Bundle Tag Info'!Q$8),"")</f>
        <v/>
      </c>
      <c r="R2" s="25" t="str">
        <f>IF('Bundle Tag Info'!R$8&lt;&gt;"",CONCATENATE('Bundle Tag Info'!$A$1," ",CHAR(10),'Bundle Tag Info'!$A$2," ",'Bundle Tag Info'!$A$3,CHAR(10),'Bundle Tag Info'!R$6,CHAR(10),'Bundle Tag Info'!R$8),"")</f>
        <v/>
      </c>
      <c r="S2" s="25" t="str">
        <f>IF('Bundle Tag Info'!S$8&lt;&gt;"",CONCATENATE('Bundle Tag Info'!$A$1," ",CHAR(10),'Bundle Tag Info'!$A$2," ",'Bundle Tag Info'!$A$3,CHAR(10),'Bundle Tag Info'!S$6,CHAR(10),'Bundle Tag Info'!S$8),"")</f>
        <v/>
      </c>
      <c r="T2" s="25" t="str">
        <f>IF('Bundle Tag Info'!T$8&lt;&gt;"",CONCATENATE('Bundle Tag Info'!$A$1," ",CHAR(10),'Bundle Tag Info'!$A$2," ",'Bundle Tag Info'!$A$3,CHAR(10),'Bundle Tag Info'!T$6,CHAR(10),'Bundle Tag Info'!T$8),"")</f>
        <v/>
      </c>
      <c r="U2" s="25" t="str">
        <f>IF('Bundle Tag Info'!U$8&lt;&gt;"",CONCATENATE('Bundle Tag Info'!$A$1," ",CHAR(10),'Bundle Tag Info'!$A$2," ",'Bundle Tag Info'!$A$3,CHAR(10),'Bundle Tag Info'!U$6,CHAR(10),'Bundle Tag Info'!U$8),"")</f>
        <v/>
      </c>
      <c r="V2" s="25" t="str">
        <f>IF('Bundle Tag Info'!V$8&lt;&gt;"",CONCATENATE('Bundle Tag Info'!$A$1," ",CHAR(10),'Bundle Tag Info'!$A$2," ",'Bundle Tag Info'!$A$3,CHAR(10),'Bundle Tag Info'!V$6,CHAR(10),'Bundle Tag Info'!V$8),"")</f>
        <v/>
      </c>
      <c r="W2" s="25" t="str">
        <f>IF('Bundle Tag Info'!W$8&lt;&gt;"",CONCATENATE('Bundle Tag Info'!$A$1," ",CHAR(10),'Bundle Tag Info'!$A$2," ",'Bundle Tag Info'!$A$3,CHAR(10),'Bundle Tag Info'!W$6,CHAR(10),'Bundle Tag Info'!W$8),"")</f>
        <v/>
      </c>
      <c r="X2" s="25" t="str">
        <f>IF('Bundle Tag Info'!X$8&lt;&gt;"",CONCATENATE('Bundle Tag Info'!$A$1," ",CHAR(10),'Bundle Tag Info'!$A$2," ",'Bundle Tag Info'!$A$3,CHAR(10),'Bundle Tag Info'!X$6,CHAR(10),'Bundle Tag Info'!X$8),"")</f>
        <v/>
      </c>
      <c r="Y2" s="25" t="str">
        <f>IF('Bundle Tag Info'!Y$8&lt;&gt;"",CONCATENATE('Bundle Tag Info'!$A$1," ",CHAR(10),'Bundle Tag Info'!$A$2," ",'Bundle Tag Info'!$A$3,CHAR(10),'Bundle Tag Info'!Y$6,CHAR(10),'Bundle Tag Info'!Y$8),"")</f>
        <v/>
      </c>
      <c r="Z2" s="25" t="str">
        <f>IF('Bundle Tag Info'!Z$8&lt;&gt;"",CONCATENATE('Bundle Tag Info'!$A$1," ",CHAR(10),'Bundle Tag Info'!$A$2," ",'Bundle Tag Info'!$A$3,CHAR(10),'Bundle Tag Info'!Z$6,CHAR(10),'Bundle Tag Info'!Z$8),"")</f>
        <v/>
      </c>
      <c r="AA2" s="25" t="str">
        <f>IF('Bundle Tag Info'!AA$8&lt;&gt;"",CONCATENATE('Bundle Tag Info'!$A$1," ",CHAR(10),'Bundle Tag Info'!$A$2," ",'Bundle Tag Info'!$A$3,CHAR(10),'Bundle Tag Info'!AA$6,CHAR(10),'Bundle Tag Info'!AA$8),"")</f>
        <v/>
      </c>
      <c r="AB2" s="25" t="str">
        <f>IF('Bundle Tag Info'!AB$8&lt;&gt;"",CONCATENATE('Bundle Tag Info'!$A$1," ",CHAR(10),'Bundle Tag Info'!$A$2," ",'Bundle Tag Info'!$A$3,CHAR(10),'Bundle Tag Info'!AB$6,CHAR(10),'Bundle Tag Info'!AB$8),"")</f>
        <v/>
      </c>
      <c r="AC2" s="25" t="str">
        <f>IF('Bundle Tag Info'!AC$8&lt;&gt;"",CONCATENATE('Bundle Tag Info'!$A$1," ",CHAR(10),'Bundle Tag Info'!$A$2," ",'Bundle Tag Info'!$A$3,CHAR(10),'Bundle Tag Info'!AC$6,CHAR(10),'Bundle Tag Info'!AC$8),"")</f>
        <v/>
      </c>
      <c r="AD2" s="25" t="str">
        <f>IF('Bundle Tag Info'!AD$8&lt;&gt;"",CONCATENATE('Bundle Tag Info'!$A$1," ",CHAR(10),'Bundle Tag Info'!$A$2," ",'Bundle Tag Info'!$A$3,CHAR(10),'Bundle Tag Info'!AD$6,CHAR(10),'Bundle Tag Info'!AD$8),"")</f>
        <v/>
      </c>
    </row>
    <row r="3" spans="1:30" ht="63.95" customHeight="1" x14ac:dyDescent="0.25">
      <c r="A3" s="25" t="str">
        <f>IF('Bundle Tag Info'!A$9&lt;&gt;"",CONCATENATE('Bundle Tag Info'!$A$1," ",CHAR(10),'Bundle Tag Info'!$A$2," ",'Bundle Tag Info'!$A$3,CHAR(10),'Bundle Tag Info'!A$6,CHAR(10),'Bundle Tag Info'!A$9),"")</f>
        <v>ERGON-V #2 
4K911 Rev A
JB70
SA0472</v>
      </c>
      <c r="G3" s="25" t="str">
        <f>IF('Bundle Tag Info'!G$9&lt;&gt;"",CONCATENATE('Bundle Tag Info'!$A$1," ",CHAR(10),'Bundle Tag Info'!$A$2," ",'Bundle Tag Info'!$A$3,CHAR(10),'Bundle Tag Info'!G$6,CHAR(10),'Bundle Tag Info'!G$9),"")</f>
        <v/>
      </c>
      <c r="J3" s="25" t="str">
        <f>IF('Bundle Tag Info'!J$9&lt;&gt;"",CONCATENATE('Bundle Tag Info'!$A$1," ",CHAR(10),'Bundle Tag Info'!$A$2," ",'Bundle Tag Info'!$A$3,CHAR(10),'Bundle Tag Info'!J$6,CHAR(10),'Bundle Tag Info'!J$9),"")</f>
        <v/>
      </c>
      <c r="K3" s="25" t="str">
        <f>IF('Bundle Tag Info'!K$9&lt;&gt;"",CONCATENATE('Bundle Tag Info'!$A$1," ",CHAR(10),'Bundle Tag Info'!$A$2," ",'Bundle Tag Info'!$A$3,CHAR(10),'Bundle Tag Info'!K$6,CHAR(10),'Bundle Tag Info'!K$9),"")</f>
        <v/>
      </c>
      <c r="L3" s="25" t="str">
        <f>IF('Bundle Tag Info'!L$9&lt;&gt;"",CONCATENATE('Bundle Tag Info'!$A$1," ",CHAR(10),'Bundle Tag Info'!$A$2," ",'Bundle Tag Info'!$A$3,CHAR(10),'Bundle Tag Info'!L$6,CHAR(10),'Bundle Tag Info'!L$9),"")</f>
        <v/>
      </c>
      <c r="M3" s="25" t="str">
        <f>IF('Bundle Tag Info'!M$9&lt;&gt;"",CONCATENATE('Bundle Tag Info'!$A$1," ",CHAR(10),'Bundle Tag Info'!$A$2," ",'Bundle Tag Info'!$A$3,CHAR(10),'Bundle Tag Info'!M$6,CHAR(10),'Bundle Tag Info'!M$9),"")</f>
        <v/>
      </c>
      <c r="N3" s="25" t="str">
        <f>IF('Bundle Tag Info'!N$9&lt;&gt;"",CONCATENATE('Bundle Tag Info'!$A$1," ",CHAR(10),'Bundle Tag Info'!$A$2," ",'Bundle Tag Info'!$A$3,CHAR(10),'Bundle Tag Info'!N$6,CHAR(10),'Bundle Tag Info'!N$9),"")</f>
        <v/>
      </c>
      <c r="O3" s="25" t="str">
        <f>IF('Bundle Tag Info'!O$9&lt;&gt;"",CONCATENATE('Bundle Tag Info'!$A$1," ",CHAR(10),'Bundle Tag Info'!$A$2," ",'Bundle Tag Info'!$A$3,CHAR(10),'Bundle Tag Info'!O$6,CHAR(10),'Bundle Tag Info'!O$9),"")</f>
        <v/>
      </c>
      <c r="P3" s="25" t="str">
        <f>IF('Bundle Tag Info'!P$9&lt;&gt;"",CONCATENATE('Bundle Tag Info'!$A$1," ",CHAR(10),'Bundle Tag Info'!$A$2," ",'Bundle Tag Info'!$A$3,CHAR(10),'Bundle Tag Info'!P$6,CHAR(10),'Bundle Tag Info'!P$9),"")</f>
        <v/>
      </c>
      <c r="Q3" s="25" t="str">
        <f>IF('Bundle Tag Info'!Q$9&lt;&gt;"",CONCATENATE('Bundle Tag Info'!$A$1," ",CHAR(10),'Bundle Tag Info'!$A$2," ",'Bundle Tag Info'!$A$3,CHAR(10),'Bundle Tag Info'!Q$6,CHAR(10),'Bundle Tag Info'!Q$9),"")</f>
        <v/>
      </c>
      <c r="R3" s="25" t="str">
        <f>IF('Bundle Tag Info'!R$9&lt;&gt;"",CONCATENATE('Bundle Tag Info'!$A$1," ",CHAR(10),'Bundle Tag Info'!$A$2," ",'Bundle Tag Info'!$A$3,CHAR(10),'Bundle Tag Info'!R$6,CHAR(10),'Bundle Tag Info'!R$9),"")</f>
        <v/>
      </c>
      <c r="S3" s="25" t="str">
        <f>IF('Bundle Tag Info'!S$9&lt;&gt;"",CONCATENATE('Bundle Tag Info'!$A$1," ",CHAR(10),'Bundle Tag Info'!$A$2," ",'Bundle Tag Info'!$A$3,CHAR(10),'Bundle Tag Info'!S$6,CHAR(10),'Bundle Tag Info'!S$9),"")</f>
        <v/>
      </c>
      <c r="T3" s="25" t="str">
        <f>IF('Bundle Tag Info'!T$9&lt;&gt;"",CONCATENATE('Bundle Tag Info'!$A$1," ",CHAR(10),'Bundle Tag Info'!$A$2," ",'Bundle Tag Info'!$A$3,CHAR(10),'Bundle Tag Info'!T$6,CHAR(10),'Bundle Tag Info'!T$9),"")</f>
        <v/>
      </c>
      <c r="U3" s="25" t="str">
        <f>IF('Bundle Tag Info'!U$9&lt;&gt;"",CONCATENATE('Bundle Tag Info'!$A$1," ",CHAR(10),'Bundle Tag Info'!$A$2," ",'Bundle Tag Info'!$A$3,CHAR(10),'Bundle Tag Info'!U$6,CHAR(10),'Bundle Tag Info'!U$9),"")</f>
        <v/>
      </c>
      <c r="V3" s="25" t="str">
        <f>IF('Bundle Tag Info'!V$9&lt;&gt;"",CONCATENATE('Bundle Tag Info'!$A$1," ",CHAR(10),'Bundle Tag Info'!$A$2," ",'Bundle Tag Info'!$A$3,CHAR(10),'Bundle Tag Info'!V$6,CHAR(10),'Bundle Tag Info'!V$9),"")</f>
        <v/>
      </c>
      <c r="W3" s="25" t="str">
        <f>IF('Bundle Tag Info'!W$9&lt;&gt;"",CONCATENATE('Bundle Tag Info'!$A$1," ",CHAR(10),'Bundle Tag Info'!$A$2," ",'Bundle Tag Info'!$A$3,CHAR(10),'Bundle Tag Info'!W$6,CHAR(10),'Bundle Tag Info'!W$9),"")</f>
        <v/>
      </c>
      <c r="X3" s="25" t="str">
        <f>IF('Bundle Tag Info'!X$9&lt;&gt;"",CONCATENATE('Bundle Tag Info'!$A$1," ",CHAR(10),'Bundle Tag Info'!$A$2," ",'Bundle Tag Info'!$A$3,CHAR(10),'Bundle Tag Info'!X$6,CHAR(10),'Bundle Tag Info'!X$9),"")</f>
        <v/>
      </c>
      <c r="Y3" s="25" t="str">
        <f>IF('Bundle Tag Info'!Y$9&lt;&gt;"",CONCATENATE('Bundle Tag Info'!$A$1," ",CHAR(10),'Bundle Tag Info'!$A$2," ",'Bundle Tag Info'!$A$3,CHAR(10),'Bundle Tag Info'!Y$6,CHAR(10),'Bundle Tag Info'!Y$9),"")</f>
        <v/>
      </c>
      <c r="Z3" s="25" t="str">
        <f>IF('Bundle Tag Info'!Z$9&lt;&gt;"",CONCATENATE('Bundle Tag Info'!$A$1," ",CHAR(10),'Bundle Tag Info'!$A$2," ",'Bundle Tag Info'!$A$3,CHAR(10),'Bundle Tag Info'!Z$6,CHAR(10),'Bundle Tag Info'!Z$9),"")</f>
        <v/>
      </c>
      <c r="AA3" s="25" t="str">
        <f>IF('Bundle Tag Info'!AA$9&lt;&gt;"",CONCATENATE('Bundle Tag Info'!$A$1," ",CHAR(10),'Bundle Tag Info'!$A$2," ",'Bundle Tag Info'!$A$3,CHAR(10),'Bundle Tag Info'!AA$6,CHAR(10),'Bundle Tag Info'!AA$9),"")</f>
        <v/>
      </c>
      <c r="AB3" s="25" t="str">
        <f>IF('Bundle Tag Info'!AB$9&lt;&gt;"",CONCATENATE('Bundle Tag Info'!$A$1," ",CHAR(10),'Bundle Tag Info'!$A$2," ",'Bundle Tag Info'!$A$3,CHAR(10),'Bundle Tag Info'!AB$6,CHAR(10),'Bundle Tag Info'!AB$9),"")</f>
        <v/>
      </c>
      <c r="AC3" s="25" t="str">
        <f>IF('Bundle Tag Info'!AC$9&lt;&gt;"",CONCATENATE('Bundle Tag Info'!$A$1," ",CHAR(10),'Bundle Tag Info'!$A$2," ",'Bundle Tag Info'!$A$3,CHAR(10),'Bundle Tag Info'!AC$6,CHAR(10),'Bundle Tag Info'!AC$9),"")</f>
        <v/>
      </c>
      <c r="AD3" s="25" t="str">
        <f>IF('Bundle Tag Info'!AD$9&lt;&gt;"",CONCATENATE('Bundle Tag Info'!$A$1," ",CHAR(10),'Bundle Tag Info'!$A$2," ",'Bundle Tag Info'!$A$3,CHAR(10),'Bundle Tag Info'!AD$6,CHAR(10),'Bundle Tag Info'!AD$9),"")</f>
        <v/>
      </c>
    </row>
    <row r="4" spans="1:30" ht="63.95" customHeight="1" x14ac:dyDescent="0.25">
      <c r="A4" s="25" t="str">
        <f>IF('Bundle Tag Info'!A$10&lt;&gt;"",CONCATENATE('Bundle Tag Info'!$A$1," ",CHAR(10),'Bundle Tag Info'!$A$2," ",'Bundle Tag Info'!$A$3,CHAR(10),'Bundle Tag Info'!A$6,CHAR(10),'Bundle Tag Info'!A$10),"")</f>
        <v>ERGON-V #2 
4K911 Rev A
JB70
SA0473</v>
      </c>
      <c r="F4" s="25" t="str">
        <f>IF('Bundle Tag Info'!F$10&lt;&gt;"",CONCATENATE('Bundle Tag Info'!$A$1," ",CHAR(10),'Bundle Tag Info'!$A$2," ",'Bundle Tag Info'!$A$3,CHAR(10),'Bundle Tag Info'!F$6,CHAR(10),'Bundle Tag Info'!F$10),"")</f>
        <v/>
      </c>
      <c r="G4" s="25" t="str">
        <f>IF('Bundle Tag Info'!G$10&lt;&gt;"",CONCATENATE('Bundle Tag Info'!$A$1," ",CHAR(10),'Bundle Tag Info'!$A$2," ",'Bundle Tag Info'!$A$3,CHAR(10),'Bundle Tag Info'!G$6,CHAR(10),'Bundle Tag Info'!G$10),"")</f>
        <v/>
      </c>
      <c r="J4" s="25" t="str">
        <f>IF('Bundle Tag Info'!J$10&lt;&gt;"",CONCATENATE('Bundle Tag Info'!$A$1," ",CHAR(10),'Bundle Tag Info'!$A$2," ",'Bundle Tag Info'!$A$3,CHAR(10),'Bundle Tag Info'!J$6,CHAR(10),'Bundle Tag Info'!J$10),"")</f>
        <v/>
      </c>
      <c r="K4" s="25" t="str">
        <f>IF('Bundle Tag Info'!K$10&lt;&gt;"",CONCATENATE('Bundle Tag Info'!$A$1," ",CHAR(10),'Bundle Tag Info'!$A$2," ",'Bundle Tag Info'!$A$3,CHAR(10),'Bundle Tag Info'!K$6,CHAR(10),'Bundle Tag Info'!K$10),"")</f>
        <v/>
      </c>
      <c r="L4" s="25" t="str">
        <f>IF('Bundle Tag Info'!L$10&lt;&gt;"",CONCATENATE('Bundle Tag Info'!$A$1," ",CHAR(10),'Bundle Tag Info'!$A$2," ",'Bundle Tag Info'!$A$3,CHAR(10),'Bundle Tag Info'!L$6,CHAR(10),'Bundle Tag Info'!L$10),"")</f>
        <v/>
      </c>
      <c r="M4" s="25" t="str">
        <f>IF('Bundle Tag Info'!M$10&lt;&gt;"",CONCATENATE('Bundle Tag Info'!$A$1," ",CHAR(10),'Bundle Tag Info'!$A$2," ",'Bundle Tag Info'!$A$3,CHAR(10),'Bundle Tag Info'!M$6,CHAR(10),'Bundle Tag Info'!M$10),"")</f>
        <v/>
      </c>
      <c r="N4" s="25" t="str">
        <f>IF('Bundle Tag Info'!N$10&lt;&gt;"",CONCATENATE('Bundle Tag Info'!$A$1," ",CHAR(10),'Bundle Tag Info'!$A$2," ",'Bundle Tag Info'!$A$3,CHAR(10),'Bundle Tag Info'!N$6,CHAR(10),'Bundle Tag Info'!N$10),"")</f>
        <v/>
      </c>
      <c r="O4" s="25" t="str">
        <f>IF('Bundle Tag Info'!O$10&lt;&gt;"",CONCATENATE('Bundle Tag Info'!$A$1," ",CHAR(10),'Bundle Tag Info'!$A$2," ",'Bundle Tag Info'!$A$3,CHAR(10),'Bundle Tag Info'!O$6,CHAR(10),'Bundle Tag Info'!O$10),"")</f>
        <v/>
      </c>
      <c r="P4" s="25" t="str">
        <f>IF('Bundle Tag Info'!P$10&lt;&gt;"",CONCATENATE('Bundle Tag Info'!$A$1," ",CHAR(10),'Bundle Tag Info'!$A$2," ",'Bundle Tag Info'!$A$3,CHAR(10),'Bundle Tag Info'!P$6,CHAR(10),'Bundle Tag Info'!P$10),"")</f>
        <v/>
      </c>
      <c r="Q4" s="25" t="str">
        <f>IF('Bundle Tag Info'!Q$10&lt;&gt;"",CONCATENATE('Bundle Tag Info'!$A$1," ",CHAR(10),'Bundle Tag Info'!$A$2," ",'Bundle Tag Info'!$A$3,CHAR(10),'Bundle Tag Info'!Q$6,CHAR(10),'Bundle Tag Info'!Q$10),"")</f>
        <v/>
      </c>
      <c r="R4" s="25" t="str">
        <f>IF('Bundle Tag Info'!R$10&lt;&gt;"",CONCATENATE('Bundle Tag Info'!$A$1," ",CHAR(10),'Bundle Tag Info'!$A$2," ",'Bundle Tag Info'!$A$3,CHAR(10),'Bundle Tag Info'!R$6,CHAR(10),'Bundle Tag Info'!R$10),"")</f>
        <v/>
      </c>
      <c r="S4" s="25" t="str">
        <f>IF('Bundle Tag Info'!S$10&lt;&gt;"",CONCATENATE('Bundle Tag Info'!$A$1," ",CHAR(10),'Bundle Tag Info'!$A$2," ",'Bundle Tag Info'!$A$3,CHAR(10),'Bundle Tag Info'!S$6,CHAR(10),'Bundle Tag Info'!S$10),"")</f>
        <v/>
      </c>
      <c r="T4" s="25" t="str">
        <f>IF('Bundle Tag Info'!T$10&lt;&gt;"",CONCATENATE('Bundle Tag Info'!$A$1," ",CHAR(10),'Bundle Tag Info'!$A$2," ",'Bundle Tag Info'!$A$3,CHAR(10),'Bundle Tag Info'!T$6,CHAR(10),'Bundle Tag Info'!T$10),"")</f>
        <v/>
      </c>
      <c r="U4" s="25" t="str">
        <f>IF('Bundle Tag Info'!U$10&lt;&gt;"",CONCATENATE('Bundle Tag Info'!$A$1," ",CHAR(10),'Bundle Tag Info'!$A$2," ",'Bundle Tag Info'!$A$3,CHAR(10),'Bundle Tag Info'!U$6,CHAR(10),'Bundle Tag Info'!U$10),"")</f>
        <v/>
      </c>
      <c r="V4" s="25" t="str">
        <f>IF('Bundle Tag Info'!V$10&lt;&gt;"",CONCATENATE('Bundle Tag Info'!$A$1," ",CHAR(10),'Bundle Tag Info'!$A$2," ",'Bundle Tag Info'!$A$3,CHAR(10),'Bundle Tag Info'!V$6,CHAR(10),'Bundle Tag Info'!V$10),"")</f>
        <v/>
      </c>
      <c r="W4" s="25" t="str">
        <f>IF('Bundle Tag Info'!W$10&lt;&gt;"",CONCATENATE('Bundle Tag Info'!$A$1," ",CHAR(10),'Bundle Tag Info'!$A$2," ",'Bundle Tag Info'!$A$3,CHAR(10),'Bundle Tag Info'!W$6,CHAR(10),'Bundle Tag Info'!W$10),"")</f>
        <v/>
      </c>
      <c r="X4" s="25" t="str">
        <f>IF('Bundle Tag Info'!X$10&lt;&gt;"",CONCATENATE('Bundle Tag Info'!$A$1," ",CHAR(10),'Bundle Tag Info'!$A$2," ",'Bundle Tag Info'!$A$3,CHAR(10),'Bundle Tag Info'!X$6,CHAR(10),'Bundle Tag Info'!X$10),"")</f>
        <v/>
      </c>
      <c r="Y4" s="25" t="str">
        <f>IF('Bundle Tag Info'!Y$10&lt;&gt;"",CONCATENATE('Bundle Tag Info'!$A$1," ",CHAR(10),'Bundle Tag Info'!$A$2," ",'Bundle Tag Info'!$A$3,CHAR(10),'Bundle Tag Info'!Y$6,CHAR(10),'Bundle Tag Info'!Y$10),"")</f>
        <v/>
      </c>
      <c r="Z4" s="25" t="str">
        <f>IF('Bundle Tag Info'!Z$10&lt;&gt;"",CONCATENATE('Bundle Tag Info'!$A$1," ",CHAR(10),'Bundle Tag Info'!$A$2," ",'Bundle Tag Info'!$A$3,CHAR(10),'Bundle Tag Info'!Z$6,CHAR(10),'Bundle Tag Info'!Z$10),"")</f>
        <v/>
      </c>
      <c r="AA4" s="25" t="str">
        <f>IF('Bundle Tag Info'!AA$10&lt;&gt;"",CONCATENATE('Bundle Tag Info'!$A$1," ",CHAR(10),'Bundle Tag Info'!$A$2," ",'Bundle Tag Info'!$A$3,CHAR(10),'Bundle Tag Info'!AA$6,CHAR(10),'Bundle Tag Info'!AA$10),"")</f>
        <v/>
      </c>
      <c r="AB4" s="25" t="str">
        <f>IF('Bundle Tag Info'!AB$10&lt;&gt;"",CONCATENATE('Bundle Tag Info'!$A$1," ",CHAR(10),'Bundle Tag Info'!$A$2," ",'Bundle Tag Info'!$A$3,CHAR(10),'Bundle Tag Info'!AB$6,CHAR(10),'Bundle Tag Info'!AB$10),"")</f>
        <v/>
      </c>
      <c r="AC4" s="25" t="str">
        <f>IF('Bundle Tag Info'!AC$10&lt;&gt;"",CONCATENATE('Bundle Tag Info'!$A$1," ",CHAR(10),'Bundle Tag Info'!$A$2," ",'Bundle Tag Info'!$A$3,CHAR(10),'Bundle Tag Info'!AC$6,CHAR(10),'Bundle Tag Info'!AC$10),"")</f>
        <v/>
      </c>
      <c r="AD4" s="25" t="str">
        <f>IF('Bundle Tag Info'!AD$10&lt;&gt;"",CONCATENATE('Bundle Tag Info'!$A$1," ",CHAR(10),'Bundle Tag Info'!$A$2," ",'Bundle Tag Info'!$A$3,CHAR(10),'Bundle Tag Info'!AD$6,CHAR(10),'Bundle Tag Info'!AD$10),"")</f>
        <v/>
      </c>
    </row>
    <row r="5" spans="1:30" ht="63.95" customHeight="1" x14ac:dyDescent="0.25">
      <c r="A5" s="25" t="str">
        <f>IF('Bundle Tag Info'!A$11&lt;&gt;"",CONCATENATE('Bundle Tag Info'!$A$1," ",CHAR(10),'Bundle Tag Info'!$A$2," ",'Bundle Tag Info'!$A$3,CHAR(10),'Bundle Tag Info'!A$6,CHAR(10),'Bundle Tag Info'!A$11),"")</f>
        <v>ERGON-V #2 
4K911 Rev A
JB70
SB0472</v>
      </c>
      <c r="F5" s="25" t="str">
        <f>IF('Bundle Tag Info'!F$11&lt;&gt;"",CONCATENATE('Bundle Tag Info'!$A$1," ",CHAR(10),'Bundle Tag Info'!$A$2," ",'Bundle Tag Info'!$A$3,CHAR(10),'Bundle Tag Info'!F$6,CHAR(10),'Bundle Tag Info'!F$11),"")</f>
        <v/>
      </c>
      <c r="G5" s="25" t="str">
        <f>IF('Bundle Tag Info'!G$11&lt;&gt;"",CONCATENATE('Bundle Tag Info'!$A$1," ",CHAR(10),'Bundle Tag Info'!$A$2," ",'Bundle Tag Info'!$A$3,CHAR(10),'Bundle Tag Info'!G$6,CHAR(10),'Bundle Tag Info'!G$11),"")</f>
        <v/>
      </c>
      <c r="J5" s="25" t="str">
        <f>IF('Bundle Tag Info'!J$11&lt;&gt;"",CONCATENATE('Bundle Tag Info'!$A$1," ",CHAR(10),'Bundle Tag Info'!$A$2," ",'Bundle Tag Info'!$A$3,CHAR(10),'Bundle Tag Info'!J$6,CHAR(10),'Bundle Tag Info'!J$11),"")</f>
        <v/>
      </c>
      <c r="K5" s="25" t="str">
        <f>IF('Bundle Tag Info'!K$11&lt;&gt;"",CONCATENATE('Bundle Tag Info'!$A$1," ",CHAR(10),'Bundle Tag Info'!$A$2," ",'Bundle Tag Info'!$A$3,CHAR(10),'Bundle Tag Info'!K$6,CHAR(10),'Bundle Tag Info'!K$11),"")</f>
        <v/>
      </c>
      <c r="L5" s="25" t="str">
        <f>IF('Bundle Tag Info'!L$11&lt;&gt;"",CONCATENATE('Bundle Tag Info'!$A$1," ",CHAR(10),'Bundle Tag Info'!$A$2," ",'Bundle Tag Info'!$A$3,CHAR(10),'Bundle Tag Info'!L$6,CHAR(10),'Bundle Tag Info'!L$11),"")</f>
        <v/>
      </c>
      <c r="M5" s="25" t="str">
        <f>IF('Bundle Tag Info'!M$11&lt;&gt;"",CONCATENATE('Bundle Tag Info'!$A$1," ",CHAR(10),'Bundle Tag Info'!$A$2," ",'Bundle Tag Info'!$A$3,CHAR(10),'Bundle Tag Info'!M$6,CHAR(10),'Bundle Tag Info'!M$11),"")</f>
        <v/>
      </c>
      <c r="N5" s="25" t="str">
        <f>IF('Bundle Tag Info'!N$11&lt;&gt;"",CONCATENATE('Bundle Tag Info'!$A$1," ",CHAR(10),'Bundle Tag Info'!$A$2," ",'Bundle Tag Info'!$A$3,CHAR(10),'Bundle Tag Info'!N$6,CHAR(10),'Bundle Tag Info'!N$11),"")</f>
        <v/>
      </c>
      <c r="O5" s="25" t="str">
        <f>IF('Bundle Tag Info'!O$11&lt;&gt;"",CONCATENATE('Bundle Tag Info'!$A$1," ",CHAR(10),'Bundle Tag Info'!$A$2," ",'Bundle Tag Info'!$A$3,CHAR(10),'Bundle Tag Info'!O$6,CHAR(10),'Bundle Tag Info'!O$11),"")</f>
        <v/>
      </c>
      <c r="P5" s="25" t="str">
        <f>IF('Bundle Tag Info'!P$11&lt;&gt;"",CONCATENATE('Bundle Tag Info'!$A$1," ",CHAR(10),'Bundle Tag Info'!$A$2," ",'Bundle Tag Info'!$A$3,CHAR(10),'Bundle Tag Info'!P$6,CHAR(10),'Bundle Tag Info'!P$11),"")</f>
        <v/>
      </c>
      <c r="Q5" s="25" t="str">
        <f>IF('Bundle Tag Info'!Q$11&lt;&gt;"",CONCATENATE('Bundle Tag Info'!$A$1," ",CHAR(10),'Bundle Tag Info'!$A$2," ",'Bundle Tag Info'!$A$3,CHAR(10),'Bundle Tag Info'!Q$6,CHAR(10),'Bundle Tag Info'!Q$11),"")</f>
        <v/>
      </c>
      <c r="R5" s="25" t="str">
        <f>IF('Bundle Tag Info'!R$11&lt;&gt;"",CONCATENATE('Bundle Tag Info'!$A$1," ",CHAR(10),'Bundle Tag Info'!$A$2," ",'Bundle Tag Info'!$A$3,CHAR(10),'Bundle Tag Info'!R$6,CHAR(10),'Bundle Tag Info'!R$11),"")</f>
        <v/>
      </c>
      <c r="S5" s="25" t="str">
        <f>IF('Bundle Tag Info'!S$11&lt;&gt;"",CONCATENATE('Bundle Tag Info'!$A$1," ",CHAR(10),'Bundle Tag Info'!$A$2," ",'Bundle Tag Info'!$A$3,CHAR(10),'Bundle Tag Info'!S$6,CHAR(10),'Bundle Tag Info'!S$11),"")</f>
        <v/>
      </c>
      <c r="T5" s="25" t="str">
        <f>IF('Bundle Tag Info'!T$11&lt;&gt;"",CONCATENATE('Bundle Tag Info'!$A$1," ",CHAR(10),'Bundle Tag Info'!$A$2," ",'Bundle Tag Info'!$A$3,CHAR(10),'Bundle Tag Info'!T$6,CHAR(10),'Bundle Tag Info'!T$11),"")</f>
        <v/>
      </c>
      <c r="U5" s="25" t="str">
        <f>IF('Bundle Tag Info'!U$11&lt;&gt;"",CONCATENATE('Bundle Tag Info'!$A$1," ",CHAR(10),'Bundle Tag Info'!$A$2," ",'Bundle Tag Info'!$A$3,CHAR(10),'Bundle Tag Info'!U$6,CHAR(10),'Bundle Tag Info'!U$11),"")</f>
        <v/>
      </c>
      <c r="V5" s="25" t="str">
        <f>IF('Bundle Tag Info'!V$11&lt;&gt;"",CONCATENATE('Bundle Tag Info'!$A$1," ",CHAR(10),'Bundle Tag Info'!$A$2," ",'Bundle Tag Info'!$A$3,CHAR(10),'Bundle Tag Info'!V$6,CHAR(10),'Bundle Tag Info'!V$11),"")</f>
        <v/>
      </c>
      <c r="W5" s="25" t="str">
        <f>IF('Bundle Tag Info'!W$11&lt;&gt;"",CONCATENATE('Bundle Tag Info'!$A$1," ",CHAR(10),'Bundle Tag Info'!$A$2," ",'Bundle Tag Info'!$A$3,CHAR(10),'Bundle Tag Info'!W$6,CHAR(10),'Bundle Tag Info'!W$11),"")</f>
        <v/>
      </c>
      <c r="X5" s="25" t="str">
        <f>IF('Bundle Tag Info'!X$11&lt;&gt;"",CONCATENATE('Bundle Tag Info'!$A$1," ",CHAR(10),'Bundle Tag Info'!$A$2," ",'Bundle Tag Info'!$A$3,CHAR(10),'Bundle Tag Info'!X$6,CHAR(10),'Bundle Tag Info'!X$11),"")</f>
        <v/>
      </c>
      <c r="Y5" s="25" t="str">
        <f>IF('Bundle Tag Info'!Y$11&lt;&gt;"",CONCATENATE('Bundle Tag Info'!$A$1," ",CHAR(10),'Bundle Tag Info'!$A$2," ",'Bundle Tag Info'!$A$3,CHAR(10),'Bundle Tag Info'!Y$6,CHAR(10),'Bundle Tag Info'!Y$11),"")</f>
        <v/>
      </c>
      <c r="Z5" s="25" t="str">
        <f>IF('Bundle Tag Info'!Z$11&lt;&gt;"",CONCATENATE('Bundle Tag Info'!$A$1," ",CHAR(10),'Bundle Tag Info'!$A$2," ",'Bundle Tag Info'!$A$3,CHAR(10),'Bundle Tag Info'!Z$6,CHAR(10),'Bundle Tag Info'!Z$11),"")</f>
        <v/>
      </c>
      <c r="AA5" s="25" t="str">
        <f>IF('Bundle Tag Info'!AA$11&lt;&gt;"",CONCATENATE('Bundle Tag Info'!$A$1," ",CHAR(10),'Bundle Tag Info'!$A$2," ",'Bundle Tag Info'!$A$3,CHAR(10),'Bundle Tag Info'!AA$6,CHAR(10),'Bundle Tag Info'!AA$11),"")</f>
        <v/>
      </c>
      <c r="AB5" s="25" t="str">
        <f>IF('Bundle Tag Info'!AB$11&lt;&gt;"",CONCATENATE('Bundle Tag Info'!$A$1," ",CHAR(10),'Bundle Tag Info'!$A$2," ",'Bundle Tag Info'!$A$3,CHAR(10),'Bundle Tag Info'!AB$6,CHAR(10),'Bundle Tag Info'!AB$11),"")</f>
        <v/>
      </c>
      <c r="AC5" s="25" t="str">
        <f>IF('Bundle Tag Info'!AC$11&lt;&gt;"",CONCATENATE('Bundle Tag Info'!$A$1," ",CHAR(10),'Bundle Tag Info'!$A$2," ",'Bundle Tag Info'!$A$3,CHAR(10),'Bundle Tag Info'!AC$6,CHAR(10),'Bundle Tag Info'!AC$11),"")</f>
        <v/>
      </c>
      <c r="AD5" s="25" t="str">
        <f>IF('Bundle Tag Info'!AD$11&lt;&gt;"",CONCATENATE('Bundle Tag Info'!$A$1," ",CHAR(10),'Bundle Tag Info'!$A$2," ",'Bundle Tag Info'!$A$3,CHAR(10),'Bundle Tag Info'!AD$6,CHAR(10),'Bundle Tag Info'!AD$11),"")</f>
        <v/>
      </c>
    </row>
    <row r="6" spans="1:30" ht="63.95" customHeight="1" x14ac:dyDescent="0.25">
      <c r="A6" s="25" t="str">
        <f>IF('Bundle Tag Info'!A$12&lt;&gt;"",CONCATENATE('Bundle Tag Info'!$A$1," ",CHAR(10),'Bundle Tag Info'!$A$2," ",'Bundle Tag Info'!$A$3,CHAR(10),'Bundle Tag Info'!A$6,CHAR(10),'Bundle Tag Info'!A$12),"")</f>
        <v>ERGON-V #2 
4K911 Rev A
JB70
SA0471</v>
      </c>
      <c r="F6" s="25" t="str">
        <f>IF('Bundle Tag Info'!F$12&lt;&gt;"",CONCATENATE('Bundle Tag Info'!$A$1," ",CHAR(10),'Bundle Tag Info'!$A$2," ",'Bundle Tag Info'!$A$3,CHAR(10),'Bundle Tag Info'!F$6,CHAR(10),'Bundle Tag Info'!F$12),"")</f>
        <v/>
      </c>
      <c r="G6" s="25" t="str">
        <f>IF('Bundle Tag Info'!G$12&lt;&gt;"",CONCATENATE('Bundle Tag Info'!$A$1," ",CHAR(10),'Bundle Tag Info'!$A$2," ",'Bundle Tag Info'!$A$3,CHAR(10),'Bundle Tag Info'!G$6,CHAR(10),'Bundle Tag Info'!G$12),"")</f>
        <v/>
      </c>
      <c r="J6" s="25" t="str">
        <f>IF('Bundle Tag Info'!J$12&lt;&gt;"",CONCATENATE('Bundle Tag Info'!$A$1," ",CHAR(10),'Bundle Tag Info'!$A$2," ",'Bundle Tag Info'!$A$3,CHAR(10),'Bundle Tag Info'!J$6,CHAR(10),'Bundle Tag Info'!J$12),"")</f>
        <v/>
      </c>
      <c r="K6" s="25" t="str">
        <f>IF('Bundle Tag Info'!K$12&lt;&gt;"",CONCATENATE('Bundle Tag Info'!$A$1," ",CHAR(10),'Bundle Tag Info'!$A$2," ",'Bundle Tag Info'!$A$3,CHAR(10),'Bundle Tag Info'!K$6,CHAR(10),'Bundle Tag Info'!K$12),"")</f>
        <v/>
      </c>
      <c r="L6" s="25" t="str">
        <f>IF('Bundle Tag Info'!L$12&lt;&gt;"",CONCATENATE('Bundle Tag Info'!$A$1," ",CHAR(10),'Bundle Tag Info'!$A$2," ",'Bundle Tag Info'!$A$3,CHAR(10),'Bundle Tag Info'!L$6,CHAR(10),'Bundle Tag Info'!L$12),"")</f>
        <v/>
      </c>
      <c r="M6" s="25" t="str">
        <f>IF('Bundle Tag Info'!M$12&lt;&gt;"",CONCATENATE('Bundle Tag Info'!$A$1," ",CHAR(10),'Bundle Tag Info'!$A$2," ",'Bundle Tag Info'!$A$3,CHAR(10),'Bundle Tag Info'!M$6,CHAR(10),'Bundle Tag Info'!M$12),"")</f>
        <v/>
      </c>
      <c r="N6" s="25" t="str">
        <f>IF('Bundle Tag Info'!N$12&lt;&gt;"",CONCATENATE('Bundle Tag Info'!$A$1," ",CHAR(10),'Bundle Tag Info'!$A$2," ",'Bundle Tag Info'!$A$3,CHAR(10),'Bundle Tag Info'!N$6,CHAR(10),'Bundle Tag Info'!N$12),"")</f>
        <v/>
      </c>
      <c r="O6" s="25" t="str">
        <f>IF('Bundle Tag Info'!O$12&lt;&gt;"",CONCATENATE('Bundle Tag Info'!$A$1," ",CHAR(10),'Bundle Tag Info'!$A$2," ",'Bundle Tag Info'!$A$3,CHAR(10),'Bundle Tag Info'!O$6,CHAR(10),'Bundle Tag Info'!O$12),"")</f>
        <v/>
      </c>
      <c r="P6" s="25" t="str">
        <f>IF('Bundle Tag Info'!P$12&lt;&gt;"",CONCATENATE('Bundle Tag Info'!$A$1," ",CHAR(10),'Bundle Tag Info'!$A$2," ",'Bundle Tag Info'!$A$3,CHAR(10),'Bundle Tag Info'!P$6,CHAR(10),'Bundle Tag Info'!P$12),"")</f>
        <v/>
      </c>
      <c r="Q6" s="25" t="str">
        <f>IF('Bundle Tag Info'!Q$12&lt;&gt;"",CONCATENATE('Bundle Tag Info'!$A$1," ",CHAR(10),'Bundle Tag Info'!$A$2," ",'Bundle Tag Info'!$A$3,CHAR(10),'Bundle Tag Info'!Q$6,CHAR(10),'Bundle Tag Info'!Q$12),"")</f>
        <v/>
      </c>
      <c r="R6" s="25" t="str">
        <f>IF('Bundle Tag Info'!R$12&lt;&gt;"",CONCATENATE('Bundle Tag Info'!$A$1," ",CHAR(10),'Bundle Tag Info'!$A$2," ",'Bundle Tag Info'!$A$3,CHAR(10),'Bundle Tag Info'!R$6,CHAR(10),'Bundle Tag Info'!R$12),"")</f>
        <v/>
      </c>
      <c r="S6" s="25" t="str">
        <f>IF('Bundle Tag Info'!S$12&lt;&gt;"",CONCATENATE('Bundle Tag Info'!$A$1," ",CHAR(10),'Bundle Tag Info'!$A$2," ",'Bundle Tag Info'!$A$3,CHAR(10),'Bundle Tag Info'!S$6,CHAR(10),'Bundle Tag Info'!S$12),"")</f>
        <v/>
      </c>
      <c r="T6" s="25" t="str">
        <f>IF('Bundle Tag Info'!T$12&lt;&gt;"",CONCATENATE('Bundle Tag Info'!$A$1," ",CHAR(10),'Bundle Tag Info'!$A$2," ",'Bundle Tag Info'!$A$3,CHAR(10),'Bundle Tag Info'!T$6,CHAR(10),'Bundle Tag Info'!T$12),"")</f>
        <v/>
      </c>
      <c r="U6" s="25" t="str">
        <f>IF('Bundle Tag Info'!U$12&lt;&gt;"",CONCATENATE('Bundle Tag Info'!$A$1," ",CHAR(10),'Bundle Tag Info'!$A$2," ",'Bundle Tag Info'!$A$3,CHAR(10),'Bundle Tag Info'!U$6,CHAR(10),'Bundle Tag Info'!U$12),"")</f>
        <v/>
      </c>
      <c r="V6" s="25" t="str">
        <f>IF('Bundle Tag Info'!V$12&lt;&gt;"",CONCATENATE('Bundle Tag Info'!$A$1," ",CHAR(10),'Bundle Tag Info'!$A$2," ",'Bundle Tag Info'!$A$3,CHAR(10),'Bundle Tag Info'!V$6,CHAR(10),'Bundle Tag Info'!V$12),"")</f>
        <v/>
      </c>
      <c r="W6" s="25" t="str">
        <f>IF('Bundle Tag Info'!W$12&lt;&gt;"",CONCATENATE('Bundle Tag Info'!$A$1," ",CHAR(10),'Bundle Tag Info'!$A$2," ",'Bundle Tag Info'!$A$3,CHAR(10),'Bundle Tag Info'!W$6,CHAR(10),'Bundle Tag Info'!W$12),"")</f>
        <v/>
      </c>
      <c r="X6" s="25" t="str">
        <f>IF('Bundle Tag Info'!X$12&lt;&gt;"",CONCATENATE('Bundle Tag Info'!$A$1," ",CHAR(10),'Bundle Tag Info'!$A$2," ",'Bundle Tag Info'!$A$3,CHAR(10),'Bundle Tag Info'!X$6,CHAR(10),'Bundle Tag Info'!X$12),"")</f>
        <v/>
      </c>
      <c r="Y6" s="25" t="str">
        <f>IF('Bundle Tag Info'!Y$12&lt;&gt;"",CONCATENATE('Bundle Tag Info'!$A$1," ",CHAR(10),'Bundle Tag Info'!$A$2," ",'Bundle Tag Info'!$A$3,CHAR(10),'Bundle Tag Info'!Y$6,CHAR(10),'Bundle Tag Info'!Y$12),"")</f>
        <v/>
      </c>
      <c r="Z6" s="25" t="str">
        <f>IF('Bundle Tag Info'!Z$12&lt;&gt;"",CONCATENATE('Bundle Tag Info'!$A$1," ",CHAR(10),'Bundle Tag Info'!$A$2," ",'Bundle Tag Info'!$A$3,CHAR(10),'Bundle Tag Info'!Z$6,CHAR(10),'Bundle Tag Info'!Z$12),"")</f>
        <v/>
      </c>
      <c r="AA6" s="25" t="str">
        <f>IF('Bundle Tag Info'!AA$12&lt;&gt;"",CONCATENATE('Bundle Tag Info'!$A$1," ",CHAR(10),'Bundle Tag Info'!$A$2," ",'Bundle Tag Info'!$A$3,CHAR(10),'Bundle Tag Info'!AA$6,CHAR(10),'Bundle Tag Info'!AA$12),"")</f>
        <v/>
      </c>
      <c r="AB6" s="25" t="str">
        <f>IF('Bundle Tag Info'!AB$12&lt;&gt;"",CONCATENATE('Bundle Tag Info'!$A$1," ",CHAR(10),'Bundle Tag Info'!$A$2," ",'Bundle Tag Info'!$A$3,CHAR(10),'Bundle Tag Info'!AB$6,CHAR(10),'Bundle Tag Info'!AB$12),"")</f>
        <v/>
      </c>
      <c r="AC6" s="25" t="str">
        <f>IF('Bundle Tag Info'!AC$12&lt;&gt;"",CONCATENATE('Bundle Tag Info'!$A$1," ",CHAR(10),'Bundle Tag Info'!$A$2," ",'Bundle Tag Info'!$A$3,CHAR(10),'Bundle Tag Info'!AC$6,CHAR(10),'Bundle Tag Info'!AC$12),"")</f>
        <v/>
      </c>
      <c r="AD6" s="25" t="str">
        <f>IF('Bundle Tag Info'!AD$12&lt;&gt;"",CONCATENATE('Bundle Tag Info'!$A$1," ",CHAR(10),'Bundle Tag Info'!$A$2," ",'Bundle Tag Info'!$A$3,CHAR(10),'Bundle Tag Info'!AD$6,CHAR(10),'Bundle Tag Info'!AD$12),"")</f>
        <v/>
      </c>
    </row>
    <row r="7" spans="1:30" ht="63.95" customHeight="1" x14ac:dyDescent="0.25">
      <c r="A7" s="25" t="str">
        <f>IF('Bundle Tag Info'!A$13&lt;&gt;"",CONCATENATE('Bundle Tag Info'!$A$1," ",CHAR(10),'Bundle Tag Info'!$A$2," ",'Bundle Tag Info'!$A$3,CHAR(10),'Bundle Tag Info'!A$6,CHAR(10),'Bundle Tag Info'!A$13),"")</f>
        <v>ERGON-V #2 
4K911 Rev A
JB70
SB0471</v>
      </c>
      <c r="F7" s="25" t="str">
        <f>IF('Bundle Tag Info'!F$13&lt;&gt;"",CONCATENATE('Bundle Tag Info'!$A$1," ",CHAR(10),'Bundle Tag Info'!$A$2," ",'Bundle Tag Info'!$A$3,CHAR(10),'Bundle Tag Info'!F$6,CHAR(10),'Bundle Tag Info'!F$13),"")</f>
        <v/>
      </c>
      <c r="G7" s="25" t="str">
        <f>IF('Bundle Tag Info'!G$13&lt;&gt;"",CONCATENATE('Bundle Tag Info'!$A$1," ",CHAR(10),'Bundle Tag Info'!$A$2," ",'Bundle Tag Info'!$A$3,CHAR(10),'Bundle Tag Info'!G$6,CHAR(10),'Bundle Tag Info'!G$13),"")</f>
        <v/>
      </c>
      <c r="H7" s="25" t="str">
        <f>IF('Bundle Tag Info'!H$13&lt;&gt;"",CONCATENATE('Bundle Tag Info'!$A$1," ",CHAR(10),'Bundle Tag Info'!$A$2," ",'Bundle Tag Info'!$A$3,CHAR(10),'Bundle Tag Info'!H$6,CHAR(10),'Bundle Tag Info'!H$13),"")</f>
        <v/>
      </c>
      <c r="J7" s="25" t="str">
        <f>IF('Bundle Tag Info'!J$13&lt;&gt;"",CONCATENATE('Bundle Tag Info'!$A$1," ",CHAR(10),'Bundle Tag Info'!$A$2," ",'Bundle Tag Info'!$A$3,CHAR(10),'Bundle Tag Info'!J$6,CHAR(10),'Bundle Tag Info'!J$13),"")</f>
        <v/>
      </c>
      <c r="K7" s="25" t="str">
        <f>IF('Bundle Tag Info'!K$13&lt;&gt;"",CONCATENATE('Bundle Tag Info'!$A$1," ",CHAR(10),'Bundle Tag Info'!$A$2," ",'Bundle Tag Info'!$A$3,CHAR(10),'Bundle Tag Info'!K$6,CHAR(10),'Bundle Tag Info'!K$13),"")</f>
        <v/>
      </c>
      <c r="L7" s="25" t="str">
        <f>IF('Bundle Tag Info'!L$13&lt;&gt;"",CONCATENATE('Bundle Tag Info'!$A$1," ",CHAR(10),'Bundle Tag Info'!$A$2," ",'Bundle Tag Info'!$A$3,CHAR(10),'Bundle Tag Info'!L$6,CHAR(10),'Bundle Tag Info'!L$13),"")</f>
        <v/>
      </c>
      <c r="M7" s="25" t="str">
        <f>IF('Bundle Tag Info'!M$13&lt;&gt;"",CONCATENATE('Bundle Tag Info'!$A$1," ",CHAR(10),'Bundle Tag Info'!$A$2," ",'Bundle Tag Info'!$A$3,CHAR(10),'Bundle Tag Info'!M$6,CHAR(10),'Bundle Tag Info'!M$13),"")</f>
        <v/>
      </c>
      <c r="N7" s="25" t="str">
        <f>IF('Bundle Tag Info'!N$13&lt;&gt;"",CONCATENATE('Bundle Tag Info'!$A$1," ",CHAR(10),'Bundle Tag Info'!$A$2," ",'Bundle Tag Info'!$A$3,CHAR(10),'Bundle Tag Info'!N$6,CHAR(10),'Bundle Tag Info'!N$13),"")</f>
        <v/>
      </c>
      <c r="O7" s="25" t="str">
        <f>IF('Bundle Tag Info'!O$13&lt;&gt;"",CONCATENATE('Bundle Tag Info'!$A$1," ",CHAR(10),'Bundle Tag Info'!$A$2," ",'Bundle Tag Info'!$A$3,CHAR(10),'Bundle Tag Info'!O$6,CHAR(10),'Bundle Tag Info'!O$13),"")</f>
        <v/>
      </c>
      <c r="P7" s="25" t="str">
        <f>IF('Bundle Tag Info'!P$13&lt;&gt;"",CONCATENATE('Bundle Tag Info'!$A$1," ",CHAR(10),'Bundle Tag Info'!$A$2," ",'Bundle Tag Info'!$A$3,CHAR(10),'Bundle Tag Info'!P$6,CHAR(10),'Bundle Tag Info'!P$13),"")</f>
        <v/>
      </c>
      <c r="Q7" s="25" t="str">
        <f>IF('Bundle Tag Info'!Q$13&lt;&gt;"",CONCATENATE('Bundle Tag Info'!$A$1," ",CHAR(10),'Bundle Tag Info'!$A$2," ",'Bundle Tag Info'!$A$3,CHAR(10),'Bundle Tag Info'!Q$6,CHAR(10),'Bundle Tag Info'!Q$13),"")</f>
        <v/>
      </c>
      <c r="R7" s="25" t="str">
        <f>IF('Bundle Tag Info'!R$13&lt;&gt;"",CONCATENATE('Bundle Tag Info'!$A$1," ",CHAR(10),'Bundle Tag Info'!$A$2," ",'Bundle Tag Info'!$A$3,CHAR(10),'Bundle Tag Info'!R$6,CHAR(10),'Bundle Tag Info'!R$13),"")</f>
        <v/>
      </c>
      <c r="S7" s="25" t="str">
        <f>IF('Bundle Tag Info'!S$13&lt;&gt;"",CONCATENATE('Bundle Tag Info'!$A$1," ",CHAR(10),'Bundle Tag Info'!$A$2," ",'Bundle Tag Info'!$A$3,CHAR(10),'Bundle Tag Info'!S$6,CHAR(10),'Bundle Tag Info'!S$13),"")</f>
        <v/>
      </c>
      <c r="T7" s="25" t="str">
        <f>IF('Bundle Tag Info'!T$13&lt;&gt;"",CONCATENATE('Bundle Tag Info'!$A$1," ",CHAR(10),'Bundle Tag Info'!$A$2," ",'Bundle Tag Info'!$A$3,CHAR(10),'Bundle Tag Info'!T$6,CHAR(10),'Bundle Tag Info'!T$13),"")</f>
        <v/>
      </c>
      <c r="U7" s="25" t="str">
        <f>IF('Bundle Tag Info'!U$13&lt;&gt;"",CONCATENATE('Bundle Tag Info'!$A$1," ",CHAR(10),'Bundle Tag Info'!$A$2," ",'Bundle Tag Info'!$A$3,CHAR(10),'Bundle Tag Info'!U$6,CHAR(10),'Bundle Tag Info'!U$13),"")</f>
        <v/>
      </c>
      <c r="V7" s="25" t="str">
        <f>IF('Bundle Tag Info'!V$13&lt;&gt;"",CONCATENATE('Bundle Tag Info'!$A$1," ",CHAR(10),'Bundle Tag Info'!$A$2," ",'Bundle Tag Info'!$A$3,CHAR(10),'Bundle Tag Info'!V$6,CHAR(10),'Bundle Tag Info'!V$13),"")</f>
        <v/>
      </c>
      <c r="W7" s="25" t="str">
        <f>IF('Bundle Tag Info'!W$13&lt;&gt;"",CONCATENATE('Bundle Tag Info'!$A$1," ",CHAR(10),'Bundle Tag Info'!$A$2," ",'Bundle Tag Info'!$A$3,CHAR(10),'Bundle Tag Info'!W$6,CHAR(10),'Bundle Tag Info'!W$13),"")</f>
        <v/>
      </c>
      <c r="X7" s="25" t="str">
        <f>IF('Bundle Tag Info'!X$13&lt;&gt;"",CONCATENATE('Bundle Tag Info'!$A$1," ",CHAR(10),'Bundle Tag Info'!$A$2," ",'Bundle Tag Info'!$A$3,CHAR(10),'Bundle Tag Info'!X$6,CHAR(10),'Bundle Tag Info'!X$13),"")</f>
        <v/>
      </c>
      <c r="Y7" s="25" t="str">
        <f>IF('Bundle Tag Info'!Y$13&lt;&gt;"",CONCATENATE('Bundle Tag Info'!$A$1," ",CHAR(10),'Bundle Tag Info'!$A$2," ",'Bundle Tag Info'!$A$3,CHAR(10),'Bundle Tag Info'!Y$6,CHAR(10),'Bundle Tag Info'!Y$13),"")</f>
        <v/>
      </c>
      <c r="Z7" s="25" t="str">
        <f>IF('Bundle Tag Info'!Z$13&lt;&gt;"",CONCATENATE('Bundle Tag Info'!$A$1," ",CHAR(10),'Bundle Tag Info'!$A$2," ",'Bundle Tag Info'!$A$3,CHAR(10),'Bundle Tag Info'!Z$6,CHAR(10),'Bundle Tag Info'!Z$13),"")</f>
        <v/>
      </c>
      <c r="AA7" s="25" t="str">
        <f>IF('Bundle Tag Info'!AA$13&lt;&gt;"",CONCATENATE('Bundle Tag Info'!$A$1," ",CHAR(10),'Bundle Tag Info'!$A$2," ",'Bundle Tag Info'!$A$3,CHAR(10),'Bundle Tag Info'!AA$6,CHAR(10),'Bundle Tag Info'!AA$13),"")</f>
        <v/>
      </c>
      <c r="AB7" s="25" t="str">
        <f>IF('Bundle Tag Info'!AB$13&lt;&gt;"",CONCATENATE('Bundle Tag Info'!$A$1," ",CHAR(10),'Bundle Tag Info'!$A$2," ",'Bundle Tag Info'!$A$3,CHAR(10),'Bundle Tag Info'!AB$6,CHAR(10),'Bundle Tag Info'!AB$13),"")</f>
        <v/>
      </c>
      <c r="AC7" s="25" t="str">
        <f>IF('Bundle Tag Info'!AC$13&lt;&gt;"",CONCATENATE('Bundle Tag Info'!$A$1," ",CHAR(10),'Bundle Tag Info'!$A$2," ",'Bundle Tag Info'!$A$3,CHAR(10),'Bundle Tag Info'!AC$6,CHAR(10),'Bundle Tag Info'!AC$13),"")</f>
        <v/>
      </c>
      <c r="AD7" s="25" t="str">
        <f>IF('Bundle Tag Info'!AD$13&lt;&gt;"",CONCATENATE('Bundle Tag Info'!$A$1," ",CHAR(10),'Bundle Tag Info'!$A$2," ",'Bundle Tag Info'!$A$3,CHAR(10),'Bundle Tag Info'!AD$6,CHAR(10),'Bundle Tag Info'!AD$13),"")</f>
        <v/>
      </c>
    </row>
    <row r="8" spans="1:30" ht="63.95" customHeight="1" x14ac:dyDescent="0.25">
      <c r="A8" s="25" t="str">
        <f>IF('Bundle Tag Info'!A$14&lt;&gt;"",CONCATENATE('Bundle Tag Info'!$A$1," ",CHAR(10),'Bundle Tag Info'!$A$2," ",'Bundle Tag Info'!$A$3,CHAR(10),'Bundle Tag Info'!A$6,CHAR(10),'Bundle Tag Info'!A$14),"")</f>
        <v>ERGON-V #2 
4K911 Rev A
JB70
SB0473</v>
      </c>
      <c r="F8" s="25" t="str">
        <f>IF('Bundle Tag Info'!F$14&lt;&gt;"",CONCATENATE('Bundle Tag Info'!$A$1," ",CHAR(10),'Bundle Tag Info'!$A$2," ",'Bundle Tag Info'!$A$3,CHAR(10),'Bundle Tag Info'!F$6,CHAR(10),'Bundle Tag Info'!F$14),"")</f>
        <v/>
      </c>
      <c r="G8" s="25" t="str">
        <f>IF('Bundle Tag Info'!G$14&lt;&gt;"",CONCATENATE('Bundle Tag Info'!$A$1," ",CHAR(10),'Bundle Tag Info'!$A$2," ",'Bundle Tag Info'!$A$3,CHAR(10),'Bundle Tag Info'!G$6,CHAR(10),'Bundle Tag Info'!G$14),"")</f>
        <v/>
      </c>
      <c r="H8" s="25" t="str">
        <f>IF('Bundle Tag Info'!H$14&lt;&gt;"",CONCATENATE('Bundle Tag Info'!$A$1," ",CHAR(10),'Bundle Tag Info'!$A$2," ",'Bundle Tag Info'!$A$3,CHAR(10),'Bundle Tag Info'!H$6,CHAR(10),'Bundle Tag Info'!H$14),"")</f>
        <v/>
      </c>
      <c r="J8" s="25" t="str">
        <f>IF('Bundle Tag Info'!J$14&lt;&gt;"",CONCATENATE('Bundle Tag Info'!$A$1," ",CHAR(10),'Bundle Tag Info'!$A$2," ",'Bundle Tag Info'!$A$3,CHAR(10),'Bundle Tag Info'!J$6,CHAR(10),'Bundle Tag Info'!J$14),"")</f>
        <v/>
      </c>
      <c r="K8" s="25" t="str">
        <f>IF('Bundle Tag Info'!K$14&lt;&gt;"",CONCATENATE('Bundle Tag Info'!$A$1," ",CHAR(10),'Bundle Tag Info'!$A$2," ",'Bundle Tag Info'!$A$3,CHAR(10),'Bundle Tag Info'!K$6,CHAR(10),'Bundle Tag Info'!K$14),"")</f>
        <v/>
      </c>
      <c r="L8" s="25" t="str">
        <f>IF('Bundle Tag Info'!L$14&lt;&gt;"",CONCATENATE('Bundle Tag Info'!$A$1," ",CHAR(10),'Bundle Tag Info'!$A$2," ",'Bundle Tag Info'!$A$3,CHAR(10),'Bundle Tag Info'!L$6,CHAR(10),'Bundle Tag Info'!L$14),"")</f>
        <v/>
      </c>
      <c r="M8" s="25" t="str">
        <f>IF('Bundle Tag Info'!M$14&lt;&gt;"",CONCATENATE('Bundle Tag Info'!$A$1," ",CHAR(10),'Bundle Tag Info'!$A$2," ",'Bundle Tag Info'!$A$3,CHAR(10),'Bundle Tag Info'!M$6,CHAR(10),'Bundle Tag Info'!M$14),"")</f>
        <v/>
      </c>
      <c r="N8" s="25" t="str">
        <f>IF('Bundle Tag Info'!N$14&lt;&gt;"",CONCATENATE('Bundle Tag Info'!$A$1," ",CHAR(10),'Bundle Tag Info'!$A$2," ",'Bundle Tag Info'!$A$3,CHAR(10),'Bundle Tag Info'!N$6,CHAR(10),'Bundle Tag Info'!N$14),"")</f>
        <v/>
      </c>
      <c r="O8" s="25" t="str">
        <f>IF('Bundle Tag Info'!O$14&lt;&gt;"",CONCATENATE('Bundle Tag Info'!$A$1," ",CHAR(10),'Bundle Tag Info'!$A$2," ",'Bundle Tag Info'!$A$3,CHAR(10),'Bundle Tag Info'!O$6,CHAR(10),'Bundle Tag Info'!O$14),"")</f>
        <v/>
      </c>
      <c r="P8" s="25" t="str">
        <f>IF('Bundle Tag Info'!P$14&lt;&gt;"",CONCATENATE('Bundle Tag Info'!$A$1," ",CHAR(10),'Bundle Tag Info'!$A$2," ",'Bundle Tag Info'!$A$3,CHAR(10),'Bundle Tag Info'!P$6,CHAR(10),'Bundle Tag Info'!P$14),"")</f>
        <v/>
      </c>
      <c r="Q8" s="25" t="str">
        <f>IF('Bundle Tag Info'!Q$14&lt;&gt;"",CONCATENATE('Bundle Tag Info'!$A$1," ",CHAR(10),'Bundle Tag Info'!$A$2," ",'Bundle Tag Info'!$A$3,CHAR(10),'Bundle Tag Info'!Q$6,CHAR(10),'Bundle Tag Info'!Q$14),"")</f>
        <v/>
      </c>
      <c r="R8" s="25" t="str">
        <f>IF('Bundle Tag Info'!R$14&lt;&gt;"",CONCATENATE('Bundle Tag Info'!$A$1," ",CHAR(10),'Bundle Tag Info'!$A$2," ",'Bundle Tag Info'!$A$3,CHAR(10),'Bundle Tag Info'!R$6,CHAR(10),'Bundle Tag Info'!R$14),"")</f>
        <v/>
      </c>
      <c r="S8" s="25" t="str">
        <f>IF('Bundle Tag Info'!S$14&lt;&gt;"",CONCATENATE('Bundle Tag Info'!$A$1," ",CHAR(10),'Bundle Tag Info'!$A$2," ",'Bundle Tag Info'!$A$3,CHAR(10),'Bundle Tag Info'!S$6,CHAR(10),'Bundle Tag Info'!S$14),"")</f>
        <v/>
      </c>
      <c r="T8" s="25" t="str">
        <f>IF('Bundle Tag Info'!T$14&lt;&gt;"",CONCATENATE('Bundle Tag Info'!$A$1," ",CHAR(10),'Bundle Tag Info'!$A$2," ",'Bundle Tag Info'!$A$3,CHAR(10),'Bundle Tag Info'!T$6,CHAR(10),'Bundle Tag Info'!T$14),"")</f>
        <v/>
      </c>
      <c r="U8" s="25" t="str">
        <f>IF('Bundle Tag Info'!U$14&lt;&gt;"",CONCATENATE('Bundle Tag Info'!$A$1," ",CHAR(10),'Bundle Tag Info'!$A$2," ",'Bundle Tag Info'!$A$3,CHAR(10),'Bundle Tag Info'!U$6,CHAR(10),'Bundle Tag Info'!U$14),"")</f>
        <v/>
      </c>
      <c r="V8" s="25" t="str">
        <f>IF('Bundle Tag Info'!V$14&lt;&gt;"",CONCATENATE('Bundle Tag Info'!$A$1," ",CHAR(10),'Bundle Tag Info'!$A$2," ",'Bundle Tag Info'!$A$3,CHAR(10),'Bundle Tag Info'!V$6,CHAR(10),'Bundle Tag Info'!V$14),"")</f>
        <v/>
      </c>
      <c r="W8" s="25" t="str">
        <f>IF('Bundle Tag Info'!W$14&lt;&gt;"",CONCATENATE('Bundle Tag Info'!$A$1," ",CHAR(10),'Bundle Tag Info'!$A$2," ",'Bundle Tag Info'!$A$3,CHAR(10),'Bundle Tag Info'!W$6,CHAR(10),'Bundle Tag Info'!W$14),"")</f>
        <v/>
      </c>
      <c r="X8" s="25" t="str">
        <f>IF('Bundle Tag Info'!X$14&lt;&gt;"",CONCATENATE('Bundle Tag Info'!$A$1," ",CHAR(10),'Bundle Tag Info'!$A$2," ",'Bundle Tag Info'!$A$3,CHAR(10),'Bundle Tag Info'!X$6,CHAR(10),'Bundle Tag Info'!X$14),"")</f>
        <v/>
      </c>
      <c r="Y8" s="25" t="str">
        <f>IF('Bundle Tag Info'!Y$14&lt;&gt;"",CONCATENATE('Bundle Tag Info'!$A$1," ",CHAR(10),'Bundle Tag Info'!$A$2," ",'Bundle Tag Info'!$A$3,CHAR(10),'Bundle Tag Info'!Y$6,CHAR(10),'Bundle Tag Info'!Y$14),"")</f>
        <v/>
      </c>
      <c r="Z8" s="25" t="str">
        <f>IF('Bundle Tag Info'!Z$14&lt;&gt;"",CONCATENATE('Bundle Tag Info'!$A$1," ",CHAR(10),'Bundle Tag Info'!$A$2," ",'Bundle Tag Info'!$A$3,CHAR(10),'Bundle Tag Info'!Z$6,CHAR(10),'Bundle Tag Info'!Z$14),"")</f>
        <v/>
      </c>
      <c r="AA8" s="25" t="str">
        <f>IF('Bundle Tag Info'!AA$14&lt;&gt;"",CONCATENATE('Bundle Tag Info'!$A$1," ",CHAR(10),'Bundle Tag Info'!$A$2," ",'Bundle Tag Info'!$A$3,CHAR(10),'Bundle Tag Info'!AA$6,CHAR(10),'Bundle Tag Info'!AA$14),"")</f>
        <v/>
      </c>
      <c r="AB8" s="25" t="str">
        <f>IF('Bundle Tag Info'!AB$14&lt;&gt;"",CONCATENATE('Bundle Tag Info'!$A$1," ",CHAR(10),'Bundle Tag Info'!$A$2," ",'Bundle Tag Info'!$A$3,CHAR(10),'Bundle Tag Info'!AB$6,CHAR(10),'Bundle Tag Info'!AB$14),"")</f>
        <v/>
      </c>
      <c r="AC8" s="25" t="str">
        <f>IF('Bundle Tag Info'!AC$14&lt;&gt;"",CONCATENATE('Bundle Tag Info'!$A$1," ",CHAR(10),'Bundle Tag Info'!$A$2," ",'Bundle Tag Info'!$A$3,CHAR(10),'Bundle Tag Info'!AC$6,CHAR(10),'Bundle Tag Info'!AC$14),"")</f>
        <v/>
      </c>
      <c r="AD8" s="25" t="str">
        <f>IF('Bundle Tag Info'!AD$14&lt;&gt;"",CONCATENATE('Bundle Tag Info'!$A$1," ",CHAR(10),'Bundle Tag Info'!$A$2," ",'Bundle Tag Info'!$A$3,CHAR(10),'Bundle Tag Info'!AD$6,CHAR(10),'Bundle Tag Info'!AD$14),"")</f>
        <v/>
      </c>
    </row>
    <row r="9" spans="1:30" ht="63.95" customHeight="1" x14ac:dyDescent="0.25">
      <c r="A9" s="25" t="str">
        <f>IF('Bundle Tag Info'!A$15&lt;&gt;"",CONCATENATE('Bundle Tag Info'!$A$1," ",CHAR(10),'Bundle Tag Info'!$A$2," ",'Bundle Tag Info'!$A$3,CHAR(10),'Bundle Tag Info'!A$6,CHAR(10),'Bundle Tag Info'!A$15),"")</f>
        <v>ERGON-V #2 
4K911 Rev A
JB70
SB0474</v>
      </c>
      <c r="F9" s="25" t="str">
        <f>IF('Bundle Tag Info'!F$15&lt;&gt;"",CONCATENATE('Bundle Tag Info'!$A$1," ",CHAR(10),'Bundle Tag Info'!$A$2," ",'Bundle Tag Info'!$A$3,CHAR(10),'Bundle Tag Info'!F$6,CHAR(10),'Bundle Tag Info'!F$15),"")</f>
        <v/>
      </c>
      <c r="G9" s="25" t="str">
        <f>IF('Bundle Tag Info'!G$15&lt;&gt;"",CONCATENATE('Bundle Tag Info'!$A$1," ",CHAR(10),'Bundle Tag Info'!$A$2," ",'Bundle Tag Info'!$A$3,CHAR(10),'Bundle Tag Info'!G$6,CHAR(10),'Bundle Tag Info'!G$15),"")</f>
        <v/>
      </c>
      <c r="H9" s="25" t="str">
        <f>IF('Bundle Tag Info'!H$15&lt;&gt;"",CONCATENATE('Bundle Tag Info'!$A$1," ",CHAR(10),'Bundle Tag Info'!$A$2," ",'Bundle Tag Info'!$A$3,CHAR(10),'Bundle Tag Info'!H$6,CHAR(10),'Bundle Tag Info'!H$15),"")</f>
        <v/>
      </c>
      <c r="J9" s="25" t="str">
        <f>IF('Bundle Tag Info'!J$15&lt;&gt;"",CONCATENATE('Bundle Tag Info'!$A$1," ",CHAR(10),'Bundle Tag Info'!$A$2," ",'Bundle Tag Info'!$A$3,CHAR(10),'Bundle Tag Info'!J$6,CHAR(10),'Bundle Tag Info'!J$15),"")</f>
        <v/>
      </c>
      <c r="K9" s="25" t="str">
        <f>IF('Bundle Tag Info'!K$15&lt;&gt;"",CONCATENATE('Bundle Tag Info'!$A$1," ",CHAR(10),'Bundle Tag Info'!$A$2," ",'Bundle Tag Info'!$A$3,CHAR(10),'Bundle Tag Info'!K$6,CHAR(10),'Bundle Tag Info'!K$15),"")</f>
        <v/>
      </c>
      <c r="L9" s="25" t="str">
        <f>IF('Bundle Tag Info'!L$15&lt;&gt;"",CONCATENATE('Bundle Tag Info'!$A$1," ",CHAR(10),'Bundle Tag Info'!$A$2," ",'Bundle Tag Info'!$A$3,CHAR(10),'Bundle Tag Info'!L$6,CHAR(10),'Bundle Tag Info'!L$15),"")</f>
        <v/>
      </c>
      <c r="M9" s="25" t="str">
        <f>IF('Bundle Tag Info'!M$15&lt;&gt;"",CONCATENATE('Bundle Tag Info'!$A$1," ",CHAR(10),'Bundle Tag Info'!$A$2," ",'Bundle Tag Info'!$A$3,CHAR(10),'Bundle Tag Info'!M$6,CHAR(10),'Bundle Tag Info'!M$15),"")</f>
        <v/>
      </c>
      <c r="N9" s="25" t="str">
        <f>IF('Bundle Tag Info'!N$15&lt;&gt;"",CONCATENATE('Bundle Tag Info'!$A$1," ",CHAR(10),'Bundle Tag Info'!$A$2," ",'Bundle Tag Info'!$A$3,CHAR(10),'Bundle Tag Info'!N$6,CHAR(10),'Bundle Tag Info'!N$15),"")</f>
        <v/>
      </c>
      <c r="O9" s="25" t="str">
        <f>IF('Bundle Tag Info'!O$15&lt;&gt;"",CONCATENATE('Bundle Tag Info'!$A$1," ",CHAR(10),'Bundle Tag Info'!$A$2," ",'Bundle Tag Info'!$A$3,CHAR(10),'Bundle Tag Info'!O$6,CHAR(10),'Bundle Tag Info'!O$15),"")</f>
        <v/>
      </c>
      <c r="P9" s="25" t="str">
        <f>IF('Bundle Tag Info'!P$15&lt;&gt;"",CONCATENATE('Bundle Tag Info'!$A$1," ",CHAR(10),'Bundle Tag Info'!$A$2," ",'Bundle Tag Info'!$A$3,CHAR(10),'Bundle Tag Info'!P$6,CHAR(10),'Bundle Tag Info'!P$15),"")</f>
        <v/>
      </c>
      <c r="Q9" s="25" t="str">
        <f>IF('Bundle Tag Info'!Q$15&lt;&gt;"",CONCATENATE('Bundle Tag Info'!$A$1," ",CHAR(10),'Bundle Tag Info'!$A$2," ",'Bundle Tag Info'!$A$3,CHAR(10),'Bundle Tag Info'!Q$6,CHAR(10),'Bundle Tag Info'!Q$15),"")</f>
        <v/>
      </c>
      <c r="R9" s="25" t="str">
        <f>IF('Bundle Tag Info'!R$15&lt;&gt;"",CONCATENATE('Bundle Tag Info'!$A$1," ",CHAR(10),'Bundle Tag Info'!$A$2," ",'Bundle Tag Info'!$A$3,CHAR(10),'Bundle Tag Info'!R$6,CHAR(10),'Bundle Tag Info'!R$15),"")</f>
        <v/>
      </c>
      <c r="S9" s="25" t="str">
        <f>IF('Bundle Tag Info'!S$15&lt;&gt;"",CONCATENATE('Bundle Tag Info'!$A$1," ",CHAR(10),'Bundle Tag Info'!$A$2," ",'Bundle Tag Info'!$A$3,CHAR(10),'Bundle Tag Info'!S$6,CHAR(10),'Bundle Tag Info'!S$15),"")</f>
        <v/>
      </c>
      <c r="T9" s="25" t="str">
        <f>IF('Bundle Tag Info'!T$15&lt;&gt;"",CONCATENATE('Bundle Tag Info'!$A$1," ",CHAR(10),'Bundle Tag Info'!$A$2," ",'Bundle Tag Info'!$A$3,CHAR(10),'Bundle Tag Info'!T$6,CHAR(10),'Bundle Tag Info'!T$15),"")</f>
        <v/>
      </c>
      <c r="U9" s="25" t="str">
        <f>IF('Bundle Tag Info'!U$15&lt;&gt;"",CONCATENATE('Bundle Tag Info'!$A$1," ",CHAR(10),'Bundle Tag Info'!$A$2," ",'Bundle Tag Info'!$A$3,CHAR(10),'Bundle Tag Info'!U$6,CHAR(10),'Bundle Tag Info'!U$15),"")</f>
        <v/>
      </c>
      <c r="V9" s="25" t="str">
        <f>IF('Bundle Tag Info'!V$15&lt;&gt;"",CONCATENATE('Bundle Tag Info'!$A$1," ",CHAR(10),'Bundle Tag Info'!$A$2," ",'Bundle Tag Info'!$A$3,CHAR(10),'Bundle Tag Info'!V$6,CHAR(10),'Bundle Tag Info'!V$15),"")</f>
        <v/>
      </c>
      <c r="W9" s="25" t="str">
        <f>IF('Bundle Tag Info'!W$15&lt;&gt;"",CONCATENATE('Bundle Tag Info'!$A$1," ",CHAR(10),'Bundle Tag Info'!$A$2," ",'Bundle Tag Info'!$A$3,CHAR(10),'Bundle Tag Info'!W$6,CHAR(10),'Bundle Tag Info'!W$15),"")</f>
        <v/>
      </c>
      <c r="X9" s="25" t="str">
        <f>IF('Bundle Tag Info'!X$15&lt;&gt;"",CONCATENATE('Bundle Tag Info'!$A$1," ",CHAR(10),'Bundle Tag Info'!$A$2," ",'Bundle Tag Info'!$A$3,CHAR(10),'Bundle Tag Info'!X$6,CHAR(10),'Bundle Tag Info'!X$15),"")</f>
        <v/>
      </c>
      <c r="Y9" s="25" t="str">
        <f>IF('Bundle Tag Info'!Y$15&lt;&gt;"",CONCATENATE('Bundle Tag Info'!$A$1," ",CHAR(10),'Bundle Tag Info'!$A$2," ",'Bundle Tag Info'!$A$3,CHAR(10),'Bundle Tag Info'!Y$6,CHAR(10),'Bundle Tag Info'!Y$15),"")</f>
        <v/>
      </c>
      <c r="Z9" s="25" t="str">
        <f>IF('Bundle Tag Info'!Z$15&lt;&gt;"",CONCATENATE('Bundle Tag Info'!$A$1," ",CHAR(10),'Bundle Tag Info'!$A$2," ",'Bundle Tag Info'!$A$3,CHAR(10),'Bundle Tag Info'!Z$6,CHAR(10),'Bundle Tag Info'!Z$15),"")</f>
        <v/>
      </c>
      <c r="AA9" s="25" t="str">
        <f>IF('Bundle Tag Info'!AA$15&lt;&gt;"",CONCATENATE('Bundle Tag Info'!$A$1," ",CHAR(10),'Bundle Tag Info'!$A$2," ",'Bundle Tag Info'!$A$3,CHAR(10),'Bundle Tag Info'!AA$6,CHAR(10),'Bundle Tag Info'!AA$15),"")</f>
        <v/>
      </c>
      <c r="AB9" s="25" t="str">
        <f>IF('Bundle Tag Info'!AB$15&lt;&gt;"",CONCATENATE('Bundle Tag Info'!$A$1," ",CHAR(10),'Bundle Tag Info'!$A$2," ",'Bundle Tag Info'!$A$3,CHAR(10),'Bundle Tag Info'!AB$6,CHAR(10),'Bundle Tag Info'!AB$15),"")</f>
        <v/>
      </c>
      <c r="AC9" s="25" t="str">
        <f>IF('Bundle Tag Info'!AC$15&lt;&gt;"",CONCATENATE('Bundle Tag Info'!$A$1," ",CHAR(10),'Bundle Tag Info'!$A$2," ",'Bundle Tag Info'!$A$3,CHAR(10),'Bundle Tag Info'!AC$6,CHAR(10),'Bundle Tag Info'!AC$15),"")</f>
        <v/>
      </c>
      <c r="AD9" s="25" t="str">
        <f>IF('Bundle Tag Info'!AD$15&lt;&gt;"",CONCATENATE('Bundle Tag Info'!$A$1," ",CHAR(10),'Bundle Tag Info'!$A$2," ",'Bundle Tag Info'!$A$3,CHAR(10),'Bundle Tag Info'!AD$6,CHAR(10),'Bundle Tag Info'!AD$15),"")</f>
        <v/>
      </c>
    </row>
    <row r="10" spans="1:30" ht="63.95" customHeight="1" x14ac:dyDescent="0.25">
      <c r="A10" s="25" t="str">
        <f>IF('Bundle Tag Info'!A$16&lt;&gt;"",CONCATENATE('Bundle Tag Info'!$A$1," ",CHAR(10),'Bundle Tag Info'!$A$2," ",'Bundle Tag Info'!$A$3,CHAR(10),'Bundle Tag Info'!A$6,CHAR(10),'Bundle Tag Info'!A$16),"")</f>
        <v>ERGON-V #2 
4K911 Rev A
JB70
SH0470</v>
      </c>
      <c r="F10" s="25" t="str">
        <f>IF('Bundle Tag Info'!F$16&lt;&gt;"",CONCATENATE('Bundle Tag Info'!$A$1," ",CHAR(10),'Bundle Tag Info'!$A$2," ",'Bundle Tag Info'!$A$3,CHAR(10),'Bundle Tag Info'!F$6,CHAR(10),'Bundle Tag Info'!F$16),"")</f>
        <v/>
      </c>
      <c r="G10" s="25" t="str">
        <f>IF('Bundle Tag Info'!G$16&lt;&gt;"",CONCATENATE('Bundle Tag Info'!$A$1," ",CHAR(10),'Bundle Tag Info'!$A$2," ",'Bundle Tag Info'!$A$3,CHAR(10),'Bundle Tag Info'!G$6,CHAR(10),'Bundle Tag Info'!G$16),"")</f>
        <v/>
      </c>
      <c r="H10" s="25" t="str">
        <f>IF('Bundle Tag Info'!H$16&lt;&gt;"",CONCATENATE('Bundle Tag Info'!$A$1," ",CHAR(10),'Bundle Tag Info'!$A$2," ",'Bundle Tag Info'!$A$3,CHAR(10),'Bundle Tag Info'!H$6,CHAR(10),'Bundle Tag Info'!H$16),"")</f>
        <v/>
      </c>
      <c r="J10" s="25" t="str">
        <f>IF('Bundle Tag Info'!J$16&lt;&gt;"",CONCATENATE('Bundle Tag Info'!$A$1," ",CHAR(10),'Bundle Tag Info'!$A$2," ",'Bundle Tag Info'!$A$3,CHAR(10),'Bundle Tag Info'!J$6,CHAR(10),'Bundle Tag Info'!J$16),"")</f>
        <v/>
      </c>
      <c r="K10" s="25" t="str">
        <f>IF('Bundle Tag Info'!K$16&lt;&gt;"",CONCATENATE('Bundle Tag Info'!$A$1," ",CHAR(10),'Bundle Tag Info'!$A$2," ",'Bundle Tag Info'!$A$3,CHAR(10),'Bundle Tag Info'!K$6,CHAR(10),'Bundle Tag Info'!K$16),"")</f>
        <v/>
      </c>
      <c r="L10" s="25" t="str">
        <f>IF('Bundle Tag Info'!L$16&lt;&gt;"",CONCATENATE('Bundle Tag Info'!$A$1," ",CHAR(10),'Bundle Tag Info'!$A$2," ",'Bundle Tag Info'!$A$3,CHAR(10),'Bundle Tag Info'!L$6,CHAR(10),'Bundle Tag Info'!L$16),"")</f>
        <v/>
      </c>
      <c r="M10" s="25" t="str">
        <f>IF('Bundle Tag Info'!M$16&lt;&gt;"",CONCATENATE('Bundle Tag Info'!$A$1," ",CHAR(10),'Bundle Tag Info'!$A$2," ",'Bundle Tag Info'!$A$3,CHAR(10),'Bundle Tag Info'!M$6,CHAR(10),'Bundle Tag Info'!M$16),"")</f>
        <v/>
      </c>
      <c r="N10" s="25" t="str">
        <f>IF('Bundle Tag Info'!N$16&lt;&gt;"",CONCATENATE('Bundle Tag Info'!$A$1," ",CHAR(10),'Bundle Tag Info'!$A$2," ",'Bundle Tag Info'!$A$3,CHAR(10),'Bundle Tag Info'!N$6,CHAR(10),'Bundle Tag Info'!N$16),"")</f>
        <v/>
      </c>
      <c r="O10" s="25" t="str">
        <f>IF('Bundle Tag Info'!O$16&lt;&gt;"",CONCATENATE('Bundle Tag Info'!$A$1," ",CHAR(10),'Bundle Tag Info'!$A$2," ",'Bundle Tag Info'!$A$3,CHAR(10),'Bundle Tag Info'!O$6,CHAR(10),'Bundle Tag Info'!O$16),"")</f>
        <v/>
      </c>
      <c r="P10" s="25" t="str">
        <f>IF('Bundle Tag Info'!P$16&lt;&gt;"",CONCATENATE('Bundle Tag Info'!$A$1," ",CHAR(10),'Bundle Tag Info'!$A$2," ",'Bundle Tag Info'!$A$3,CHAR(10),'Bundle Tag Info'!P$6,CHAR(10),'Bundle Tag Info'!P$16),"")</f>
        <v/>
      </c>
      <c r="Q10" s="25" t="str">
        <f>IF('Bundle Tag Info'!Q$16&lt;&gt;"",CONCATENATE('Bundle Tag Info'!$A$1," ",CHAR(10),'Bundle Tag Info'!$A$2," ",'Bundle Tag Info'!$A$3,CHAR(10),'Bundle Tag Info'!Q$6,CHAR(10),'Bundle Tag Info'!Q$16),"")</f>
        <v/>
      </c>
      <c r="R10" s="25" t="str">
        <f>IF('Bundle Tag Info'!R$16&lt;&gt;"",CONCATENATE('Bundle Tag Info'!$A$1," ",CHAR(10),'Bundle Tag Info'!$A$2," ",'Bundle Tag Info'!$A$3,CHAR(10),'Bundle Tag Info'!R$6,CHAR(10),'Bundle Tag Info'!R$16),"")</f>
        <v/>
      </c>
      <c r="S10" s="25" t="str">
        <f>IF('Bundle Tag Info'!S$16&lt;&gt;"",CONCATENATE('Bundle Tag Info'!$A$1," ",CHAR(10),'Bundle Tag Info'!$A$2," ",'Bundle Tag Info'!$A$3,CHAR(10),'Bundle Tag Info'!S$6,CHAR(10),'Bundle Tag Info'!S$16),"")</f>
        <v/>
      </c>
      <c r="T10" s="25" t="str">
        <f>IF('Bundle Tag Info'!T$16&lt;&gt;"",CONCATENATE('Bundle Tag Info'!$A$1," ",CHAR(10),'Bundle Tag Info'!$A$2," ",'Bundle Tag Info'!$A$3,CHAR(10),'Bundle Tag Info'!T$6,CHAR(10),'Bundle Tag Info'!T$16),"")</f>
        <v/>
      </c>
      <c r="U10" s="25" t="str">
        <f>IF('Bundle Tag Info'!U$16&lt;&gt;"",CONCATENATE('Bundle Tag Info'!$A$1," ",CHAR(10),'Bundle Tag Info'!$A$2," ",'Bundle Tag Info'!$A$3,CHAR(10),'Bundle Tag Info'!U$6,CHAR(10),'Bundle Tag Info'!U$16),"")</f>
        <v/>
      </c>
      <c r="V10" s="25" t="str">
        <f>IF('Bundle Tag Info'!V$16&lt;&gt;"",CONCATENATE('Bundle Tag Info'!$A$1," ",CHAR(10),'Bundle Tag Info'!$A$2," ",'Bundle Tag Info'!$A$3,CHAR(10),'Bundle Tag Info'!V$6,CHAR(10),'Bundle Tag Info'!V$16),"")</f>
        <v/>
      </c>
      <c r="W10" s="25" t="str">
        <f>IF('Bundle Tag Info'!W$16&lt;&gt;"",CONCATENATE('Bundle Tag Info'!$A$1," ",CHAR(10),'Bundle Tag Info'!$A$2," ",'Bundle Tag Info'!$A$3,CHAR(10),'Bundle Tag Info'!W$6,CHAR(10),'Bundle Tag Info'!W$16),"")</f>
        <v/>
      </c>
      <c r="X10" s="25" t="str">
        <f>IF('Bundle Tag Info'!X$16&lt;&gt;"",CONCATENATE('Bundle Tag Info'!$A$1," ",CHAR(10),'Bundle Tag Info'!$A$2," ",'Bundle Tag Info'!$A$3,CHAR(10),'Bundle Tag Info'!X$6,CHAR(10),'Bundle Tag Info'!X$16),"")</f>
        <v/>
      </c>
      <c r="Y10" s="25" t="str">
        <f>IF('Bundle Tag Info'!Y$16&lt;&gt;"",CONCATENATE('Bundle Tag Info'!$A$1," ",CHAR(10),'Bundle Tag Info'!$A$2," ",'Bundle Tag Info'!$A$3,CHAR(10),'Bundle Tag Info'!Y$6,CHAR(10),'Bundle Tag Info'!Y$16),"")</f>
        <v/>
      </c>
      <c r="Z10" s="25" t="str">
        <f>IF('Bundle Tag Info'!Z$16&lt;&gt;"",CONCATENATE('Bundle Tag Info'!$A$1," ",CHAR(10),'Bundle Tag Info'!$A$2," ",'Bundle Tag Info'!$A$3,CHAR(10),'Bundle Tag Info'!Z$6,CHAR(10),'Bundle Tag Info'!Z$16),"")</f>
        <v/>
      </c>
      <c r="AA10" s="25" t="str">
        <f>IF('Bundle Tag Info'!AA$16&lt;&gt;"",CONCATENATE('Bundle Tag Info'!$A$1," ",CHAR(10),'Bundle Tag Info'!$A$2," ",'Bundle Tag Info'!$A$3,CHAR(10),'Bundle Tag Info'!AA$6,CHAR(10),'Bundle Tag Info'!AA$16),"")</f>
        <v/>
      </c>
      <c r="AB10" s="25" t="str">
        <f>IF('Bundle Tag Info'!AB$16&lt;&gt;"",CONCATENATE('Bundle Tag Info'!$A$1," ",CHAR(10),'Bundle Tag Info'!$A$2," ",'Bundle Tag Info'!$A$3,CHAR(10),'Bundle Tag Info'!AB$6,CHAR(10),'Bundle Tag Info'!AB$16),"")</f>
        <v/>
      </c>
      <c r="AC10" s="25" t="str">
        <f>IF('Bundle Tag Info'!AC$16&lt;&gt;"",CONCATENATE('Bundle Tag Info'!$A$1," ",CHAR(10),'Bundle Tag Info'!$A$2," ",'Bundle Tag Info'!$A$3,CHAR(10),'Bundle Tag Info'!AC$6,CHAR(10),'Bundle Tag Info'!AC$16),"")</f>
        <v/>
      </c>
      <c r="AD10" s="25" t="str">
        <f>IF('Bundle Tag Info'!AD$16&lt;&gt;"",CONCATENATE('Bundle Tag Info'!$A$1," ",CHAR(10),'Bundle Tag Info'!$A$2," ",'Bundle Tag Info'!$A$3,CHAR(10),'Bundle Tag Info'!AD$6,CHAR(10),'Bundle Tag Info'!AD$16),"")</f>
        <v/>
      </c>
    </row>
    <row r="11" spans="1:30" ht="63.95" customHeight="1" x14ac:dyDescent="0.25">
      <c r="A11" s="25" t="str">
        <f>IF('Bundle Tag Info'!A$17&lt;&gt;"",CONCATENATE('Bundle Tag Info'!$A$1," ",CHAR(10),'Bundle Tag Info'!$A$2," ",'Bundle Tag Info'!$A$3,CHAR(10),'Bundle Tag Info'!A$6,CHAR(10),'Bundle Tag Info'!A$17),"")</f>
        <v>ERGON-V #2 
4K911 Rev A
JB70
SH0471</v>
      </c>
      <c r="F11" s="25" t="str">
        <f>IF('Bundle Tag Info'!F$17&lt;&gt;"",CONCATENATE('Bundle Tag Info'!$A$1," ",CHAR(10),'Bundle Tag Info'!$A$2," ",'Bundle Tag Info'!$A$3,CHAR(10),'Bundle Tag Info'!F$6,CHAR(10),'Bundle Tag Info'!F$17),"")</f>
        <v/>
      </c>
      <c r="G11" s="25" t="str">
        <f>IF('Bundle Tag Info'!G$17&lt;&gt;"",CONCATENATE('Bundle Tag Info'!$A$1," ",CHAR(10),'Bundle Tag Info'!$A$2," ",'Bundle Tag Info'!$A$3,CHAR(10),'Bundle Tag Info'!G$6,CHAR(10),'Bundle Tag Info'!G$17),"")</f>
        <v/>
      </c>
      <c r="H11" s="25" t="str">
        <f>IF('Bundle Tag Info'!H$17&lt;&gt;"",CONCATENATE('Bundle Tag Info'!$A$1," ",CHAR(10),'Bundle Tag Info'!$A$2," ",'Bundle Tag Info'!$A$3,CHAR(10),'Bundle Tag Info'!H$6,CHAR(10),'Bundle Tag Info'!H$17),"")</f>
        <v/>
      </c>
      <c r="J11" s="25" t="str">
        <f>IF('Bundle Tag Info'!J$17&lt;&gt;"",CONCATENATE('Bundle Tag Info'!$A$1," ",CHAR(10),'Bundle Tag Info'!$A$2," ",'Bundle Tag Info'!$A$3,CHAR(10),'Bundle Tag Info'!J$6,CHAR(10),'Bundle Tag Info'!J$17),"")</f>
        <v/>
      </c>
      <c r="K11" s="25" t="str">
        <f>IF('Bundle Tag Info'!K$17&lt;&gt;"",CONCATENATE('Bundle Tag Info'!$A$1," ",CHAR(10),'Bundle Tag Info'!$A$2," ",'Bundle Tag Info'!$A$3,CHAR(10),'Bundle Tag Info'!K$6,CHAR(10),'Bundle Tag Info'!K$17),"")</f>
        <v/>
      </c>
      <c r="L11" s="25" t="str">
        <f>IF('Bundle Tag Info'!L$17&lt;&gt;"",CONCATENATE('Bundle Tag Info'!$A$1," ",CHAR(10),'Bundle Tag Info'!$A$2," ",'Bundle Tag Info'!$A$3,CHAR(10),'Bundle Tag Info'!L$6,CHAR(10),'Bundle Tag Info'!L$17),"")</f>
        <v/>
      </c>
      <c r="M11" s="25" t="str">
        <f>IF('Bundle Tag Info'!M$17&lt;&gt;"",CONCATENATE('Bundle Tag Info'!$A$1," ",CHAR(10),'Bundle Tag Info'!$A$2," ",'Bundle Tag Info'!$A$3,CHAR(10),'Bundle Tag Info'!M$6,CHAR(10),'Bundle Tag Info'!M$17),"")</f>
        <v/>
      </c>
      <c r="N11" s="25" t="str">
        <f>IF('Bundle Tag Info'!N$17&lt;&gt;"",CONCATENATE('Bundle Tag Info'!$A$1," ",CHAR(10),'Bundle Tag Info'!$A$2," ",'Bundle Tag Info'!$A$3,CHAR(10),'Bundle Tag Info'!N$6,CHAR(10),'Bundle Tag Info'!N$17),"")</f>
        <v/>
      </c>
      <c r="O11" s="25" t="str">
        <f>IF('Bundle Tag Info'!O$17&lt;&gt;"",CONCATENATE('Bundle Tag Info'!$A$1," ",CHAR(10),'Bundle Tag Info'!$A$2," ",'Bundle Tag Info'!$A$3,CHAR(10),'Bundle Tag Info'!O$6,CHAR(10),'Bundle Tag Info'!O$17),"")</f>
        <v/>
      </c>
      <c r="P11" s="25" t="str">
        <f>IF('Bundle Tag Info'!P$17&lt;&gt;"",CONCATENATE('Bundle Tag Info'!$A$1," ",CHAR(10),'Bundle Tag Info'!$A$2," ",'Bundle Tag Info'!$A$3,CHAR(10),'Bundle Tag Info'!P$6,CHAR(10),'Bundle Tag Info'!P$17),"")</f>
        <v/>
      </c>
      <c r="Q11" s="25" t="str">
        <f>IF('Bundle Tag Info'!Q$17&lt;&gt;"",CONCATENATE('Bundle Tag Info'!$A$1," ",CHAR(10),'Bundle Tag Info'!$A$2," ",'Bundle Tag Info'!$A$3,CHAR(10),'Bundle Tag Info'!Q$6,CHAR(10),'Bundle Tag Info'!Q$17),"")</f>
        <v/>
      </c>
      <c r="R11" s="25" t="str">
        <f>IF('Bundle Tag Info'!R$17&lt;&gt;"",CONCATENATE('Bundle Tag Info'!$A$1," ",CHAR(10),'Bundle Tag Info'!$A$2," ",'Bundle Tag Info'!$A$3,CHAR(10),'Bundle Tag Info'!R$6,CHAR(10),'Bundle Tag Info'!R$17),"")</f>
        <v/>
      </c>
      <c r="S11" s="25" t="str">
        <f>IF('Bundle Tag Info'!S$17&lt;&gt;"",CONCATENATE('Bundle Tag Info'!$A$1," ",CHAR(10),'Bundle Tag Info'!$A$2," ",'Bundle Tag Info'!$A$3,CHAR(10),'Bundle Tag Info'!S$6,CHAR(10),'Bundle Tag Info'!S$17),"")</f>
        <v/>
      </c>
      <c r="T11" s="25" t="str">
        <f>IF('Bundle Tag Info'!T$17&lt;&gt;"",CONCATENATE('Bundle Tag Info'!$A$1," ",CHAR(10),'Bundle Tag Info'!$A$2," ",'Bundle Tag Info'!$A$3,CHAR(10),'Bundle Tag Info'!T$6,CHAR(10),'Bundle Tag Info'!T$17),"")</f>
        <v/>
      </c>
      <c r="U11" s="25" t="str">
        <f>IF('Bundle Tag Info'!U$17&lt;&gt;"",CONCATENATE('Bundle Tag Info'!$A$1," ",CHAR(10),'Bundle Tag Info'!$A$2," ",'Bundle Tag Info'!$A$3,CHAR(10),'Bundle Tag Info'!U$6,CHAR(10),'Bundle Tag Info'!U$17),"")</f>
        <v/>
      </c>
      <c r="V11" s="25" t="str">
        <f>IF('Bundle Tag Info'!V$17&lt;&gt;"",CONCATENATE('Bundle Tag Info'!$A$1," ",CHAR(10),'Bundle Tag Info'!$A$2," ",'Bundle Tag Info'!$A$3,CHAR(10),'Bundle Tag Info'!V$6,CHAR(10),'Bundle Tag Info'!V$17),"")</f>
        <v/>
      </c>
      <c r="W11" s="25" t="str">
        <f>IF('Bundle Tag Info'!W$17&lt;&gt;"",CONCATENATE('Bundle Tag Info'!$A$1," ",CHAR(10),'Bundle Tag Info'!$A$2," ",'Bundle Tag Info'!$A$3,CHAR(10),'Bundle Tag Info'!W$6,CHAR(10),'Bundle Tag Info'!W$17),"")</f>
        <v/>
      </c>
      <c r="X11" s="25" t="str">
        <f>IF('Bundle Tag Info'!X$17&lt;&gt;"",CONCATENATE('Bundle Tag Info'!$A$1," ",CHAR(10),'Bundle Tag Info'!$A$2," ",'Bundle Tag Info'!$A$3,CHAR(10),'Bundle Tag Info'!X$6,CHAR(10),'Bundle Tag Info'!X$17),"")</f>
        <v/>
      </c>
      <c r="Y11" s="25" t="str">
        <f>IF('Bundle Tag Info'!Y$17&lt;&gt;"",CONCATENATE('Bundle Tag Info'!$A$1," ",CHAR(10),'Bundle Tag Info'!$A$2," ",'Bundle Tag Info'!$A$3,CHAR(10),'Bundle Tag Info'!Y$6,CHAR(10),'Bundle Tag Info'!Y$17),"")</f>
        <v/>
      </c>
      <c r="Z11" s="25" t="str">
        <f>IF('Bundle Tag Info'!Z$17&lt;&gt;"",CONCATENATE('Bundle Tag Info'!$A$1," ",CHAR(10),'Bundle Tag Info'!$A$2," ",'Bundle Tag Info'!$A$3,CHAR(10),'Bundle Tag Info'!Z$6,CHAR(10),'Bundle Tag Info'!Z$17),"")</f>
        <v/>
      </c>
      <c r="AA11" s="25" t="str">
        <f>IF('Bundle Tag Info'!AA$17&lt;&gt;"",CONCATENATE('Bundle Tag Info'!$A$1," ",CHAR(10),'Bundle Tag Info'!$A$2," ",'Bundle Tag Info'!$A$3,CHAR(10),'Bundle Tag Info'!AA$6,CHAR(10),'Bundle Tag Info'!AA$17),"")</f>
        <v/>
      </c>
      <c r="AB11" s="25" t="str">
        <f>IF('Bundle Tag Info'!AB$17&lt;&gt;"",CONCATENATE('Bundle Tag Info'!$A$1," ",CHAR(10),'Bundle Tag Info'!$A$2," ",'Bundle Tag Info'!$A$3,CHAR(10),'Bundle Tag Info'!AB$6,CHAR(10),'Bundle Tag Info'!AB$17),"")</f>
        <v/>
      </c>
      <c r="AC11" s="25" t="str">
        <f>IF('Bundle Tag Info'!AC$17&lt;&gt;"",CONCATENATE('Bundle Tag Info'!$A$1," ",CHAR(10),'Bundle Tag Info'!$A$2," ",'Bundle Tag Info'!$A$3,CHAR(10),'Bundle Tag Info'!AC$6,CHAR(10),'Bundle Tag Info'!AC$17),"")</f>
        <v/>
      </c>
      <c r="AD11" s="25" t="str">
        <f>IF('Bundle Tag Info'!AD$17&lt;&gt;"",CONCATENATE('Bundle Tag Info'!$A$1," ",CHAR(10),'Bundle Tag Info'!$A$2," ",'Bundle Tag Info'!$A$3,CHAR(10),'Bundle Tag Info'!AD$6,CHAR(10),'Bundle Tag Info'!AD$17),"")</f>
        <v/>
      </c>
    </row>
    <row r="12" spans="1:30" ht="63.95" customHeight="1" x14ac:dyDescent="0.25">
      <c r="A12" s="25" t="str">
        <f>IF('Bundle Tag Info'!A$18&lt;&gt;"",CONCATENATE('Bundle Tag Info'!$A$1," ",CHAR(10),'Bundle Tag Info'!$A$2," ",'Bundle Tag Info'!$A$3,CHAR(10),'Bundle Tag Info'!A$6,CHAR(10),'Bundle Tag Info'!A$18),"")</f>
        <v>ERGON-V #2 
4K911 Rev A
JB70
SH0472</v>
      </c>
      <c r="E12" s="25" t="str">
        <f>IF('Bundle Tag Info'!E$18&lt;&gt;"",CONCATENATE('Bundle Tag Info'!$A$1," ",CHAR(10),'Bundle Tag Info'!$A$2," ",'Bundle Tag Info'!$A$3,CHAR(10),'Bundle Tag Info'!E$6,CHAR(10),'Bundle Tag Info'!E$18),"")</f>
        <v/>
      </c>
      <c r="F12" s="25" t="str">
        <f>IF('Bundle Tag Info'!F$18&lt;&gt;"",CONCATENATE('Bundle Tag Info'!$A$1," ",CHAR(10),'Bundle Tag Info'!$A$2," ",'Bundle Tag Info'!$A$3,CHAR(10),'Bundle Tag Info'!F$6,CHAR(10),'Bundle Tag Info'!F$18),"")</f>
        <v/>
      </c>
      <c r="G12" s="25" t="str">
        <f>IF('Bundle Tag Info'!G$18&lt;&gt;"",CONCATENATE('Bundle Tag Info'!$A$1," ",CHAR(10),'Bundle Tag Info'!$A$2," ",'Bundle Tag Info'!$A$3,CHAR(10),'Bundle Tag Info'!G$6,CHAR(10),'Bundle Tag Info'!G$18),"")</f>
        <v/>
      </c>
      <c r="H12" s="25" t="str">
        <f>IF('Bundle Tag Info'!H$18&lt;&gt;"",CONCATENATE('Bundle Tag Info'!$A$1," ",CHAR(10),'Bundle Tag Info'!$A$2," ",'Bundle Tag Info'!$A$3,CHAR(10),'Bundle Tag Info'!H$6,CHAR(10),'Bundle Tag Info'!H$18),"")</f>
        <v/>
      </c>
      <c r="I12" s="25" t="str">
        <f>IF('Bundle Tag Info'!I$18&lt;&gt;"",CONCATENATE('Bundle Tag Info'!$A$1," ",CHAR(10),'Bundle Tag Info'!$A$2," ",'Bundle Tag Info'!$A$3,CHAR(10),'Bundle Tag Info'!I$6,CHAR(10),'Bundle Tag Info'!I$18),"")</f>
        <v/>
      </c>
      <c r="J12" s="25" t="str">
        <f>IF('Bundle Tag Info'!J$18&lt;&gt;"",CONCATENATE('Bundle Tag Info'!$A$1," ",CHAR(10),'Bundle Tag Info'!$A$2," ",'Bundle Tag Info'!$A$3,CHAR(10),'Bundle Tag Info'!J$6,CHAR(10),'Bundle Tag Info'!J$18),"")</f>
        <v/>
      </c>
      <c r="K12" s="25" t="str">
        <f>IF('Bundle Tag Info'!K$18&lt;&gt;"",CONCATENATE('Bundle Tag Info'!$A$1," ",CHAR(10),'Bundle Tag Info'!$A$2," ",'Bundle Tag Info'!$A$3,CHAR(10),'Bundle Tag Info'!K$6,CHAR(10),'Bundle Tag Info'!K$18),"")</f>
        <v/>
      </c>
      <c r="L12" s="25" t="str">
        <f>IF('Bundle Tag Info'!L$18&lt;&gt;"",CONCATENATE('Bundle Tag Info'!$A$1," ",CHAR(10),'Bundle Tag Info'!$A$2," ",'Bundle Tag Info'!$A$3,CHAR(10),'Bundle Tag Info'!L$6,CHAR(10),'Bundle Tag Info'!L$18),"")</f>
        <v/>
      </c>
      <c r="M12" s="25" t="str">
        <f>IF('Bundle Tag Info'!M$18&lt;&gt;"",CONCATENATE('Bundle Tag Info'!$A$1," ",CHAR(10),'Bundle Tag Info'!$A$2," ",'Bundle Tag Info'!$A$3,CHAR(10),'Bundle Tag Info'!M$6,CHAR(10),'Bundle Tag Info'!M$18),"")</f>
        <v/>
      </c>
      <c r="N12" s="25" t="str">
        <f>IF('Bundle Tag Info'!N$18&lt;&gt;"",CONCATENATE('Bundle Tag Info'!$A$1," ",CHAR(10),'Bundle Tag Info'!$A$2," ",'Bundle Tag Info'!$A$3,CHAR(10),'Bundle Tag Info'!N$6,CHAR(10),'Bundle Tag Info'!N$18),"")</f>
        <v/>
      </c>
      <c r="O12" s="25" t="str">
        <f>IF('Bundle Tag Info'!O$18&lt;&gt;"",CONCATENATE('Bundle Tag Info'!$A$1," ",CHAR(10),'Bundle Tag Info'!$A$2," ",'Bundle Tag Info'!$A$3,CHAR(10),'Bundle Tag Info'!O$6,CHAR(10),'Bundle Tag Info'!O$18),"")</f>
        <v/>
      </c>
      <c r="P12" s="25" t="str">
        <f>IF('Bundle Tag Info'!P$18&lt;&gt;"",CONCATENATE('Bundle Tag Info'!$A$1," ",CHAR(10),'Bundle Tag Info'!$A$2," ",'Bundle Tag Info'!$A$3,CHAR(10),'Bundle Tag Info'!P$6,CHAR(10),'Bundle Tag Info'!P$18),"")</f>
        <v/>
      </c>
      <c r="Q12" s="25" t="str">
        <f>IF('Bundle Tag Info'!Q$18&lt;&gt;"",CONCATENATE('Bundle Tag Info'!$A$1," ",CHAR(10),'Bundle Tag Info'!$A$2," ",'Bundle Tag Info'!$A$3,CHAR(10),'Bundle Tag Info'!Q$6,CHAR(10),'Bundle Tag Info'!Q$18),"")</f>
        <v/>
      </c>
      <c r="R12" s="25" t="str">
        <f>IF('Bundle Tag Info'!R$18&lt;&gt;"",CONCATENATE('Bundle Tag Info'!$A$1," ",CHAR(10),'Bundle Tag Info'!$A$2," ",'Bundle Tag Info'!$A$3,CHAR(10),'Bundle Tag Info'!R$6,CHAR(10),'Bundle Tag Info'!R$18),"")</f>
        <v/>
      </c>
      <c r="S12" s="25" t="str">
        <f>IF('Bundle Tag Info'!S$18&lt;&gt;"",CONCATENATE('Bundle Tag Info'!$A$1," ",CHAR(10),'Bundle Tag Info'!$A$2," ",'Bundle Tag Info'!$A$3,CHAR(10),'Bundle Tag Info'!S$6,CHAR(10),'Bundle Tag Info'!S$18),"")</f>
        <v/>
      </c>
      <c r="T12" s="25" t="str">
        <f>IF('Bundle Tag Info'!T$18&lt;&gt;"",CONCATENATE('Bundle Tag Info'!$A$1," ",CHAR(10),'Bundle Tag Info'!$A$2," ",'Bundle Tag Info'!$A$3,CHAR(10),'Bundle Tag Info'!T$6,CHAR(10),'Bundle Tag Info'!T$18),"")</f>
        <v/>
      </c>
      <c r="U12" s="25" t="str">
        <f>IF('Bundle Tag Info'!U$18&lt;&gt;"",CONCATENATE('Bundle Tag Info'!$A$1," ",CHAR(10),'Bundle Tag Info'!$A$2," ",'Bundle Tag Info'!$A$3,CHAR(10),'Bundle Tag Info'!U$6,CHAR(10),'Bundle Tag Info'!U$18),"")</f>
        <v/>
      </c>
      <c r="V12" s="25" t="str">
        <f>IF('Bundle Tag Info'!V$18&lt;&gt;"",CONCATENATE('Bundle Tag Info'!$A$1," ",CHAR(10),'Bundle Tag Info'!$A$2," ",'Bundle Tag Info'!$A$3,CHAR(10),'Bundle Tag Info'!V$6,CHAR(10),'Bundle Tag Info'!V$18),"")</f>
        <v/>
      </c>
      <c r="W12" s="25" t="str">
        <f>IF('Bundle Tag Info'!W$18&lt;&gt;"",CONCATENATE('Bundle Tag Info'!$A$1," ",CHAR(10),'Bundle Tag Info'!$A$2," ",'Bundle Tag Info'!$A$3,CHAR(10),'Bundle Tag Info'!W$6,CHAR(10),'Bundle Tag Info'!W$18),"")</f>
        <v/>
      </c>
      <c r="X12" s="25" t="str">
        <f>IF('Bundle Tag Info'!X$18&lt;&gt;"",CONCATENATE('Bundle Tag Info'!$A$1," ",CHAR(10),'Bundle Tag Info'!$A$2," ",'Bundle Tag Info'!$A$3,CHAR(10),'Bundle Tag Info'!X$6,CHAR(10),'Bundle Tag Info'!X$18),"")</f>
        <v/>
      </c>
      <c r="Y12" s="25" t="str">
        <f>IF('Bundle Tag Info'!Y$18&lt;&gt;"",CONCATENATE('Bundle Tag Info'!$A$1," ",CHAR(10),'Bundle Tag Info'!$A$2," ",'Bundle Tag Info'!$A$3,CHAR(10),'Bundle Tag Info'!Y$6,CHAR(10),'Bundle Tag Info'!Y$18),"")</f>
        <v/>
      </c>
      <c r="Z12" s="25" t="str">
        <f>IF('Bundle Tag Info'!Z$18&lt;&gt;"",CONCATENATE('Bundle Tag Info'!$A$1," ",CHAR(10),'Bundle Tag Info'!$A$2," ",'Bundle Tag Info'!$A$3,CHAR(10),'Bundle Tag Info'!Z$6,CHAR(10),'Bundle Tag Info'!Z$18),"")</f>
        <v/>
      </c>
      <c r="AA12" s="25" t="str">
        <f>IF('Bundle Tag Info'!AA$18&lt;&gt;"",CONCATENATE('Bundle Tag Info'!$A$1," ",CHAR(10),'Bundle Tag Info'!$A$2," ",'Bundle Tag Info'!$A$3,CHAR(10),'Bundle Tag Info'!AA$6,CHAR(10),'Bundle Tag Info'!AA$18),"")</f>
        <v/>
      </c>
      <c r="AB12" s="25" t="str">
        <f>IF('Bundle Tag Info'!AB$18&lt;&gt;"",CONCATENATE('Bundle Tag Info'!$A$1," ",CHAR(10),'Bundle Tag Info'!$A$2," ",'Bundle Tag Info'!$A$3,CHAR(10),'Bundle Tag Info'!AB$6,CHAR(10),'Bundle Tag Info'!AB$18),"")</f>
        <v/>
      </c>
      <c r="AC12" s="25" t="str">
        <f>IF('Bundle Tag Info'!AC$18&lt;&gt;"",CONCATENATE('Bundle Tag Info'!$A$1," ",CHAR(10),'Bundle Tag Info'!$A$2," ",'Bundle Tag Info'!$A$3,CHAR(10),'Bundle Tag Info'!AC$6,CHAR(10),'Bundle Tag Info'!AC$18),"")</f>
        <v/>
      </c>
      <c r="AD12" s="25" t="str">
        <f>IF('Bundle Tag Info'!AD$18&lt;&gt;"",CONCATENATE('Bundle Tag Info'!$A$1," ",CHAR(10),'Bundle Tag Info'!$A$2," ",'Bundle Tag Info'!$A$3,CHAR(10),'Bundle Tag Info'!AD$6,CHAR(10),'Bundle Tag Info'!AD$18),"")</f>
        <v/>
      </c>
    </row>
    <row r="13" spans="1:30" ht="63.95" customHeight="1" x14ac:dyDescent="0.25">
      <c r="A13" s="25" t="str">
        <f>IF('Bundle Tag Info'!I$7&lt;&gt;"",CONCATENATE('Bundle Tag Info'!$A$1," ",CHAR(10),'Bundle Tag Info'!$A$2," ",'Bundle Tag Info'!$A$3,CHAR(10),'Bundle Tag Info'!I$6,CHAR(10),'Bundle Tag Info'!I$7),"")</f>
        <v>ERGON-V #2 
4K911 Rev A
MED CONV
BA/FU</v>
      </c>
      <c r="E13" s="25" t="str">
        <f>IF('Bundle Tag Info'!E$19&lt;&gt;"",CONCATENATE('Bundle Tag Info'!$A$1," ",CHAR(10),'Bundle Tag Info'!$A$2," ",'Bundle Tag Info'!$A$3,CHAR(10),'Bundle Tag Info'!E$6,CHAR(10),'Bundle Tag Info'!E$19),"")</f>
        <v/>
      </c>
      <c r="F13" s="25" t="str">
        <f>IF('Bundle Tag Info'!F$19&lt;&gt;"",CONCATENATE('Bundle Tag Info'!$A$1," ",CHAR(10),'Bundle Tag Info'!$A$2," ",'Bundle Tag Info'!$A$3,CHAR(10),'Bundle Tag Info'!F$6,CHAR(10),'Bundle Tag Info'!F$19),"")</f>
        <v/>
      </c>
      <c r="G13" s="25" t="str">
        <f>IF('Bundle Tag Info'!G$19&lt;&gt;"",CONCATENATE('Bundle Tag Info'!$A$1," ",CHAR(10),'Bundle Tag Info'!$A$2," ",'Bundle Tag Info'!$A$3,CHAR(10),'Bundle Tag Info'!G$6,CHAR(10),'Bundle Tag Info'!G$19),"")</f>
        <v/>
      </c>
      <c r="H13" s="25" t="str">
        <f>IF('Bundle Tag Info'!H$19&lt;&gt;"",CONCATENATE('Bundle Tag Info'!$A$1," ",CHAR(10),'Bundle Tag Info'!$A$2," ",'Bundle Tag Info'!$A$3,CHAR(10),'Bundle Tag Info'!H$6,CHAR(10),'Bundle Tag Info'!H$19),"")</f>
        <v/>
      </c>
      <c r="I13" s="25" t="str">
        <f>IF('Bundle Tag Info'!I$19&lt;&gt;"",CONCATENATE('Bundle Tag Info'!$A$1," ",CHAR(10),'Bundle Tag Info'!$A$2," ",'Bundle Tag Info'!$A$3,CHAR(10),'Bundle Tag Info'!I$6,CHAR(10),'Bundle Tag Info'!I$19),"")</f>
        <v/>
      </c>
      <c r="J13" s="25" t="str">
        <f>IF('Bundle Tag Info'!J$19&lt;&gt;"",CONCATENATE('Bundle Tag Info'!$A$1," ",CHAR(10),'Bundle Tag Info'!$A$2," ",'Bundle Tag Info'!$A$3,CHAR(10),'Bundle Tag Info'!J$6,CHAR(10),'Bundle Tag Info'!J$19),"")</f>
        <v/>
      </c>
      <c r="K13" s="25" t="str">
        <f>IF('Bundle Tag Info'!K$19&lt;&gt;"",CONCATENATE('Bundle Tag Info'!$A$1," ",CHAR(10),'Bundle Tag Info'!$A$2," ",'Bundle Tag Info'!$A$3,CHAR(10),'Bundle Tag Info'!K$6,CHAR(10),'Bundle Tag Info'!K$19),"")</f>
        <v/>
      </c>
      <c r="L13" s="25" t="str">
        <f>IF('Bundle Tag Info'!L$19&lt;&gt;"",CONCATENATE('Bundle Tag Info'!$A$1," ",CHAR(10),'Bundle Tag Info'!$A$2," ",'Bundle Tag Info'!$A$3,CHAR(10),'Bundle Tag Info'!L$6,CHAR(10),'Bundle Tag Info'!L$19),"")</f>
        <v/>
      </c>
      <c r="M13" s="25" t="str">
        <f>IF('Bundle Tag Info'!M$19&lt;&gt;"",CONCATENATE('Bundle Tag Info'!$A$1," ",CHAR(10),'Bundle Tag Info'!$A$2," ",'Bundle Tag Info'!$A$3,CHAR(10),'Bundle Tag Info'!M$6,CHAR(10),'Bundle Tag Info'!M$19),"")</f>
        <v/>
      </c>
      <c r="N13" s="25" t="str">
        <f>IF('Bundle Tag Info'!N$19&lt;&gt;"",CONCATENATE('Bundle Tag Info'!$A$1," ",CHAR(10),'Bundle Tag Info'!$A$2," ",'Bundle Tag Info'!$A$3,CHAR(10),'Bundle Tag Info'!N$6,CHAR(10),'Bundle Tag Info'!N$19),"")</f>
        <v/>
      </c>
      <c r="O13" s="25" t="str">
        <f>IF('Bundle Tag Info'!O$19&lt;&gt;"",CONCATENATE('Bundle Tag Info'!$A$1," ",CHAR(10),'Bundle Tag Info'!$A$2," ",'Bundle Tag Info'!$A$3,CHAR(10),'Bundle Tag Info'!O$6,CHAR(10),'Bundle Tag Info'!O$19),"")</f>
        <v/>
      </c>
      <c r="P13" s="25" t="str">
        <f>IF('Bundle Tag Info'!P$19&lt;&gt;"",CONCATENATE('Bundle Tag Info'!$A$1," ",CHAR(10),'Bundle Tag Info'!$A$2," ",'Bundle Tag Info'!$A$3,CHAR(10),'Bundle Tag Info'!P$6,CHAR(10),'Bundle Tag Info'!P$19),"")</f>
        <v/>
      </c>
      <c r="Q13" s="25" t="str">
        <f>IF('Bundle Tag Info'!Q$19&lt;&gt;"",CONCATENATE('Bundle Tag Info'!$A$1," ",CHAR(10),'Bundle Tag Info'!$A$2," ",'Bundle Tag Info'!$A$3,CHAR(10),'Bundle Tag Info'!Q$6,CHAR(10),'Bundle Tag Info'!Q$19),"")</f>
        <v/>
      </c>
      <c r="R13" s="25" t="str">
        <f>IF('Bundle Tag Info'!R$19&lt;&gt;"",CONCATENATE('Bundle Tag Info'!$A$1," ",CHAR(10),'Bundle Tag Info'!$A$2," ",'Bundle Tag Info'!$A$3,CHAR(10),'Bundle Tag Info'!R$6,CHAR(10),'Bundle Tag Info'!R$19),"")</f>
        <v/>
      </c>
      <c r="S13" s="25" t="str">
        <f>IF('Bundle Tag Info'!S$19&lt;&gt;"",CONCATENATE('Bundle Tag Info'!$A$1," ",CHAR(10),'Bundle Tag Info'!$A$2," ",'Bundle Tag Info'!$A$3,CHAR(10),'Bundle Tag Info'!S$6,CHAR(10),'Bundle Tag Info'!S$19),"")</f>
        <v/>
      </c>
      <c r="T13" s="25" t="str">
        <f>IF('Bundle Tag Info'!T$19&lt;&gt;"",CONCATENATE('Bundle Tag Info'!$A$1," ",CHAR(10),'Bundle Tag Info'!$A$2," ",'Bundle Tag Info'!$A$3,CHAR(10),'Bundle Tag Info'!T$6,CHAR(10),'Bundle Tag Info'!T$19),"")</f>
        <v/>
      </c>
      <c r="U13" s="25" t="str">
        <f>IF('Bundle Tag Info'!U$19&lt;&gt;"",CONCATENATE('Bundle Tag Info'!$A$1," ",CHAR(10),'Bundle Tag Info'!$A$2," ",'Bundle Tag Info'!$A$3,CHAR(10),'Bundle Tag Info'!U$6,CHAR(10),'Bundle Tag Info'!U$19),"")</f>
        <v/>
      </c>
      <c r="V13" s="25" t="str">
        <f>IF('Bundle Tag Info'!V$19&lt;&gt;"",CONCATENATE('Bundle Tag Info'!$A$1," ",CHAR(10),'Bundle Tag Info'!$A$2," ",'Bundle Tag Info'!$A$3,CHAR(10),'Bundle Tag Info'!V$6,CHAR(10),'Bundle Tag Info'!V$19),"")</f>
        <v/>
      </c>
      <c r="W13" s="25" t="str">
        <f>IF('Bundle Tag Info'!W$19&lt;&gt;"",CONCATENATE('Bundle Tag Info'!$A$1," ",CHAR(10),'Bundle Tag Info'!$A$2," ",'Bundle Tag Info'!$A$3,CHAR(10),'Bundle Tag Info'!W$6,CHAR(10),'Bundle Tag Info'!W$19),"")</f>
        <v/>
      </c>
      <c r="X13" s="25" t="str">
        <f>IF('Bundle Tag Info'!X$19&lt;&gt;"",CONCATENATE('Bundle Tag Info'!$A$1," ",CHAR(10),'Bundle Tag Info'!$A$2," ",'Bundle Tag Info'!$A$3,CHAR(10),'Bundle Tag Info'!X$6,CHAR(10),'Bundle Tag Info'!X$19),"")</f>
        <v/>
      </c>
      <c r="Y13" s="25" t="str">
        <f>IF('Bundle Tag Info'!Y$19&lt;&gt;"",CONCATENATE('Bundle Tag Info'!$A$1," ",CHAR(10),'Bundle Tag Info'!$A$2," ",'Bundle Tag Info'!$A$3,CHAR(10),'Bundle Tag Info'!Y$6,CHAR(10),'Bundle Tag Info'!Y$19),"")</f>
        <v/>
      </c>
      <c r="Z13" s="25" t="str">
        <f>IF('Bundle Tag Info'!Z$19&lt;&gt;"",CONCATENATE('Bundle Tag Info'!$A$1," ",CHAR(10),'Bundle Tag Info'!$A$2," ",'Bundle Tag Info'!$A$3,CHAR(10),'Bundle Tag Info'!Z$6,CHAR(10),'Bundle Tag Info'!Z$19),"")</f>
        <v/>
      </c>
      <c r="AA13" s="25" t="str">
        <f>IF('Bundle Tag Info'!AA$19&lt;&gt;"",CONCATENATE('Bundle Tag Info'!$A$1," ",CHAR(10),'Bundle Tag Info'!$A$2," ",'Bundle Tag Info'!$A$3,CHAR(10),'Bundle Tag Info'!AA$6,CHAR(10),'Bundle Tag Info'!AA$19),"")</f>
        <v/>
      </c>
      <c r="AB13" s="25" t="str">
        <f>IF('Bundle Tag Info'!AB$19&lt;&gt;"",CONCATENATE('Bundle Tag Info'!$A$1," ",CHAR(10),'Bundle Tag Info'!$A$2," ",'Bundle Tag Info'!$A$3,CHAR(10),'Bundle Tag Info'!AB$6,CHAR(10),'Bundle Tag Info'!AB$19),"")</f>
        <v/>
      </c>
      <c r="AC13" s="25" t="str">
        <f>IF('Bundle Tag Info'!AC$19&lt;&gt;"",CONCATENATE('Bundle Tag Info'!$A$1," ",CHAR(10),'Bundle Tag Info'!$A$2," ",'Bundle Tag Info'!$A$3,CHAR(10),'Bundle Tag Info'!AC$6,CHAR(10),'Bundle Tag Info'!AC$19),"")</f>
        <v/>
      </c>
      <c r="AD13" s="25" t="str">
        <f>IF('Bundle Tag Info'!AD$19&lt;&gt;"",CONCATENATE('Bundle Tag Info'!$A$1," ",CHAR(10),'Bundle Tag Info'!$A$2," ",'Bundle Tag Info'!$A$3,CHAR(10),'Bundle Tag Info'!AD$6,CHAR(10),'Bundle Tag Info'!AD$19),"")</f>
        <v/>
      </c>
    </row>
    <row r="14" spans="1:30" ht="63.95" customHeight="1" x14ac:dyDescent="0.25">
      <c r="A14" s="25" t="str">
        <f>IF('Bundle Tag Info'!H$7&lt;&gt;"",CONCATENATE('Bundle Tag Info'!$A$1," ",CHAR(10),'Bundle Tag Info'!$A$2," ",'Bundle Tag Info'!$A$3,CHAR(10),'Bundle Tag Info'!H$6,CHAR(10),'Bundle Tag Info'!H$7),"")</f>
        <v>ERGON-V #2 
4K911 Rev A
GEN PNL
AF</v>
      </c>
      <c r="B14" s="25" t="str">
        <f>IF('Bundle Tag Info'!B$20&lt;&gt;"",CONCATENATE('Bundle Tag Info'!$A$1," ",CHAR(10),'Bundle Tag Info'!$A$2," ",'Bundle Tag Info'!$A$3,CHAR(10),'Bundle Tag Info'!B$6,CHAR(10),'Bundle Tag Info'!B$20),"")</f>
        <v/>
      </c>
      <c r="E14" s="25" t="str">
        <f>IF('Bundle Tag Info'!E$20&lt;&gt;"",CONCATENATE('Bundle Tag Info'!$A$1," ",CHAR(10),'Bundle Tag Info'!$A$2," ",'Bundle Tag Info'!$A$3,CHAR(10),'Bundle Tag Info'!E$6,CHAR(10),'Bundle Tag Info'!E$20),"")</f>
        <v/>
      </c>
      <c r="F14" s="25" t="str">
        <f>IF('Bundle Tag Info'!F$20&lt;&gt;"",CONCATENATE('Bundle Tag Info'!$A$1," ",CHAR(10),'Bundle Tag Info'!$A$2," ",'Bundle Tag Info'!$A$3,CHAR(10),'Bundle Tag Info'!F$6,CHAR(10),'Bundle Tag Info'!F$20),"")</f>
        <v/>
      </c>
      <c r="G14" s="25" t="str">
        <f>IF('Bundle Tag Info'!G$20&lt;&gt;"",CONCATENATE('Bundle Tag Info'!$A$1," ",CHAR(10),'Bundle Tag Info'!$A$2," ",'Bundle Tag Info'!$A$3,CHAR(10),'Bundle Tag Info'!G$6,CHAR(10),'Bundle Tag Info'!G$20),"")</f>
        <v/>
      </c>
      <c r="H14" s="25" t="str">
        <f>IF('Bundle Tag Info'!H$20&lt;&gt;"",CONCATENATE('Bundle Tag Info'!$A$1," ",CHAR(10),'Bundle Tag Info'!$A$2," ",'Bundle Tag Info'!$A$3,CHAR(10),'Bundle Tag Info'!H$6,CHAR(10),'Bundle Tag Info'!H$20),"")</f>
        <v/>
      </c>
      <c r="I14" s="25" t="str">
        <f>IF('Bundle Tag Info'!I$20&lt;&gt;"",CONCATENATE('Bundle Tag Info'!$A$1," ",CHAR(10),'Bundle Tag Info'!$A$2," ",'Bundle Tag Info'!$A$3,CHAR(10),'Bundle Tag Info'!I$6,CHAR(10),'Bundle Tag Info'!I$20),"")</f>
        <v/>
      </c>
      <c r="J14" s="25" t="str">
        <f>IF('Bundle Tag Info'!J$20&lt;&gt;"",CONCATENATE('Bundle Tag Info'!$A$1," ",CHAR(10),'Bundle Tag Info'!$A$2," ",'Bundle Tag Info'!$A$3,CHAR(10),'Bundle Tag Info'!J$6,CHAR(10),'Bundle Tag Info'!J$20),"")</f>
        <v/>
      </c>
      <c r="K14" s="25" t="str">
        <f>IF('Bundle Tag Info'!K$20&lt;&gt;"",CONCATENATE('Bundle Tag Info'!$A$1," ",CHAR(10),'Bundle Tag Info'!$A$2," ",'Bundle Tag Info'!$A$3,CHAR(10),'Bundle Tag Info'!K$6,CHAR(10),'Bundle Tag Info'!K$20),"")</f>
        <v/>
      </c>
      <c r="L14" s="25" t="str">
        <f>IF('Bundle Tag Info'!L$20&lt;&gt;"",CONCATENATE('Bundle Tag Info'!$A$1," ",CHAR(10),'Bundle Tag Info'!$A$2," ",'Bundle Tag Info'!$A$3,CHAR(10),'Bundle Tag Info'!L$6,CHAR(10),'Bundle Tag Info'!L$20),"")</f>
        <v/>
      </c>
      <c r="M14" s="25" t="str">
        <f>IF('Bundle Tag Info'!M$20&lt;&gt;"",CONCATENATE('Bundle Tag Info'!$A$1," ",CHAR(10),'Bundle Tag Info'!$A$2," ",'Bundle Tag Info'!$A$3,CHAR(10),'Bundle Tag Info'!M$6,CHAR(10),'Bundle Tag Info'!M$20),"")</f>
        <v/>
      </c>
      <c r="N14" s="25" t="str">
        <f>IF('Bundle Tag Info'!N$20&lt;&gt;"",CONCATENATE('Bundle Tag Info'!$A$1," ",CHAR(10),'Bundle Tag Info'!$A$2," ",'Bundle Tag Info'!$A$3,CHAR(10),'Bundle Tag Info'!N$6,CHAR(10),'Bundle Tag Info'!N$20),"")</f>
        <v/>
      </c>
      <c r="O14" s="25" t="str">
        <f>IF('Bundle Tag Info'!O$20&lt;&gt;"",CONCATENATE('Bundle Tag Info'!$A$1," ",CHAR(10),'Bundle Tag Info'!$A$2," ",'Bundle Tag Info'!$A$3,CHAR(10),'Bundle Tag Info'!O$6,CHAR(10),'Bundle Tag Info'!O$20),"")</f>
        <v/>
      </c>
      <c r="P14" s="25" t="str">
        <f>IF('Bundle Tag Info'!P$20&lt;&gt;"",CONCATENATE('Bundle Tag Info'!$A$1," ",CHAR(10),'Bundle Tag Info'!$A$2," ",'Bundle Tag Info'!$A$3,CHAR(10),'Bundle Tag Info'!P$6,CHAR(10),'Bundle Tag Info'!P$20),"")</f>
        <v/>
      </c>
      <c r="Q14" s="25" t="str">
        <f>IF('Bundle Tag Info'!Q$20&lt;&gt;"",CONCATENATE('Bundle Tag Info'!$A$1," ",CHAR(10),'Bundle Tag Info'!$A$2," ",'Bundle Tag Info'!$A$3,CHAR(10),'Bundle Tag Info'!Q$6,CHAR(10),'Bundle Tag Info'!Q$20),"")</f>
        <v/>
      </c>
      <c r="R14" s="25" t="str">
        <f>IF('Bundle Tag Info'!R$20&lt;&gt;"",CONCATENATE('Bundle Tag Info'!$A$1," ",CHAR(10),'Bundle Tag Info'!$A$2," ",'Bundle Tag Info'!$A$3,CHAR(10),'Bundle Tag Info'!R$6,CHAR(10),'Bundle Tag Info'!R$20),"")</f>
        <v/>
      </c>
      <c r="S14" s="25" t="str">
        <f>IF('Bundle Tag Info'!S$20&lt;&gt;"",CONCATENATE('Bundle Tag Info'!$A$1," ",CHAR(10),'Bundle Tag Info'!$A$2," ",'Bundle Tag Info'!$A$3,CHAR(10),'Bundle Tag Info'!S$6,CHAR(10),'Bundle Tag Info'!S$20),"")</f>
        <v/>
      </c>
      <c r="T14" s="25" t="str">
        <f>IF('Bundle Tag Info'!T$20&lt;&gt;"",CONCATENATE('Bundle Tag Info'!$A$1," ",CHAR(10),'Bundle Tag Info'!$A$2," ",'Bundle Tag Info'!$A$3,CHAR(10),'Bundle Tag Info'!T$6,CHAR(10),'Bundle Tag Info'!T$20),"")</f>
        <v/>
      </c>
      <c r="U14" s="25" t="str">
        <f>IF('Bundle Tag Info'!U$20&lt;&gt;"",CONCATENATE('Bundle Tag Info'!$A$1," ",CHAR(10),'Bundle Tag Info'!$A$2," ",'Bundle Tag Info'!$A$3,CHAR(10),'Bundle Tag Info'!U$6,CHAR(10),'Bundle Tag Info'!U$20),"")</f>
        <v/>
      </c>
      <c r="V14" s="25" t="str">
        <f>IF('Bundle Tag Info'!V$20&lt;&gt;"",CONCATENATE('Bundle Tag Info'!$A$1," ",CHAR(10),'Bundle Tag Info'!$A$2," ",'Bundle Tag Info'!$A$3,CHAR(10),'Bundle Tag Info'!V$6,CHAR(10),'Bundle Tag Info'!V$20),"")</f>
        <v/>
      </c>
      <c r="W14" s="25" t="str">
        <f>IF('Bundle Tag Info'!W$20&lt;&gt;"",CONCATENATE('Bundle Tag Info'!$A$1," ",CHAR(10),'Bundle Tag Info'!$A$2," ",'Bundle Tag Info'!$A$3,CHAR(10),'Bundle Tag Info'!W$6,CHAR(10),'Bundle Tag Info'!W$20),"")</f>
        <v/>
      </c>
      <c r="X14" s="25" t="str">
        <f>IF('Bundle Tag Info'!X$20&lt;&gt;"",CONCATENATE('Bundle Tag Info'!$A$1," ",CHAR(10),'Bundle Tag Info'!$A$2," ",'Bundle Tag Info'!$A$3,CHAR(10),'Bundle Tag Info'!X$6,CHAR(10),'Bundle Tag Info'!X$20),"")</f>
        <v/>
      </c>
      <c r="Y14" s="25" t="str">
        <f>IF('Bundle Tag Info'!Y$20&lt;&gt;"",CONCATENATE('Bundle Tag Info'!$A$1," ",CHAR(10),'Bundle Tag Info'!$A$2," ",'Bundle Tag Info'!$A$3,CHAR(10),'Bundle Tag Info'!Y$6,CHAR(10),'Bundle Tag Info'!Y$20),"")</f>
        <v/>
      </c>
      <c r="Z14" s="25" t="str">
        <f>IF('Bundle Tag Info'!Z$20&lt;&gt;"",CONCATENATE('Bundle Tag Info'!$A$1," ",CHAR(10),'Bundle Tag Info'!$A$2," ",'Bundle Tag Info'!$A$3,CHAR(10),'Bundle Tag Info'!Z$6,CHAR(10),'Bundle Tag Info'!Z$20),"")</f>
        <v/>
      </c>
      <c r="AA14" s="25" t="str">
        <f>IF('Bundle Tag Info'!AA$20&lt;&gt;"",CONCATENATE('Bundle Tag Info'!$A$1," ",CHAR(10),'Bundle Tag Info'!$A$2," ",'Bundle Tag Info'!$A$3,CHAR(10),'Bundle Tag Info'!AA$6,CHAR(10),'Bundle Tag Info'!AA$20),"")</f>
        <v/>
      </c>
      <c r="AB14" s="25" t="str">
        <f>IF('Bundle Tag Info'!AB$20&lt;&gt;"",CONCATENATE('Bundle Tag Info'!$A$1," ",CHAR(10),'Bundle Tag Info'!$A$2," ",'Bundle Tag Info'!$A$3,CHAR(10),'Bundle Tag Info'!AB$6,CHAR(10),'Bundle Tag Info'!AB$20),"")</f>
        <v/>
      </c>
      <c r="AC14" s="25" t="str">
        <f>IF('Bundle Tag Info'!AC$20&lt;&gt;"",CONCATENATE('Bundle Tag Info'!$A$1," ",CHAR(10),'Bundle Tag Info'!$A$2," ",'Bundle Tag Info'!$A$3,CHAR(10),'Bundle Tag Info'!AC$6,CHAR(10),'Bundle Tag Info'!AC$20),"")</f>
        <v/>
      </c>
      <c r="AD14" s="25" t="str">
        <f>IF('Bundle Tag Info'!AD$20&lt;&gt;"",CONCATENATE('Bundle Tag Info'!$A$1," ",CHAR(10),'Bundle Tag Info'!$A$2," ",'Bundle Tag Info'!$A$3,CHAR(10),'Bundle Tag Info'!AD$6,CHAR(10),'Bundle Tag Info'!AD$20),"")</f>
        <v/>
      </c>
    </row>
    <row r="15" spans="1:30" ht="63.95" customHeight="1" x14ac:dyDescent="0.25">
      <c r="A15" s="25" t="str">
        <f>IF('Bundle Tag Info'!H$8&lt;&gt;"",CONCATENATE('Bundle Tag Info'!$A$1," ",CHAR(10),'Bundle Tag Info'!$A$2," ",'Bundle Tag Info'!$A$3,CHAR(10),'Bundle Tag Info'!H$6,CHAR(10),'Bundle Tag Info'!H$8),"")</f>
        <v xml:space="preserve">ERGON-V #2 
4K911 Rev A
GEN PNL
KA A1 </v>
      </c>
      <c r="B15" s="25" t="str">
        <f>IF('Bundle Tag Info'!B$21&lt;&gt;"",CONCATENATE('Bundle Tag Info'!$A$1," ",CHAR(10),'Bundle Tag Info'!$A$2," ",'Bundle Tag Info'!$A$3,CHAR(10),'Bundle Tag Info'!B$6,CHAR(10),'Bundle Tag Info'!B$21),"")</f>
        <v/>
      </c>
      <c r="E15" s="25" t="str">
        <f>IF('Bundle Tag Info'!E$21&lt;&gt;"",CONCATENATE('Bundle Tag Info'!$A$1," ",CHAR(10),'Bundle Tag Info'!$A$2," ",'Bundle Tag Info'!$A$3,CHAR(10),'Bundle Tag Info'!E$6,CHAR(10),'Bundle Tag Info'!E$21),"")</f>
        <v/>
      </c>
      <c r="F15" s="25" t="str">
        <f>IF('Bundle Tag Info'!F$21&lt;&gt;"",CONCATENATE('Bundle Tag Info'!$A$1," ",CHAR(10),'Bundle Tag Info'!$A$2," ",'Bundle Tag Info'!$A$3,CHAR(10),'Bundle Tag Info'!F$6,CHAR(10),'Bundle Tag Info'!F$21),"")</f>
        <v/>
      </c>
      <c r="G15" s="25" t="str">
        <f>IF('Bundle Tag Info'!G$21&lt;&gt;"",CONCATENATE('Bundle Tag Info'!$A$1," ",CHAR(10),'Bundle Tag Info'!$A$2," ",'Bundle Tag Info'!$A$3,CHAR(10),'Bundle Tag Info'!G$6,CHAR(10),'Bundle Tag Info'!G$21),"")</f>
        <v/>
      </c>
      <c r="H15" s="25" t="str">
        <f>IF('Bundle Tag Info'!H$21&lt;&gt;"",CONCATENATE('Bundle Tag Info'!$A$1," ",CHAR(10),'Bundle Tag Info'!$A$2," ",'Bundle Tag Info'!$A$3,CHAR(10),'Bundle Tag Info'!H$6,CHAR(10),'Bundle Tag Info'!H$21),"")</f>
        <v/>
      </c>
      <c r="I15" s="25" t="str">
        <f>IF('Bundle Tag Info'!I$21&lt;&gt;"",CONCATENATE('Bundle Tag Info'!$A$1," ",CHAR(10),'Bundle Tag Info'!$A$2," ",'Bundle Tag Info'!$A$3,CHAR(10),'Bundle Tag Info'!I$6,CHAR(10),'Bundle Tag Info'!I$21),"")</f>
        <v/>
      </c>
      <c r="J15" s="25" t="str">
        <f>IF('Bundle Tag Info'!J$21&lt;&gt;"",CONCATENATE('Bundle Tag Info'!$A$1," ",CHAR(10),'Bundle Tag Info'!$A$2," ",'Bundle Tag Info'!$A$3,CHAR(10),'Bundle Tag Info'!J$6,CHAR(10),'Bundle Tag Info'!J$21),"")</f>
        <v/>
      </c>
      <c r="K15" s="25" t="str">
        <f>IF('Bundle Tag Info'!K$21&lt;&gt;"",CONCATENATE('Bundle Tag Info'!$A$1," ",CHAR(10),'Bundle Tag Info'!$A$2," ",'Bundle Tag Info'!$A$3,CHAR(10),'Bundle Tag Info'!K$6,CHAR(10),'Bundle Tag Info'!K$21),"")</f>
        <v/>
      </c>
      <c r="L15" s="25" t="str">
        <f>IF('Bundle Tag Info'!L$21&lt;&gt;"",CONCATENATE('Bundle Tag Info'!$A$1," ",CHAR(10),'Bundle Tag Info'!$A$2," ",'Bundle Tag Info'!$A$3,CHAR(10),'Bundle Tag Info'!L$6,CHAR(10),'Bundle Tag Info'!L$21),"")</f>
        <v/>
      </c>
      <c r="M15" s="25" t="str">
        <f>IF('Bundle Tag Info'!M$21&lt;&gt;"",CONCATENATE('Bundle Tag Info'!$A$1," ",CHAR(10),'Bundle Tag Info'!$A$2," ",'Bundle Tag Info'!$A$3,CHAR(10),'Bundle Tag Info'!M$6,CHAR(10),'Bundle Tag Info'!M$21),"")</f>
        <v/>
      </c>
      <c r="N15" s="25" t="str">
        <f>IF('Bundle Tag Info'!N$21&lt;&gt;"",CONCATENATE('Bundle Tag Info'!$A$1," ",CHAR(10),'Bundle Tag Info'!$A$2," ",'Bundle Tag Info'!$A$3,CHAR(10),'Bundle Tag Info'!N$6,CHAR(10),'Bundle Tag Info'!N$21),"")</f>
        <v/>
      </c>
      <c r="O15" s="25" t="str">
        <f>IF('Bundle Tag Info'!O$21&lt;&gt;"",CONCATENATE('Bundle Tag Info'!$A$1," ",CHAR(10),'Bundle Tag Info'!$A$2," ",'Bundle Tag Info'!$A$3,CHAR(10),'Bundle Tag Info'!O$6,CHAR(10),'Bundle Tag Info'!O$21),"")</f>
        <v/>
      </c>
      <c r="P15" s="25" t="str">
        <f>IF('Bundle Tag Info'!P$21&lt;&gt;"",CONCATENATE('Bundle Tag Info'!$A$1," ",CHAR(10),'Bundle Tag Info'!$A$2," ",'Bundle Tag Info'!$A$3,CHAR(10),'Bundle Tag Info'!P$6,CHAR(10),'Bundle Tag Info'!P$21),"")</f>
        <v/>
      </c>
      <c r="Q15" s="25" t="str">
        <f>IF('Bundle Tag Info'!Q$21&lt;&gt;"",CONCATENATE('Bundle Tag Info'!$A$1," ",CHAR(10),'Bundle Tag Info'!$A$2," ",'Bundle Tag Info'!$A$3,CHAR(10),'Bundle Tag Info'!Q$6,CHAR(10),'Bundle Tag Info'!Q$21),"")</f>
        <v/>
      </c>
      <c r="R15" s="25" t="str">
        <f>IF('Bundle Tag Info'!R$21&lt;&gt;"",CONCATENATE('Bundle Tag Info'!$A$1," ",CHAR(10),'Bundle Tag Info'!$A$2," ",'Bundle Tag Info'!$A$3,CHAR(10),'Bundle Tag Info'!R$6,CHAR(10),'Bundle Tag Info'!R$21),"")</f>
        <v/>
      </c>
      <c r="S15" s="25" t="str">
        <f>IF('Bundle Tag Info'!S$21&lt;&gt;"",CONCATENATE('Bundle Tag Info'!$A$1," ",CHAR(10),'Bundle Tag Info'!$A$2," ",'Bundle Tag Info'!$A$3,CHAR(10),'Bundle Tag Info'!S$6,CHAR(10),'Bundle Tag Info'!S$21),"")</f>
        <v/>
      </c>
      <c r="T15" s="25" t="str">
        <f>IF('Bundle Tag Info'!T$21&lt;&gt;"",CONCATENATE('Bundle Tag Info'!$A$1," ",CHAR(10),'Bundle Tag Info'!$A$2," ",'Bundle Tag Info'!$A$3,CHAR(10),'Bundle Tag Info'!T$6,CHAR(10),'Bundle Tag Info'!T$21),"")</f>
        <v/>
      </c>
      <c r="U15" s="25" t="str">
        <f>IF('Bundle Tag Info'!U$21&lt;&gt;"",CONCATENATE('Bundle Tag Info'!$A$1," ",CHAR(10),'Bundle Tag Info'!$A$2," ",'Bundle Tag Info'!$A$3,CHAR(10),'Bundle Tag Info'!U$6,CHAR(10),'Bundle Tag Info'!U$21),"")</f>
        <v/>
      </c>
      <c r="V15" s="25" t="str">
        <f>IF('Bundle Tag Info'!V$21&lt;&gt;"",CONCATENATE('Bundle Tag Info'!$A$1," ",CHAR(10),'Bundle Tag Info'!$A$2," ",'Bundle Tag Info'!$A$3,CHAR(10),'Bundle Tag Info'!V$6,CHAR(10),'Bundle Tag Info'!V$21),"")</f>
        <v/>
      </c>
      <c r="W15" s="25" t="str">
        <f>IF('Bundle Tag Info'!W$21&lt;&gt;"",CONCATENATE('Bundle Tag Info'!$A$1," ",CHAR(10),'Bundle Tag Info'!$A$2," ",'Bundle Tag Info'!$A$3,CHAR(10),'Bundle Tag Info'!W$6,CHAR(10),'Bundle Tag Info'!W$21),"")</f>
        <v/>
      </c>
      <c r="X15" s="25" t="str">
        <f>IF('Bundle Tag Info'!X$21&lt;&gt;"",CONCATENATE('Bundle Tag Info'!$A$1," ",CHAR(10),'Bundle Tag Info'!$A$2," ",'Bundle Tag Info'!$A$3,CHAR(10),'Bundle Tag Info'!X$6,CHAR(10),'Bundle Tag Info'!X$21),"")</f>
        <v/>
      </c>
      <c r="Y15" s="25" t="str">
        <f>IF('Bundle Tag Info'!Y$21&lt;&gt;"",CONCATENATE('Bundle Tag Info'!$A$1," ",CHAR(10),'Bundle Tag Info'!$A$2," ",'Bundle Tag Info'!$A$3,CHAR(10),'Bundle Tag Info'!Y$6,CHAR(10),'Bundle Tag Info'!Y$21),"")</f>
        <v/>
      </c>
      <c r="Z15" s="25" t="str">
        <f>IF('Bundle Tag Info'!Z$21&lt;&gt;"",CONCATENATE('Bundle Tag Info'!$A$1," ",CHAR(10),'Bundle Tag Info'!$A$2," ",'Bundle Tag Info'!$A$3,CHAR(10),'Bundle Tag Info'!Z$6,CHAR(10),'Bundle Tag Info'!Z$21),"")</f>
        <v/>
      </c>
      <c r="AA15" s="25" t="str">
        <f>IF('Bundle Tag Info'!AA$21&lt;&gt;"",CONCATENATE('Bundle Tag Info'!$A$1," ",CHAR(10),'Bundle Tag Info'!$A$2," ",'Bundle Tag Info'!$A$3,CHAR(10),'Bundle Tag Info'!AA$6,CHAR(10),'Bundle Tag Info'!AA$21),"")</f>
        <v/>
      </c>
      <c r="AB15" s="25" t="str">
        <f>IF('Bundle Tag Info'!AB$21&lt;&gt;"",CONCATENATE('Bundle Tag Info'!$A$1," ",CHAR(10),'Bundle Tag Info'!$A$2," ",'Bundle Tag Info'!$A$3,CHAR(10),'Bundle Tag Info'!AB$6,CHAR(10),'Bundle Tag Info'!AB$21),"")</f>
        <v/>
      </c>
      <c r="AC15" s="25" t="str">
        <f>IF('Bundle Tag Info'!AC$21&lt;&gt;"",CONCATENATE('Bundle Tag Info'!$A$1," ",CHAR(10),'Bundle Tag Info'!$A$2," ",'Bundle Tag Info'!$A$3,CHAR(10),'Bundle Tag Info'!AC$6,CHAR(10),'Bundle Tag Info'!AC$21),"")</f>
        <v/>
      </c>
      <c r="AD15" s="25" t="str">
        <f>IF('Bundle Tag Info'!AD$21&lt;&gt;"",CONCATENATE('Bundle Tag Info'!$A$1," ",CHAR(10),'Bundle Tag Info'!$A$2," ",'Bundle Tag Info'!$A$3,CHAR(10),'Bundle Tag Info'!AD$6,CHAR(10),'Bundle Tag Info'!AD$21),"")</f>
        <v/>
      </c>
    </row>
    <row r="16" spans="1:30" ht="63.95" customHeight="1" x14ac:dyDescent="0.25">
      <c r="A16" s="25" t="str">
        <f>IF('Bundle Tag Info'!H$9&lt;&gt;"",CONCATENATE('Bundle Tag Info'!$A$1," ",CHAR(10),'Bundle Tag Info'!$A$2," ",'Bundle Tag Info'!$A$3,CHAR(10),'Bundle Tag Info'!H$6,CHAR(10),'Bundle Tag Info'!H$9),"")</f>
        <v xml:space="preserve">ERGON-V #2 
4K911 Rev A
GEN PNL
KA A2 </v>
      </c>
      <c r="B16" s="25" t="str">
        <f>IF('Bundle Tag Info'!B$22&lt;&gt;"",CONCATENATE('Bundle Tag Info'!$A$1," ",CHAR(10),'Bundle Tag Info'!$A$2," ",'Bundle Tag Info'!$A$3,CHAR(10),'Bundle Tag Info'!B$6,CHAR(10),'Bundle Tag Info'!B$22),"")</f>
        <v/>
      </c>
      <c r="E16" s="25" t="str">
        <f>IF('Bundle Tag Info'!E$22&lt;&gt;"",CONCATENATE('Bundle Tag Info'!$A$1," ",CHAR(10),'Bundle Tag Info'!$A$2," ",'Bundle Tag Info'!$A$3,CHAR(10),'Bundle Tag Info'!E$6,CHAR(10),'Bundle Tag Info'!E$22),"")</f>
        <v/>
      </c>
      <c r="F16" s="25" t="str">
        <f>IF('Bundle Tag Info'!F$22&lt;&gt;"",CONCATENATE('Bundle Tag Info'!$A$1," ",CHAR(10),'Bundle Tag Info'!$A$2," ",'Bundle Tag Info'!$A$3,CHAR(10),'Bundle Tag Info'!F$6,CHAR(10),'Bundle Tag Info'!F$22),"")</f>
        <v/>
      </c>
      <c r="G16" s="25" t="str">
        <f>IF('Bundle Tag Info'!G$22&lt;&gt;"",CONCATENATE('Bundle Tag Info'!$A$1," ",CHAR(10),'Bundle Tag Info'!$A$2," ",'Bundle Tag Info'!$A$3,CHAR(10),'Bundle Tag Info'!G$6,CHAR(10),'Bundle Tag Info'!G$22),"")</f>
        <v/>
      </c>
      <c r="H16" s="25" t="str">
        <f>IF('Bundle Tag Info'!H$22&lt;&gt;"",CONCATENATE('Bundle Tag Info'!$A$1," ",CHAR(10),'Bundle Tag Info'!$A$2," ",'Bundle Tag Info'!$A$3,CHAR(10),'Bundle Tag Info'!H$6,CHAR(10),'Bundle Tag Info'!H$22),"")</f>
        <v/>
      </c>
      <c r="I16" s="25" t="str">
        <f>IF('Bundle Tag Info'!I$22&lt;&gt;"",CONCATENATE('Bundle Tag Info'!$A$1," ",CHAR(10),'Bundle Tag Info'!$A$2," ",'Bundle Tag Info'!$A$3,CHAR(10),'Bundle Tag Info'!I$6,CHAR(10),'Bundle Tag Info'!I$22),"")</f>
        <v/>
      </c>
      <c r="J16" s="25" t="str">
        <f>IF('Bundle Tag Info'!J$22&lt;&gt;"",CONCATENATE('Bundle Tag Info'!$A$1," ",CHAR(10),'Bundle Tag Info'!$A$2," ",'Bundle Tag Info'!$A$3,CHAR(10),'Bundle Tag Info'!J$6,CHAR(10),'Bundle Tag Info'!J$22),"")</f>
        <v/>
      </c>
      <c r="K16" s="25" t="str">
        <f>IF('Bundle Tag Info'!K$22&lt;&gt;"",CONCATENATE('Bundle Tag Info'!$A$1," ",CHAR(10),'Bundle Tag Info'!$A$2," ",'Bundle Tag Info'!$A$3,CHAR(10),'Bundle Tag Info'!K$6,CHAR(10),'Bundle Tag Info'!K$22),"")</f>
        <v/>
      </c>
      <c r="L16" s="25" t="str">
        <f>IF('Bundle Tag Info'!L$22&lt;&gt;"",CONCATENATE('Bundle Tag Info'!$A$1," ",CHAR(10),'Bundle Tag Info'!$A$2," ",'Bundle Tag Info'!$A$3,CHAR(10),'Bundle Tag Info'!L$6,CHAR(10),'Bundle Tag Info'!L$22),"")</f>
        <v/>
      </c>
      <c r="M16" s="25" t="str">
        <f>IF('Bundle Tag Info'!M$22&lt;&gt;"",CONCATENATE('Bundle Tag Info'!$A$1," ",CHAR(10),'Bundle Tag Info'!$A$2," ",'Bundle Tag Info'!$A$3,CHAR(10),'Bundle Tag Info'!M$6,CHAR(10),'Bundle Tag Info'!M$22),"")</f>
        <v/>
      </c>
      <c r="N16" s="25" t="str">
        <f>IF('Bundle Tag Info'!N$22&lt;&gt;"",CONCATENATE('Bundle Tag Info'!$A$1," ",CHAR(10),'Bundle Tag Info'!$A$2," ",'Bundle Tag Info'!$A$3,CHAR(10),'Bundle Tag Info'!N$6,CHAR(10),'Bundle Tag Info'!N$22),"")</f>
        <v/>
      </c>
      <c r="O16" s="25" t="str">
        <f>IF('Bundle Tag Info'!O$22&lt;&gt;"",CONCATENATE('Bundle Tag Info'!$A$1," ",CHAR(10),'Bundle Tag Info'!$A$2," ",'Bundle Tag Info'!$A$3,CHAR(10),'Bundle Tag Info'!O$6,CHAR(10),'Bundle Tag Info'!O$22),"")</f>
        <v/>
      </c>
      <c r="P16" s="25" t="str">
        <f>IF('Bundle Tag Info'!P$22&lt;&gt;"",CONCATENATE('Bundle Tag Info'!$A$1," ",CHAR(10),'Bundle Tag Info'!$A$2," ",'Bundle Tag Info'!$A$3,CHAR(10),'Bundle Tag Info'!P$6,CHAR(10),'Bundle Tag Info'!P$22),"")</f>
        <v/>
      </c>
      <c r="Q16" s="25" t="str">
        <f>IF('Bundle Tag Info'!Q$22&lt;&gt;"",CONCATENATE('Bundle Tag Info'!$A$1," ",CHAR(10),'Bundle Tag Info'!$A$2," ",'Bundle Tag Info'!$A$3,CHAR(10),'Bundle Tag Info'!Q$6,CHAR(10),'Bundle Tag Info'!Q$22),"")</f>
        <v/>
      </c>
      <c r="R16" s="25" t="str">
        <f>IF('Bundle Tag Info'!R$22&lt;&gt;"",CONCATENATE('Bundle Tag Info'!$A$1," ",CHAR(10),'Bundle Tag Info'!$A$2," ",'Bundle Tag Info'!$A$3,CHAR(10),'Bundle Tag Info'!R$6,CHAR(10),'Bundle Tag Info'!R$22),"")</f>
        <v/>
      </c>
      <c r="S16" s="25" t="str">
        <f>IF('Bundle Tag Info'!S$22&lt;&gt;"",CONCATENATE('Bundle Tag Info'!$A$1," ",CHAR(10),'Bundle Tag Info'!$A$2," ",'Bundle Tag Info'!$A$3,CHAR(10),'Bundle Tag Info'!S$6,CHAR(10),'Bundle Tag Info'!S$22),"")</f>
        <v/>
      </c>
      <c r="T16" s="25" t="str">
        <f>IF('Bundle Tag Info'!T$22&lt;&gt;"",CONCATENATE('Bundle Tag Info'!$A$1," ",CHAR(10),'Bundle Tag Info'!$A$2," ",'Bundle Tag Info'!$A$3,CHAR(10),'Bundle Tag Info'!T$6,CHAR(10),'Bundle Tag Info'!T$22),"")</f>
        <v/>
      </c>
      <c r="U16" s="25" t="str">
        <f>IF('Bundle Tag Info'!U$22&lt;&gt;"",CONCATENATE('Bundle Tag Info'!$A$1," ",CHAR(10),'Bundle Tag Info'!$A$2," ",'Bundle Tag Info'!$A$3,CHAR(10),'Bundle Tag Info'!U$6,CHAR(10),'Bundle Tag Info'!U$22),"")</f>
        <v/>
      </c>
      <c r="V16" s="25" t="str">
        <f>IF('Bundle Tag Info'!V$22&lt;&gt;"",CONCATENATE('Bundle Tag Info'!$A$1," ",CHAR(10),'Bundle Tag Info'!$A$2," ",'Bundle Tag Info'!$A$3,CHAR(10),'Bundle Tag Info'!V$6,CHAR(10),'Bundle Tag Info'!V$22),"")</f>
        <v/>
      </c>
      <c r="W16" s="25" t="str">
        <f>IF('Bundle Tag Info'!W$22&lt;&gt;"",CONCATENATE('Bundle Tag Info'!$A$1," ",CHAR(10),'Bundle Tag Info'!$A$2," ",'Bundle Tag Info'!$A$3,CHAR(10),'Bundle Tag Info'!W$6,CHAR(10),'Bundle Tag Info'!W$22),"")</f>
        <v/>
      </c>
      <c r="X16" s="25" t="str">
        <f>IF('Bundle Tag Info'!X$22&lt;&gt;"",CONCATENATE('Bundle Tag Info'!$A$1," ",CHAR(10),'Bundle Tag Info'!$A$2," ",'Bundle Tag Info'!$A$3,CHAR(10),'Bundle Tag Info'!X$6,CHAR(10),'Bundle Tag Info'!X$22),"")</f>
        <v/>
      </c>
      <c r="Y16" s="25" t="str">
        <f>IF('Bundle Tag Info'!Y$22&lt;&gt;"",CONCATENATE('Bundle Tag Info'!$A$1," ",CHAR(10),'Bundle Tag Info'!$A$2," ",'Bundle Tag Info'!$A$3,CHAR(10),'Bundle Tag Info'!Y$6,CHAR(10),'Bundle Tag Info'!Y$22),"")</f>
        <v/>
      </c>
      <c r="Z16" s="25" t="str">
        <f>IF('Bundle Tag Info'!Z$22&lt;&gt;"",CONCATENATE('Bundle Tag Info'!$A$1," ",CHAR(10),'Bundle Tag Info'!$A$2," ",'Bundle Tag Info'!$A$3,CHAR(10),'Bundle Tag Info'!Z$6,CHAR(10),'Bundle Tag Info'!Z$22),"")</f>
        <v/>
      </c>
      <c r="AA16" s="25" t="str">
        <f>IF('Bundle Tag Info'!AA$22&lt;&gt;"",CONCATENATE('Bundle Tag Info'!$A$1," ",CHAR(10),'Bundle Tag Info'!$A$2," ",'Bundle Tag Info'!$A$3,CHAR(10),'Bundle Tag Info'!AA$6,CHAR(10),'Bundle Tag Info'!AA$22),"")</f>
        <v/>
      </c>
      <c r="AB16" s="25" t="str">
        <f>IF('Bundle Tag Info'!AB$22&lt;&gt;"",CONCATENATE('Bundle Tag Info'!$A$1," ",CHAR(10),'Bundle Tag Info'!$A$2," ",'Bundle Tag Info'!$A$3,CHAR(10),'Bundle Tag Info'!AB$6,CHAR(10),'Bundle Tag Info'!AB$22),"")</f>
        <v/>
      </c>
      <c r="AC16" s="25" t="str">
        <f>IF('Bundle Tag Info'!AC$22&lt;&gt;"",CONCATENATE('Bundle Tag Info'!$A$1," ",CHAR(10),'Bundle Tag Info'!$A$2," ",'Bundle Tag Info'!$A$3,CHAR(10),'Bundle Tag Info'!AC$6,CHAR(10),'Bundle Tag Info'!AC$22),"")</f>
        <v/>
      </c>
      <c r="AD16" s="25" t="str">
        <f>IF('Bundle Tag Info'!AD$22&lt;&gt;"",CONCATENATE('Bundle Tag Info'!$A$1," ",CHAR(10),'Bundle Tag Info'!$A$2," ",'Bundle Tag Info'!$A$3,CHAR(10),'Bundle Tag Info'!AD$6,CHAR(10),'Bundle Tag Info'!AD$22),"")</f>
        <v/>
      </c>
    </row>
    <row r="17" spans="1:30" ht="63.95" customHeight="1" x14ac:dyDescent="0.25">
      <c r="A17" s="25" t="str">
        <f>IF('Bundle Tag Info'!H$10&lt;&gt;"",CONCATENATE('Bundle Tag Info'!$A$1," ",CHAR(10),'Bundle Tag Info'!$A$2," ",'Bundle Tag Info'!$A$3,CHAR(10),'Bundle Tag Info'!H$6,CHAR(10),'Bundle Tag Info'!H$10),"")</f>
        <v>ERGON-V #2 
4K911 Rev A
GEN PNL
KA</v>
      </c>
      <c r="B17" s="25" t="str">
        <f>IF('Bundle Tag Info'!B$23&lt;&gt;"",CONCATENATE('Bundle Tag Info'!$A$1," ",CHAR(10),'Bundle Tag Info'!$A$2," ",'Bundle Tag Info'!$A$3,CHAR(10),'Bundle Tag Info'!B$6,CHAR(10),'Bundle Tag Info'!B$23),"")</f>
        <v/>
      </c>
      <c r="D17" s="25" t="str">
        <f>IF('Bundle Tag Info'!D$23&lt;&gt;"",CONCATENATE('Bundle Tag Info'!$A$1," ",CHAR(10),'Bundle Tag Info'!$A$2," ",'Bundle Tag Info'!$A$3,CHAR(10),'Bundle Tag Info'!D$6,CHAR(10),'Bundle Tag Info'!D$23),"")</f>
        <v/>
      </c>
      <c r="E17" s="25" t="str">
        <f>IF('Bundle Tag Info'!E$23&lt;&gt;"",CONCATENATE('Bundle Tag Info'!$A$1," ",CHAR(10),'Bundle Tag Info'!$A$2," ",'Bundle Tag Info'!$A$3,CHAR(10),'Bundle Tag Info'!E$6,CHAR(10),'Bundle Tag Info'!E$23),"")</f>
        <v/>
      </c>
      <c r="F17" s="25" t="str">
        <f>IF('Bundle Tag Info'!F$23&lt;&gt;"",CONCATENATE('Bundle Tag Info'!$A$1," ",CHAR(10),'Bundle Tag Info'!$A$2," ",'Bundle Tag Info'!$A$3,CHAR(10),'Bundle Tag Info'!F$6,CHAR(10),'Bundle Tag Info'!F$23),"")</f>
        <v/>
      </c>
      <c r="G17" s="25" t="str">
        <f>IF('Bundle Tag Info'!G$23&lt;&gt;"",CONCATENATE('Bundle Tag Info'!$A$1," ",CHAR(10),'Bundle Tag Info'!$A$2," ",'Bundle Tag Info'!$A$3,CHAR(10),'Bundle Tag Info'!G$6,CHAR(10),'Bundle Tag Info'!G$23),"")</f>
        <v/>
      </c>
      <c r="H17" s="25" t="str">
        <f>IF('Bundle Tag Info'!H$23&lt;&gt;"",CONCATENATE('Bundle Tag Info'!$A$1," ",CHAR(10),'Bundle Tag Info'!$A$2," ",'Bundle Tag Info'!$A$3,CHAR(10),'Bundle Tag Info'!H$6,CHAR(10),'Bundle Tag Info'!H$23),"")</f>
        <v/>
      </c>
      <c r="I17" s="25" t="str">
        <f>IF('Bundle Tag Info'!I$23&lt;&gt;"",CONCATENATE('Bundle Tag Info'!$A$1," ",CHAR(10),'Bundle Tag Info'!$A$2," ",'Bundle Tag Info'!$A$3,CHAR(10),'Bundle Tag Info'!I$6,CHAR(10),'Bundle Tag Info'!I$23),"")</f>
        <v/>
      </c>
      <c r="J17" s="25" t="str">
        <f>IF('Bundle Tag Info'!J$23&lt;&gt;"",CONCATENATE('Bundle Tag Info'!$A$1," ",CHAR(10),'Bundle Tag Info'!$A$2," ",'Bundle Tag Info'!$A$3,CHAR(10),'Bundle Tag Info'!J$6,CHAR(10),'Bundle Tag Info'!J$23),"")</f>
        <v/>
      </c>
      <c r="K17" s="25" t="str">
        <f>IF('Bundle Tag Info'!K$23&lt;&gt;"",CONCATENATE('Bundle Tag Info'!$A$1," ",CHAR(10),'Bundle Tag Info'!$A$2," ",'Bundle Tag Info'!$A$3,CHAR(10),'Bundle Tag Info'!K$6,CHAR(10),'Bundle Tag Info'!K$23),"")</f>
        <v/>
      </c>
      <c r="L17" s="25" t="str">
        <f>IF('Bundle Tag Info'!L$23&lt;&gt;"",CONCATENATE('Bundle Tag Info'!$A$1," ",CHAR(10),'Bundle Tag Info'!$A$2," ",'Bundle Tag Info'!$A$3,CHAR(10),'Bundle Tag Info'!L$6,CHAR(10),'Bundle Tag Info'!L$23),"")</f>
        <v/>
      </c>
      <c r="M17" s="25" t="str">
        <f>IF('Bundle Tag Info'!M$23&lt;&gt;"",CONCATENATE('Bundle Tag Info'!$A$1," ",CHAR(10),'Bundle Tag Info'!$A$2," ",'Bundle Tag Info'!$A$3,CHAR(10),'Bundle Tag Info'!M$6,CHAR(10),'Bundle Tag Info'!M$23),"")</f>
        <v/>
      </c>
      <c r="N17" s="25" t="str">
        <f>IF('Bundle Tag Info'!N$23&lt;&gt;"",CONCATENATE('Bundle Tag Info'!$A$1," ",CHAR(10),'Bundle Tag Info'!$A$2," ",'Bundle Tag Info'!$A$3,CHAR(10),'Bundle Tag Info'!N$6,CHAR(10),'Bundle Tag Info'!N$23),"")</f>
        <v/>
      </c>
      <c r="O17" s="25" t="str">
        <f>IF('Bundle Tag Info'!O$23&lt;&gt;"",CONCATENATE('Bundle Tag Info'!$A$1," ",CHAR(10),'Bundle Tag Info'!$A$2," ",'Bundle Tag Info'!$A$3,CHAR(10),'Bundle Tag Info'!O$6,CHAR(10),'Bundle Tag Info'!O$23),"")</f>
        <v/>
      </c>
      <c r="P17" s="25" t="str">
        <f>IF('Bundle Tag Info'!P$23&lt;&gt;"",CONCATENATE('Bundle Tag Info'!$A$1," ",CHAR(10),'Bundle Tag Info'!$A$2," ",'Bundle Tag Info'!$A$3,CHAR(10),'Bundle Tag Info'!P$6,CHAR(10),'Bundle Tag Info'!P$23),"")</f>
        <v/>
      </c>
      <c r="Q17" s="25" t="str">
        <f>IF('Bundle Tag Info'!Q$23&lt;&gt;"",CONCATENATE('Bundle Tag Info'!$A$1," ",CHAR(10),'Bundle Tag Info'!$A$2," ",'Bundle Tag Info'!$A$3,CHAR(10),'Bundle Tag Info'!Q$6,CHAR(10),'Bundle Tag Info'!Q$23),"")</f>
        <v/>
      </c>
      <c r="R17" s="25" t="str">
        <f>IF('Bundle Tag Info'!R$23&lt;&gt;"",CONCATENATE('Bundle Tag Info'!$A$1," ",CHAR(10),'Bundle Tag Info'!$A$2," ",'Bundle Tag Info'!$A$3,CHAR(10),'Bundle Tag Info'!R$6,CHAR(10),'Bundle Tag Info'!R$23),"")</f>
        <v/>
      </c>
      <c r="S17" s="25" t="str">
        <f>IF('Bundle Tag Info'!S$23&lt;&gt;"",CONCATENATE('Bundle Tag Info'!$A$1," ",CHAR(10),'Bundle Tag Info'!$A$2," ",'Bundle Tag Info'!$A$3,CHAR(10),'Bundle Tag Info'!S$6,CHAR(10),'Bundle Tag Info'!S$23),"")</f>
        <v/>
      </c>
      <c r="T17" s="25" t="str">
        <f>IF('Bundle Tag Info'!T$23&lt;&gt;"",CONCATENATE('Bundle Tag Info'!$A$1," ",CHAR(10),'Bundle Tag Info'!$A$2," ",'Bundle Tag Info'!$A$3,CHAR(10),'Bundle Tag Info'!T$6,CHAR(10),'Bundle Tag Info'!T$23),"")</f>
        <v/>
      </c>
      <c r="U17" s="25" t="str">
        <f>IF('Bundle Tag Info'!U$23&lt;&gt;"",CONCATENATE('Bundle Tag Info'!$A$1," ",CHAR(10),'Bundle Tag Info'!$A$2," ",'Bundle Tag Info'!$A$3,CHAR(10),'Bundle Tag Info'!U$6,CHAR(10),'Bundle Tag Info'!U$23),"")</f>
        <v/>
      </c>
      <c r="V17" s="25" t="str">
        <f>IF('Bundle Tag Info'!V$23&lt;&gt;"",CONCATENATE('Bundle Tag Info'!$A$1," ",CHAR(10),'Bundle Tag Info'!$A$2," ",'Bundle Tag Info'!$A$3,CHAR(10),'Bundle Tag Info'!V$6,CHAR(10),'Bundle Tag Info'!V$23),"")</f>
        <v/>
      </c>
      <c r="W17" s="25" t="str">
        <f>IF('Bundle Tag Info'!W$23&lt;&gt;"",CONCATENATE('Bundle Tag Info'!$A$1," ",CHAR(10),'Bundle Tag Info'!$A$2," ",'Bundle Tag Info'!$A$3,CHAR(10),'Bundle Tag Info'!W$6,CHAR(10),'Bundle Tag Info'!W$23),"")</f>
        <v/>
      </c>
      <c r="X17" s="25" t="str">
        <f>IF('Bundle Tag Info'!X$23&lt;&gt;"",CONCATENATE('Bundle Tag Info'!$A$1," ",CHAR(10),'Bundle Tag Info'!$A$2," ",'Bundle Tag Info'!$A$3,CHAR(10),'Bundle Tag Info'!X$6,CHAR(10),'Bundle Tag Info'!X$23),"")</f>
        <v/>
      </c>
      <c r="Y17" s="25" t="str">
        <f>IF('Bundle Tag Info'!Y$23&lt;&gt;"",CONCATENATE('Bundle Tag Info'!$A$1," ",CHAR(10),'Bundle Tag Info'!$A$2," ",'Bundle Tag Info'!$A$3,CHAR(10),'Bundle Tag Info'!Y$6,CHAR(10),'Bundle Tag Info'!Y$23),"")</f>
        <v/>
      </c>
      <c r="Z17" s="25" t="str">
        <f>IF('Bundle Tag Info'!Z$23&lt;&gt;"",CONCATENATE('Bundle Tag Info'!$A$1," ",CHAR(10),'Bundle Tag Info'!$A$2," ",'Bundle Tag Info'!$A$3,CHAR(10),'Bundle Tag Info'!Z$6,CHAR(10),'Bundle Tag Info'!Z$23),"")</f>
        <v/>
      </c>
      <c r="AA17" s="25" t="str">
        <f>IF('Bundle Tag Info'!AA$23&lt;&gt;"",CONCATENATE('Bundle Tag Info'!$A$1," ",CHAR(10),'Bundle Tag Info'!$A$2," ",'Bundle Tag Info'!$A$3,CHAR(10),'Bundle Tag Info'!AA$6,CHAR(10),'Bundle Tag Info'!AA$23),"")</f>
        <v/>
      </c>
      <c r="AB17" s="25" t="str">
        <f>IF('Bundle Tag Info'!AB$23&lt;&gt;"",CONCATENATE('Bundle Tag Info'!$A$1," ",CHAR(10),'Bundle Tag Info'!$A$2," ",'Bundle Tag Info'!$A$3,CHAR(10),'Bundle Tag Info'!AB$6,CHAR(10),'Bundle Tag Info'!AB$23),"")</f>
        <v/>
      </c>
      <c r="AC17" s="25" t="str">
        <f>IF('Bundle Tag Info'!AC$23&lt;&gt;"",CONCATENATE('Bundle Tag Info'!$A$1," ",CHAR(10),'Bundle Tag Info'!$A$2," ",'Bundle Tag Info'!$A$3,CHAR(10),'Bundle Tag Info'!AC$6,CHAR(10),'Bundle Tag Info'!AC$23),"")</f>
        <v/>
      </c>
      <c r="AD17" s="25" t="str">
        <f>IF('Bundle Tag Info'!AD$23&lt;&gt;"",CONCATENATE('Bundle Tag Info'!$A$1," ",CHAR(10),'Bundle Tag Info'!$A$2," ",'Bundle Tag Info'!$A$3,CHAR(10),'Bundle Tag Info'!AD$6,CHAR(10),'Bundle Tag Info'!AD$23),"")</f>
        <v/>
      </c>
    </row>
    <row r="18" spans="1:30" ht="63.95" customHeight="1" x14ac:dyDescent="0.25">
      <c r="A18" s="25" t="str">
        <f>IF('Bundle Tag Info'!H$11&lt;&gt;"",CONCATENATE('Bundle Tag Info'!$A$1," ",CHAR(10),'Bundle Tag Info'!$A$2," ",'Bundle Tag Info'!$A$3,CHAR(10),'Bundle Tag Info'!H$6,CHAR(10),'Bundle Tag Info'!H$11),"")</f>
        <v>ERGON-V #2 
4K911 Rev A
GEN PNL
XT/FU</v>
      </c>
      <c r="B18" s="25" t="str">
        <f>IF('Bundle Tag Info'!B$24&lt;&gt;"",CONCATENATE('Bundle Tag Info'!$A$1," ",CHAR(10),'Bundle Tag Info'!$A$2," ",'Bundle Tag Info'!$A$3,CHAR(10),'Bundle Tag Info'!B$6,CHAR(10),'Bundle Tag Info'!B$24),"")</f>
        <v/>
      </c>
      <c r="D18" s="25" t="str">
        <f>IF('Bundle Tag Info'!D$24&lt;&gt;"",CONCATENATE('Bundle Tag Info'!$A$1," ",CHAR(10),'Bundle Tag Info'!$A$2," ",'Bundle Tag Info'!$A$3,CHAR(10),'Bundle Tag Info'!D$6,CHAR(10),'Bundle Tag Info'!D$24),"")</f>
        <v/>
      </c>
      <c r="E18" s="25" t="str">
        <f>IF('Bundle Tag Info'!E$24&lt;&gt;"",CONCATENATE('Bundle Tag Info'!$A$1," ",CHAR(10),'Bundle Tag Info'!$A$2," ",'Bundle Tag Info'!$A$3,CHAR(10),'Bundle Tag Info'!E$6,CHAR(10),'Bundle Tag Info'!E$24),"")</f>
        <v/>
      </c>
      <c r="F18" s="25" t="str">
        <f>IF('Bundle Tag Info'!F$24&lt;&gt;"",CONCATENATE('Bundle Tag Info'!$A$1," ",CHAR(10),'Bundle Tag Info'!$A$2," ",'Bundle Tag Info'!$A$3,CHAR(10),'Bundle Tag Info'!F$6,CHAR(10),'Bundle Tag Info'!F$24),"")</f>
        <v/>
      </c>
      <c r="G18" s="25" t="str">
        <f>IF('Bundle Tag Info'!G$24&lt;&gt;"",CONCATENATE('Bundle Tag Info'!$A$1," ",CHAR(10),'Bundle Tag Info'!$A$2," ",'Bundle Tag Info'!$A$3,CHAR(10),'Bundle Tag Info'!G$6,CHAR(10),'Bundle Tag Info'!G$24),"")</f>
        <v/>
      </c>
      <c r="H18" s="25" t="str">
        <f>IF('Bundle Tag Info'!H$24&lt;&gt;"",CONCATENATE('Bundle Tag Info'!$A$1," ",CHAR(10),'Bundle Tag Info'!$A$2," ",'Bundle Tag Info'!$A$3,CHAR(10),'Bundle Tag Info'!H$6,CHAR(10),'Bundle Tag Info'!H$24),"")</f>
        <v/>
      </c>
      <c r="I18" s="25" t="str">
        <f>IF('Bundle Tag Info'!I$24&lt;&gt;"",CONCATENATE('Bundle Tag Info'!$A$1," ",CHAR(10),'Bundle Tag Info'!$A$2," ",'Bundle Tag Info'!$A$3,CHAR(10),'Bundle Tag Info'!I$6,CHAR(10),'Bundle Tag Info'!I$24),"")</f>
        <v/>
      </c>
      <c r="J18" s="25" t="str">
        <f>IF('Bundle Tag Info'!J$24&lt;&gt;"",CONCATENATE('Bundle Tag Info'!$A$1," ",CHAR(10),'Bundle Tag Info'!$A$2," ",'Bundle Tag Info'!$A$3,CHAR(10),'Bundle Tag Info'!J$6,CHAR(10),'Bundle Tag Info'!J$24),"")</f>
        <v/>
      </c>
      <c r="K18" s="25" t="str">
        <f>IF('Bundle Tag Info'!K$24&lt;&gt;"",CONCATENATE('Bundle Tag Info'!$A$1," ",CHAR(10),'Bundle Tag Info'!$A$2," ",'Bundle Tag Info'!$A$3,CHAR(10),'Bundle Tag Info'!K$6,CHAR(10),'Bundle Tag Info'!K$24),"")</f>
        <v/>
      </c>
      <c r="L18" s="25" t="str">
        <f>IF('Bundle Tag Info'!L$24&lt;&gt;"",CONCATENATE('Bundle Tag Info'!$A$1," ",CHAR(10),'Bundle Tag Info'!$A$2," ",'Bundle Tag Info'!$A$3,CHAR(10),'Bundle Tag Info'!L$6,CHAR(10),'Bundle Tag Info'!L$24),"")</f>
        <v/>
      </c>
      <c r="M18" s="25" t="str">
        <f>IF('Bundle Tag Info'!M$24&lt;&gt;"",CONCATENATE('Bundle Tag Info'!$A$1," ",CHAR(10),'Bundle Tag Info'!$A$2," ",'Bundle Tag Info'!$A$3,CHAR(10),'Bundle Tag Info'!M$6,CHAR(10),'Bundle Tag Info'!M$24),"")</f>
        <v/>
      </c>
      <c r="N18" s="25" t="str">
        <f>IF('Bundle Tag Info'!N$24&lt;&gt;"",CONCATENATE('Bundle Tag Info'!$A$1," ",CHAR(10),'Bundle Tag Info'!$A$2," ",'Bundle Tag Info'!$A$3,CHAR(10),'Bundle Tag Info'!N$6,CHAR(10),'Bundle Tag Info'!N$24),"")</f>
        <v/>
      </c>
      <c r="O18" s="25" t="str">
        <f>IF('Bundle Tag Info'!O$24&lt;&gt;"",CONCATENATE('Bundle Tag Info'!$A$1," ",CHAR(10),'Bundle Tag Info'!$A$2," ",'Bundle Tag Info'!$A$3,CHAR(10),'Bundle Tag Info'!O$6,CHAR(10),'Bundle Tag Info'!O$24),"")</f>
        <v/>
      </c>
      <c r="P18" s="25" t="str">
        <f>IF('Bundle Tag Info'!P$24&lt;&gt;"",CONCATENATE('Bundle Tag Info'!$A$1," ",CHAR(10),'Bundle Tag Info'!$A$2," ",'Bundle Tag Info'!$A$3,CHAR(10),'Bundle Tag Info'!P$6,CHAR(10),'Bundle Tag Info'!P$24),"")</f>
        <v/>
      </c>
      <c r="Q18" s="25" t="str">
        <f>IF('Bundle Tag Info'!Q$24&lt;&gt;"",CONCATENATE('Bundle Tag Info'!$A$1," ",CHAR(10),'Bundle Tag Info'!$A$2," ",'Bundle Tag Info'!$A$3,CHAR(10),'Bundle Tag Info'!Q$6,CHAR(10),'Bundle Tag Info'!Q$24),"")</f>
        <v/>
      </c>
      <c r="R18" s="25" t="str">
        <f>IF('Bundle Tag Info'!R$24&lt;&gt;"",CONCATENATE('Bundle Tag Info'!$A$1," ",CHAR(10),'Bundle Tag Info'!$A$2," ",'Bundle Tag Info'!$A$3,CHAR(10),'Bundle Tag Info'!R$6,CHAR(10),'Bundle Tag Info'!R$24),"")</f>
        <v/>
      </c>
      <c r="S18" s="25" t="str">
        <f>IF('Bundle Tag Info'!S$24&lt;&gt;"",CONCATENATE('Bundle Tag Info'!$A$1," ",CHAR(10),'Bundle Tag Info'!$A$2," ",'Bundle Tag Info'!$A$3,CHAR(10),'Bundle Tag Info'!S$6,CHAR(10),'Bundle Tag Info'!S$24),"")</f>
        <v/>
      </c>
      <c r="T18" s="25" t="str">
        <f>IF('Bundle Tag Info'!T$24&lt;&gt;"",CONCATENATE('Bundle Tag Info'!$A$1," ",CHAR(10),'Bundle Tag Info'!$A$2," ",'Bundle Tag Info'!$A$3,CHAR(10),'Bundle Tag Info'!T$6,CHAR(10),'Bundle Tag Info'!T$24),"")</f>
        <v/>
      </c>
      <c r="U18" s="25" t="str">
        <f>IF('Bundle Tag Info'!U$24&lt;&gt;"",CONCATENATE('Bundle Tag Info'!$A$1," ",CHAR(10),'Bundle Tag Info'!$A$2," ",'Bundle Tag Info'!$A$3,CHAR(10),'Bundle Tag Info'!U$6,CHAR(10),'Bundle Tag Info'!U$24),"")</f>
        <v/>
      </c>
      <c r="V18" s="25" t="str">
        <f>IF('Bundle Tag Info'!V$24&lt;&gt;"",CONCATENATE('Bundle Tag Info'!$A$1," ",CHAR(10),'Bundle Tag Info'!$A$2," ",'Bundle Tag Info'!$A$3,CHAR(10),'Bundle Tag Info'!V$6,CHAR(10),'Bundle Tag Info'!V$24),"")</f>
        <v/>
      </c>
      <c r="W18" s="25" t="str">
        <f>IF('Bundle Tag Info'!W$24&lt;&gt;"",CONCATENATE('Bundle Tag Info'!$A$1," ",CHAR(10),'Bundle Tag Info'!$A$2," ",'Bundle Tag Info'!$A$3,CHAR(10),'Bundle Tag Info'!W$6,CHAR(10),'Bundle Tag Info'!W$24),"")</f>
        <v/>
      </c>
      <c r="X18" s="25" t="str">
        <f>IF('Bundle Tag Info'!X$24&lt;&gt;"",CONCATENATE('Bundle Tag Info'!$A$1," ",CHAR(10),'Bundle Tag Info'!$A$2," ",'Bundle Tag Info'!$A$3,CHAR(10),'Bundle Tag Info'!X$6,CHAR(10),'Bundle Tag Info'!X$24),"")</f>
        <v/>
      </c>
      <c r="Y18" s="25" t="str">
        <f>IF('Bundle Tag Info'!Y$24&lt;&gt;"",CONCATENATE('Bundle Tag Info'!$A$1," ",CHAR(10),'Bundle Tag Info'!$A$2," ",'Bundle Tag Info'!$A$3,CHAR(10),'Bundle Tag Info'!Y$6,CHAR(10),'Bundle Tag Info'!Y$24),"")</f>
        <v/>
      </c>
      <c r="Z18" s="25" t="str">
        <f>IF('Bundle Tag Info'!Z$24&lt;&gt;"",CONCATENATE('Bundle Tag Info'!$A$1," ",CHAR(10),'Bundle Tag Info'!$A$2," ",'Bundle Tag Info'!$A$3,CHAR(10),'Bundle Tag Info'!Z$6,CHAR(10),'Bundle Tag Info'!Z$24),"")</f>
        <v/>
      </c>
      <c r="AA18" s="25" t="str">
        <f>IF('Bundle Tag Info'!AA$24&lt;&gt;"",CONCATENATE('Bundle Tag Info'!$A$1," ",CHAR(10),'Bundle Tag Info'!$A$2," ",'Bundle Tag Info'!$A$3,CHAR(10),'Bundle Tag Info'!AA$6,CHAR(10),'Bundle Tag Info'!AA$24),"")</f>
        <v/>
      </c>
      <c r="AB18" s="25" t="str">
        <f>IF('Bundle Tag Info'!AB$24&lt;&gt;"",CONCATENATE('Bundle Tag Info'!$A$1," ",CHAR(10),'Bundle Tag Info'!$A$2," ",'Bundle Tag Info'!$A$3,CHAR(10),'Bundle Tag Info'!AB$6,CHAR(10),'Bundle Tag Info'!AB$24),"")</f>
        <v/>
      </c>
      <c r="AC18" s="25" t="str">
        <f>IF('Bundle Tag Info'!AC$24&lt;&gt;"",CONCATENATE('Bundle Tag Info'!$A$1," ",CHAR(10),'Bundle Tag Info'!$A$2," ",'Bundle Tag Info'!$A$3,CHAR(10),'Bundle Tag Info'!AC$6,CHAR(10),'Bundle Tag Info'!AC$24),"")</f>
        <v/>
      </c>
      <c r="AD18" s="25" t="str">
        <f>IF('Bundle Tag Info'!AD$24&lt;&gt;"",CONCATENATE('Bundle Tag Info'!$A$1," ",CHAR(10),'Bundle Tag Info'!$A$2," ",'Bundle Tag Info'!$A$3,CHAR(10),'Bundle Tag Info'!AD$6,CHAR(10),'Bundle Tag Info'!AD$24),"")</f>
        <v/>
      </c>
    </row>
    <row r="19" spans="1:30" ht="63.95" customHeight="1" x14ac:dyDescent="0.25">
      <c r="A19" s="25" t="str">
        <f>IF('Bundle Tag Info'!H$12&lt;&gt;"",CONCATENATE('Bundle Tag Info'!$A$1," ",CHAR(10),'Bundle Tag Info'!$A$2," ",'Bundle Tag Info'!$A$3,CHAR(10),'Bundle Tag Info'!H$6,CHAR(10),'Bundle Tag Info'!H$12),"")</f>
        <v>ERGON-V #2 
4K911 Rev A
GEN PNL
AT0140</v>
      </c>
      <c r="B19" s="25" t="str">
        <f>IF('Bundle Tag Info'!B$25&lt;&gt;"",CONCATENATE('Bundle Tag Info'!$A$1," ",CHAR(10),'Bundle Tag Info'!$A$2," ",'Bundle Tag Info'!$A$3,CHAR(10),'Bundle Tag Info'!B$6,CHAR(10),'Bundle Tag Info'!B$25),"")</f>
        <v/>
      </c>
      <c r="C19" s="25" t="str">
        <f>IF('Bundle Tag Info'!C$25&lt;&gt;"",CONCATENATE('Bundle Tag Info'!$A$1," ",CHAR(10),'Bundle Tag Info'!$A$2," ",'Bundle Tag Info'!$A$3,CHAR(10),'Bundle Tag Info'!C$6,CHAR(10),'Bundle Tag Info'!C$25),"")</f>
        <v/>
      </c>
      <c r="D19" s="25" t="str">
        <f>IF('Bundle Tag Info'!D$25&lt;&gt;"",CONCATENATE('Bundle Tag Info'!$A$1," ",CHAR(10),'Bundle Tag Info'!$A$2," ",'Bundle Tag Info'!$A$3,CHAR(10),'Bundle Tag Info'!D$6,CHAR(10),'Bundle Tag Info'!D$25),"")</f>
        <v/>
      </c>
      <c r="E19" s="25" t="str">
        <f>IF('Bundle Tag Info'!E$25&lt;&gt;"",CONCATENATE('Bundle Tag Info'!$A$1," ",CHAR(10),'Bundle Tag Info'!$A$2," ",'Bundle Tag Info'!$A$3,CHAR(10),'Bundle Tag Info'!E$6,CHAR(10),'Bundle Tag Info'!E$25),"")</f>
        <v/>
      </c>
      <c r="F19" s="25" t="str">
        <f>IF('Bundle Tag Info'!F$25&lt;&gt;"",CONCATENATE('Bundle Tag Info'!$A$1," ",CHAR(10),'Bundle Tag Info'!$A$2," ",'Bundle Tag Info'!$A$3,CHAR(10),'Bundle Tag Info'!F$6,CHAR(10),'Bundle Tag Info'!F$25),"")</f>
        <v/>
      </c>
      <c r="G19" s="25" t="str">
        <f>IF('Bundle Tag Info'!G$25&lt;&gt;"",CONCATENATE('Bundle Tag Info'!$A$1," ",CHAR(10),'Bundle Tag Info'!$A$2," ",'Bundle Tag Info'!$A$3,CHAR(10),'Bundle Tag Info'!G$6,CHAR(10),'Bundle Tag Info'!G$25),"")</f>
        <v/>
      </c>
      <c r="H19" s="25" t="str">
        <f>IF('Bundle Tag Info'!H$25&lt;&gt;"",CONCATENATE('Bundle Tag Info'!$A$1," ",CHAR(10),'Bundle Tag Info'!$A$2," ",'Bundle Tag Info'!$A$3,CHAR(10),'Bundle Tag Info'!H$6,CHAR(10),'Bundle Tag Info'!H$25),"")</f>
        <v/>
      </c>
      <c r="I19" s="25" t="str">
        <f>IF('Bundle Tag Info'!I$25&lt;&gt;"",CONCATENATE('Bundle Tag Info'!$A$1," ",CHAR(10),'Bundle Tag Info'!$A$2," ",'Bundle Tag Info'!$A$3,CHAR(10),'Bundle Tag Info'!I$6,CHAR(10),'Bundle Tag Info'!I$25),"")</f>
        <v/>
      </c>
      <c r="J19" s="25" t="str">
        <f>IF('Bundle Tag Info'!J$25&lt;&gt;"",CONCATENATE('Bundle Tag Info'!$A$1," ",CHAR(10),'Bundle Tag Info'!$A$2," ",'Bundle Tag Info'!$A$3,CHAR(10),'Bundle Tag Info'!J$6,CHAR(10),'Bundle Tag Info'!J$25),"")</f>
        <v/>
      </c>
      <c r="K19" s="25" t="str">
        <f>IF('Bundle Tag Info'!K$25&lt;&gt;"",CONCATENATE('Bundle Tag Info'!$A$1," ",CHAR(10),'Bundle Tag Info'!$A$2," ",'Bundle Tag Info'!$A$3,CHAR(10),'Bundle Tag Info'!K$6,CHAR(10),'Bundle Tag Info'!K$25),"")</f>
        <v/>
      </c>
      <c r="L19" s="25" t="str">
        <f>IF('Bundle Tag Info'!L$25&lt;&gt;"",CONCATENATE('Bundle Tag Info'!$A$1," ",CHAR(10),'Bundle Tag Info'!$A$2," ",'Bundle Tag Info'!$A$3,CHAR(10),'Bundle Tag Info'!L$6,CHAR(10),'Bundle Tag Info'!L$25),"")</f>
        <v/>
      </c>
      <c r="M19" s="25" t="str">
        <f>IF('Bundle Tag Info'!M$25&lt;&gt;"",CONCATENATE('Bundle Tag Info'!$A$1," ",CHAR(10),'Bundle Tag Info'!$A$2," ",'Bundle Tag Info'!$A$3,CHAR(10),'Bundle Tag Info'!M$6,CHAR(10),'Bundle Tag Info'!M$25),"")</f>
        <v/>
      </c>
      <c r="N19" s="25" t="str">
        <f>IF('Bundle Tag Info'!N$25&lt;&gt;"",CONCATENATE('Bundle Tag Info'!$A$1," ",CHAR(10),'Bundle Tag Info'!$A$2," ",'Bundle Tag Info'!$A$3,CHAR(10),'Bundle Tag Info'!N$6,CHAR(10),'Bundle Tag Info'!N$25),"")</f>
        <v/>
      </c>
      <c r="O19" s="25" t="str">
        <f>IF('Bundle Tag Info'!O$25&lt;&gt;"",CONCATENATE('Bundle Tag Info'!$A$1," ",CHAR(10),'Bundle Tag Info'!$A$2," ",'Bundle Tag Info'!$A$3,CHAR(10),'Bundle Tag Info'!O$6,CHAR(10),'Bundle Tag Info'!O$25),"")</f>
        <v/>
      </c>
      <c r="P19" s="25" t="str">
        <f>IF('Bundle Tag Info'!P$25&lt;&gt;"",CONCATENATE('Bundle Tag Info'!$A$1," ",CHAR(10),'Bundle Tag Info'!$A$2," ",'Bundle Tag Info'!$A$3,CHAR(10),'Bundle Tag Info'!P$6,CHAR(10),'Bundle Tag Info'!P$25),"")</f>
        <v/>
      </c>
      <c r="Q19" s="25" t="str">
        <f>IF('Bundle Tag Info'!Q$25&lt;&gt;"",CONCATENATE('Bundle Tag Info'!$A$1," ",CHAR(10),'Bundle Tag Info'!$A$2," ",'Bundle Tag Info'!$A$3,CHAR(10),'Bundle Tag Info'!Q$6,CHAR(10),'Bundle Tag Info'!Q$25),"")</f>
        <v/>
      </c>
      <c r="R19" s="25" t="str">
        <f>IF('Bundle Tag Info'!R$25&lt;&gt;"",CONCATENATE('Bundle Tag Info'!$A$1," ",CHAR(10),'Bundle Tag Info'!$A$2," ",'Bundle Tag Info'!$A$3,CHAR(10),'Bundle Tag Info'!R$6,CHAR(10),'Bundle Tag Info'!R$25),"")</f>
        <v/>
      </c>
      <c r="S19" s="25" t="str">
        <f>IF('Bundle Tag Info'!S$25&lt;&gt;"",CONCATENATE('Bundle Tag Info'!$A$1," ",CHAR(10),'Bundle Tag Info'!$A$2," ",'Bundle Tag Info'!$A$3,CHAR(10),'Bundle Tag Info'!S$6,CHAR(10),'Bundle Tag Info'!S$25),"")</f>
        <v/>
      </c>
      <c r="T19" s="25" t="str">
        <f>IF('Bundle Tag Info'!T$25&lt;&gt;"",CONCATENATE('Bundle Tag Info'!$A$1," ",CHAR(10),'Bundle Tag Info'!$A$2," ",'Bundle Tag Info'!$A$3,CHAR(10),'Bundle Tag Info'!T$6,CHAR(10),'Bundle Tag Info'!T$25),"")</f>
        <v/>
      </c>
      <c r="U19" s="25" t="str">
        <f>IF('Bundle Tag Info'!U$25&lt;&gt;"",CONCATENATE('Bundle Tag Info'!$A$1," ",CHAR(10),'Bundle Tag Info'!$A$2," ",'Bundle Tag Info'!$A$3,CHAR(10),'Bundle Tag Info'!U$6,CHAR(10),'Bundle Tag Info'!U$25),"")</f>
        <v/>
      </c>
      <c r="V19" s="25" t="str">
        <f>IF('Bundle Tag Info'!V$25&lt;&gt;"",CONCATENATE('Bundle Tag Info'!$A$1," ",CHAR(10),'Bundle Tag Info'!$A$2," ",'Bundle Tag Info'!$A$3,CHAR(10),'Bundle Tag Info'!V$6,CHAR(10),'Bundle Tag Info'!V$25),"")</f>
        <v/>
      </c>
      <c r="W19" s="25" t="str">
        <f>IF('Bundle Tag Info'!W$25&lt;&gt;"",CONCATENATE('Bundle Tag Info'!$A$1," ",CHAR(10),'Bundle Tag Info'!$A$2," ",'Bundle Tag Info'!$A$3,CHAR(10),'Bundle Tag Info'!W$6,CHAR(10),'Bundle Tag Info'!W$25),"")</f>
        <v/>
      </c>
      <c r="X19" s="25" t="str">
        <f>IF('Bundle Tag Info'!X$25&lt;&gt;"",CONCATENATE('Bundle Tag Info'!$A$1," ",CHAR(10),'Bundle Tag Info'!$A$2," ",'Bundle Tag Info'!$A$3,CHAR(10),'Bundle Tag Info'!X$6,CHAR(10),'Bundle Tag Info'!X$25),"")</f>
        <v/>
      </c>
      <c r="Y19" s="25" t="str">
        <f>IF('Bundle Tag Info'!Y$25&lt;&gt;"",CONCATENATE('Bundle Tag Info'!$A$1," ",CHAR(10),'Bundle Tag Info'!$A$2," ",'Bundle Tag Info'!$A$3,CHAR(10),'Bundle Tag Info'!Y$6,CHAR(10),'Bundle Tag Info'!Y$25),"")</f>
        <v/>
      </c>
      <c r="Z19" s="25" t="str">
        <f>IF('Bundle Tag Info'!Z$25&lt;&gt;"",CONCATENATE('Bundle Tag Info'!$A$1," ",CHAR(10),'Bundle Tag Info'!$A$2," ",'Bundle Tag Info'!$A$3,CHAR(10),'Bundle Tag Info'!Z$6,CHAR(10),'Bundle Tag Info'!Z$25),"")</f>
        <v/>
      </c>
      <c r="AA19" s="25" t="str">
        <f>IF('Bundle Tag Info'!AA$25&lt;&gt;"",CONCATENATE('Bundle Tag Info'!$A$1," ",CHAR(10),'Bundle Tag Info'!$A$2," ",'Bundle Tag Info'!$A$3,CHAR(10),'Bundle Tag Info'!AA$6,CHAR(10),'Bundle Tag Info'!AA$25),"")</f>
        <v/>
      </c>
      <c r="AB19" s="25" t="str">
        <f>IF('Bundle Tag Info'!AB$25&lt;&gt;"",CONCATENATE('Bundle Tag Info'!$A$1," ",CHAR(10),'Bundle Tag Info'!$A$2," ",'Bundle Tag Info'!$A$3,CHAR(10),'Bundle Tag Info'!AB$6,CHAR(10),'Bundle Tag Info'!AB$25),"")</f>
        <v/>
      </c>
      <c r="AC19" s="25" t="str">
        <f>IF('Bundle Tag Info'!AC$25&lt;&gt;"",CONCATENATE('Bundle Tag Info'!$A$1," ",CHAR(10),'Bundle Tag Info'!$A$2," ",'Bundle Tag Info'!$A$3,CHAR(10),'Bundle Tag Info'!AC$6,CHAR(10),'Bundle Tag Info'!AC$25),"")</f>
        <v/>
      </c>
      <c r="AD19" s="25" t="str">
        <f>IF('Bundle Tag Info'!AD$25&lt;&gt;"",CONCATENATE('Bundle Tag Info'!$A$1," ",CHAR(10),'Bundle Tag Info'!$A$2," ",'Bundle Tag Info'!$A$3,CHAR(10),'Bundle Tag Info'!AD$6,CHAR(10),'Bundle Tag Info'!AD$25),"")</f>
        <v/>
      </c>
    </row>
    <row r="20" spans="1:30" ht="63.95" customHeight="1" x14ac:dyDescent="0.25">
      <c r="A20" s="25" t="str">
        <f>IF('Bundle Tag Info'!G$7&lt;&gt;"",CONCATENATE('Bundle Tag Info'!$A$1," ",CHAR(10),'Bundle Tag Info'!$A$2," ",'Bundle Tag Info'!$A$3,CHAR(10),'Bundle Tag Info'!G$6,CHAR(10),'Bundle Tag Info'!G$7),"")</f>
        <v>ERGON-V #2 
4K911 Rev A
R/RAIL JB72
AF-GEN</v>
      </c>
      <c r="B20" s="25" t="str">
        <f>IF('Bundle Tag Info'!B$26&lt;&gt;"",CONCATENATE('Bundle Tag Info'!$A$1," ",CHAR(10),'Bundle Tag Info'!$A$2," ",'Bundle Tag Info'!$A$3,CHAR(10),'Bundle Tag Info'!B$6,CHAR(10),'Bundle Tag Info'!B$26),"")</f>
        <v/>
      </c>
      <c r="C20" s="25" t="str">
        <f>IF('Bundle Tag Info'!C$26&lt;&gt;"",CONCATENATE('Bundle Tag Info'!$A$1," ",CHAR(10),'Bundle Tag Info'!$A$2," ",'Bundle Tag Info'!$A$3,CHAR(10),'Bundle Tag Info'!C$6,CHAR(10),'Bundle Tag Info'!C$26),"")</f>
        <v/>
      </c>
      <c r="D20" s="25" t="str">
        <f>IF('Bundle Tag Info'!D$26&lt;&gt;"",CONCATENATE('Bundle Tag Info'!$A$1," ",CHAR(10),'Bundle Tag Info'!$A$2," ",'Bundle Tag Info'!$A$3,CHAR(10),'Bundle Tag Info'!D$6,CHAR(10),'Bundle Tag Info'!D$26),"")</f>
        <v/>
      </c>
      <c r="E20" s="25" t="str">
        <f>IF('Bundle Tag Info'!E$26&lt;&gt;"",CONCATENATE('Bundle Tag Info'!$A$1," ",CHAR(10),'Bundle Tag Info'!$A$2," ",'Bundle Tag Info'!$A$3,CHAR(10),'Bundle Tag Info'!E$6,CHAR(10),'Bundle Tag Info'!E$26),"")</f>
        <v/>
      </c>
      <c r="F20" s="25" t="str">
        <f>IF('Bundle Tag Info'!F$26&lt;&gt;"",CONCATENATE('Bundle Tag Info'!$A$1," ",CHAR(10),'Bundle Tag Info'!$A$2," ",'Bundle Tag Info'!$A$3,CHAR(10),'Bundle Tag Info'!F$6,CHAR(10),'Bundle Tag Info'!F$26),"")</f>
        <v/>
      </c>
      <c r="G20" s="25" t="str">
        <f>IF('Bundle Tag Info'!G$26&lt;&gt;"",CONCATENATE('Bundle Tag Info'!$A$1," ",CHAR(10),'Bundle Tag Info'!$A$2," ",'Bundle Tag Info'!$A$3,CHAR(10),'Bundle Tag Info'!G$6,CHAR(10),'Bundle Tag Info'!G$26),"")</f>
        <v/>
      </c>
      <c r="H20" s="25" t="str">
        <f>IF('Bundle Tag Info'!H$26&lt;&gt;"",CONCATENATE('Bundle Tag Info'!$A$1," ",CHAR(10),'Bundle Tag Info'!$A$2," ",'Bundle Tag Info'!$A$3,CHAR(10),'Bundle Tag Info'!H$6,CHAR(10),'Bundle Tag Info'!H$26),"")</f>
        <v/>
      </c>
      <c r="I20" s="25" t="str">
        <f>IF('Bundle Tag Info'!I$26&lt;&gt;"",CONCATENATE('Bundle Tag Info'!$A$1," ",CHAR(10),'Bundle Tag Info'!$A$2," ",'Bundle Tag Info'!$A$3,CHAR(10),'Bundle Tag Info'!I$6,CHAR(10),'Bundle Tag Info'!I$26),"")</f>
        <v/>
      </c>
      <c r="J20" s="25" t="str">
        <f>IF('Bundle Tag Info'!J$26&lt;&gt;"",CONCATENATE('Bundle Tag Info'!$A$1," ",CHAR(10),'Bundle Tag Info'!$A$2," ",'Bundle Tag Info'!$A$3,CHAR(10),'Bundle Tag Info'!J$6,CHAR(10),'Bundle Tag Info'!J$26),"")</f>
        <v/>
      </c>
      <c r="K20" s="25" t="str">
        <f>IF('Bundle Tag Info'!K$26&lt;&gt;"",CONCATENATE('Bundle Tag Info'!$A$1," ",CHAR(10),'Bundle Tag Info'!$A$2," ",'Bundle Tag Info'!$A$3,CHAR(10),'Bundle Tag Info'!K$6,CHAR(10),'Bundle Tag Info'!K$26),"")</f>
        <v/>
      </c>
      <c r="L20" s="25" t="str">
        <f>IF('Bundle Tag Info'!L$26&lt;&gt;"",CONCATENATE('Bundle Tag Info'!$A$1," ",CHAR(10),'Bundle Tag Info'!$A$2," ",'Bundle Tag Info'!$A$3,CHAR(10),'Bundle Tag Info'!L$6,CHAR(10),'Bundle Tag Info'!L$26),"")</f>
        <v/>
      </c>
      <c r="M20" s="25" t="str">
        <f>IF('Bundle Tag Info'!M$26&lt;&gt;"",CONCATENATE('Bundle Tag Info'!$A$1," ",CHAR(10),'Bundle Tag Info'!$A$2," ",'Bundle Tag Info'!$A$3,CHAR(10),'Bundle Tag Info'!M$6,CHAR(10),'Bundle Tag Info'!M$26),"")</f>
        <v/>
      </c>
      <c r="N20" s="25" t="str">
        <f>IF('Bundle Tag Info'!N$26&lt;&gt;"",CONCATENATE('Bundle Tag Info'!$A$1," ",CHAR(10),'Bundle Tag Info'!$A$2," ",'Bundle Tag Info'!$A$3,CHAR(10),'Bundle Tag Info'!N$6,CHAR(10),'Bundle Tag Info'!N$26),"")</f>
        <v/>
      </c>
      <c r="O20" s="25" t="str">
        <f>IF('Bundle Tag Info'!O$26&lt;&gt;"",CONCATENATE('Bundle Tag Info'!$A$1," ",CHAR(10),'Bundle Tag Info'!$A$2," ",'Bundle Tag Info'!$A$3,CHAR(10),'Bundle Tag Info'!O$6,CHAR(10),'Bundle Tag Info'!O$26),"")</f>
        <v/>
      </c>
      <c r="P20" s="25" t="str">
        <f>IF('Bundle Tag Info'!P$26&lt;&gt;"",CONCATENATE('Bundle Tag Info'!$A$1," ",CHAR(10),'Bundle Tag Info'!$A$2," ",'Bundle Tag Info'!$A$3,CHAR(10),'Bundle Tag Info'!P$6,CHAR(10),'Bundle Tag Info'!P$26),"")</f>
        <v/>
      </c>
      <c r="Q20" s="25" t="str">
        <f>IF('Bundle Tag Info'!Q$26&lt;&gt;"",CONCATENATE('Bundle Tag Info'!$A$1," ",CHAR(10),'Bundle Tag Info'!$A$2," ",'Bundle Tag Info'!$A$3,CHAR(10),'Bundle Tag Info'!Q$6,CHAR(10),'Bundle Tag Info'!Q$26),"")</f>
        <v/>
      </c>
      <c r="R20" s="25" t="str">
        <f>IF('Bundle Tag Info'!R$26&lt;&gt;"",CONCATENATE('Bundle Tag Info'!$A$1," ",CHAR(10),'Bundle Tag Info'!$A$2," ",'Bundle Tag Info'!$A$3,CHAR(10),'Bundle Tag Info'!R$6,CHAR(10),'Bundle Tag Info'!R$26),"")</f>
        <v/>
      </c>
      <c r="S20" s="25" t="str">
        <f>IF('Bundle Tag Info'!S$26&lt;&gt;"",CONCATENATE('Bundle Tag Info'!$A$1," ",CHAR(10),'Bundle Tag Info'!$A$2," ",'Bundle Tag Info'!$A$3,CHAR(10),'Bundle Tag Info'!S$6,CHAR(10),'Bundle Tag Info'!S$26),"")</f>
        <v/>
      </c>
      <c r="T20" s="25" t="str">
        <f>IF('Bundle Tag Info'!T$26&lt;&gt;"",CONCATENATE('Bundle Tag Info'!$A$1," ",CHAR(10),'Bundle Tag Info'!$A$2," ",'Bundle Tag Info'!$A$3,CHAR(10),'Bundle Tag Info'!T$6,CHAR(10),'Bundle Tag Info'!T$26),"")</f>
        <v/>
      </c>
      <c r="U20" s="25" t="str">
        <f>IF('Bundle Tag Info'!U$26&lt;&gt;"",CONCATENATE('Bundle Tag Info'!$A$1," ",CHAR(10),'Bundle Tag Info'!$A$2," ",'Bundle Tag Info'!$A$3,CHAR(10),'Bundle Tag Info'!U$6,CHAR(10),'Bundle Tag Info'!U$26),"")</f>
        <v/>
      </c>
      <c r="V20" s="25" t="str">
        <f>IF('Bundle Tag Info'!V$26&lt;&gt;"",CONCATENATE('Bundle Tag Info'!$A$1," ",CHAR(10),'Bundle Tag Info'!$A$2," ",'Bundle Tag Info'!$A$3,CHAR(10),'Bundle Tag Info'!V$6,CHAR(10),'Bundle Tag Info'!V$26),"")</f>
        <v/>
      </c>
      <c r="W20" s="25" t="str">
        <f>IF('Bundle Tag Info'!W$26&lt;&gt;"",CONCATENATE('Bundle Tag Info'!$A$1," ",CHAR(10),'Bundle Tag Info'!$A$2," ",'Bundle Tag Info'!$A$3,CHAR(10),'Bundle Tag Info'!W$6,CHAR(10),'Bundle Tag Info'!W$26),"")</f>
        <v/>
      </c>
      <c r="X20" s="25" t="str">
        <f>IF('Bundle Tag Info'!X$26&lt;&gt;"",CONCATENATE('Bundle Tag Info'!$A$1," ",CHAR(10),'Bundle Tag Info'!$A$2," ",'Bundle Tag Info'!$A$3,CHAR(10),'Bundle Tag Info'!X$6,CHAR(10),'Bundle Tag Info'!X$26),"")</f>
        <v/>
      </c>
      <c r="Y20" s="25" t="str">
        <f>IF('Bundle Tag Info'!Y$26&lt;&gt;"",CONCATENATE('Bundle Tag Info'!$A$1," ",CHAR(10),'Bundle Tag Info'!$A$2," ",'Bundle Tag Info'!$A$3,CHAR(10),'Bundle Tag Info'!Y$6,CHAR(10),'Bundle Tag Info'!Y$26),"")</f>
        <v/>
      </c>
      <c r="Z20" s="25" t="str">
        <f>IF('Bundle Tag Info'!Z$26&lt;&gt;"",CONCATENATE('Bundle Tag Info'!$A$1," ",CHAR(10),'Bundle Tag Info'!$A$2," ",'Bundle Tag Info'!$A$3,CHAR(10),'Bundle Tag Info'!Z$6,CHAR(10),'Bundle Tag Info'!Z$26),"")</f>
        <v/>
      </c>
      <c r="AA20" s="25" t="str">
        <f>IF('Bundle Tag Info'!AA$26&lt;&gt;"",CONCATENATE('Bundle Tag Info'!$A$1," ",CHAR(10),'Bundle Tag Info'!$A$2," ",'Bundle Tag Info'!$A$3,CHAR(10),'Bundle Tag Info'!AA$6,CHAR(10),'Bundle Tag Info'!AA$26),"")</f>
        <v/>
      </c>
      <c r="AB20" s="25" t="str">
        <f>IF('Bundle Tag Info'!AB$26&lt;&gt;"",CONCATENATE('Bundle Tag Info'!$A$1," ",CHAR(10),'Bundle Tag Info'!$A$2," ",'Bundle Tag Info'!$A$3,CHAR(10),'Bundle Tag Info'!AB$6,CHAR(10),'Bundle Tag Info'!AB$26),"")</f>
        <v/>
      </c>
      <c r="AC20" s="25" t="str">
        <f>IF('Bundle Tag Info'!AC$26&lt;&gt;"",CONCATENATE('Bundle Tag Info'!$A$1," ",CHAR(10),'Bundle Tag Info'!$A$2," ",'Bundle Tag Info'!$A$3,CHAR(10),'Bundle Tag Info'!AC$6,CHAR(10),'Bundle Tag Info'!AC$26),"")</f>
        <v/>
      </c>
      <c r="AD20" s="25" t="str">
        <f>IF('Bundle Tag Info'!AD$26&lt;&gt;"",CONCATENATE('Bundle Tag Info'!$A$1," ",CHAR(10),'Bundle Tag Info'!$A$2," ",'Bundle Tag Info'!$A$3,CHAR(10),'Bundle Tag Info'!AD$6,CHAR(10),'Bundle Tag Info'!AD$26),"")</f>
        <v/>
      </c>
    </row>
    <row r="21" spans="1:30" ht="63.95" customHeight="1" x14ac:dyDescent="0.25">
      <c r="A21" s="25" t="str">
        <f>IF('Bundle Tag Info'!F$7&lt;&gt;"",CONCATENATE('Bundle Tag Info'!$A$1," ",CHAR(10),'Bundle Tag Info'!$A$2," ",'Bundle Tag Info'!$A$3,CHAR(10),'Bundle Tag Info'!F$6,CHAR(10),'Bundle Tag Info'!F$7),"")</f>
        <v>ERGON-V #2 
4K911 Rev A
L/RAIL JB72
AF/FU</v>
      </c>
      <c r="B21" s="25" t="str">
        <f>IF('Bundle Tag Info'!B$27&lt;&gt;"",CONCATENATE('Bundle Tag Info'!$A$1," ",CHAR(10),'Bundle Tag Info'!$A$2," ",'Bundle Tag Info'!$A$3,CHAR(10),'Bundle Tag Info'!B$6,CHAR(10),'Bundle Tag Info'!B$27),"")</f>
        <v/>
      </c>
      <c r="C21" s="25" t="str">
        <f>IF('Bundle Tag Info'!C$27&lt;&gt;"",CONCATENATE('Bundle Tag Info'!$A$1," ",CHAR(10),'Bundle Tag Info'!$A$2," ",'Bundle Tag Info'!$A$3,CHAR(10),'Bundle Tag Info'!C$6,CHAR(10),'Bundle Tag Info'!C$27),"")</f>
        <v/>
      </c>
      <c r="D21" s="25" t="str">
        <f>IF('Bundle Tag Info'!D$27&lt;&gt;"",CONCATENATE('Bundle Tag Info'!$A$1," ",CHAR(10),'Bundle Tag Info'!$A$2," ",'Bundle Tag Info'!$A$3,CHAR(10),'Bundle Tag Info'!D$6,CHAR(10),'Bundle Tag Info'!D$27),"")</f>
        <v/>
      </c>
      <c r="E21" s="25" t="str">
        <f>IF('Bundle Tag Info'!E$27&lt;&gt;"",CONCATENATE('Bundle Tag Info'!$A$1," ",CHAR(10),'Bundle Tag Info'!$A$2," ",'Bundle Tag Info'!$A$3,CHAR(10),'Bundle Tag Info'!E$6,CHAR(10),'Bundle Tag Info'!E$27),"")</f>
        <v/>
      </c>
      <c r="F21" s="25" t="str">
        <f>IF('Bundle Tag Info'!F$27&lt;&gt;"",CONCATENATE('Bundle Tag Info'!$A$1," ",CHAR(10),'Bundle Tag Info'!$A$2," ",'Bundle Tag Info'!$A$3,CHAR(10),'Bundle Tag Info'!F$6,CHAR(10),'Bundle Tag Info'!F$27),"")</f>
        <v/>
      </c>
      <c r="G21" s="25" t="str">
        <f>IF('Bundle Tag Info'!G$27&lt;&gt;"",CONCATENATE('Bundle Tag Info'!$A$1," ",CHAR(10),'Bundle Tag Info'!$A$2," ",'Bundle Tag Info'!$A$3,CHAR(10),'Bundle Tag Info'!G$6,CHAR(10),'Bundle Tag Info'!G$27),"")</f>
        <v/>
      </c>
      <c r="H21" s="25" t="str">
        <f>IF('Bundle Tag Info'!H$27&lt;&gt;"",CONCATENATE('Bundle Tag Info'!$A$1," ",CHAR(10),'Bundle Tag Info'!$A$2," ",'Bundle Tag Info'!$A$3,CHAR(10),'Bundle Tag Info'!H$6,CHAR(10),'Bundle Tag Info'!H$27),"")</f>
        <v/>
      </c>
      <c r="I21" s="25" t="str">
        <f>IF('Bundle Tag Info'!I$27&lt;&gt;"",CONCATENATE('Bundle Tag Info'!$A$1," ",CHAR(10),'Bundle Tag Info'!$A$2," ",'Bundle Tag Info'!$A$3,CHAR(10),'Bundle Tag Info'!I$6,CHAR(10),'Bundle Tag Info'!I$27),"")</f>
        <v/>
      </c>
      <c r="J21" s="25" t="str">
        <f>IF('Bundle Tag Info'!J$27&lt;&gt;"",CONCATENATE('Bundle Tag Info'!$A$1," ",CHAR(10),'Bundle Tag Info'!$A$2," ",'Bundle Tag Info'!$A$3,CHAR(10),'Bundle Tag Info'!J$6,CHAR(10),'Bundle Tag Info'!J$27),"")</f>
        <v/>
      </c>
      <c r="K21" s="25" t="str">
        <f>IF('Bundle Tag Info'!K$27&lt;&gt;"",CONCATENATE('Bundle Tag Info'!$A$1," ",CHAR(10),'Bundle Tag Info'!$A$2," ",'Bundle Tag Info'!$A$3,CHAR(10),'Bundle Tag Info'!K$6,CHAR(10),'Bundle Tag Info'!K$27),"")</f>
        <v/>
      </c>
      <c r="L21" s="25" t="str">
        <f>IF('Bundle Tag Info'!L$27&lt;&gt;"",CONCATENATE('Bundle Tag Info'!$A$1," ",CHAR(10),'Bundle Tag Info'!$A$2," ",'Bundle Tag Info'!$A$3,CHAR(10),'Bundle Tag Info'!L$6,CHAR(10),'Bundle Tag Info'!L$27),"")</f>
        <v/>
      </c>
      <c r="M21" s="25" t="str">
        <f>IF('Bundle Tag Info'!M$27&lt;&gt;"",CONCATENATE('Bundle Tag Info'!$A$1," ",CHAR(10),'Bundle Tag Info'!$A$2," ",'Bundle Tag Info'!$A$3,CHAR(10),'Bundle Tag Info'!M$6,CHAR(10),'Bundle Tag Info'!M$27),"")</f>
        <v/>
      </c>
      <c r="N21" s="25" t="str">
        <f>IF('Bundle Tag Info'!N$27&lt;&gt;"",CONCATENATE('Bundle Tag Info'!$A$1," ",CHAR(10),'Bundle Tag Info'!$A$2," ",'Bundle Tag Info'!$A$3,CHAR(10),'Bundle Tag Info'!N$6,CHAR(10),'Bundle Tag Info'!N$27),"")</f>
        <v/>
      </c>
      <c r="O21" s="25" t="str">
        <f>IF('Bundle Tag Info'!O$27&lt;&gt;"",CONCATENATE('Bundle Tag Info'!$A$1," ",CHAR(10),'Bundle Tag Info'!$A$2," ",'Bundle Tag Info'!$A$3,CHAR(10),'Bundle Tag Info'!O$6,CHAR(10),'Bundle Tag Info'!O$27),"")</f>
        <v/>
      </c>
      <c r="P21" s="25" t="str">
        <f>IF('Bundle Tag Info'!P$27&lt;&gt;"",CONCATENATE('Bundle Tag Info'!$A$1," ",CHAR(10),'Bundle Tag Info'!$A$2," ",'Bundle Tag Info'!$A$3,CHAR(10),'Bundle Tag Info'!P$6,CHAR(10),'Bundle Tag Info'!P$27),"")</f>
        <v/>
      </c>
      <c r="Q21" s="25" t="str">
        <f>IF('Bundle Tag Info'!Q$27&lt;&gt;"",CONCATENATE('Bundle Tag Info'!$A$1," ",CHAR(10),'Bundle Tag Info'!$A$2," ",'Bundle Tag Info'!$A$3,CHAR(10),'Bundle Tag Info'!Q$6,CHAR(10),'Bundle Tag Info'!Q$27),"")</f>
        <v/>
      </c>
      <c r="R21" s="25" t="str">
        <f>IF('Bundle Tag Info'!R$27&lt;&gt;"",CONCATENATE('Bundle Tag Info'!$A$1," ",CHAR(10),'Bundle Tag Info'!$A$2," ",'Bundle Tag Info'!$A$3,CHAR(10),'Bundle Tag Info'!R$6,CHAR(10),'Bundle Tag Info'!R$27),"")</f>
        <v/>
      </c>
      <c r="S21" s="25" t="str">
        <f>IF('Bundle Tag Info'!S$27&lt;&gt;"",CONCATENATE('Bundle Tag Info'!$A$1," ",CHAR(10),'Bundle Tag Info'!$A$2," ",'Bundle Tag Info'!$A$3,CHAR(10),'Bundle Tag Info'!S$6,CHAR(10),'Bundle Tag Info'!S$27),"")</f>
        <v/>
      </c>
      <c r="T21" s="25" t="str">
        <f>IF('Bundle Tag Info'!T$27&lt;&gt;"",CONCATENATE('Bundle Tag Info'!$A$1," ",CHAR(10),'Bundle Tag Info'!$A$2," ",'Bundle Tag Info'!$A$3,CHAR(10),'Bundle Tag Info'!T$6,CHAR(10),'Bundle Tag Info'!T$27),"")</f>
        <v/>
      </c>
      <c r="U21" s="25" t="str">
        <f>IF('Bundle Tag Info'!U$27&lt;&gt;"",CONCATENATE('Bundle Tag Info'!$A$1," ",CHAR(10),'Bundle Tag Info'!$A$2," ",'Bundle Tag Info'!$A$3,CHAR(10),'Bundle Tag Info'!U$6,CHAR(10),'Bundle Tag Info'!U$27),"")</f>
        <v/>
      </c>
      <c r="V21" s="25" t="str">
        <f>IF('Bundle Tag Info'!V$27&lt;&gt;"",CONCATENATE('Bundle Tag Info'!$A$1," ",CHAR(10),'Bundle Tag Info'!$A$2," ",'Bundle Tag Info'!$A$3,CHAR(10),'Bundle Tag Info'!V$6,CHAR(10),'Bundle Tag Info'!V$27),"")</f>
        <v/>
      </c>
      <c r="W21" s="25" t="str">
        <f>IF('Bundle Tag Info'!W$27&lt;&gt;"",CONCATENATE('Bundle Tag Info'!$A$1," ",CHAR(10),'Bundle Tag Info'!$A$2," ",'Bundle Tag Info'!$A$3,CHAR(10),'Bundle Tag Info'!W$6,CHAR(10),'Bundle Tag Info'!W$27),"")</f>
        <v/>
      </c>
      <c r="X21" s="25" t="str">
        <f>IF('Bundle Tag Info'!X$27&lt;&gt;"",CONCATENATE('Bundle Tag Info'!$A$1," ",CHAR(10),'Bundle Tag Info'!$A$2," ",'Bundle Tag Info'!$A$3,CHAR(10),'Bundle Tag Info'!X$6,CHAR(10),'Bundle Tag Info'!X$27),"")</f>
        <v/>
      </c>
      <c r="Y21" s="25" t="str">
        <f>IF('Bundle Tag Info'!Y$27&lt;&gt;"",CONCATENATE('Bundle Tag Info'!$A$1," ",CHAR(10),'Bundle Tag Info'!$A$2," ",'Bundle Tag Info'!$A$3,CHAR(10),'Bundle Tag Info'!Y$6,CHAR(10),'Bundle Tag Info'!Y$27),"")</f>
        <v/>
      </c>
      <c r="Z21" s="25" t="str">
        <f>IF('Bundle Tag Info'!Z$27&lt;&gt;"",CONCATENATE('Bundle Tag Info'!$A$1," ",CHAR(10),'Bundle Tag Info'!$A$2," ",'Bundle Tag Info'!$A$3,CHAR(10),'Bundle Tag Info'!Z$6,CHAR(10),'Bundle Tag Info'!Z$27),"")</f>
        <v/>
      </c>
      <c r="AA21" s="25" t="str">
        <f>IF('Bundle Tag Info'!AA$27&lt;&gt;"",CONCATENATE('Bundle Tag Info'!$A$1," ",CHAR(10),'Bundle Tag Info'!$A$2," ",'Bundle Tag Info'!$A$3,CHAR(10),'Bundle Tag Info'!AA$6,CHAR(10),'Bundle Tag Info'!AA$27),"")</f>
        <v/>
      </c>
      <c r="AB21" s="25" t="str">
        <f>IF('Bundle Tag Info'!AB$27&lt;&gt;"",CONCATENATE('Bundle Tag Info'!$A$1," ",CHAR(10),'Bundle Tag Info'!$A$2," ",'Bundle Tag Info'!$A$3,CHAR(10),'Bundle Tag Info'!AB$6,CHAR(10),'Bundle Tag Info'!AB$27),"")</f>
        <v/>
      </c>
      <c r="AC21" s="25" t="str">
        <f>IF('Bundle Tag Info'!AC$27&lt;&gt;"",CONCATENATE('Bundle Tag Info'!$A$1," ",CHAR(10),'Bundle Tag Info'!$A$2," ",'Bundle Tag Info'!$A$3,CHAR(10),'Bundle Tag Info'!AC$6,CHAR(10),'Bundle Tag Info'!AC$27),"")</f>
        <v/>
      </c>
      <c r="AD21" s="25" t="str">
        <f>IF('Bundle Tag Info'!AD$27&lt;&gt;"",CONCATENATE('Bundle Tag Info'!$A$1," ",CHAR(10),'Bundle Tag Info'!$A$2," ",'Bundle Tag Info'!$A$3,CHAR(10),'Bundle Tag Info'!AD$6,CHAR(10),'Bundle Tag Info'!AD$27),"")</f>
        <v/>
      </c>
    </row>
    <row r="22" spans="1:30" ht="63.95" customHeight="1" x14ac:dyDescent="0.25">
      <c r="A22" s="25" t="str">
        <f>IF('Bundle Tag Info'!F$8&lt;&gt;"",CONCATENATE('Bundle Tag Info'!$A$1," ",CHAR(10),'Bundle Tag Info'!$A$2," ",'Bundle Tag Info'!$A$3,CHAR(10),'Bundle Tag Info'!F$6,CHAR(10),'Bundle Tag Info'!F$8),"")</f>
        <v>ERGON-V #2 
4K911 Rev A
L/RAIL JB72
AF-GEN</v>
      </c>
      <c r="B22" s="25" t="str">
        <f>IF('Bundle Tag Info'!B$28&lt;&gt;"",CONCATENATE('Bundle Tag Info'!$A$1," ",CHAR(10),'Bundle Tag Info'!$A$2," ",'Bundle Tag Info'!$A$3,CHAR(10),'Bundle Tag Info'!B$6,CHAR(10),'Bundle Tag Info'!B$28),"")</f>
        <v/>
      </c>
      <c r="C22" s="25" t="str">
        <f>IF('Bundle Tag Info'!C$28&lt;&gt;"",CONCATENATE('Bundle Tag Info'!$A$1," ",CHAR(10),'Bundle Tag Info'!$A$2," ",'Bundle Tag Info'!$A$3,CHAR(10),'Bundle Tag Info'!C$6,CHAR(10),'Bundle Tag Info'!C$28),"")</f>
        <v/>
      </c>
      <c r="D22" s="25" t="str">
        <f>IF('Bundle Tag Info'!D$28&lt;&gt;"",CONCATENATE('Bundle Tag Info'!$A$1," ",CHAR(10),'Bundle Tag Info'!$A$2," ",'Bundle Tag Info'!$A$3,CHAR(10),'Bundle Tag Info'!D$6,CHAR(10),'Bundle Tag Info'!D$28),"")</f>
        <v/>
      </c>
      <c r="E22" s="25" t="str">
        <f>IF('Bundle Tag Info'!E$28&lt;&gt;"",CONCATENATE('Bundle Tag Info'!$A$1," ",CHAR(10),'Bundle Tag Info'!$A$2," ",'Bundle Tag Info'!$A$3,CHAR(10),'Bundle Tag Info'!E$6,CHAR(10),'Bundle Tag Info'!E$28),"")</f>
        <v/>
      </c>
      <c r="F22" s="25" t="str">
        <f>IF('Bundle Tag Info'!F$28&lt;&gt;"",CONCATENATE('Bundle Tag Info'!$A$1," ",CHAR(10),'Bundle Tag Info'!$A$2," ",'Bundle Tag Info'!$A$3,CHAR(10),'Bundle Tag Info'!F$6,CHAR(10),'Bundle Tag Info'!F$28),"")</f>
        <v/>
      </c>
      <c r="G22" s="25" t="str">
        <f>IF('Bundle Tag Info'!G$28&lt;&gt;"",CONCATENATE('Bundle Tag Info'!$A$1," ",CHAR(10),'Bundle Tag Info'!$A$2," ",'Bundle Tag Info'!$A$3,CHAR(10),'Bundle Tag Info'!G$6,CHAR(10),'Bundle Tag Info'!G$28),"")</f>
        <v/>
      </c>
      <c r="H22" s="25" t="str">
        <f>IF('Bundle Tag Info'!H$28&lt;&gt;"",CONCATENATE('Bundle Tag Info'!$A$1," ",CHAR(10),'Bundle Tag Info'!$A$2," ",'Bundle Tag Info'!$A$3,CHAR(10),'Bundle Tag Info'!H$6,CHAR(10),'Bundle Tag Info'!H$28),"")</f>
        <v/>
      </c>
      <c r="I22" s="25" t="str">
        <f>IF('Bundle Tag Info'!I$28&lt;&gt;"",CONCATENATE('Bundle Tag Info'!$A$1," ",CHAR(10),'Bundle Tag Info'!$A$2," ",'Bundle Tag Info'!$A$3,CHAR(10),'Bundle Tag Info'!I$6,CHAR(10),'Bundle Tag Info'!I$28),"")</f>
        <v/>
      </c>
      <c r="J22" s="25" t="str">
        <f>IF('Bundle Tag Info'!J$28&lt;&gt;"",CONCATENATE('Bundle Tag Info'!$A$1," ",CHAR(10),'Bundle Tag Info'!$A$2," ",'Bundle Tag Info'!$A$3,CHAR(10),'Bundle Tag Info'!J$6,CHAR(10),'Bundle Tag Info'!J$28),"")</f>
        <v/>
      </c>
      <c r="K22" s="25" t="str">
        <f>IF('Bundle Tag Info'!K$28&lt;&gt;"",CONCATENATE('Bundle Tag Info'!$A$1," ",CHAR(10),'Bundle Tag Info'!$A$2," ",'Bundle Tag Info'!$A$3,CHAR(10),'Bundle Tag Info'!K$6,CHAR(10),'Bundle Tag Info'!K$28),"")</f>
        <v/>
      </c>
      <c r="L22" s="25" t="str">
        <f>IF('Bundle Tag Info'!L$28&lt;&gt;"",CONCATENATE('Bundle Tag Info'!$A$1," ",CHAR(10),'Bundle Tag Info'!$A$2," ",'Bundle Tag Info'!$A$3,CHAR(10),'Bundle Tag Info'!L$6,CHAR(10),'Bundle Tag Info'!L$28),"")</f>
        <v/>
      </c>
      <c r="M22" s="25" t="str">
        <f>IF('Bundle Tag Info'!M$28&lt;&gt;"",CONCATENATE('Bundle Tag Info'!$A$1," ",CHAR(10),'Bundle Tag Info'!$A$2," ",'Bundle Tag Info'!$A$3,CHAR(10),'Bundle Tag Info'!M$6,CHAR(10),'Bundle Tag Info'!M$28),"")</f>
        <v/>
      </c>
      <c r="N22" s="25" t="str">
        <f>IF('Bundle Tag Info'!N$28&lt;&gt;"",CONCATENATE('Bundle Tag Info'!$A$1," ",CHAR(10),'Bundle Tag Info'!$A$2," ",'Bundle Tag Info'!$A$3,CHAR(10),'Bundle Tag Info'!N$6,CHAR(10),'Bundle Tag Info'!N$28),"")</f>
        <v/>
      </c>
      <c r="O22" s="25" t="str">
        <f>IF('Bundle Tag Info'!O$28&lt;&gt;"",CONCATENATE('Bundle Tag Info'!$A$1," ",CHAR(10),'Bundle Tag Info'!$A$2," ",'Bundle Tag Info'!$A$3,CHAR(10),'Bundle Tag Info'!O$6,CHAR(10),'Bundle Tag Info'!O$28),"")</f>
        <v/>
      </c>
      <c r="P22" s="25" t="str">
        <f>IF('Bundle Tag Info'!P$28&lt;&gt;"",CONCATENATE('Bundle Tag Info'!$A$1," ",CHAR(10),'Bundle Tag Info'!$A$2," ",'Bundle Tag Info'!$A$3,CHAR(10),'Bundle Tag Info'!P$6,CHAR(10),'Bundle Tag Info'!P$28),"")</f>
        <v/>
      </c>
      <c r="Q22" s="25" t="str">
        <f>IF('Bundle Tag Info'!Q$28&lt;&gt;"",CONCATENATE('Bundle Tag Info'!$A$1," ",CHAR(10),'Bundle Tag Info'!$A$2," ",'Bundle Tag Info'!$A$3,CHAR(10),'Bundle Tag Info'!Q$6,CHAR(10),'Bundle Tag Info'!Q$28),"")</f>
        <v/>
      </c>
      <c r="R22" s="25" t="str">
        <f>IF('Bundle Tag Info'!R$28&lt;&gt;"",CONCATENATE('Bundle Tag Info'!$A$1," ",CHAR(10),'Bundle Tag Info'!$A$2," ",'Bundle Tag Info'!$A$3,CHAR(10),'Bundle Tag Info'!R$6,CHAR(10),'Bundle Tag Info'!R$28),"")</f>
        <v/>
      </c>
      <c r="S22" s="25" t="str">
        <f>IF('Bundle Tag Info'!S$28&lt;&gt;"",CONCATENATE('Bundle Tag Info'!$A$1," ",CHAR(10),'Bundle Tag Info'!$A$2," ",'Bundle Tag Info'!$A$3,CHAR(10),'Bundle Tag Info'!S$6,CHAR(10),'Bundle Tag Info'!S$28),"")</f>
        <v/>
      </c>
      <c r="T22" s="25" t="str">
        <f>IF('Bundle Tag Info'!T$28&lt;&gt;"",CONCATENATE('Bundle Tag Info'!$A$1," ",CHAR(10),'Bundle Tag Info'!$A$2," ",'Bundle Tag Info'!$A$3,CHAR(10),'Bundle Tag Info'!T$6,CHAR(10),'Bundle Tag Info'!T$28),"")</f>
        <v/>
      </c>
      <c r="U22" s="25" t="str">
        <f>IF('Bundle Tag Info'!U$28&lt;&gt;"",CONCATENATE('Bundle Tag Info'!$A$1," ",CHAR(10),'Bundle Tag Info'!$A$2," ",'Bundle Tag Info'!$A$3,CHAR(10),'Bundle Tag Info'!U$6,CHAR(10),'Bundle Tag Info'!U$28),"")</f>
        <v/>
      </c>
      <c r="V22" s="25" t="str">
        <f>IF('Bundle Tag Info'!V$28&lt;&gt;"",CONCATENATE('Bundle Tag Info'!$A$1," ",CHAR(10),'Bundle Tag Info'!$A$2," ",'Bundle Tag Info'!$A$3,CHAR(10),'Bundle Tag Info'!V$6,CHAR(10),'Bundle Tag Info'!V$28),"")</f>
        <v/>
      </c>
      <c r="W22" s="25" t="str">
        <f>IF('Bundle Tag Info'!W$28&lt;&gt;"",CONCATENATE('Bundle Tag Info'!$A$1," ",CHAR(10),'Bundle Tag Info'!$A$2," ",'Bundle Tag Info'!$A$3,CHAR(10),'Bundle Tag Info'!W$6,CHAR(10),'Bundle Tag Info'!W$28),"")</f>
        <v/>
      </c>
      <c r="X22" s="25" t="str">
        <f>IF('Bundle Tag Info'!X$28&lt;&gt;"",CONCATENATE('Bundle Tag Info'!$A$1," ",CHAR(10),'Bundle Tag Info'!$A$2," ",'Bundle Tag Info'!$A$3,CHAR(10),'Bundle Tag Info'!X$6,CHAR(10),'Bundle Tag Info'!X$28),"")</f>
        <v/>
      </c>
      <c r="Y22" s="25" t="str">
        <f>IF('Bundle Tag Info'!Y$28&lt;&gt;"",CONCATENATE('Bundle Tag Info'!$A$1," ",CHAR(10),'Bundle Tag Info'!$A$2," ",'Bundle Tag Info'!$A$3,CHAR(10),'Bundle Tag Info'!Y$6,CHAR(10),'Bundle Tag Info'!Y$28),"")</f>
        <v/>
      </c>
      <c r="Z22" s="25" t="str">
        <f>IF('Bundle Tag Info'!Z$28&lt;&gt;"",CONCATENATE('Bundle Tag Info'!$A$1," ",CHAR(10),'Bundle Tag Info'!$A$2," ",'Bundle Tag Info'!$A$3,CHAR(10),'Bundle Tag Info'!Z$6,CHAR(10),'Bundle Tag Info'!Z$28),"")</f>
        <v/>
      </c>
      <c r="AA22" s="25" t="str">
        <f>IF('Bundle Tag Info'!AA$28&lt;&gt;"",CONCATENATE('Bundle Tag Info'!$A$1," ",CHAR(10),'Bundle Tag Info'!$A$2," ",'Bundle Tag Info'!$A$3,CHAR(10),'Bundle Tag Info'!AA$6,CHAR(10),'Bundle Tag Info'!AA$28),"")</f>
        <v/>
      </c>
      <c r="AB22" s="25" t="str">
        <f>IF('Bundle Tag Info'!AB$28&lt;&gt;"",CONCATENATE('Bundle Tag Info'!$A$1," ",CHAR(10),'Bundle Tag Info'!$A$2," ",'Bundle Tag Info'!$A$3,CHAR(10),'Bundle Tag Info'!AB$6,CHAR(10),'Bundle Tag Info'!AB$28),"")</f>
        <v/>
      </c>
      <c r="AC22" s="25" t="str">
        <f>IF('Bundle Tag Info'!AC$28&lt;&gt;"",CONCATENATE('Bundle Tag Info'!$A$1," ",CHAR(10),'Bundle Tag Info'!$A$2," ",'Bundle Tag Info'!$A$3,CHAR(10),'Bundle Tag Info'!AC$6,CHAR(10),'Bundle Tag Info'!AC$28),"")</f>
        <v/>
      </c>
      <c r="AD22" s="25" t="str">
        <f>IF('Bundle Tag Info'!AD$28&lt;&gt;"",CONCATENATE('Bundle Tag Info'!$A$1," ",CHAR(10),'Bundle Tag Info'!$A$2," ",'Bundle Tag Info'!$A$3,CHAR(10),'Bundle Tag Info'!AD$6,CHAR(10),'Bundle Tag Info'!AD$28),"")</f>
        <v/>
      </c>
    </row>
    <row r="23" spans="1:30" ht="63.95" customHeight="1" x14ac:dyDescent="0.25">
      <c r="A23" s="25" t="str">
        <f>IF('Bundle Tag Info'!F$9&lt;&gt;"",CONCATENATE('Bundle Tag Info'!$A$1," ",CHAR(10),'Bundle Tag Info'!$A$2," ",'Bundle Tag Info'!$A$3,CHAR(10),'Bundle Tag Info'!F$6,CHAR(10),'Bundle Tag Info'!F$9),"")</f>
        <v>ERGON-V #2 
4K911 Rev A
L/RAIL JB72
FU/XT-GEN</v>
      </c>
      <c r="B23" s="25" t="str">
        <f>IF('Bundle Tag Info'!B$29&lt;&gt;"",CONCATENATE('Bundle Tag Info'!$A$1," ",CHAR(10),'Bundle Tag Info'!$A$2," ",'Bundle Tag Info'!$A$3,CHAR(10),'Bundle Tag Info'!B$6,CHAR(10),'Bundle Tag Info'!B$29),"")</f>
        <v/>
      </c>
      <c r="C23" s="25" t="str">
        <f>IF('Bundle Tag Info'!C$29&lt;&gt;"",CONCATENATE('Bundle Tag Info'!$A$1," ",CHAR(10),'Bundle Tag Info'!$A$2," ",'Bundle Tag Info'!$A$3,CHAR(10),'Bundle Tag Info'!C$6,CHAR(10),'Bundle Tag Info'!C$29),"")</f>
        <v/>
      </c>
      <c r="D23" s="25" t="str">
        <f>IF('Bundle Tag Info'!D$29&lt;&gt;"",CONCATENATE('Bundle Tag Info'!$A$1," ",CHAR(10),'Bundle Tag Info'!$A$2," ",'Bundle Tag Info'!$A$3,CHAR(10),'Bundle Tag Info'!D$6,CHAR(10),'Bundle Tag Info'!D$29),"")</f>
        <v/>
      </c>
      <c r="E23" s="25" t="str">
        <f>IF('Bundle Tag Info'!E$29&lt;&gt;"",CONCATENATE('Bundle Tag Info'!$A$1," ",CHAR(10),'Bundle Tag Info'!$A$2," ",'Bundle Tag Info'!$A$3,CHAR(10),'Bundle Tag Info'!E$6,CHAR(10),'Bundle Tag Info'!E$29),"")</f>
        <v/>
      </c>
      <c r="F23" s="25" t="str">
        <f>IF('Bundle Tag Info'!F$29&lt;&gt;"",CONCATENATE('Bundle Tag Info'!$A$1," ",CHAR(10),'Bundle Tag Info'!$A$2," ",'Bundle Tag Info'!$A$3,CHAR(10),'Bundle Tag Info'!F$6,CHAR(10),'Bundle Tag Info'!F$29),"")</f>
        <v/>
      </c>
      <c r="G23" s="25" t="str">
        <f>IF('Bundle Tag Info'!G$29&lt;&gt;"",CONCATENATE('Bundle Tag Info'!$A$1," ",CHAR(10),'Bundle Tag Info'!$A$2," ",'Bundle Tag Info'!$A$3,CHAR(10),'Bundle Tag Info'!G$6,CHAR(10),'Bundle Tag Info'!G$29),"")</f>
        <v/>
      </c>
      <c r="H23" s="25" t="str">
        <f>IF('Bundle Tag Info'!H$29&lt;&gt;"",CONCATENATE('Bundle Tag Info'!$A$1," ",CHAR(10),'Bundle Tag Info'!$A$2," ",'Bundle Tag Info'!$A$3,CHAR(10),'Bundle Tag Info'!H$6,CHAR(10),'Bundle Tag Info'!H$29),"")</f>
        <v/>
      </c>
      <c r="I23" s="25" t="str">
        <f>IF('Bundle Tag Info'!I$29&lt;&gt;"",CONCATENATE('Bundle Tag Info'!$A$1," ",CHAR(10),'Bundle Tag Info'!$A$2," ",'Bundle Tag Info'!$A$3,CHAR(10),'Bundle Tag Info'!I$6,CHAR(10),'Bundle Tag Info'!I$29),"")</f>
        <v/>
      </c>
      <c r="J23" s="25" t="str">
        <f>IF('Bundle Tag Info'!J$29&lt;&gt;"",CONCATENATE('Bundle Tag Info'!$A$1," ",CHAR(10),'Bundle Tag Info'!$A$2," ",'Bundle Tag Info'!$A$3,CHAR(10),'Bundle Tag Info'!J$6,CHAR(10),'Bundle Tag Info'!J$29),"")</f>
        <v/>
      </c>
      <c r="K23" s="25" t="str">
        <f>IF('Bundle Tag Info'!K$29&lt;&gt;"",CONCATENATE('Bundle Tag Info'!$A$1," ",CHAR(10),'Bundle Tag Info'!$A$2," ",'Bundle Tag Info'!$A$3,CHAR(10),'Bundle Tag Info'!K$6,CHAR(10),'Bundle Tag Info'!K$29),"")</f>
        <v/>
      </c>
      <c r="L23" s="25" t="str">
        <f>IF('Bundle Tag Info'!L$29&lt;&gt;"",CONCATENATE('Bundle Tag Info'!$A$1," ",CHAR(10),'Bundle Tag Info'!$A$2," ",'Bundle Tag Info'!$A$3,CHAR(10),'Bundle Tag Info'!L$6,CHAR(10),'Bundle Tag Info'!L$29),"")</f>
        <v/>
      </c>
      <c r="M23" s="25" t="str">
        <f>IF('Bundle Tag Info'!M$29&lt;&gt;"",CONCATENATE('Bundle Tag Info'!$A$1," ",CHAR(10),'Bundle Tag Info'!$A$2," ",'Bundle Tag Info'!$A$3,CHAR(10),'Bundle Tag Info'!M$6,CHAR(10),'Bundle Tag Info'!M$29),"")</f>
        <v/>
      </c>
      <c r="N23" s="25" t="str">
        <f>IF('Bundle Tag Info'!N$29&lt;&gt;"",CONCATENATE('Bundle Tag Info'!$A$1," ",CHAR(10),'Bundle Tag Info'!$A$2," ",'Bundle Tag Info'!$A$3,CHAR(10),'Bundle Tag Info'!N$6,CHAR(10),'Bundle Tag Info'!N$29),"")</f>
        <v/>
      </c>
      <c r="O23" s="25" t="str">
        <f>IF('Bundle Tag Info'!O$29&lt;&gt;"",CONCATENATE('Bundle Tag Info'!$A$1," ",CHAR(10),'Bundle Tag Info'!$A$2," ",'Bundle Tag Info'!$A$3,CHAR(10),'Bundle Tag Info'!O$6,CHAR(10),'Bundle Tag Info'!O$29),"")</f>
        <v/>
      </c>
      <c r="P23" s="25" t="str">
        <f>IF('Bundle Tag Info'!P$29&lt;&gt;"",CONCATENATE('Bundle Tag Info'!$A$1," ",CHAR(10),'Bundle Tag Info'!$A$2," ",'Bundle Tag Info'!$A$3,CHAR(10),'Bundle Tag Info'!P$6,CHAR(10),'Bundle Tag Info'!P$29),"")</f>
        <v/>
      </c>
      <c r="Q23" s="25" t="str">
        <f>IF('Bundle Tag Info'!Q$29&lt;&gt;"",CONCATENATE('Bundle Tag Info'!$A$1," ",CHAR(10),'Bundle Tag Info'!$A$2," ",'Bundle Tag Info'!$A$3,CHAR(10),'Bundle Tag Info'!Q$6,CHAR(10),'Bundle Tag Info'!Q$29),"")</f>
        <v/>
      </c>
      <c r="R23" s="25" t="str">
        <f>IF('Bundle Tag Info'!R$29&lt;&gt;"",CONCATENATE('Bundle Tag Info'!$A$1," ",CHAR(10),'Bundle Tag Info'!$A$2," ",'Bundle Tag Info'!$A$3,CHAR(10),'Bundle Tag Info'!R$6,CHAR(10),'Bundle Tag Info'!R$29),"")</f>
        <v/>
      </c>
      <c r="S23" s="25" t="str">
        <f>IF('Bundle Tag Info'!S$29&lt;&gt;"",CONCATENATE('Bundle Tag Info'!$A$1," ",CHAR(10),'Bundle Tag Info'!$A$2," ",'Bundle Tag Info'!$A$3,CHAR(10),'Bundle Tag Info'!S$6,CHAR(10),'Bundle Tag Info'!S$29),"")</f>
        <v/>
      </c>
      <c r="T23" s="25" t="str">
        <f>IF('Bundle Tag Info'!T$29&lt;&gt;"",CONCATENATE('Bundle Tag Info'!$A$1," ",CHAR(10),'Bundle Tag Info'!$A$2," ",'Bundle Tag Info'!$A$3,CHAR(10),'Bundle Tag Info'!T$6,CHAR(10),'Bundle Tag Info'!T$29),"")</f>
        <v/>
      </c>
      <c r="U23" s="25" t="str">
        <f>IF('Bundle Tag Info'!U$29&lt;&gt;"",CONCATENATE('Bundle Tag Info'!$A$1," ",CHAR(10),'Bundle Tag Info'!$A$2," ",'Bundle Tag Info'!$A$3,CHAR(10),'Bundle Tag Info'!U$6,CHAR(10),'Bundle Tag Info'!U$29),"")</f>
        <v/>
      </c>
      <c r="V23" s="25" t="str">
        <f>IF('Bundle Tag Info'!V$29&lt;&gt;"",CONCATENATE('Bundle Tag Info'!$A$1," ",CHAR(10),'Bundle Tag Info'!$A$2," ",'Bundle Tag Info'!$A$3,CHAR(10),'Bundle Tag Info'!V$6,CHAR(10),'Bundle Tag Info'!V$29),"")</f>
        <v/>
      </c>
      <c r="W23" s="25" t="str">
        <f>IF('Bundle Tag Info'!W$29&lt;&gt;"",CONCATENATE('Bundle Tag Info'!$A$1," ",CHAR(10),'Bundle Tag Info'!$A$2," ",'Bundle Tag Info'!$A$3,CHAR(10),'Bundle Tag Info'!W$6,CHAR(10),'Bundle Tag Info'!W$29),"")</f>
        <v/>
      </c>
      <c r="X23" s="25" t="str">
        <f>IF('Bundle Tag Info'!X$29&lt;&gt;"",CONCATENATE('Bundle Tag Info'!$A$1," ",CHAR(10),'Bundle Tag Info'!$A$2," ",'Bundle Tag Info'!$A$3,CHAR(10),'Bundle Tag Info'!X$6,CHAR(10),'Bundle Tag Info'!X$29),"")</f>
        <v/>
      </c>
      <c r="Y23" s="25" t="str">
        <f>IF('Bundle Tag Info'!Y$29&lt;&gt;"",CONCATENATE('Bundle Tag Info'!$A$1," ",CHAR(10),'Bundle Tag Info'!$A$2," ",'Bundle Tag Info'!$A$3,CHAR(10),'Bundle Tag Info'!Y$6,CHAR(10),'Bundle Tag Info'!Y$29),"")</f>
        <v/>
      </c>
      <c r="Z23" s="25" t="str">
        <f>IF('Bundle Tag Info'!Z$29&lt;&gt;"",CONCATENATE('Bundle Tag Info'!$A$1," ",CHAR(10),'Bundle Tag Info'!$A$2," ",'Bundle Tag Info'!$A$3,CHAR(10),'Bundle Tag Info'!Z$6,CHAR(10),'Bundle Tag Info'!Z$29),"")</f>
        <v/>
      </c>
      <c r="AA23" s="25" t="str">
        <f>IF('Bundle Tag Info'!AA$29&lt;&gt;"",CONCATENATE('Bundle Tag Info'!$A$1," ",CHAR(10),'Bundle Tag Info'!$A$2," ",'Bundle Tag Info'!$A$3,CHAR(10),'Bundle Tag Info'!AA$6,CHAR(10),'Bundle Tag Info'!AA$29),"")</f>
        <v/>
      </c>
      <c r="AB23" s="25" t="str">
        <f>IF('Bundle Tag Info'!AB$29&lt;&gt;"",CONCATENATE('Bundle Tag Info'!$A$1," ",CHAR(10),'Bundle Tag Info'!$A$2," ",'Bundle Tag Info'!$A$3,CHAR(10),'Bundle Tag Info'!AB$6,CHAR(10),'Bundle Tag Info'!AB$29),"")</f>
        <v/>
      </c>
      <c r="AC23" s="25" t="str">
        <f>IF('Bundle Tag Info'!AC$29&lt;&gt;"",CONCATENATE('Bundle Tag Info'!$A$1," ",CHAR(10),'Bundle Tag Info'!$A$2," ",'Bundle Tag Info'!$A$3,CHAR(10),'Bundle Tag Info'!AC$6,CHAR(10),'Bundle Tag Info'!AC$29),"")</f>
        <v/>
      </c>
      <c r="AD23" s="25" t="str">
        <f>IF('Bundle Tag Info'!AD$29&lt;&gt;"",CONCATENATE('Bundle Tag Info'!$A$1," ",CHAR(10),'Bundle Tag Info'!$A$2," ",'Bundle Tag Info'!$A$3,CHAR(10),'Bundle Tag Info'!AD$6,CHAR(10),'Bundle Tag Info'!AD$29),"")</f>
        <v/>
      </c>
    </row>
    <row r="24" spans="1:30" ht="63.95" customHeight="1" x14ac:dyDescent="0.25">
      <c r="A24" s="25" t="str">
        <f>IF('Bundle Tag Info'!E$7&lt;&gt;"",CONCATENATE('Bundle Tag Info'!$A$1," ",CHAR(10),'Bundle Tag Info'!$A$2," ",'Bundle Tag Info'!$A$3,CHAR(10),'Bundle Tag Info'!E$6,CHAR(10),'Bundle Tag Info'!E$7),"")</f>
        <v>ERGON-V #2 
4K911 Rev A
B
AU</v>
      </c>
      <c r="B24" s="25" t="str">
        <f>IF('Bundle Tag Info'!B$30&lt;&gt;"",CONCATENATE('Bundle Tag Info'!$A$1," ",CHAR(10),'Bundle Tag Info'!$A$2," ",'Bundle Tag Info'!$A$3,CHAR(10),'Bundle Tag Info'!B$6,CHAR(10),'Bundle Tag Info'!B$30),"")</f>
        <v/>
      </c>
      <c r="C24" s="25" t="str">
        <f>IF('Bundle Tag Info'!C$30&lt;&gt;"",CONCATENATE('Bundle Tag Info'!$A$1," ",CHAR(10),'Bundle Tag Info'!$A$2," ",'Bundle Tag Info'!$A$3,CHAR(10),'Bundle Tag Info'!C$6,CHAR(10),'Bundle Tag Info'!C$30),"")</f>
        <v/>
      </c>
      <c r="D24" s="25" t="str">
        <f>IF('Bundle Tag Info'!D$30&lt;&gt;"",CONCATENATE('Bundle Tag Info'!$A$1," ",CHAR(10),'Bundle Tag Info'!$A$2," ",'Bundle Tag Info'!$A$3,CHAR(10),'Bundle Tag Info'!D$6,CHAR(10),'Bundle Tag Info'!D$30),"")</f>
        <v/>
      </c>
      <c r="E24" s="25" t="str">
        <f>IF('Bundle Tag Info'!E$30&lt;&gt;"",CONCATENATE('Bundle Tag Info'!$A$1," ",CHAR(10),'Bundle Tag Info'!$A$2," ",'Bundle Tag Info'!$A$3,CHAR(10),'Bundle Tag Info'!E$6,CHAR(10),'Bundle Tag Info'!E$30),"")</f>
        <v/>
      </c>
      <c r="F24" s="25" t="str">
        <f>IF('Bundle Tag Info'!F$30&lt;&gt;"",CONCATENATE('Bundle Tag Info'!$A$1," ",CHAR(10),'Bundle Tag Info'!$A$2," ",'Bundle Tag Info'!$A$3,CHAR(10),'Bundle Tag Info'!F$6,CHAR(10),'Bundle Tag Info'!F$30),"")</f>
        <v/>
      </c>
      <c r="G24" s="25" t="str">
        <f>IF('Bundle Tag Info'!G$30&lt;&gt;"",CONCATENATE('Bundle Tag Info'!$A$1," ",CHAR(10),'Bundle Tag Info'!$A$2," ",'Bundle Tag Info'!$A$3,CHAR(10),'Bundle Tag Info'!G$6,CHAR(10),'Bundle Tag Info'!G$30),"")</f>
        <v/>
      </c>
      <c r="H24" s="25" t="str">
        <f>IF('Bundle Tag Info'!H$30&lt;&gt;"",CONCATENATE('Bundle Tag Info'!$A$1," ",CHAR(10),'Bundle Tag Info'!$A$2," ",'Bundle Tag Info'!$A$3,CHAR(10),'Bundle Tag Info'!H$6,CHAR(10),'Bundle Tag Info'!H$30),"")</f>
        <v/>
      </c>
      <c r="I24" s="25" t="str">
        <f>IF('Bundle Tag Info'!I$30&lt;&gt;"",CONCATENATE('Bundle Tag Info'!$A$1," ",CHAR(10),'Bundle Tag Info'!$A$2," ",'Bundle Tag Info'!$A$3,CHAR(10),'Bundle Tag Info'!I$6,CHAR(10),'Bundle Tag Info'!I$30),"")</f>
        <v/>
      </c>
      <c r="J24" s="25" t="str">
        <f>IF('Bundle Tag Info'!J$30&lt;&gt;"",CONCATENATE('Bundle Tag Info'!$A$1," ",CHAR(10),'Bundle Tag Info'!$A$2," ",'Bundle Tag Info'!$A$3,CHAR(10),'Bundle Tag Info'!J$6,CHAR(10),'Bundle Tag Info'!J$30),"")</f>
        <v/>
      </c>
      <c r="K24" s="25" t="str">
        <f>IF('Bundle Tag Info'!K$30&lt;&gt;"",CONCATENATE('Bundle Tag Info'!$A$1," ",CHAR(10),'Bundle Tag Info'!$A$2," ",'Bundle Tag Info'!$A$3,CHAR(10),'Bundle Tag Info'!K$6,CHAR(10),'Bundle Tag Info'!K$30),"")</f>
        <v/>
      </c>
      <c r="L24" s="25" t="str">
        <f>IF('Bundle Tag Info'!L$30&lt;&gt;"",CONCATENATE('Bundle Tag Info'!$A$1," ",CHAR(10),'Bundle Tag Info'!$A$2," ",'Bundle Tag Info'!$A$3,CHAR(10),'Bundle Tag Info'!L$6,CHAR(10),'Bundle Tag Info'!L$30),"")</f>
        <v/>
      </c>
      <c r="M24" s="25" t="str">
        <f>IF('Bundle Tag Info'!M$30&lt;&gt;"",CONCATENATE('Bundle Tag Info'!$A$1," ",CHAR(10),'Bundle Tag Info'!$A$2," ",'Bundle Tag Info'!$A$3,CHAR(10),'Bundle Tag Info'!M$6,CHAR(10),'Bundle Tag Info'!M$30),"")</f>
        <v/>
      </c>
      <c r="N24" s="25" t="str">
        <f>IF('Bundle Tag Info'!N$30&lt;&gt;"",CONCATENATE('Bundle Tag Info'!$A$1," ",CHAR(10),'Bundle Tag Info'!$A$2," ",'Bundle Tag Info'!$A$3,CHAR(10),'Bundle Tag Info'!N$6,CHAR(10),'Bundle Tag Info'!N$30),"")</f>
        <v/>
      </c>
      <c r="O24" s="25" t="str">
        <f>IF('Bundle Tag Info'!O$30&lt;&gt;"",CONCATENATE('Bundle Tag Info'!$A$1," ",CHAR(10),'Bundle Tag Info'!$A$2," ",'Bundle Tag Info'!$A$3,CHAR(10),'Bundle Tag Info'!O$6,CHAR(10),'Bundle Tag Info'!O$30),"")</f>
        <v/>
      </c>
      <c r="P24" s="25" t="str">
        <f>IF('Bundle Tag Info'!P$30&lt;&gt;"",CONCATENATE('Bundle Tag Info'!$A$1," ",CHAR(10),'Bundle Tag Info'!$A$2," ",'Bundle Tag Info'!$A$3,CHAR(10),'Bundle Tag Info'!P$6,CHAR(10),'Bundle Tag Info'!P$30),"")</f>
        <v/>
      </c>
      <c r="Q24" s="25" t="str">
        <f>IF('Bundle Tag Info'!Q$30&lt;&gt;"",CONCATENATE('Bundle Tag Info'!$A$1," ",CHAR(10),'Bundle Tag Info'!$A$2," ",'Bundle Tag Info'!$A$3,CHAR(10),'Bundle Tag Info'!Q$6,CHAR(10),'Bundle Tag Info'!Q$30),"")</f>
        <v/>
      </c>
      <c r="R24" s="25" t="str">
        <f>IF('Bundle Tag Info'!R$30&lt;&gt;"",CONCATENATE('Bundle Tag Info'!$A$1," ",CHAR(10),'Bundle Tag Info'!$A$2," ",'Bundle Tag Info'!$A$3,CHAR(10),'Bundle Tag Info'!R$6,CHAR(10),'Bundle Tag Info'!R$30),"")</f>
        <v/>
      </c>
      <c r="S24" s="25" t="str">
        <f>IF('Bundle Tag Info'!S$30&lt;&gt;"",CONCATENATE('Bundle Tag Info'!$A$1," ",CHAR(10),'Bundle Tag Info'!$A$2," ",'Bundle Tag Info'!$A$3,CHAR(10),'Bundle Tag Info'!S$6,CHAR(10),'Bundle Tag Info'!S$30),"")</f>
        <v/>
      </c>
      <c r="T24" s="25" t="str">
        <f>IF('Bundle Tag Info'!T$30&lt;&gt;"",CONCATENATE('Bundle Tag Info'!$A$1," ",CHAR(10),'Bundle Tag Info'!$A$2," ",'Bundle Tag Info'!$A$3,CHAR(10),'Bundle Tag Info'!T$6,CHAR(10),'Bundle Tag Info'!T$30),"")</f>
        <v/>
      </c>
      <c r="U24" s="25" t="str">
        <f>IF('Bundle Tag Info'!U$30&lt;&gt;"",CONCATENATE('Bundle Tag Info'!$A$1," ",CHAR(10),'Bundle Tag Info'!$A$2," ",'Bundle Tag Info'!$A$3,CHAR(10),'Bundle Tag Info'!U$6,CHAR(10),'Bundle Tag Info'!U$30),"")</f>
        <v/>
      </c>
      <c r="V24" s="25" t="str">
        <f>IF('Bundle Tag Info'!V$30&lt;&gt;"",CONCATENATE('Bundle Tag Info'!$A$1," ",CHAR(10),'Bundle Tag Info'!$A$2," ",'Bundle Tag Info'!$A$3,CHAR(10),'Bundle Tag Info'!V$6,CHAR(10),'Bundle Tag Info'!V$30),"")</f>
        <v/>
      </c>
      <c r="W24" s="25" t="str">
        <f>IF('Bundle Tag Info'!W$30&lt;&gt;"",CONCATENATE('Bundle Tag Info'!$A$1," ",CHAR(10),'Bundle Tag Info'!$A$2," ",'Bundle Tag Info'!$A$3,CHAR(10),'Bundle Tag Info'!W$6,CHAR(10),'Bundle Tag Info'!W$30),"")</f>
        <v/>
      </c>
      <c r="X24" s="25" t="str">
        <f>IF('Bundle Tag Info'!X$30&lt;&gt;"",CONCATENATE('Bundle Tag Info'!$A$1," ",CHAR(10),'Bundle Tag Info'!$A$2," ",'Bundle Tag Info'!$A$3,CHAR(10),'Bundle Tag Info'!X$6,CHAR(10),'Bundle Tag Info'!X$30),"")</f>
        <v/>
      </c>
      <c r="Y24" s="25" t="str">
        <f>IF('Bundle Tag Info'!Y$30&lt;&gt;"",CONCATENATE('Bundle Tag Info'!$A$1," ",CHAR(10),'Bundle Tag Info'!$A$2," ",'Bundle Tag Info'!$A$3,CHAR(10),'Bundle Tag Info'!Y$6,CHAR(10),'Bundle Tag Info'!Y$30),"")</f>
        <v/>
      </c>
      <c r="Z24" s="25" t="str">
        <f>IF('Bundle Tag Info'!Z$30&lt;&gt;"",CONCATENATE('Bundle Tag Info'!$A$1," ",CHAR(10),'Bundle Tag Info'!$A$2," ",'Bundle Tag Info'!$A$3,CHAR(10),'Bundle Tag Info'!Z$6,CHAR(10),'Bundle Tag Info'!Z$30),"")</f>
        <v/>
      </c>
      <c r="AA24" s="25" t="str">
        <f>IF('Bundle Tag Info'!AA$30&lt;&gt;"",CONCATENATE('Bundle Tag Info'!$A$1," ",CHAR(10),'Bundle Tag Info'!$A$2," ",'Bundle Tag Info'!$A$3,CHAR(10),'Bundle Tag Info'!AA$6,CHAR(10),'Bundle Tag Info'!AA$30),"")</f>
        <v/>
      </c>
      <c r="AB24" s="25" t="str">
        <f>IF('Bundle Tag Info'!AB$30&lt;&gt;"",CONCATENATE('Bundle Tag Info'!$A$1," ",CHAR(10),'Bundle Tag Info'!$A$2," ",'Bundle Tag Info'!$A$3,CHAR(10),'Bundle Tag Info'!AB$6,CHAR(10),'Bundle Tag Info'!AB$30),"")</f>
        <v/>
      </c>
      <c r="AC24" s="25" t="str">
        <f>IF('Bundle Tag Info'!AC$30&lt;&gt;"",CONCATENATE('Bundle Tag Info'!$A$1," ",CHAR(10),'Bundle Tag Info'!$A$2," ",'Bundle Tag Info'!$A$3,CHAR(10),'Bundle Tag Info'!AC$6,CHAR(10),'Bundle Tag Info'!AC$30),"")</f>
        <v/>
      </c>
      <c r="AD24" s="25" t="str">
        <f>IF('Bundle Tag Info'!AD$30&lt;&gt;"",CONCATENATE('Bundle Tag Info'!$A$1," ",CHAR(10),'Bundle Tag Info'!$A$2," ",'Bundle Tag Info'!$A$3,CHAR(10),'Bundle Tag Info'!AD$6,CHAR(10),'Bundle Tag Info'!AD$30),"")</f>
        <v/>
      </c>
    </row>
    <row r="25" spans="1:30" ht="63.95" customHeight="1" x14ac:dyDescent="0.25">
      <c r="A25" s="25" t="str">
        <f>IF('Bundle Tag Info'!E$8&lt;&gt;"",CONCATENATE('Bundle Tag Info'!$A$1," ",CHAR(10),'Bundle Tag Info'!$A$2," ",'Bundle Tag Info'!$A$3,CHAR(10),'Bundle Tag Info'!E$6,CHAR(10),'Bundle Tag Info'!E$8),"")</f>
        <v>ERGON-V #2 
4K911 Rev A
B
AF0060'S</v>
      </c>
      <c r="B25" s="25" t="str">
        <f>IF('Bundle Tag Info'!B$31&lt;&gt;"",CONCATENATE('Bundle Tag Info'!$A$1," ",CHAR(10),'Bundle Tag Info'!$A$2," ",'Bundle Tag Info'!$A$3,CHAR(10),'Bundle Tag Info'!B$6,CHAR(10),'Bundle Tag Info'!B$31),"")</f>
        <v/>
      </c>
      <c r="C25" s="25" t="str">
        <f>IF('Bundle Tag Info'!C$31&lt;&gt;"",CONCATENATE('Bundle Tag Info'!$A$1," ",CHAR(10),'Bundle Tag Info'!$A$2," ",'Bundle Tag Info'!$A$3,CHAR(10),'Bundle Tag Info'!C$6,CHAR(10),'Bundle Tag Info'!C$31),"")</f>
        <v/>
      </c>
      <c r="D25" s="25" t="str">
        <f>IF('Bundle Tag Info'!D$31&lt;&gt;"",CONCATENATE('Bundle Tag Info'!$A$1," ",CHAR(10),'Bundle Tag Info'!$A$2," ",'Bundle Tag Info'!$A$3,CHAR(10),'Bundle Tag Info'!D$6,CHAR(10),'Bundle Tag Info'!D$31),"")</f>
        <v/>
      </c>
      <c r="E25" s="25" t="str">
        <f>IF('Bundle Tag Info'!E$31&lt;&gt;"",CONCATENATE('Bundle Tag Info'!$A$1," ",CHAR(10),'Bundle Tag Info'!$A$2," ",'Bundle Tag Info'!$A$3,CHAR(10),'Bundle Tag Info'!E$6,CHAR(10),'Bundle Tag Info'!E$31),"")</f>
        <v/>
      </c>
      <c r="F25" s="25" t="str">
        <f>IF('Bundle Tag Info'!F$31&lt;&gt;"",CONCATENATE('Bundle Tag Info'!$A$1," ",CHAR(10),'Bundle Tag Info'!$A$2," ",'Bundle Tag Info'!$A$3,CHAR(10),'Bundle Tag Info'!F$6,CHAR(10),'Bundle Tag Info'!F$31),"")</f>
        <v/>
      </c>
      <c r="G25" s="25" t="str">
        <f>IF('Bundle Tag Info'!G$31&lt;&gt;"",CONCATENATE('Bundle Tag Info'!$A$1," ",CHAR(10),'Bundle Tag Info'!$A$2," ",'Bundle Tag Info'!$A$3,CHAR(10),'Bundle Tag Info'!G$6,CHAR(10),'Bundle Tag Info'!G$31),"")</f>
        <v/>
      </c>
      <c r="H25" s="25" t="str">
        <f>IF('Bundle Tag Info'!H$31&lt;&gt;"",CONCATENATE('Bundle Tag Info'!$A$1," ",CHAR(10),'Bundle Tag Info'!$A$2," ",'Bundle Tag Info'!$A$3,CHAR(10),'Bundle Tag Info'!H$6,CHAR(10),'Bundle Tag Info'!H$31),"")</f>
        <v/>
      </c>
      <c r="I25" s="25" t="str">
        <f>IF('Bundle Tag Info'!I$31&lt;&gt;"",CONCATENATE('Bundle Tag Info'!$A$1," ",CHAR(10),'Bundle Tag Info'!$A$2," ",'Bundle Tag Info'!$A$3,CHAR(10),'Bundle Tag Info'!I$6,CHAR(10),'Bundle Tag Info'!I$31),"")</f>
        <v/>
      </c>
      <c r="J25" s="25" t="str">
        <f>IF('Bundle Tag Info'!J$31&lt;&gt;"",CONCATENATE('Bundle Tag Info'!$A$1," ",CHAR(10),'Bundle Tag Info'!$A$2," ",'Bundle Tag Info'!$A$3,CHAR(10),'Bundle Tag Info'!J$6,CHAR(10),'Bundle Tag Info'!J$31),"")</f>
        <v/>
      </c>
      <c r="K25" s="25" t="str">
        <f>IF('Bundle Tag Info'!K$31&lt;&gt;"",CONCATENATE('Bundle Tag Info'!$A$1," ",CHAR(10),'Bundle Tag Info'!$A$2," ",'Bundle Tag Info'!$A$3,CHAR(10),'Bundle Tag Info'!K$6,CHAR(10),'Bundle Tag Info'!K$31),"")</f>
        <v/>
      </c>
      <c r="L25" s="25" t="str">
        <f>IF('Bundle Tag Info'!L$31&lt;&gt;"",CONCATENATE('Bundle Tag Info'!$A$1," ",CHAR(10),'Bundle Tag Info'!$A$2," ",'Bundle Tag Info'!$A$3,CHAR(10),'Bundle Tag Info'!L$6,CHAR(10),'Bundle Tag Info'!L$31),"")</f>
        <v/>
      </c>
      <c r="M25" s="25" t="str">
        <f>IF('Bundle Tag Info'!M$31&lt;&gt;"",CONCATENATE('Bundle Tag Info'!$A$1," ",CHAR(10),'Bundle Tag Info'!$A$2," ",'Bundle Tag Info'!$A$3,CHAR(10),'Bundle Tag Info'!M$6,CHAR(10),'Bundle Tag Info'!M$31),"")</f>
        <v/>
      </c>
      <c r="N25" s="25" t="str">
        <f>IF('Bundle Tag Info'!N$31&lt;&gt;"",CONCATENATE('Bundle Tag Info'!$A$1," ",CHAR(10),'Bundle Tag Info'!$A$2," ",'Bundle Tag Info'!$A$3,CHAR(10),'Bundle Tag Info'!N$6,CHAR(10),'Bundle Tag Info'!N$31),"")</f>
        <v/>
      </c>
      <c r="O25" s="25" t="str">
        <f>IF('Bundle Tag Info'!O$31&lt;&gt;"",CONCATENATE('Bundle Tag Info'!$A$1," ",CHAR(10),'Bundle Tag Info'!$A$2," ",'Bundle Tag Info'!$A$3,CHAR(10),'Bundle Tag Info'!O$6,CHAR(10),'Bundle Tag Info'!O$31),"")</f>
        <v/>
      </c>
      <c r="P25" s="25" t="str">
        <f>IF('Bundle Tag Info'!P$31&lt;&gt;"",CONCATENATE('Bundle Tag Info'!$A$1," ",CHAR(10),'Bundle Tag Info'!$A$2," ",'Bundle Tag Info'!$A$3,CHAR(10),'Bundle Tag Info'!P$6,CHAR(10),'Bundle Tag Info'!P$31),"")</f>
        <v/>
      </c>
      <c r="Q25" s="25" t="str">
        <f>IF('Bundle Tag Info'!Q$31&lt;&gt;"",CONCATENATE('Bundle Tag Info'!$A$1," ",CHAR(10),'Bundle Tag Info'!$A$2," ",'Bundle Tag Info'!$A$3,CHAR(10),'Bundle Tag Info'!Q$6,CHAR(10),'Bundle Tag Info'!Q$31),"")</f>
        <v/>
      </c>
      <c r="R25" s="25" t="str">
        <f>IF('Bundle Tag Info'!R$31&lt;&gt;"",CONCATENATE('Bundle Tag Info'!$A$1," ",CHAR(10),'Bundle Tag Info'!$A$2," ",'Bundle Tag Info'!$A$3,CHAR(10),'Bundle Tag Info'!R$6,CHAR(10),'Bundle Tag Info'!R$31),"")</f>
        <v/>
      </c>
      <c r="S25" s="25" t="str">
        <f>IF('Bundle Tag Info'!S$31&lt;&gt;"",CONCATENATE('Bundle Tag Info'!$A$1," ",CHAR(10),'Bundle Tag Info'!$A$2," ",'Bundle Tag Info'!$A$3,CHAR(10),'Bundle Tag Info'!S$6,CHAR(10),'Bundle Tag Info'!S$31),"")</f>
        <v/>
      </c>
      <c r="T25" s="25" t="str">
        <f>IF('Bundle Tag Info'!T$31&lt;&gt;"",CONCATENATE('Bundle Tag Info'!$A$1," ",CHAR(10),'Bundle Tag Info'!$A$2," ",'Bundle Tag Info'!$A$3,CHAR(10),'Bundle Tag Info'!T$6,CHAR(10),'Bundle Tag Info'!T$31),"")</f>
        <v/>
      </c>
      <c r="U25" s="25" t="str">
        <f>IF('Bundle Tag Info'!U$31&lt;&gt;"",CONCATENATE('Bundle Tag Info'!$A$1," ",CHAR(10),'Bundle Tag Info'!$A$2," ",'Bundle Tag Info'!$A$3,CHAR(10),'Bundle Tag Info'!U$6,CHAR(10),'Bundle Tag Info'!U$31),"")</f>
        <v/>
      </c>
      <c r="V25" s="25" t="str">
        <f>IF('Bundle Tag Info'!V$31&lt;&gt;"",CONCATENATE('Bundle Tag Info'!$A$1," ",CHAR(10),'Bundle Tag Info'!$A$2," ",'Bundle Tag Info'!$A$3,CHAR(10),'Bundle Tag Info'!V$6,CHAR(10),'Bundle Tag Info'!V$31),"")</f>
        <v/>
      </c>
      <c r="W25" s="25" t="str">
        <f>IF('Bundle Tag Info'!W$31&lt;&gt;"",CONCATENATE('Bundle Tag Info'!$A$1," ",CHAR(10),'Bundle Tag Info'!$A$2," ",'Bundle Tag Info'!$A$3,CHAR(10),'Bundle Tag Info'!W$6,CHAR(10),'Bundle Tag Info'!W$31),"")</f>
        <v/>
      </c>
      <c r="X25" s="25" t="str">
        <f>IF('Bundle Tag Info'!X$31&lt;&gt;"",CONCATENATE('Bundle Tag Info'!$A$1," ",CHAR(10),'Bundle Tag Info'!$A$2," ",'Bundle Tag Info'!$A$3,CHAR(10),'Bundle Tag Info'!X$6,CHAR(10),'Bundle Tag Info'!X$31),"")</f>
        <v/>
      </c>
      <c r="Y25" s="25" t="str">
        <f>IF('Bundle Tag Info'!Y$31&lt;&gt;"",CONCATENATE('Bundle Tag Info'!$A$1," ",CHAR(10),'Bundle Tag Info'!$A$2," ",'Bundle Tag Info'!$A$3,CHAR(10),'Bundle Tag Info'!Y$6,CHAR(10),'Bundle Tag Info'!Y$31),"")</f>
        <v/>
      </c>
      <c r="Z25" s="25" t="str">
        <f>IF('Bundle Tag Info'!Z$31&lt;&gt;"",CONCATENATE('Bundle Tag Info'!$A$1," ",CHAR(10),'Bundle Tag Info'!$A$2," ",'Bundle Tag Info'!$A$3,CHAR(10),'Bundle Tag Info'!Z$6,CHAR(10),'Bundle Tag Info'!Z$31),"")</f>
        <v/>
      </c>
      <c r="AA25" s="25" t="str">
        <f>IF('Bundle Tag Info'!AA$31&lt;&gt;"",CONCATENATE('Bundle Tag Info'!$A$1," ",CHAR(10),'Bundle Tag Info'!$A$2," ",'Bundle Tag Info'!$A$3,CHAR(10),'Bundle Tag Info'!AA$6,CHAR(10),'Bundle Tag Info'!AA$31),"")</f>
        <v/>
      </c>
      <c r="AB25" s="25" t="str">
        <f>IF('Bundle Tag Info'!AB$31&lt;&gt;"",CONCATENATE('Bundle Tag Info'!$A$1," ",CHAR(10),'Bundle Tag Info'!$A$2," ",'Bundle Tag Info'!$A$3,CHAR(10),'Bundle Tag Info'!AB$6,CHAR(10),'Bundle Tag Info'!AB$31),"")</f>
        <v/>
      </c>
      <c r="AC25" s="25" t="str">
        <f>IF('Bundle Tag Info'!AC$31&lt;&gt;"",CONCATENATE('Bundle Tag Info'!$A$1," ",CHAR(10),'Bundle Tag Info'!$A$2," ",'Bundle Tag Info'!$A$3,CHAR(10),'Bundle Tag Info'!AC$6,CHAR(10),'Bundle Tag Info'!AC$31),"")</f>
        <v/>
      </c>
      <c r="AD25" s="25" t="str">
        <f>IF('Bundle Tag Info'!AD$31&lt;&gt;"",CONCATENATE('Bundle Tag Info'!$A$1," ",CHAR(10),'Bundle Tag Info'!$A$2," ",'Bundle Tag Info'!$A$3,CHAR(10),'Bundle Tag Info'!AD$6,CHAR(10),'Bundle Tag Info'!AD$31),"")</f>
        <v/>
      </c>
    </row>
    <row r="26" spans="1:30" ht="63.95" customHeight="1" x14ac:dyDescent="0.25">
      <c r="A26" s="25" t="str">
        <f>IF('Bundle Tag Info'!E$9&lt;&gt;"",CONCATENATE('Bundle Tag Info'!$A$1," ",CHAR(10),'Bundle Tag Info'!$A$2," ",'Bundle Tag Info'!$A$3,CHAR(10),'Bundle Tag Info'!E$6,CHAR(10),'Bundle Tag Info'!E$9),"")</f>
        <v>ERGON-V #2 
4K911 Rev A
B
AF0070'S</v>
      </c>
      <c r="B26" s="25" t="str">
        <f>IF('Bundle Tag Info'!B$32&lt;&gt;"",CONCATENATE('Bundle Tag Info'!$A$1," ",CHAR(10),'Bundle Tag Info'!$A$2," ",'Bundle Tag Info'!$A$3,CHAR(10),'Bundle Tag Info'!B$6,CHAR(10),'Bundle Tag Info'!B$32),"")</f>
        <v/>
      </c>
      <c r="C26" s="25" t="str">
        <f>IF('Bundle Tag Info'!C$32&lt;&gt;"",CONCATENATE('Bundle Tag Info'!$A$1," ",CHAR(10),'Bundle Tag Info'!$A$2," ",'Bundle Tag Info'!$A$3,CHAR(10),'Bundle Tag Info'!C$6,CHAR(10),'Bundle Tag Info'!C$32),"")</f>
        <v/>
      </c>
      <c r="D26" s="25" t="str">
        <f>IF('Bundle Tag Info'!D$32&lt;&gt;"",CONCATENATE('Bundle Tag Info'!$A$1," ",CHAR(10),'Bundle Tag Info'!$A$2," ",'Bundle Tag Info'!$A$3,CHAR(10),'Bundle Tag Info'!D$6,CHAR(10),'Bundle Tag Info'!D$32),"")</f>
        <v/>
      </c>
      <c r="E26" s="25" t="str">
        <f>IF('Bundle Tag Info'!E$32&lt;&gt;"",CONCATENATE('Bundle Tag Info'!$A$1," ",CHAR(10),'Bundle Tag Info'!$A$2," ",'Bundle Tag Info'!$A$3,CHAR(10),'Bundle Tag Info'!E$6,CHAR(10),'Bundle Tag Info'!E$32),"")</f>
        <v/>
      </c>
      <c r="F26" s="25" t="str">
        <f>IF('Bundle Tag Info'!F$32&lt;&gt;"",CONCATENATE('Bundle Tag Info'!$A$1," ",CHAR(10),'Bundle Tag Info'!$A$2," ",'Bundle Tag Info'!$A$3,CHAR(10),'Bundle Tag Info'!F$6,CHAR(10),'Bundle Tag Info'!F$32),"")</f>
        <v/>
      </c>
      <c r="G26" s="25" t="str">
        <f>IF('Bundle Tag Info'!G$32&lt;&gt;"",CONCATENATE('Bundle Tag Info'!$A$1," ",CHAR(10),'Bundle Tag Info'!$A$2," ",'Bundle Tag Info'!$A$3,CHAR(10),'Bundle Tag Info'!G$6,CHAR(10),'Bundle Tag Info'!G$32),"")</f>
        <v/>
      </c>
      <c r="H26" s="25" t="str">
        <f>IF('Bundle Tag Info'!H$32&lt;&gt;"",CONCATENATE('Bundle Tag Info'!$A$1," ",CHAR(10),'Bundle Tag Info'!$A$2," ",'Bundle Tag Info'!$A$3,CHAR(10),'Bundle Tag Info'!H$6,CHAR(10),'Bundle Tag Info'!H$32),"")</f>
        <v/>
      </c>
      <c r="I26" s="25" t="str">
        <f>IF('Bundle Tag Info'!I$32&lt;&gt;"",CONCATENATE('Bundle Tag Info'!$A$1," ",CHAR(10),'Bundle Tag Info'!$A$2," ",'Bundle Tag Info'!$A$3,CHAR(10),'Bundle Tag Info'!I$6,CHAR(10),'Bundle Tag Info'!I$32),"")</f>
        <v/>
      </c>
      <c r="J26" s="25" t="str">
        <f>IF('Bundle Tag Info'!J$32&lt;&gt;"",CONCATENATE('Bundle Tag Info'!$A$1," ",CHAR(10),'Bundle Tag Info'!$A$2," ",'Bundle Tag Info'!$A$3,CHAR(10),'Bundle Tag Info'!J$6,CHAR(10),'Bundle Tag Info'!J$32),"")</f>
        <v/>
      </c>
      <c r="K26" s="25" t="str">
        <f>IF('Bundle Tag Info'!K$32&lt;&gt;"",CONCATENATE('Bundle Tag Info'!$A$1," ",CHAR(10),'Bundle Tag Info'!$A$2," ",'Bundle Tag Info'!$A$3,CHAR(10),'Bundle Tag Info'!K$6,CHAR(10),'Bundle Tag Info'!K$32),"")</f>
        <v/>
      </c>
      <c r="L26" s="25" t="str">
        <f>IF('Bundle Tag Info'!L$32&lt;&gt;"",CONCATENATE('Bundle Tag Info'!$A$1," ",CHAR(10),'Bundle Tag Info'!$A$2," ",'Bundle Tag Info'!$A$3,CHAR(10),'Bundle Tag Info'!L$6,CHAR(10),'Bundle Tag Info'!L$32),"")</f>
        <v/>
      </c>
      <c r="M26" s="25" t="str">
        <f>IF('Bundle Tag Info'!M$32&lt;&gt;"",CONCATENATE('Bundle Tag Info'!$A$1," ",CHAR(10),'Bundle Tag Info'!$A$2," ",'Bundle Tag Info'!$A$3,CHAR(10),'Bundle Tag Info'!M$6,CHAR(10),'Bundle Tag Info'!M$32),"")</f>
        <v/>
      </c>
      <c r="N26" s="25" t="str">
        <f>IF('Bundle Tag Info'!N$32&lt;&gt;"",CONCATENATE('Bundle Tag Info'!$A$1," ",CHAR(10),'Bundle Tag Info'!$A$2," ",'Bundle Tag Info'!$A$3,CHAR(10),'Bundle Tag Info'!N$6,CHAR(10),'Bundle Tag Info'!N$32),"")</f>
        <v/>
      </c>
      <c r="O26" s="25" t="str">
        <f>IF('Bundle Tag Info'!O$32&lt;&gt;"",CONCATENATE('Bundle Tag Info'!$A$1," ",CHAR(10),'Bundle Tag Info'!$A$2," ",'Bundle Tag Info'!$A$3,CHAR(10),'Bundle Tag Info'!O$6,CHAR(10),'Bundle Tag Info'!O$32),"")</f>
        <v/>
      </c>
      <c r="P26" s="25" t="str">
        <f>IF('Bundle Tag Info'!P$32&lt;&gt;"",CONCATENATE('Bundle Tag Info'!$A$1," ",CHAR(10),'Bundle Tag Info'!$A$2," ",'Bundle Tag Info'!$A$3,CHAR(10),'Bundle Tag Info'!P$6,CHAR(10),'Bundle Tag Info'!P$32),"")</f>
        <v/>
      </c>
      <c r="Q26" s="25" t="str">
        <f>IF('Bundle Tag Info'!Q$32&lt;&gt;"",CONCATENATE('Bundle Tag Info'!$A$1," ",CHAR(10),'Bundle Tag Info'!$A$2," ",'Bundle Tag Info'!$A$3,CHAR(10),'Bundle Tag Info'!Q$6,CHAR(10),'Bundle Tag Info'!Q$32),"")</f>
        <v/>
      </c>
      <c r="R26" s="25" t="str">
        <f>IF('Bundle Tag Info'!R$32&lt;&gt;"",CONCATENATE('Bundle Tag Info'!$A$1," ",CHAR(10),'Bundle Tag Info'!$A$2," ",'Bundle Tag Info'!$A$3,CHAR(10),'Bundle Tag Info'!R$6,CHAR(10),'Bundle Tag Info'!R$32),"")</f>
        <v/>
      </c>
      <c r="S26" s="25" t="str">
        <f>IF('Bundle Tag Info'!S$32&lt;&gt;"",CONCATENATE('Bundle Tag Info'!$A$1," ",CHAR(10),'Bundle Tag Info'!$A$2," ",'Bundle Tag Info'!$A$3,CHAR(10),'Bundle Tag Info'!S$6,CHAR(10),'Bundle Tag Info'!S$32),"")</f>
        <v/>
      </c>
      <c r="T26" s="25" t="str">
        <f>IF('Bundle Tag Info'!T$32&lt;&gt;"",CONCATENATE('Bundle Tag Info'!$A$1," ",CHAR(10),'Bundle Tag Info'!$A$2," ",'Bundle Tag Info'!$A$3,CHAR(10),'Bundle Tag Info'!T$6,CHAR(10),'Bundle Tag Info'!T$32),"")</f>
        <v/>
      </c>
      <c r="U26" s="25" t="str">
        <f>IF('Bundle Tag Info'!U$32&lt;&gt;"",CONCATENATE('Bundle Tag Info'!$A$1," ",CHAR(10),'Bundle Tag Info'!$A$2," ",'Bundle Tag Info'!$A$3,CHAR(10),'Bundle Tag Info'!U$6,CHAR(10),'Bundle Tag Info'!U$32),"")</f>
        <v/>
      </c>
      <c r="V26" s="25" t="str">
        <f>IF('Bundle Tag Info'!V$32&lt;&gt;"",CONCATENATE('Bundle Tag Info'!$A$1," ",CHAR(10),'Bundle Tag Info'!$A$2," ",'Bundle Tag Info'!$A$3,CHAR(10),'Bundle Tag Info'!V$6,CHAR(10),'Bundle Tag Info'!V$32),"")</f>
        <v/>
      </c>
      <c r="W26" s="25" t="str">
        <f>IF('Bundle Tag Info'!W$32&lt;&gt;"",CONCATENATE('Bundle Tag Info'!$A$1," ",CHAR(10),'Bundle Tag Info'!$A$2," ",'Bundle Tag Info'!$A$3,CHAR(10),'Bundle Tag Info'!W$6,CHAR(10),'Bundle Tag Info'!W$32),"")</f>
        <v/>
      </c>
      <c r="X26" s="25" t="str">
        <f>IF('Bundle Tag Info'!X$32&lt;&gt;"",CONCATENATE('Bundle Tag Info'!$A$1," ",CHAR(10),'Bundle Tag Info'!$A$2," ",'Bundle Tag Info'!$A$3,CHAR(10),'Bundle Tag Info'!X$6,CHAR(10),'Bundle Tag Info'!X$32),"")</f>
        <v/>
      </c>
      <c r="Y26" s="25" t="str">
        <f>IF('Bundle Tag Info'!Y$32&lt;&gt;"",CONCATENATE('Bundle Tag Info'!$A$1," ",CHAR(10),'Bundle Tag Info'!$A$2," ",'Bundle Tag Info'!$A$3,CHAR(10),'Bundle Tag Info'!Y$6,CHAR(10),'Bundle Tag Info'!Y$32),"")</f>
        <v/>
      </c>
      <c r="Z26" s="25" t="str">
        <f>IF('Bundle Tag Info'!Z$32&lt;&gt;"",CONCATENATE('Bundle Tag Info'!$A$1," ",CHAR(10),'Bundle Tag Info'!$A$2," ",'Bundle Tag Info'!$A$3,CHAR(10),'Bundle Tag Info'!Z$6,CHAR(10),'Bundle Tag Info'!Z$32),"")</f>
        <v/>
      </c>
      <c r="AA26" s="25" t="str">
        <f>IF('Bundle Tag Info'!AA$32&lt;&gt;"",CONCATENATE('Bundle Tag Info'!$A$1," ",CHAR(10),'Bundle Tag Info'!$A$2," ",'Bundle Tag Info'!$A$3,CHAR(10),'Bundle Tag Info'!AA$6,CHAR(10),'Bundle Tag Info'!AA$32),"")</f>
        <v/>
      </c>
      <c r="AB26" s="25" t="str">
        <f>IF('Bundle Tag Info'!AB$32&lt;&gt;"",CONCATENATE('Bundle Tag Info'!$A$1," ",CHAR(10),'Bundle Tag Info'!$A$2," ",'Bundle Tag Info'!$A$3,CHAR(10),'Bundle Tag Info'!AB$6,CHAR(10),'Bundle Tag Info'!AB$32),"")</f>
        <v/>
      </c>
      <c r="AC26" s="25" t="str">
        <f>IF('Bundle Tag Info'!AC$32&lt;&gt;"",CONCATENATE('Bundle Tag Info'!$A$1," ",CHAR(10),'Bundle Tag Info'!$A$2," ",'Bundle Tag Info'!$A$3,CHAR(10),'Bundle Tag Info'!AC$6,CHAR(10),'Bundle Tag Info'!AC$32),"")</f>
        <v/>
      </c>
      <c r="AD26" s="25" t="str">
        <f>IF('Bundle Tag Info'!AD$32&lt;&gt;"",CONCATENATE('Bundle Tag Info'!$A$1," ",CHAR(10),'Bundle Tag Info'!$A$2," ",'Bundle Tag Info'!$A$3,CHAR(10),'Bundle Tag Info'!AD$6,CHAR(10),'Bundle Tag Info'!AD$32),"")</f>
        <v/>
      </c>
    </row>
    <row r="27" spans="1:30" ht="63.95" customHeight="1" x14ac:dyDescent="0.25">
      <c r="A27" s="25" t="str">
        <f>IF('Bundle Tag Info'!E$10&lt;&gt;"",CONCATENATE('Bundle Tag Info'!$A$1," ",CHAR(10),'Bundle Tag Info'!$A$2," ",'Bundle Tag Info'!$A$3,CHAR(10),'Bundle Tag Info'!E$6,CHAR(10),'Bundle Tag Info'!E$10),"")</f>
        <v xml:space="preserve">ERGON-V #2 
4K911 Rev A
B
KA A1 </v>
      </c>
      <c r="B27" s="25" t="str">
        <f>IF('Bundle Tag Info'!B$33&lt;&gt;"",CONCATENATE('Bundle Tag Info'!$A$1," ",CHAR(10),'Bundle Tag Info'!$A$2," ",'Bundle Tag Info'!$A$3,CHAR(10),'Bundle Tag Info'!B$6,CHAR(10),'Bundle Tag Info'!B$33),"")</f>
        <v/>
      </c>
      <c r="C27" s="25" t="str">
        <f>IF('Bundle Tag Info'!C$33&lt;&gt;"",CONCATENATE('Bundle Tag Info'!$A$1," ",CHAR(10),'Bundle Tag Info'!$A$2," ",'Bundle Tag Info'!$A$3,CHAR(10),'Bundle Tag Info'!C$6,CHAR(10),'Bundle Tag Info'!C$33),"")</f>
        <v/>
      </c>
      <c r="D27" s="25" t="str">
        <f>IF('Bundle Tag Info'!D$33&lt;&gt;"",CONCATENATE('Bundle Tag Info'!$A$1," ",CHAR(10),'Bundle Tag Info'!$A$2," ",'Bundle Tag Info'!$A$3,CHAR(10),'Bundle Tag Info'!D$6,CHAR(10),'Bundle Tag Info'!D$33),"")</f>
        <v/>
      </c>
      <c r="E27" s="25" t="str">
        <f>IF('Bundle Tag Info'!E$33&lt;&gt;"",CONCATENATE('Bundle Tag Info'!$A$1," ",CHAR(10),'Bundle Tag Info'!$A$2," ",'Bundle Tag Info'!$A$3,CHAR(10),'Bundle Tag Info'!E$6,CHAR(10),'Bundle Tag Info'!E$33),"")</f>
        <v/>
      </c>
      <c r="F27" s="25" t="str">
        <f>IF('Bundle Tag Info'!F$33&lt;&gt;"",CONCATENATE('Bundle Tag Info'!$A$1," ",CHAR(10),'Bundle Tag Info'!$A$2," ",'Bundle Tag Info'!$A$3,CHAR(10),'Bundle Tag Info'!F$6,CHAR(10),'Bundle Tag Info'!F$33),"")</f>
        <v/>
      </c>
      <c r="G27" s="25" t="str">
        <f>IF('Bundle Tag Info'!G$33&lt;&gt;"",CONCATENATE('Bundle Tag Info'!$A$1," ",CHAR(10),'Bundle Tag Info'!$A$2," ",'Bundle Tag Info'!$A$3,CHAR(10),'Bundle Tag Info'!G$6,CHAR(10),'Bundle Tag Info'!G$33),"")</f>
        <v/>
      </c>
      <c r="H27" s="25" t="str">
        <f>IF('Bundle Tag Info'!H$33&lt;&gt;"",CONCATENATE('Bundle Tag Info'!$A$1," ",CHAR(10),'Bundle Tag Info'!$A$2," ",'Bundle Tag Info'!$A$3,CHAR(10),'Bundle Tag Info'!H$6,CHAR(10),'Bundle Tag Info'!H$33),"")</f>
        <v/>
      </c>
      <c r="I27" s="25" t="str">
        <f>IF('Bundle Tag Info'!I$33&lt;&gt;"",CONCATENATE('Bundle Tag Info'!$A$1," ",CHAR(10),'Bundle Tag Info'!$A$2," ",'Bundle Tag Info'!$A$3,CHAR(10),'Bundle Tag Info'!I$6,CHAR(10),'Bundle Tag Info'!I$33),"")</f>
        <v/>
      </c>
      <c r="J27" s="25" t="str">
        <f>IF('Bundle Tag Info'!J$33&lt;&gt;"",CONCATENATE('Bundle Tag Info'!$A$1," ",CHAR(10),'Bundle Tag Info'!$A$2," ",'Bundle Tag Info'!$A$3,CHAR(10),'Bundle Tag Info'!J$6,CHAR(10),'Bundle Tag Info'!J$33),"")</f>
        <v/>
      </c>
      <c r="K27" s="25" t="str">
        <f>IF('Bundle Tag Info'!K$33&lt;&gt;"",CONCATENATE('Bundle Tag Info'!$A$1," ",CHAR(10),'Bundle Tag Info'!$A$2," ",'Bundle Tag Info'!$A$3,CHAR(10),'Bundle Tag Info'!K$6,CHAR(10),'Bundle Tag Info'!K$33),"")</f>
        <v/>
      </c>
      <c r="L27" s="25" t="str">
        <f>IF('Bundle Tag Info'!L$33&lt;&gt;"",CONCATENATE('Bundle Tag Info'!$A$1," ",CHAR(10),'Bundle Tag Info'!$A$2," ",'Bundle Tag Info'!$A$3,CHAR(10),'Bundle Tag Info'!L$6,CHAR(10),'Bundle Tag Info'!L$33),"")</f>
        <v/>
      </c>
      <c r="M27" s="25" t="str">
        <f>IF('Bundle Tag Info'!M$33&lt;&gt;"",CONCATENATE('Bundle Tag Info'!$A$1," ",CHAR(10),'Bundle Tag Info'!$A$2," ",'Bundle Tag Info'!$A$3,CHAR(10),'Bundle Tag Info'!M$6,CHAR(10),'Bundle Tag Info'!M$33),"")</f>
        <v/>
      </c>
      <c r="N27" s="25" t="str">
        <f>IF('Bundle Tag Info'!N$33&lt;&gt;"",CONCATENATE('Bundle Tag Info'!$A$1," ",CHAR(10),'Bundle Tag Info'!$A$2," ",'Bundle Tag Info'!$A$3,CHAR(10),'Bundle Tag Info'!N$6,CHAR(10),'Bundle Tag Info'!N$33),"")</f>
        <v/>
      </c>
      <c r="O27" s="25" t="str">
        <f>IF('Bundle Tag Info'!O$33&lt;&gt;"",CONCATENATE('Bundle Tag Info'!$A$1," ",CHAR(10),'Bundle Tag Info'!$A$2," ",'Bundle Tag Info'!$A$3,CHAR(10),'Bundle Tag Info'!O$6,CHAR(10),'Bundle Tag Info'!O$33),"")</f>
        <v/>
      </c>
      <c r="P27" s="25" t="str">
        <f>IF('Bundle Tag Info'!P$33&lt;&gt;"",CONCATENATE('Bundle Tag Info'!$A$1," ",CHAR(10),'Bundle Tag Info'!$A$2," ",'Bundle Tag Info'!$A$3,CHAR(10),'Bundle Tag Info'!P$6,CHAR(10),'Bundle Tag Info'!P$33),"")</f>
        <v/>
      </c>
      <c r="Q27" s="25" t="str">
        <f>IF('Bundle Tag Info'!Q$33&lt;&gt;"",CONCATENATE('Bundle Tag Info'!$A$1," ",CHAR(10),'Bundle Tag Info'!$A$2," ",'Bundle Tag Info'!$A$3,CHAR(10),'Bundle Tag Info'!Q$6,CHAR(10),'Bundle Tag Info'!Q$33),"")</f>
        <v/>
      </c>
      <c r="R27" s="25" t="str">
        <f>IF('Bundle Tag Info'!R$33&lt;&gt;"",CONCATENATE('Bundle Tag Info'!$A$1," ",CHAR(10),'Bundle Tag Info'!$A$2," ",'Bundle Tag Info'!$A$3,CHAR(10),'Bundle Tag Info'!R$6,CHAR(10),'Bundle Tag Info'!R$33),"")</f>
        <v/>
      </c>
      <c r="S27" s="25" t="str">
        <f>IF('Bundle Tag Info'!S$33&lt;&gt;"",CONCATENATE('Bundle Tag Info'!$A$1," ",CHAR(10),'Bundle Tag Info'!$A$2," ",'Bundle Tag Info'!$A$3,CHAR(10),'Bundle Tag Info'!S$6,CHAR(10),'Bundle Tag Info'!S$33),"")</f>
        <v/>
      </c>
      <c r="T27" s="25" t="str">
        <f>IF('Bundle Tag Info'!T$33&lt;&gt;"",CONCATENATE('Bundle Tag Info'!$A$1," ",CHAR(10),'Bundle Tag Info'!$A$2," ",'Bundle Tag Info'!$A$3,CHAR(10),'Bundle Tag Info'!T$6,CHAR(10),'Bundle Tag Info'!T$33),"")</f>
        <v/>
      </c>
      <c r="U27" s="25" t="str">
        <f>IF('Bundle Tag Info'!U$33&lt;&gt;"",CONCATENATE('Bundle Tag Info'!$A$1," ",CHAR(10),'Bundle Tag Info'!$A$2," ",'Bundle Tag Info'!$A$3,CHAR(10),'Bundle Tag Info'!U$6,CHAR(10),'Bundle Tag Info'!U$33),"")</f>
        <v/>
      </c>
      <c r="V27" s="25" t="str">
        <f>IF('Bundle Tag Info'!V$33&lt;&gt;"",CONCATENATE('Bundle Tag Info'!$A$1," ",CHAR(10),'Bundle Tag Info'!$A$2," ",'Bundle Tag Info'!$A$3,CHAR(10),'Bundle Tag Info'!V$6,CHAR(10),'Bundle Tag Info'!V$33),"")</f>
        <v/>
      </c>
      <c r="W27" s="25" t="str">
        <f>IF('Bundle Tag Info'!W$33&lt;&gt;"",CONCATENATE('Bundle Tag Info'!$A$1," ",CHAR(10),'Bundle Tag Info'!$A$2," ",'Bundle Tag Info'!$A$3,CHAR(10),'Bundle Tag Info'!W$6,CHAR(10),'Bundle Tag Info'!W$33),"")</f>
        <v/>
      </c>
      <c r="X27" s="25" t="str">
        <f>IF('Bundle Tag Info'!X$33&lt;&gt;"",CONCATENATE('Bundle Tag Info'!$A$1," ",CHAR(10),'Bundle Tag Info'!$A$2," ",'Bundle Tag Info'!$A$3,CHAR(10),'Bundle Tag Info'!X$6,CHAR(10),'Bundle Tag Info'!X$33),"")</f>
        <v/>
      </c>
      <c r="Y27" s="25" t="str">
        <f>IF('Bundle Tag Info'!Y$33&lt;&gt;"",CONCATENATE('Bundle Tag Info'!$A$1," ",CHAR(10),'Bundle Tag Info'!$A$2," ",'Bundle Tag Info'!$A$3,CHAR(10),'Bundle Tag Info'!Y$6,CHAR(10),'Bundle Tag Info'!Y$33),"")</f>
        <v/>
      </c>
      <c r="Z27" s="25" t="str">
        <f>IF('Bundle Tag Info'!Z$33&lt;&gt;"",CONCATENATE('Bundle Tag Info'!$A$1," ",CHAR(10),'Bundle Tag Info'!$A$2," ",'Bundle Tag Info'!$A$3,CHAR(10),'Bundle Tag Info'!Z$6,CHAR(10),'Bundle Tag Info'!Z$33),"")</f>
        <v/>
      </c>
      <c r="AA27" s="25" t="str">
        <f>IF('Bundle Tag Info'!AA$33&lt;&gt;"",CONCATENATE('Bundle Tag Info'!$A$1," ",CHAR(10),'Bundle Tag Info'!$A$2," ",'Bundle Tag Info'!$A$3,CHAR(10),'Bundle Tag Info'!AA$6,CHAR(10),'Bundle Tag Info'!AA$33),"")</f>
        <v/>
      </c>
      <c r="AB27" s="25" t="str">
        <f>IF('Bundle Tag Info'!AB$33&lt;&gt;"",CONCATENATE('Bundle Tag Info'!$A$1," ",CHAR(10),'Bundle Tag Info'!$A$2," ",'Bundle Tag Info'!$A$3,CHAR(10),'Bundle Tag Info'!AB$6,CHAR(10),'Bundle Tag Info'!AB$33),"")</f>
        <v/>
      </c>
      <c r="AC27" s="25" t="str">
        <f>IF('Bundle Tag Info'!AC$33&lt;&gt;"",CONCATENATE('Bundle Tag Info'!$A$1," ",CHAR(10),'Bundle Tag Info'!$A$2," ",'Bundle Tag Info'!$A$3,CHAR(10),'Bundle Tag Info'!AC$6,CHAR(10),'Bundle Tag Info'!AC$33),"")</f>
        <v/>
      </c>
      <c r="AD27" s="25" t="str">
        <f>IF('Bundle Tag Info'!AD$33&lt;&gt;"",CONCATENATE('Bundle Tag Info'!$A$1," ",CHAR(10),'Bundle Tag Info'!$A$2," ",'Bundle Tag Info'!$A$3,CHAR(10),'Bundle Tag Info'!AD$6,CHAR(10),'Bundle Tag Info'!AD$33),"")</f>
        <v/>
      </c>
    </row>
    <row r="28" spans="1:30" ht="63.95" customHeight="1" x14ac:dyDescent="0.25">
      <c r="A28" s="25" t="str">
        <f>IF('Bundle Tag Info'!E$11&lt;&gt;"",CONCATENATE('Bundle Tag Info'!$A$1," ",CHAR(10),'Bundle Tag Info'!$A$2," ",'Bundle Tag Info'!$A$3,CHAR(10),'Bundle Tag Info'!E$6,CHAR(10),'Bundle Tag Info'!E$11),"")</f>
        <v xml:space="preserve">ERGON-V #2 
4K911 Rev A
B
KA A2 </v>
      </c>
      <c r="B28" s="25" t="str">
        <f>IF('Bundle Tag Info'!B$34&lt;&gt;"",CONCATENATE('Bundle Tag Info'!$A$1," ",CHAR(10),'Bundle Tag Info'!$A$2," ",'Bundle Tag Info'!$A$3,CHAR(10),'Bundle Tag Info'!B$6,CHAR(10),'Bundle Tag Info'!B$34),"")</f>
        <v/>
      </c>
      <c r="C28" s="25" t="str">
        <f>IF('Bundle Tag Info'!C$34&lt;&gt;"",CONCATENATE('Bundle Tag Info'!$A$1," ",CHAR(10),'Bundle Tag Info'!$A$2," ",'Bundle Tag Info'!$A$3,CHAR(10),'Bundle Tag Info'!C$6,CHAR(10),'Bundle Tag Info'!C$34),"")</f>
        <v/>
      </c>
      <c r="D28" s="25" t="str">
        <f>IF('Bundle Tag Info'!D$34&lt;&gt;"",CONCATENATE('Bundle Tag Info'!$A$1," ",CHAR(10),'Bundle Tag Info'!$A$2," ",'Bundle Tag Info'!$A$3,CHAR(10),'Bundle Tag Info'!D$6,CHAR(10),'Bundle Tag Info'!D$34),"")</f>
        <v/>
      </c>
      <c r="E28" s="25" t="str">
        <f>IF('Bundle Tag Info'!E$34&lt;&gt;"",CONCATENATE('Bundle Tag Info'!$A$1," ",CHAR(10),'Bundle Tag Info'!$A$2," ",'Bundle Tag Info'!$A$3,CHAR(10),'Bundle Tag Info'!E$6,CHAR(10),'Bundle Tag Info'!E$34),"")</f>
        <v/>
      </c>
      <c r="F28" s="25" t="str">
        <f>IF('Bundle Tag Info'!F$34&lt;&gt;"",CONCATENATE('Bundle Tag Info'!$A$1," ",CHAR(10),'Bundle Tag Info'!$A$2," ",'Bundle Tag Info'!$A$3,CHAR(10),'Bundle Tag Info'!F$6,CHAR(10),'Bundle Tag Info'!F$34),"")</f>
        <v/>
      </c>
      <c r="G28" s="25" t="str">
        <f>IF('Bundle Tag Info'!G$34&lt;&gt;"",CONCATENATE('Bundle Tag Info'!$A$1," ",CHAR(10),'Bundle Tag Info'!$A$2," ",'Bundle Tag Info'!$A$3,CHAR(10),'Bundle Tag Info'!G$6,CHAR(10),'Bundle Tag Info'!G$34),"")</f>
        <v/>
      </c>
      <c r="H28" s="25" t="str">
        <f>IF('Bundle Tag Info'!H$34&lt;&gt;"",CONCATENATE('Bundle Tag Info'!$A$1," ",CHAR(10),'Bundle Tag Info'!$A$2," ",'Bundle Tag Info'!$A$3,CHAR(10),'Bundle Tag Info'!H$6,CHAR(10),'Bundle Tag Info'!H$34),"")</f>
        <v/>
      </c>
      <c r="I28" s="25" t="str">
        <f>IF('Bundle Tag Info'!I$34&lt;&gt;"",CONCATENATE('Bundle Tag Info'!$A$1," ",CHAR(10),'Bundle Tag Info'!$A$2," ",'Bundle Tag Info'!$A$3,CHAR(10),'Bundle Tag Info'!I$6,CHAR(10),'Bundle Tag Info'!I$34),"")</f>
        <v/>
      </c>
      <c r="J28" s="25" t="str">
        <f>IF('Bundle Tag Info'!J$34&lt;&gt;"",CONCATENATE('Bundle Tag Info'!$A$1," ",CHAR(10),'Bundle Tag Info'!$A$2," ",'Bundle Tag Info'!$A$3,CHAR(10),'Bundle Tag Info'!J$6,CHAR(10),'Bundle Tag Info'!J$34),"")</f>
        <v/>
      </c>
      <c r="K28" s="25" t="str">
        <f>IF('Bundle Tag Info'!K$34&lt;&gt;"",CONCATENATE('Bundle Tag Info'!$A$1," ",CHAR(10),'Bundle Tag Info'!$A$2," ",'Bundle Tag Info'!$A$3,CHAR(10),'Bundle Tag Info'!K$6,CHAR(10),'Bundle Tag Info'!K$34),"")</f>
        <v/>
      </c>
      <c r="L28" s="25" t="str">
        <f>IF('Bundle Tag Info'!L$34&lt;&gt;"",CONCATENATE('Bundle Tag Info'!$A$1," ",CHAR(10),'Bundle Tag Info'!$A$2," ",'Bundle Tag Info'!$A$3,CHAR(10),'Bundle Tag Info'!L$6,CHAR(10),'Bundle Tag Info'!L$34),"")</f>
        <v/>
      </c>
      <c r="M28" s="25" t="str">
        <f>IF('Bundle Tag Info'!M$34&lt;&gt;"",CONCATENATE('Bundle Tag Info'!$A$1," ",CHAR(10),'Bundle Tag Info'!$A$2," ",'Bundle Tag Info'!$A$3,CHAR(10),'Bundle Tag Info'!M$6,CHAR(10),'Bundle Tag Info'!M$34),"")</f>
        <v/>
      </c>
      <c r="N28" s="25" t="str">
        <f>IF('Bundle Tag Info'!N$34&lt;&gt;"",CONCATENATE('Bundle Tag Info'!$A$1," ",CHAR(10),'Bundle Tag Info'!$A$2," ",'Bundle Tag Info'!$A$3,CHAR(10),'Bundle Tag Info'!N$6,CHAR(10),'Bundle Tag Info'!N$34),"")</f>
        <v/>
      </c>
      <c r="O28" s="25" t="str">
        <f>IF('Bundle Tag Info'!O$34&lt;&gt;"",CONCATENATE('Bundle Tag Info'!$A$1," ",CHAR(10),'Bundle Tag Info'!$A$2," ",'Bundle Tag Info'!$A$3,CHAR(10),'Bundle Tag Info'!O$6,CHAR(10),'Bundle Tag Info'!O$34),"")</f>
        <v/>
      </c>
      <c r="P28" s="25" t="str">
        <f>IF('Bundle Tag Info'!P$34&lt;&gt;"",CONCATENATE('Bundle Tag Info'!$A$1," ",CHAR(10),'Bundle Tag Info'!$A$2," ",'Bundle Tag Info'!$A$3,CHAR(10),'Bundle Tag Info'!P$6,CHAR(10),'Bundle Tag Info'!P$34),"")</f>
        <v/>
      </c>
      <c r="Q28" s="25" t="str">
        <f>IF('Bundle Tag Info'!Q$34&lt;&gt;"",CONCATENATE('Bundle Tag Info'!$A$1," ",CHAR(10),'Bundle Tag Info'!$A$2," ",'Bundle Tag Info'!$A$3,CHAR(10),'Bundle Tag Info'!Q$6,CHAR(10),'Bundle Tag Info'!Q$34),"")</f>
        <v/>
      </c>
      <c r="R28" s="25" t="str">
        <f>IF('Bundle Tag Info'!R$34&lt;&gt;"",CONCATENATE('Bundle Tag Info'!$A$1," ",CHAR(10),'Bundle Tag Info'!$A$2," ",'Bundle Tag Info'!$A$3,CHAR(10),'Bundle Tag Info'!R$6,CHAR(10),'Bundle Tag Info'!R$34),"")</f>
        <v/>
      </c>
      <c r="S28" s="25" t="str">
        <f>IF('Bundle Tag Info'!S$34&lt;&gt;"",CONCATENATE('Bundle Tag Info'!$A$1," ",CHAR(10),'Bundle Tag Info'!$A$2," ",'Bundle Tag Info'!$A$3,CHAR(10),'Bundle Tag Info'!S$6,CHAR(10),'Bundle Tag Info'!S$34),"")</f>
        <v/>
      </c>
      <c r="T28" s="25" t="str">
        <f>IF('Bundle Tag Info'!T$34&lt;&gt;"",CONCATENATE('Bundle Tag Info'!$A$1," ",CHAR(10),'Bundle Tag Info'!$A$2," ",'Bundle Tag Info'!$A$3,CHAR(10),'Bundle Tag Info'!T$6,CHAR(10),'Bundle Tag Info'!T$34),"")</f>
        <v/>
      </c>
      <c r="U28" s="25" t="str">
        <f>IF('Bundle Tag Info'!U$34&lt;&gt;"",CONCATENATE('Bundle Tag Info'!$A$1," ",CHAR(10),'Bundle Tag Info'!$A$2," ",'Bundle Tag Info'!$A$3,CHAR(10),'Bundle Tag Info'!U$6,CHAR(10),'Bundle Tag Info'!U$34),"")</f>
        <v/>
      </c>
      <c r="V28" s="25" t="str">
        <f>IF('Bundle Tag Info'!V$34&lt;&gt;"",CONCATENATE('Bundle Tag Info'!$A$1," ",CHAR(10),'Bundle Tag Info'!$A$2," ",'Bundle Tag Info'!$A$3,CHAR(10),'Bundle Tag Info'!V$6,CHAR(10),'Bundle Tag Info'!V$34),"")</f>
        <v/>
      </c>
      <c r="W28" s="25" t="str">
        <f>IF('Bundle Tag Info'!W$34&lt;&gt;"",CONCATENATE('Bundle Tag Info'!$A$1," ",CHAR(10),'Bundle Tag Info'!$A$2," ",'Bundle Tag Info'!$A$3,CHAR(10),'Bundle Tag Info'!W$6,CHAR(10),'Bundle Tag Info'!W$34),"")</f>
        <v/>
      </c>
      <c r="X28" s="25" t="str">
        <f>IF('Bundle Tag Info'!X$34&lt;&gt;"",CONCATENATE('Bundle Tag Info'!$A$1," ",CHAR(10),'Bundle Tag Info'!$A$2," ",'Bundle Tag Info'!$A$3,CHAR(10),'Bundle Tag Info'!X$6,CHAR(10),'Bundle Tag Info'!X$34),"")</f>
        <v/>
      </c>
      <c r="Y28" s="25" t="str">
        <f>IF('Bundle Tag Info'!Y$34&lt;&gt;"",CONCATENATE('Bundle Tag Info'!$A$1," ",CHAR(10),'Bundle Tag Info'!$A$2," ",'Bundle Tag Info'!$A$3,CHAR(10),'Bundle Tag Info'!Y$6,CHAR(10),'Bundle Tag Info'!Y$34),"")</f>
        <v/>
      </c>
      <c r="Z28" s="25" t="str">
        <f>IF('Bundle Tag Info'!Z$34&lt;&gt;"",CONCATENATE('Bundle Tag Info'!$A$1," ",CHAR(10),'Bundle Tag Info'!$A$2," ",'Bundle Tag Info'!$A$3,CHAR(10),'Bundle Tag Info'!Z$6,CHAR(10),'Bundle Tag Info'!Z$34),"")</f>
        <v/>
      </c>
      <c r="AA28" s="25" t="str">
        <f>IF('Bundle Tag Info'!AA$34&lt;&gt;"",CONCATENATE('Bundle Tag Info'!$A$1," ",CHAR(10),'Bundle Tag Info'!$A$2," ",'Bundle Tag Info'!$A$3,CHAR(10),'Bundle Tag Info'!AA$6,CHAR(10),'Bundle Tag Info'!AA$34),"")</f>
        <v/>
      </c>
      <c r="AB28" s="25" t="str">
        <f>IF('Bundle Tag Info'!AB$34&lt;&gt;"",CONCATENATE('Bundle Tag Info'!$A$1," ",CHAR(10),'Bundle Tag Info'!$A$2," ",'Bundle Tag Info'!$A$3,CHAR(10),'Bundle Tag Info'!AB$6,CHAR(10),'Bundle Tag Info'!AB$34),"")</f>
        <v/>
      </c>
      <c r="AC28" s="25" t="str">
        <f>IF('Bundle Tag Info'!AC$34&lt;&gt;"",CONCATENATE('Bundle Tag Info'!$A$1," ",CHAR(10),'Bundle Tag Info'!$A$2," ",'Bundle Tag Info'!$A$3,CHAR(10),'Bundle Tag Info'!AC$6,CHAR(10),'Bundle Tag Info'!AC$34),"")</f>
        <v/>
      </c>
      <c r="AD28" s="25" t="str">
        <f>IF('Bundle Tag Info'!AD$34&lt;&gt;"",CONCATENATE('Bundle Tag Info'!$A$1," ",CHAR(10),'Bundle Tag Info'!$A$2," ",'Bundle Tag Info'!$A$3,CHAR(10),'Bundle Tag Info'!AD$6,CHAR(10),'Bundle Tag Info'!AD$34),"")</f>
        <v/>
      </c>
    </row>
    <row r="29" spans="1:30" ht="63.95" customHeight="1" x14ac:dyDescent="0.25">
      <c r="A29" s="25" t="str">
        <f>IF('Bundle Tag Info'!E$12&lt;&gt;"",CONCATENATE('Bundle Tag Info'!$A$1," ",CHAR(10),'Bundle Tag Info'!$A$2," ",'Bundle Tag Info'!$A$3,CHAR(10),'Bundle Tag Info'!E$6,CHAR(10),'Bundle Tag Info'!E$12),"")</f>
        <v>ERGON-V #2 
4K911 Rev A
B
KA</v>
      </c>
      <c r="B29" s="25" t="str">
        <f>IF('Bundle Tag Info'!B$35&lt;&gt;"",CONCATENATE('Bundle Tag Info'!$A$1," ",CHAR(10),'Bundle Tag Info'!$A$2," ",'Bundle Tag Info'!$A$3,CHAR(10),'Bundle Tag Info'!B$6,CHAR(10),'Bundle Tag Info'!B$35),"")</f>
        <v/>
      </c>
      <c r="C29" s="25" t="str">
        <f>IF('Bundle Tag Info'!C$35&lt;&gt;"",CONCATENATE('Bundle Tag Info'!$A$1," ",CHAR(10),'Bundle Tag Info'!$A$2," ",'Bundle Tag Info'!$A$3,CHAR(10),'Bundle Tag Info'!C$6,CHAR(10),'Bundle Tag Info'!C$35),"")</f>
        <v/>
      </c>
      <c r="D29" s="25" t="str">
        <f>IF('Bundle Tag Info'!D$35&lt;&gt;"",CONCATENATE('Bundle Tag Info'!$A$1," ",CHAR(10),'Bundle Tag Info'!$A$2," ",'Bundle Tag Info'!$A$3,CHAR(10),'Bundle Tag Info'!D$6,CHAR(10),'Bundle Tag Info'!D$35),"")</f>
        <v/>
      </c>
      <c r="E29" s="25" t="str">
        <f>IF('Bundle Tag Info'!E$35&lt;&gt;"",CONCATENATE('Bundle Tag Info'!$A$1," ",CHAR(10),'Bundle Tag Info'!$A$2," ",'Bundle Tag Info'!$A$3,CHAR(10),'Bundle Tag Info'!E$6,CHAR(10),'Bundle Tag Info'!E$35),"")</f>
        <v/>
      </c>
      <c r="F29" s="25" t="str">
        <f>IF('Bundle Tag Info'!F$35&lt;&gt;"",CONCATENATE('Bundle Tag Info'!$A$1," ",CHAR(10),'Bundle Tag Info'!$A$2," ",'Bundle Tag Info'!$A$3,CHAR(10),'Bundle Tag Info'!F$6,CHAR(10),'Bundle Tag Info'!F$35),"")</f>
        <v/>
      </c>
      <c r="G29" s="25" t="str">
        <f>IF('Bundle Tag Info'!G$35&lt;&gt;"",CONCATENATE('Bundle Tag Info'!$A$1," ",CHAR(10),'Bundle Tag Info'!$A$2," ",'Bundle Tag Info'!$A$3,CHAR(10),'Bundle Tag Info'!G$6,CHAR(10),'Bundle Tag Info'!G$35),"")</f>
        <v/>
      </c>
      <c r="H29" s="25" t="str">
        <f>IF('Bundle Tag Info'!H$35&lt;&gt;"",CONCATENATE('Bundle Tag Info'!$A$1," ",CHAR(10),'Bundle Tag Info'!$A$2," ",'Bundle Tag Info'!$A$3,CHAR(10),'Bundle Tag Info'!H$6,CHAR(10),'Bundle Tag Info'!H$35),"")</f>
        <v/>
      </c>
      <c r="I29" s="25" t="str">
        <f>IF('Bundle Tag Info'!I$35&lt;&gt;"",CONCATENATE('Bundle Tag Info'!$A$1," ",CHAR(10),'Bundle Tag Info'!$A$2," ",'Bundle Tag Info'!$A$3,CHAR(10),'Bundle Tag Info'!I$6,CHAR(10),'Bundle Tag Info'!I$35),"")</f>
        <v/>
      </c>
      <c r="J29" s="25" t="str">
        <f>IF('Bundle Tag Info'!J$35&lt;&gt;"",CONCATENATE('Bundle Tag Info'!$A$1," ",CHAR(10),'Bundle Tag Info'!$A$2," ",'Bundle Tag Info'!$A$3,CHAR(10),'Bundle Tag Info'!J$6,CHAR(10),'Bundle Tag Info'!J$35),"")</f>
        <v/>
      </c>
      <c r="K29" s="25" t="str">
        <f>IF('Bundle Tag Info'!K$35&lt;&gt;"",CONCATENATE('Bundle Tag Info'!$A$1," ",CHAR(10),'Bundle Tag Info'!$A$2," ",'Bundle Tag Info'!$A$3,CHAR(10),'Bundle Tag Info'!K$6,CHAR(10),'Bundle Tag Info'!K$35),"")</f>
        <v/>
      </c>
      <c r="L29" s="25" t="str">
        <f>IF('Bundle Tag Info'!L$35&lt;&gt;"",CONCATENATE('Bundle Tag Info'!$A$1," ",CHAR(10),'Bundle Tag Info'!$A$2," ",'Bundle Tag Info'!$A$3,CHAR(10),'Bundle Tag Info'!L$6,CHAR(10),'Bundle Tag Info'!L$35),"")</f>
        <v/>
      </c>
      <c r="M29" s="25" t="str">
        <f>IF('Bundle Tag Info'!M$35&lt;&gt;"",CONCATENATE('Bundle Tag Info'!$A$1," ",CHAR(10),'Bundle Tag Info'!$A$2," ",'Bundle Tag Info'!$A$3,CHAR(10),'Bundle Tag Info'!M$6,CHAR(10),'Bundle Tag Info'!M$35),"")</f>
        <v/>
      </c>
      <c r="N29" s="25" t="str">
        <f>IF('Bundle Tag Info'!N$35&lt;&gt;"",CONCATENATE('Bundle Tag Info'!$A$1," ",CHAR(10),'Bundle Tag Info'!$A$2," ",'Bundle Tag Info'!$A$3,CHAR(10),'Bundle Tag Info'!N$6,CHAR(10),'Bundle Tag Info'!N$35),"")</f>
        <v/>
      </c>
      <c r="O29" s="25" t="str">
        <f>IF('Bundle Tag Info'!O$35&lt;&gt;"",CONCATENATE('Bundle Tag Info'!$A$1," ",CHAR(10),'Bundle Tag Info'!$A$2," ",'Bundle Tag Info'!$A$3,CHAR(10),'Bundle Tag Info'!O$6,CHAR(10),'Bundle Tag Info'!O$35),"")</f>
        <v/>
      </c>
      <c r="P29" s="25" t="str">
        <f>IF('Bundle Tag Info'!P$35&lt;&gt;"",CONCATENATE('Bundle Tag Info'!$A$1," ",CHAR(10),'Bundle Tag Info'!$A$2," ",'Bundle Tag Info'!$A$3,CHAR(10),'Bundle Tag Info'!P$6,CHAR(10),'Bundle Tag Info'!P$35),"")</f>
        <v/>
      </c>
      <c r="Q29" s="25" t="str">
        <f>IF('Bundle Tag Info'!Q$35&lt;&gt;"",CONCATENATE('Bundle Tag Info'!$A$1," ",CHAR(10),'Bundle Tag Info'!$A$2," ",'Bundle Tag Info'!$A$3,CHAR(10),'Bundle Tag Info'!Q$6,CHAR(10),'Bundle Tag Info'!Q$35),"")</f>
        <v/>
      </c>
      <c r="R29" s="25" t="str">
        <f>IF('Bundle Tag Info'!R$35&lt;&gt;"",CONCATENATE('Bundle Tag Info'!$A$1," ",CHAR(10),'Bundle Tag Info'!$A$2," ",'Bundle Tag Info'!$A$3,CHAR(10),'Bundle Tag Info'!R$6,CHAR(10),'Bundle Tag Info'!R$35),"")</f>
        <v/>
      </c>
      <c r="S29" s="25" t="str">
        <f>IF('Bundle Tag Info'!S$35&lt;&gt;"",CONCATENATE('Bundle Tag Info'!$A$1," ",CHAR(10),'Bundle Tag Info'!$A$2," ",'Bundle Tag Info'!$A$3,CHAR(10),'Bundle Tag Info'!S$6,CHAR(10),'Bundle Tag Info'!S$35),"")</f>
        <v/>
      </c>
      <c r="T29" s="25" t="str">
        <f>IF('Bundle Tag Info'!T$35&lt;&gt;"",CONCATENATE('Bundle Tag Info'!$A$1," ",CHAR(10),'Bundle Tag Info'!$A$2," ",'Bundle Tag Info'!$A$3,CHAR(10),'Bundle Tag Info'!T$6,CHAR(10),'Bundle Tag Info'!T$35),"")</f>
        <v/>
      </c>
      <c r="U29" s="25" t="str">
        <f>IF('Bundle Tag Info'!U$35&lt;&gt;"",CONCATENATE('Bundle Tag Info'!$A$1," ",CHAR(10),'Bundle Tag Info'!$A$2," ",'Bundle Tag Info'!$A$3,CHAR(10),'Bundle Tag Info'!U$6,CHAR(10),'Bundle Tag Info'!U$35),"")</f>
        <v/>
      </c>
      <c r="V29" s="25" t="str">
        <f>IF('Bundle Tag Info'!V$35&lt;&gt;"",CONCATENATE('Bundle Tag Info'!$A$1," ",CHAR(10),'Bundle Tag Info'!$A$2," ",'Bundle Tag Info'!$A$3,CHAR(10),'Bundle Tag Info'!V$6,CHAR(10),'Bundle Tag Info'!V$35),"")</f>
        <v/>
      </c>
      <c r="W29" s="25" t="str">
        <f>IF('Bundle Tag Info'!W$35&lt;&gt;"",CONCATENATE('Bundle Tag Info'!$A$1," ",CHAR(10),'Bundle Tag Info'!$A$2," ",'Bundle Tag Info'!$A$3,CHAR(10),'Bundle Tag Info'!W$6,CHAR(10),'Bundle Tag Info'!W$35),"")</f>
        <v/>
      </c>
      <c r="X29" s="25" t="str">
        <f>IF('Bundle Tag Info'!X$35&lt;&gt;"",CONCATENATE('Bundle Tag Info'!$A$1," ",CHAR(10),'Bundle Tag Info'!$A$2," ",'Bundle Tag Info'!$A$3,CHAR(10),'Bundle Tag Info'!X$6,CHAR(10),'Bundle Tag Info'!X$35),"")</f>
        <v/>
      </c>
      <c r="Y29" s="25" t="str">
        <f>IF('Bundle Tag Info'!Y$35&lt;&gt;"",CONCATENATE('Bundle Tag Info'!$A$1," ",CHAR(10),'Bundle Tag Info'!$A$2," ",'Bundle Tag Info'!$A$3,CHAR(10),'Bundle Tag Info'!Y$6,CHAR(10),'Bundle Tag Info'!Y$35),"")</f>
        <v/>
      </c>
      <c r="Z29" s="25" t="str">
        <f>IF('Bundle Tag Info'!Z$35&lt;&gt;"",CONCATENATE('Bundle Tag Info'!$A$1," ",CHAR(10),'Bundle Tag Info'!$A$2," ",'Bundle Tag Info'!$A$3,CHAR(10),'Bundle Tag Info'!Z$6,CHAR(10),'Bundle Tag Info'!Z$35),"")</f>
        <v/>
      </c>
      <c r="AA29" s="25" t="str">
        <f>IF('Bundle Tag Info'!AA$35&lt;&gt;"",CONCATENATE('Bundle Tag Info'!$A$1," ",CHAR(10),'Bundle Tag Info'!$A$2," ",'Bundle Tag Info'!$A$3,CHAR(10),'Bundle Tag Info'!AA$6,CHAR(10),'Bundle Tag Info'!AA$35),"")</f>
        <v/>
      </c>
      <c r="AB29" s="25" t="str">
        <f>IF('Bundle Tag Info'!AB$35&lt;&gt;"",CONCATENATE('Bundle Tag Info'!$A$1," ",CHAR(10),'Bundle Tag Info'!$A$2," ",'Bundle Tag Info'!$A$3,CHAR(10),'Bundle Tag Info'!AB$6,CHAR(10),'Bundle Tag Info'!AB$35),"")</f>
        <v/>
      </c>
      <c r="AC29" s="25" t="str">
        <f>IF('Bundle Tag Info'!AC$35&lt;&gt;"",CONCATENATE('Bundle Tag Info'!$A$1," ",CHAR(10),'Bundle Tag Info'!$A$2," ",'Bundle Tag Info'!$A$3,CHAR(10),'Bundle Tag Info'!AC$6,CHAR(10),'Bundle Tag Info'!AC$35),"")</f>
        <v/>
      </c>
      <c r="AD29" s="25" t="str">
        <f>IF('Bundle Tag Info'!AD$35&lt;&gt;"",CONCATENATE('Bundle Tag Info'!$A$1," ",CHAR(10),'Bundle Tag Info'!$A$2," ",'Bundle Tag Info'!$A$3,CHAR(10),'Bundle Tag Info'!AD$6,CHAR(10),'Bundle Tag Info'!AD$35),"")</f>
        <v/>
      </c>
    </row>
    <row r="30" spans="1:30" ht="63.95" customHeight="1" x14ac:dyDescent="0.25">
      <c r="A30" s="25" t="str">
        <f>IF('Bundle Tag Info'!E$13&lt;&gt;"",CONCATENATE('Bundle Tag Info'!$A$1," ",CHAR(10),'Bundle Tag Info'!$A$2," ",'Bundle Tag Info'!$A$3,CHAR(10),'Bundle Tag Info'!E$6,CHAR(10),'Bundle Tag Info'!E$13),"")</f>
        <v>ERGON-V #2 
4K911 Rev A
B
UA1200</v>
      </c>
      <c r="B30" s="25" t="str">
        <f>IF('Bundle Tag Info'!B$36&lt;&gt;"",CONCATENATE('Bundle Tag Info'!$A$1," ",CHAR(10),'Bundle Tag Info'!$A$2," ",'Bundle Tag Info'!$A$3,CHAR(10),'Bundle Tag Info'!B$6,CHAR(10),'Bundle Tag Info'!B$36),"")</f>
        <v/>
      </c>
      <c r="C30" s="25" t="str">
        <f>IF('Bundle Tag Info'!C$36&lt;&gt;"",CONCATENATE('Bundle Tag Info'!$A$1," ",CHAR(10),'Bundle Tag Info'!$A$2," ",'Bundle Tag Info'!$A$3,CHAR(10),'Bundle Tag Info'!C$6,CHAR(10),'Bundle Tag Info'!C$36),"")</f>
        <v/>
      </c>
      <c r="D30" s="25" t="str">
        <f>IF('Bundle Tag Info'!D$36&lt;&gt;"",CONCATENATE('Bundle Tag Info'!$A$1," ",CHAR(10),'Bundle Tag Info'!$A$2," ",'Bundle Tag Info'!$A$3,CHAR(10),'Bundle Tag Info'!D$6,CHAR(10),'Bundle Tag Info'!D$36),"")</f>
        <v/>
      </c>
      <c r="E30" s="25" t="str">
        <f>IF('Bundle Tag Info'!E$36&lt;&gt;"",CONCATENATE('Bundle Tag Info'!$A$1," ",CHAR(10),'Bundle Tag Info'!$A$2," ",'Bundle Tag Info'!$A$3,CHAR(10),'Bundle Tag Info'!E$6,CHAR(10),'Bundle Tag Info'!E$36),"")</f>
        <v/>
      </c>
      <c r="F30" s="25" t="str">
        <f>IF('Bundle Tag Info'!F$36&lt;&gt;"",CONCATENATE('Bundle Tag Info'!$A$1," ",CHAR(10),'Bundle Tag Info'!$A$2," ",'Bundle Tag Info'!$A$3,CHAR(10),'Bundle Tag Info'!F$6,CHAR(10),'Bundle Tag Info'!F$36),"")</f>
        <v/>
      </c>
      <c r="G30" s="25" t="str">
        <f>IF('Bundle Tag Info'!G$36&lt;&gt;"",CONCATENATE('Bundle Tag Info'!$A$1," ",CHAR(10),'Bundle Tag Info'!$A$2," ",'Bundle Tag Info'!$A$3,CHAR(10),'Bundle Tag Info'!G$6,CHAR(10),'Bundle Tag Info'!G$36),"")</f>
        <v/>
      </c>
      <c r="H30" s="25" t="str">
        <f>IF('Bundle Tag Info'!H$36&lt;&gt;"",CONCATENATE('Bundle Tag Info'!$A$1," ",CHAR(10),'Bundle Tag Info'!$A$2," ",'Bundle Tag Info'!$A$3,CHAR(10),'Bundle Tag Info'!H$6,CHAR(10),'Bundle Tag Info'!H$36),"")</f>
        <v/>
      </c>
      <c r="I30" s="25" t="str">
        <f>IF('Bundle Tag Info'!I$36&lt;&gt;"",CONCATENATE('Bundle Tag Info'!$A$1," ",CHAR(10),'Bundle Tag Info'!$A$2," ",'Bundle Tag Info'!$A$3,CHAR(10),'Bundle Tag Info'!I$6,CHAR(10),'Bundle Tag Info'!I$36),"")</f>
        <v/>
      </c>
      <c r="J30" s="25" t="str">
        <f>IF('Bundle Tag Info'!J$36&lt;&gt;"",CONCATENATE('Bundle Tag Info'!$A$1," ",CHAR(10),'Bundle Tag Info'!$A$2," ",'Bundle Tag Info'!$A$3,CHAR(10),'Bundle Tag Info'!J$6,CHAR(10),'Bundle Tag Info'!J$36),"")</f>
        <v/>
      </c>
      <c r="K30" s="25" t="str">
        <f>IF('Bundle Tag Info'!K$36&lt;&gt;"",CONCATENATE('Bundle Tag Info'!$A$1," ",CHAR(10),'Bundle Tag Info'!$A$2," ",'Bundle Tag Info'!$A$3,CHAR(10),'Bundle Tag Info'!K$6,CHAR(10),'Bundle Tag Info'!K$36),"")</f>
        <v/>
      </c>
      <c r="L30" s="25" t="str">
        <f>IF('Bundle Tag Info'!L$36&lt;&gt;"",CONCATENATE('Bundle Tag Info'!$A$1," ",CHAR(10),'Bundle Tag Info'!$A$2," ",'Bundle Tag Info'!$A$3,CHAR(10),'Bundle Tag Info'!L$6,CHAR(10),'Bundle Tag Info'!L$36),"")</f>
        <v/>
      </c>
      <c r="M30" s="25" t="str">
        <f>IF('Bundle Tag Info'!M$36&lt;&gt;"",CONCATENATE('Bundle Tag Info'!$A$1," ",CHAR(10),'Bundle Tag Info'!$A$2," ",'Bundle Tag Info'!$A$3,CHAR(10),'Bundle Tag Info'!M$6,CHAR(10),'Bundle Tag Info'!M$36),"")</f>
        <v/>
      </c>
      <c r="N30" s="25" t="str">
        <f>IF('Bundle Tag Info'!N$36&lt;&gt;"",CONCATENATE('Bundle Tag Info'!$A$1," ",CHAR(10),'Bundle Tag Info'!$A$2," ",'Bundle Tag Info'!$A$3,CHAR(10),'Bundle Tag Info'!N$6,CHAR(10),'Bundle Tag Info'!N$36),"")</f>
        <v/>
      </c>
      <c r="O30" s="25" t="str">
        <f>IF('Bundle Tag Info'!O$36&lt;&gt;"",CONCATENATE('Bundle Tag Info'!$A$1," ",CHAR(10),'Bundle Tag Info'!$A$2," ",'Bundle Tag Info'!$A$3,CHAR(10),'Bundle Tag Info'!O$6,CHAR(10),'Bundle Tag Info'!O$36),"")</f>
        <v/>
      </c>
      <c r="P30" s="25" t="str">
        <f>IF('Bundle Tag Info'!P$36&lt;&gt;"",CONCATENATE('Bundle Tag Info'!$A$1," ",CHAR(10),'Bundle Tag Info'!$A$2," ",'Bundle Tag Info'!$A$3,CHAR(10),'Bundle Tag Info'!P$6,CHAR(10),'Bundle Tag Info'!P$36),"")</f>
        <v/>
      </c>
      <c r="Q30" s="25" t="str">
        <f>IF('Bundle Tag Info'!Q$36&lt;&gt;"",CONCATENATE('Bundle Tag Info'!$A$1," ",CHAR(10),'Bundle Tag Info'!$A$2," ",'Bundle Tag Info'!$A$3,CHAR(10),'Bundle Tag Info'!Q$6,CHAR(10),'Bundle Tag Info'!Q$36),"")</f>
        <v/>
      </c>
      <c r="R30" s="25" t="str">
        <f>IF('Bundle Tag Info'!R$36&lt;&gt;"",CONCATENATE('Bundle Tag Info'!$A$1," ",CHAR(10),'Bundle Tag Info'!$A$2," ",'Bundle Tag Info'!$A$3,CHAR(10),'Bundle Tag Info'!R$6,CHAR(10),'Bundle Tag Info'!R$36),"")</f>
        <v/>
      </c>
      <c r="S30" s="25" t="str">
        <f>IF('Bundle Tag Info'!S$36&lt;&gt;"",CONCATENATE('Bundle Tag Info'!$A$1," ",CHAR(10),'Bundle Tag Info'!$A$2," ",'Bundle Tag Info'!$A$3,CHAR(10),'Bundle Tag Info'!S$6,CHAR(10),'Bundle Tag Info'!S$36),"")</f>
        <v/>
      </c>
      <c r="T30" s="25" t="str">
        <f>IF('Bundle Tag Info'!T$36&lt;&gt;"",CONCATENATE('Bundle Tag Info'!$A$1," ",CHAR(10),'Bundle Tag Info'!$A$2," ",'Bundle Tag Info'!$A$3,CHAR(10),'Bundle Tag Info'!T$6,CHAR(10),'Bundle Tag Info'!T$36),"")</f>
        <v/>
      </c>
      <c r="U30" s="25" t="str">
        <f>IF('Bundle Tag Info'!U$36&lt;&gt;"",CONCATENATE('Bundle Tag Info'!$A$1," ",CHAR(10),'Bundle Tag Info'!$A$2," ",'Bundle Tag Info'!$A$3,CHAR(10),'Bundle Tag Info'!U$6,CHAR(10),'Bundle Tag Info'!U$36),"")</f>
        <v/>
      </c>
      <c r="V30" s="25" t="str">
        <f>IF('Bundle Tag Info'!V$36&lt;&gt;"",CONCATENATE('Bundle Tag Info'!$A$1," ",CHAR(10),'Bundle Tag Info'!$A$2," ",'Bundle Tag Info'!$A$3,CHAR(10),'Bundle Tag Info'!V$6,CHAR(10),'Bundle Tag Info'!V$36),"")</f>
        <v/>
      </c>
      <c r="W30" s="25" t="str">
        <f>IF('Bundle Tag Info'!W$36&lt;&gt;"",CONCATENATE('Bundle Tag Info'!$A$1," ",CHAR(10),'Bundle Tag Info'!$A$2," ",'Bundle Tag Info'!$A$3,CHAR(10),'Bundle Tag Info'!W$6,CHAR(10),'Bundle Tag Info'!W$36),"")</f>
        <v/>
      </c>
      <c r="X30" s="25" t="str">
        <f>IF('Bundle Tag Info'!X$36&lt;&gt;"",CONCATENATE('Bundle Tag Info'!$A$1," ",CHAR(10),'Bundle Tag Info'!$A$2," ",'Bundle Tag Info'!$A$3,CHAR(10),'Bundle Tag Info'!X$6,CHAR(10),'Bundle Tag Info'!X$36),"")</f>
        <v/>
      </c>
      <c r="Y30" s="25" t="str">
        <f>IF('Bundle Tag Info'!Y$36&lt;&gt;"",CONCATENATE('Bundle Tag Info'!$A$1," ",CHAR(10),'Bundle Tag Info'!$A$2," ",'Bundle Tag Info'!$A$3,CHAR(10),'Bundle Tag Info'!Y$6,CHAR(10),'Bundle Tag Info'!Y$36),"")</f>
        <v/>
      </c>
      <c r="Z30" s="25" t="str">
        <f>IF('Bundle Tag Info'!Z$36&lt;&gt;"",CONCATENATE('Bundle Tag Info'!$A$1," ",CHAR(10),'Bundle Tag Info'!$A$2," ",'Bundle Tag Info'!$A$3,CHAR(10),'Bundle Tag Info'!Z$6,CHAR(10),'Bundle Tag Info'!Z$36),"")</f>
        <v/>
      </c>
      <c r="AA30" s="25" t="str">
        <f>IF('Bundle Tag Info'!AA$36&lt;&gt;"",CONCATENATE('Bundle Tag Info'!$A$1," ",CHAR(10),'Bundle Tag Info'!$A$2," ",'Bundle Tag Info'!$A$3,CHAR(10),'Bundle Tag Info'!AA$6,CHAR(10),'Bundle Tag Info'!AA$36),"")</f>
        <v/>
      </c>
      <c r="AB30" s="25" t="str">
        <f>IF('Bundle Tag Info'!AB$36&lt;&gt;"",CONCATENATE('Bundle Tag Info'!$A$1," ",CHAR(10),'Bundle Tag Info'!$A$2," ",'Bundle Tag Info'!$A$3,CHAR(10),'Bundle Tag Info'!AB$6,CHAR(10),'Bundle Tag Info'!AB$36),"")</f>
        <v/>
      </c>
      <c r="AC30" s="25" t="str">
        <f>IF('Bundle Tag Info'!AC$36&lt;&gt;"",CONCATENATE('Bundle Tag Info'!$A$1," ",CHAR(10),'Bundle Tag Info'!$A$2," ",'Bundle Tag Info'!$A$3,CHAR(10),'Bundle Tag Info'!AC$6,CHAR(10),'Bundle Tag Info'!AC$36),"")</f>
        <v/>
      </c>
      <c r="AD30" s="25" t="str">
        <f>IF('Bundle Tag Info'!AD$36&lt;&gt;"",CONCATENATE('Bundle Tag Info'!$A$1," ",CHAR(10),'Bundle Tag Info'!$A$2," ",'Bundle Tag Info'!$A$3,CHAR(10),'Bundle Tag Info'!AD$6,CHAR(10),'Bundle Tag Info'!AD$36),"")</f>
        <v/>
      </c>
    </row>
    <row r="31" spans="1:30" ht="51" x14ac:dyDescent="0.25">
      <c r="A31" s="25" t="str">
        <f>IF('Bundle Tag Info'!E$14&lt;&gt;"",CONCATENATE('Bundle Tag Info'!$A$1," ",CHAR(10),'Bundle Tag Info'!$A$2," ",'Bundle Tag Info'!$A$3,CHAR(10),'Bundle Tag Info'!E$6,CHAR(10),'Bundle Tag Info'!E$14),"")</f>
        <v>ERGON-V #2 
4K911 Rev A
B
XT</v>
      </c>
    </row>
    <row r="32" spans="1:30" ht="51" x14ac:dyDescent="0.25">
      <c r="A32" s="25" t="str">
        <f>IF('Bundle Tag Info'!E$15&lt;&gt;"",CONCATENATE('Bundle Tag Info'!$A$1," ",CHAR(10),'Bundle Tag Info'!$A$2," ",'Bundle Tag Info'!$A$3,CHAR(10),'Bundle Tag Info'!E$6,CHAR(10),'Bundle Tag Info'!E$15),"")</f>
        <v>ERGON-V #2 
4K911 Rev A
B
UV0291</v>
      </c>
    </row>
    <row r="33" spans="1:1" ht="51" x14ac:dyDescent="0.25">
      <c r="A33" s="25" t="str">
        <f>IF('Bundle Tag Info'!E$16&lt;&gt;"",CONCATENATE('Bundle Tag Info'!$A$1," ",CHAR(10),'Bundle Tag Info'!$A$2," ",'Bundle Tag Info'!$A$3,CHAR(10),'Bundle Tag Info'!E$6,CHAR(10),'Bundle Tag Info'!E$16),"")</f>
        <v>ERGON-V #2 
4K911 Rev A
B
BA</v>
      </c>
    </row>
    <row r="34" spans="1:1" ht="51" x14ac:dyDescent="0.25">
      <c r="A34" s="25" t="str">
        <f>IF('Bundle Tag Info'!E$17&lt;&gt;"",CONCATENATE('Bundle Tag Info'!$A$1," ",CHAR(10),'Bundle Tag Info'!$A$2," ",'Bundle Tag Info'!$A$3,CHAR(10),'Bundle Tag Info'!E$6,CHAR(10),'Bundle Tag Info'!E$17),"")</f>
        <v>ERGON-V #2 
4K911 Rev A
B
FU</v>
      </c>
    </row>
    <row r="35" spans="1:1" ht="51" x14ac:dyDescent="0.25">
      <c r="A35" s="25" t="str">
        <f>IF('Bundle Tag Info'!D$7&lt;&gt;"",CONCATENATE('Bundle Tag Info'!$A$1," ",CHAR(10),'Bundle Tag Info'!$A$2," ",'Bundle Tag Info'!$A$3,CHAR(10),'Bundle Tag Info'!D$6,CHAR(10),'Bundle Tag Info'!D$7),"")</f>
        <v>ERGON-V #2 
4K911 Rev A
A
PC0470</v>
      </c>
    </row>
    <row r="36" spans="1:1" ht="51" x14ac:dyDescent="0.25">
      <c r="A36" s="25" t="str">
        <f>IF('Bundle Tag Info'!D$8&lt;&gt;"",CONCATENATE('Bundle Tag Info'!$A$1," ",CHAR(10),'Bundle Tag Info'!$A$2," ",'Bundle Tag Info'!$A$3,CHAR(10),'Bundle Tag Info'!D$6,CHAR(10),'Bundle Tag Info'!D$8),"")</f>
        <v>ERGON-V #2 
4K911 Rev A
A
AU</v>
      </c>
    </row>
    <row r="37" spans="1:1" ht="51" x14ac:dyDescent="0.25">
      <c r="A37" s="25" t="str">
        <f>IF('Bundle Tag Info'!D$9&lt;&gt;"",CONCATENATE('Bundle Tag Info'!$A$1," ",CHAR(10),'Bundle Tag Info'!$A$2," ",'Bundle Tag Info'!$A$3,CHAR(10),'Bundle Tag Info'!D$6,CHAR(10),'Bundle Tag Info'!D$9),"")</f>
        <v>ERGON-V #2 
4K911 Rev A
A
AF</v>
      </c>
    </row>
    <row r="38" spans="1:1" ht="51" x14ac:dyDescent="0.25">
      <c r="A38" s="25" t="str">
        <f>IF('Bundle Tag Info'!D$10&lt;&gt;"",CONCATENATE('Bundle Tag Info'!$A$1," ",CHAR(10),'Bundle Tag Info'!$A$2," ",'Bundle Tag Info'!$A$3,CHAR(10),'Bundle Tag Info'!D$6,CHAR(10),'Bundle Tag Info'!D$10),"")</f>
        <v xml:space="preserve">ERGON-V #2 
4K911 Rev A
A
KA A1 </v>
      </c>
    </row>
    <row r="39" spans="1:1" ht="51" x14ac:dyDescent="0.25">
      <c r="A39" s="25" t="str">
        <f>IF('Bundle Tag Info'!D$11&lt;&gt;"",CONCATENATE('Bundle Tag Info'!$A$1," ",CHAR(10),'Bundle Tag Info'!$A$2," ",'Bundle Tag Info'!$A$3,CHAR(10),'Bundle Tag Info'!D$6,CHAR(10),'Bundle Tag Info'!D$11),"")</f>
        <v xml:space="preserve">ERGON-V #2 
4K911 Rev A
A
KA A2 </v>
      </c>
    </row>
    <row r="40" spans="1:1" ht="51" x14ac:dyDescent="0.25">
      <c r="A40" s="25" t="str">
        <f>IF('Bundle Tag Info'!D$12&lt;&gt;"",CONCATENATE('Bundle Tag Info'!$A$1," ",CHAR(10),'Bundle Tag Info'!$A$2," ",'Bundle Tag Info'!$A$3,CHAR(10),'Bundle Tag Info'!D$6,CHAR(10),'Bundle Tag Info'!D$12),"")</f>
        <v>ERGON-V #2 
4K911 Rev A
A
KA</v>
      </c>
    </row>
    <row r="41" spans="1:1" ht="51" x14ac:dyDescent="0.25">
      <c r="A41" s="25" t="str">
        <f>IF('Bundle Tag Info'!D$13&lt;&gt;"",CONCATENATE('Bundle Tag Info'!$A$1," ",CHAR(10),'Bundle Tag Info'!$A$2," ",'Bundle Tag Info'!$A$3,CHAR(10),'Bundle Tag Info'!D$6,CHAR(10),'Bundle Tag Info'!D$13),"")</f>
        <v xml:space="preserve">ERGON-V #2 
4K911 Rev A
A
KT L/S </v>
      </c>
    </row>
    <row r="42" spans="1:1" ht="51" x14ac:dyDescent="0.25">
      <c r="A42" s="25" t="str">
        <f>IF('Bundle Tag Info'!D$14&lt;&gt;"",CONCATENATE('Bundle Tag Info'!$A$1," ",CHAR(10),'Bundle Tag Info'!$A$2," ",'Bundle Tag Info'!$A$3,CHAR(10),'Bundle Tag Info'!D$6,CHAR(10),'Bundle Tag Info'!D$14),"")</f>
        <v>ERGON-V #2 
4K911 Rev A
A
KT R/S</v>
      </c>
    </row>
    <row r="43" spans="1:1" ht="51" x14ac:dyDescent="0.25">
      <c r="A43" s="25" t="str">
        <f>IF('Bundle Tag Info'!D$15&lt;&gt;"",CONCATENATE('Bundle Tag Info'!$A$1," ",CHAR(10),'Bundle Tag Info'!$A$2," ",'Bundle Tag Info'!$A$3,CHAR(10),'Bundle Tag Info'!D$6,CHAR(10),'Bundle Tag Info'!D$15),"")</f>
        <v>ERGON-V #2 
4K911 Rev A
A
XT</v>
      </c>
    </row>
    <row r="44" spans="1:1" ht="51" x14ac:dyDescent="0.25">
      <c r="A44" s="25" t="str">
        <f>IF('Bundle Tag Info'!D$16&lt;&gt;"",CONCATENATE('Bundle Tag Info'!$A$1," ",CHAR(10),'Bundle Tag Info'!$A$2," ",'Bundle Tag Info'!$A$3,CHAR(10),'Bundle Tag Info'!D$6,CHAR(10),'Bundle Tag Info'!D$16),"")</f>
        <v>ERGON-V #2 
4K911 Rev A
A
FU</v>
      </c>
    </row>
    <row r="45" spans="1:1" ht="51" x14ac:dyDescent="0.25">
      <c r="A45" s="25" t="str">
        <f>IF('Bundle Tag Info'!D$17&lt;&gt;"",CONCATENATE('Bundle Tag Info'!$A$1," ",CHAR(10),'Bundle Tag Info'!$A$2," ",'Bundle Tag Info'!$A$3,CHAR(10),'Bundle Tag Info'!D$6,CHAR(10),'Bundle Tag Info'!D$17),"")</f>
        <v>ERGON-V #2 
4K911 Rev A
A
UJ0131</v>
      </c>
    </row>
    <row r="46" spans="1:1" ht="51" x14ac:dyDescent="0.25">
      <c r="A46" s="25" t="str">
        <f>IF('Bundle Tag Info'!D$18&lt;&gt;"",CONCATENATE('Bundle Tag Info'!$A$1," ",CHAR(10),'Bundle Tag Info'!$A$2," ",'Bundle Tag Info'!$A$3,CHAR(10),'Bundle Tag Info'!D$6,CHAR(10),'Bundle Tag Info'!D$18),"")</f>
        <v>ERGON-V #2 
4K911 Rev A
A
AF-B</v>
      </c>
    </row>
    <row r="47" spans="1:1" ht="51" x14ac:dyDescent="0.25">
      <c r="A47" s="25" t="str">
        <f>IF('Bundle Tag Info'!D$19&lt;&gt;"",CONCATENATE('Bundle Tag Info'!$A$1," ",CHAR(10),'Bundle Tag Info'!$A$2," ",'Bundle Tag Info'!$A$3,CHAR(10),'Bundle Tag Info'!D$6,CHAR(10),'Bundle Tag Info'!D$19),"")</f>
        <v>ERGON-V #2 
4K911 Rev A
A
KA A1/2-B</v>
      </c>
    </row>
    <row r="48" spans="1:1" ht="51" x14ac:dyDescent="0.25">
      <c r="A48" s="25" t="str">
        <f>IF('Bundle Tag Info'!D$20&lt;&gt;"",CONCATENATE('Bundle Tag Info'!$A$1," ",CHAR(10),'Bundle Tag Info'!$A$2," ",'Bundle Tag Info'!$A$3,CHAR(10),'Bundle Tag Info'!D$6,CHAR(10),'Bundle Tag Info'!D$20),"")</f>
        <v>ERGON-V #2 
4K911 Rev A
A
KA-B</v>
      </c>
    </row>
    <row r="49" spans="1:1" ht="51" x14ac:dyDescent="0.25">
      <c r="A49" s="25" t="str">
        <f>IF('Bundle Tag Info'!D$21&lt;&gt;"",CONCATENATE('Bundle Tag Info'!$A$1," ",CHAR(10),'Bundle Tag Info'!$A$2," ",'Bundle Tag Info'!$A$3,CHAR(10),'Bundle Tag Info'!D$6,CHAR(10),'Bundle Tag Info'!D$21),"")</f>
        <v>ERGON-V #2 
4K911 Rev A
A
KT-B</v>
      </c>
    </row>
    <row r="50" spans="1:1" ht="51" x14ac:dyDescent="0.25">
      <c r="A50" s="25" t="str">
        <f>IF('Bundle Tag Info'!D$22&lt;&gt;"",CONCATENATE('Bundle Tag Info'!$A$1," ",CHAR(10),'Bundle Tag Info'!$A$2," ",'Bundle Tag Info'!$A$3,CHAR(10),'Bundle Tag Info'!D$6,CHAR(10),'Bundle Tag Info'!D$22),"")</f>
        <v>ERGON-V #2 
4K911 Rev A
A
XT-B</v>
      </c>
    </row>
    <row r="51" spans="1:1" ht="51" x14ac:dyDescent="0.25">
      <c r="A51" s="25" t="str">
        <f>IF('Bundle Tag Info'!C$7&lt;&gt;"",CONCATENATE('Bundle Tag Info'!$A$1," ",CHAR(10),'Bundle Tag Info'!$A$2," ",'Bundle Tag Info'!$A$3,CHAR(10),'Bundle Tag Info'!C$6,CHAR(10),'Bundle Tag Info'!C$7),"")</f>
        <v>ERGON-V #2 
4K911 Rev A
PLC
BA</v>
      </c>
    </row>
    <row r="52" spans="1:1" ht="51" x14ac:dyDescent="0.25">
      <c r="A52" s="25" t="str">
        <f>IF('Bundle Tag Info'!C$8&lt;&gt;"",CONCATENATE('Bundle Tag Info'!$A$1," ",CHAR(10),'Bundle Tag Info'!$A$2," ",'Bundle Tag Info'!$A$3,CHAR(10),'Bundle Tag Info'!C$6,CHAR(10),'Bundle Tag Info'!C$8),"")</f>
        <v>ERGON-V #2 
4K911 Rev A
PLC
AT0680</v>
      </c>
    </row>
    <row r="53" spans="1:1" ht="51" x14ac:dyDescent="0.25">
      <c r="A53" s="25" t="str">
        <f>IF('Bundle Tag Info'!C$9&lt;&gt;"",CONCATENATE('Bundle Tag Info'!$A$1," ",CHAR(10),'Bundle Tag Info'!$A$2," ",'Bundle Tag Info'!$A$3,CHAR(10),'Bundle Tag Info'!C$6,CHAR(10),'Bundle Tag Info'!C$9),"")</f>
        <v>ERGON-V #2 
4K911 Rev A
PLC
FU</v>
      </c>
    </row>
    <row r="54" spans="1:1" ht="51" x14ac:dyDescent="0.25">
      <c r="A54" s="25" t="str">
        <f>IF('Bundle Tag Info'!C$10&lt;&gt;"",CONCATENATE('Bundle Tag Info'!$A$1," ",CHAR(10),'Bundle Tag Info'!$A$2," ",'Bundle Tag Info'!$A$3,CHAR(10),'Bundle Tag Info'!C$6,CHAR(10),'Bundle Tag Info'!C$10),"")</f>
        <v>ERGON-V #2 
4K911 Rev A
PLC
UV-A</v>
      </c>
    </row>
    <row r="55" spans="1:1" ht="51" x14ac:dyDescent="0.25">
      <c r="A55" s="25" t="str">
        <f>IF('Bundle Tag Info'!C$11&lt;&gt;"",CONCATENATE('Bundle Tag Info'!$A$1," ",CHAR(10),'Bundle Tag Info'!$A$2," ",'Bundle Tag Info'!$A$3,CHAR(10),'Bundle Tag Info'!C$6,CHAR(10),'Bundle Tag Info'!C$11),"")</f>
        <v>ERGON-V #2 
4K911 Rev A
PLC
FU/XT-B</v>
      </c>
    </row>
    <row r="56" spans="1:1" ht="51" x14ac:dyDescent="0.25">
      <c r="A56" s="25" t="str">
        <f>IF('Bundle Tag Info'!B$7&lt;&gt;"",CONCATENATE('Bundle Tag Info'!$A$1," ",CHAR(10),'Bundle Tag Info'!$A$2," ",'Bundle Tag Info'!$A$3,CHAR(10),'Bundle Tag Info'!B$6,CHAR(10),'Bundle Tag Info'!B$7),"")</f>
        <v>ERGON-V #2 
4K911 Rev A
L/RAIL JB70
AT0175</v>
      </c>
    </row>
    <row r="57" spans="1:1" ht="51" x14ac:dyDescent="0.25">
      <c r="A57" s="25" t="str">
        <f>IF('Bundle Tag Info'!B$8&lt;&gt;"",CONCATENATE('Bundle Tag Info'!$A$1," ",CHAR(10),'Bundle Tag Info'!$A$2," ",'Bundle Tag Info'!$A$3,CHAR(10),'Bundle Tag Info'!B$6,CHAR(10),'Bundle Tag Info'!B$8),"")</f>
        <v>ERGON-V #2 
4K911 Rev A
L/RAIL JB70
AT0176</v>
      </c>
    </row>
    <row r="58" spans="1:1" ht="51" x14ac:dyDescent="0.25">
      <c r="A58" s="25" t="str">
        <f>IF('Bundle Tag Info'!B$9&lt;&gt;"",CONCATENATE('Bundle Tag Info'!$A$1," ",CHAR(10),'Bundle Tag Info'!$A$2," ",'Bundle Tag Info'!$A$3,CHAR(10),'Bundle Tag Info'!B$6,CHAR(10),'Bundle Tag Info'!B$9),"")</f>
        <v>ERGON-V #2 
4K911 Rev A
L/RAIL JB70
AT0178</v>
      </c>
    </row>
    <row r="59" spans="1:1" ht="51" x14ac:dyDescent="0.25">
      <c r="A59" s="25" t="str">
        <f>IF('Bundle Tag Info'!B$10&lt;&gt;"",CONCATENATE('Bundle Tag Info'!$A$1," ",CHAR(10),'Bundle Tag Info'!$A$2," ",'Bundle Tag Info'!$A$3,CHAR(10),'Bundle Tag Info'!B$6,CHAR(10),'Bundle Tag Info'!B$10),"")</f>
        <v>ERGON-V #2 
4K911 Rev A
L/RAIL JB70
KA A1/A2</v>
      </c>
    </row>
    <row r="60" spans="1:1" ht="51" x14ac:dyDescent="0.25">
      <c r="A60" s="25" t="str">
        <f>IF('Bundle Tag Info'!B$11&lt;&gt;"",CONCATENATE('Bundle Tag Info'!$A$1," ",CHAR(10),'Bundle Tag Info'!$A$2," ",'Bundle Tag Info'!$A$3,CHAR(10),'Bundle Tag Info'!B$6,CHAR(10),'Bundle Tag Info'!B$11),"")</f>
        <v>ERGON-V #2 
4K911 Rev A
L/RAIL JB70
KA</v>
      </c>
    </row>
    <row r="61" spans="1:1" ht="51" x14ac:dyDescent="0.25">
      <c r="A61" s="25" t="str">
        <f>IF('Bundle Tag Info'!B$12&lt;&gt;"",CONCATENATE('Bundle Tag Info'!$A$1," ",CHAR(10),'Bundle Tag Info'!$A$2," ",'Bundle Tag Info'!$A$3,CHAR(10),'Bundle Tag Info'!B$6,CHAR(10),'Bundle Tag Info'!B$12),"")</f>
        <v>ERGON-V #2 
4K911 Rev A
L/RAIL JB70
XT/FU</v>
      </c>
    </row>
    <row r="62" spans="1:1" ht="51" x14ac:dyDescent="0.25">
      <c r="A62" s="25" t="str">
        <f>IF('Bundle Tag Info'!B$13&lt;&gt;"",CONCATENATE('Bundle Tag Info'!$A$1," ",CHAR(10),'Bundle Tag Info'!$A$2," ",'Bundle Tag Info'!$A$3,CHAR(10),'Bundle Tag Info'!B$6,CHAR(10),'Bundle Tag Info'!B$13),"")</f>
        <v>ERGON-V #2 
4K911 Rev A
L/RAIL JB70
AT-DOOR</v>
      </c>
    </row>
    <row r="63" spans="1:1" ht="51" x14ac:dyDescent="0.25">
      <c r="A63" s="25" t="str">
        <f>IF('Bundle Tag Info'!B$14&lt;&gt;"",CONCATENATE('Bundle Tag Info'!$A$1," ",CHAR(10),'Bundle Tag Info'!$A$2," ",'Bundle Tag Info'!$A$3,CHAR(10),'Bundle Tag Info'!B$6,CHAR(10),'Bundle Tag Info'!B$14),"")</f>
        <v>ERGON-V #2 
4K911 Rev A
L/RAIL JB70
KA-DOOR</v>
      </c>
    </row>
    <row r="64" spans="1:1" ht="51" x14ac:dyDescent="0.25">
      <c r="A64" s="25" t="str">
        <f>IF('Bundle Tag Info'!B$15&lt;&gt;"",CONCATENATE('Bundle Tag Info'!$A$1," ",CHAR(10),'Bundle Tag Info'!$A$2," ",'Bundle Tag Info'!$A$3,CHAR(10),'Bundle Tag Info'!B$6,CHAR(10),'Bundle Tag Info'!B$15),"")</f>
        <v>ERGON-V #2 
4K911 Rev A
L/RAIL JB70
XT-DOOR</v>
      </c>
    </row>
    <row r="65" spans="1:1" ht="51" x14ac:dyDescent="0.25">
      <c r="A65" s="25" t="str">
        <f>IF('Bundle Tag Info'!B$16&lt;&gt;"",CONCATENATE('Bundle Tag Info'!$A$1," ",CHAR(10),'Bundle Tag Info'!$A$2," ",'Bundle Tag Info'!$A$3,CHAR(10),'Bundle Tag Info'!B$6,CHAR(10),'Bundle Tag Info'!B$16),"")</f>
        <v>ERGON-V #2 
4K911 Rev A
L/RAIL JB70
KA-A</v>
      </c>
    </row>
    <row r="66" spans="1:1" ht="51" x14ac:dyDescent="0.25">
      <c r="A66" s="25" t="str">
        <f>IF('Bundle Tag Info'!B$17&lt;&gt;"",CONCATENATE('Bundle Tag Info'!$A$1," ",CHAR(10),'Bundle Tag Info'!$A$2," ",'Bundle Tag Info'!$A$3,CHAR(10),'Bundle Tag Info'!B$6,CHAR(10),'Bundle Tag Info'!B$17),"")</f>
        <v>ERGON-V #2 
4K911 Rev A
L/RAIL JB70
XT/FU-A</v>
      </c>
    </row>
    <row r="67" spans="1:1" ht="51" x14ac:dyDescent="0.25">
      <c r="A67" s="25" t="str">
        <f>IF('Bundle Tag Info'!B$18&lt;&gt;"",CONCATENATE('Bundle Tag Info'!$A$1," ",CHAR(10),'Bundle Tag Info'!$A$2," ",'Bundle Tag Info'!$A$3,CHAR(10),'Bundle Tag Info'!B$6,CHAR(10),'Bundle Tag Info'!B$18),"")</f>
        <v>ERGON-V #2 
4K911 Rev A
L/RAIL JB70
KA/XT-B</v>
      </c>
    </row>
    <row r="68" spans="1:1" ht="51" x14ac:dyDescent="0.25">
      <c r="A68" s="25" t="str">
        <f>IF('Bundle Tag Info'!B$19&lt;&gt;"",CONCATENATE('Bundle Tag Info'!$A$1," ",CHAR(10),'Bundle Tag Info'!$A$2," ",'Bundle Tag Info'!$A$3,CHAR(10),'Bundle Tag Info'!B$6,CHAR(10),'Bundle Tag Info'!B$19),"")</f>
        <v>ERGON-V #2 
4K911 Rev A
L/RAIL JB70
THRU RAIL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29</vt:i4>
      </vt:variant>
      <vt:variant>
        <vt:lpstr>Named Ranges</vt:lpstr>
      </vt:variant>
      <vt:variant>
        <vt:i4>13</vt:i4>
      </vt:variant>
    </vt:vector>
  </HeadingPairs>
  <TitlesOfParts>
    <vt:vector size="42" baseType="lpstr">
      <vt:lpstr>Blue Labels</vt:lpstr>
      <vt:lpstr>White Labels</vt:lpstr>
      <vt:lpstr>Heat Shrink Labels</vt:lpstr>
      <vt:lpstr>GENERATOR PANEL</vt:lpstr>
      <vt:lpstr>JB70</vt:lpstr>
      <vt:lpstr>LEFT SIDE RAIL^JB70</vt:lpstr>
      <vt:lpstr>LEFT SIDE RAIL^JB72</vt:lpstr>
      <vt:lpstr>MEDIA CONVERTER</vt:lpstr>
      <vt:lpstr>PLC PANEL^JB70</vt:lpstr>
      <vt:lpstr>RIGHT SIDE RAIL^JB70</vt:lpstr>
      <vt:lpstr>RIGHT SIDE RAIL^JB72</vt:lpstr>
      <vt:lpstr>TURBINE PANEL A^JB70</vt:lpstr>
      <vt:lpstr>TURBINE PANEL B^JB70</vt:lpstr>
      <vt:lpstr>Panel Errors</vt:lpstr>
      <vt:lpstr>Cable Part Numbers</vt:lpstr>
      <vt:lpstr>Part Number List</vt:lpstr>
      <vt:lpstr>JB70_S</vt:lpstr>
      <vt:lpstr>LEFT SIDE RAIL^JB70_S</vt:lpstr>
      <vt:lpstr>PLC PANEL^JB70_S</vt:lpstr>
      <vt:lpstr>TURBINE PANEL A^JB70_S</vt:lpstr>
      <vt:lpstr>TURBINE PANEL B^JB70_S</vt:lpstr>
      <vt:lpstr>LEFT SIDE RAIL^JB72_S</vt:lpstr>
      <vt:lpstr>RIGHT SIDE RAIL^JB72_S</vt:lpstr>
      <vt:lpstr>GENERATOR PANEL_S</vt:lpstr>
      <vt:lpstr>MEDIA CONVERTER_S</vt:lpstr>
      <vt:lpstr>Bundle Tag Info</vt:lpstr>
      <vt:lpstr>Bundle Tags2</vt:lpstr>
      <vt:lpstr>Sheet11</vt:lpstr>
      <vt:lpstr>ALL</vt:lpstr>
      <vt:lpstr>'Cable Part Numbers'!Print_Titles</vt:lpstr>
      <vt:lpstr>'GENERATOR PANEL'!Print_Titles</vt:lpstr>
      <vt:lpstr>'JB70'!Print_Titles</vt:lpstr>
      <vt:lpstr>'LEFT SIDE RAIL^JB70'!Print_Titles</vt:lpstr>
      <vt:lpstr>'LEFT SIDE RAIL^JB72'!Print_Titles</vt:lpstr>
      <vt:lpstr>'MEDIA CONVERTER'!Print_Titles</vt:lpstr>
      <vt:lpstr>'Panel Errors'!Print_Titles</vt:lpstr>
      <vt:lpstr>'Part Number List'!Print_Titles</vt:lpstr>
      <vt:lpstr>'PLC PANEL^JB70'!Print_Titles</vt:lpstr>
      <vt:lpstr>'RIGHT SIDE RAIL^JB70'!Print_Titles</vt:lpstr>
      <vt:lpstr>'RIGHT SIDE RAIL^JB72'!Print_Titles</vt:lpstr>
      <vt:lpstr>'TURBINE PANEL A^JB70'!Print_Titles</vt:lpstr>
      <vt:lpstr>'TURBINE PANEL B^JB70'!Print_Titles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Marites Wardlow</dc:creator>
  <cp:lastModifiedBy>AJ Destura</cp:lastModifiedBy>
  <cp:lastPrinted>2026-01-22T20:22:10Z</cp:lastPrinted>
  <dcterms:created xsi:type="dcterms:W3CDTF">2026-01-09T19:43:11Z</dcterms:created>
  <dcterms:modified xsi:type="dcterms:W3CDTF">2026-01-22T20:32:33Z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20.2.6.0</vt:lpwstr>
  </property>
  <property fmtid="{D5CDD505-2E9C-101B-9397-08002B2CF9AE}" pid="3" name="MSIP_Label_fb5e2db6-eecf-4aa2-8fc3-174bf94bce19_Enabled">
    <vt:lpwstr>true</vt:lpwstr>
  </property>
  <property fmtid="{D5CDD505-2E9C-101B-9397-08002B2CF9AE}" pid="4" name="MSIP_Label_fb5e2db6-eecf-4aa2-8fc3-174bf94bce19_SetDate">
    <vt:lpwstr>2026-01-09T19:43:11Z</vt:lpwstr>
  </property>
  <property fmtid="{D5CDD505-2E9C-101B-9397-08002B2CF9AE}" pid="5" name="MSIP_Label_fb5e2db6-eecf-4aa2-8fc3-174bf94bce19_Method">
    <vt:lpwstr>Standard</vt:lpwstr>
  </property>
  <property fmtid="{D5CDD505-2E9C-101B-9397-08002B2CF9AE}" pid="6" name="MSIP_Label_fb5e2db6-eecf-4aa2-8fc3-174bf94bce19_Name">
    <vt:lpwstr>fb5e2db6-eecf-4aa2-8fc3-174bf94bce19</vt:lpwstr>
  </property>
  <property fmtid="{D5CDD505-2E9C-101B-9397-08002B2CF9AE}" pid="7" name="MSIP_Label_fb5e2db6-eecf-4aa2-8fc3-174bf94bce19_SiteId">
    <vt:lpwstr>ceb177bf-013b-49ab-8a9c-4abce32afc1e</vt:lpwstr>
  </property>
  <property fmtid="{D5CDD505-2E9C-101B-9397-08002B2CF9AE}" pid="8" name="MSIP_Label_fb5e2db6-eecf-4aa2-8fc3-174bf94bce19_ActionId">
    <vt:lpwstr>d0ca2573-107e-4017-ba88-b3eceffbb7c9</vt:lpwstr>
  </property>
  <property fmtid="{D5CDD505-2E9C-101B-9397-08002B2CF9AE}" pid="9" name="MSIP_Label_fb5e2db6-eecf-4aa2-8fc3-174bf94bce19_ContentBits">
    <vt:lpwstr>2</vt:lpwstr>
  </property>
  <property fmtid="{D5CDD505-2E9C-101B-9397-08002B2CF9AE}" pid="10" name="MSIP_Label_fb5e2db6-eecf-4aa2-8fc3-174bf94bce19_Tag">
    <vt:lpwstr>10, 3, 0, 1</vt:lpwstr>
  </property>
</Properties>
</file>